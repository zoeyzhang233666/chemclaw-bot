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" sheetId="1" state="visible" r:id="rId1"/>
    <sheet xmlns:r="http://schemas.openxmlformats.org/officeDocument/2006/relationships" name="01_企业矩阵" sheetId="2" state="visible" r:id="rId2"/>
    <sheet xmlns:r="http://schemas.openxmlformats.org/officeDocument/2006/relationships" name="02_工厂明细" sheetId="3" state="visible" r:id="rId3"/>
    <sheet xmlns:r="http://schemas.openxmlformats.org/officeDocument/2006/relationships" name="03_新增项目" sheetId="4" state="visible" r:id="rId4"/>
    <sheet xmlns:r="http://schemas.openxmlformats.org/officeDocument/2006/relationships" name="04_区域对照" sheetId="5" state="visible" r:id="rId5"/>
    <sheet xmlns:r="http://schemas.openxmlformats.org/officeDocument/2006/relationships" name="05_目标区域与潜客" sheetId="6" state="visible" r:id="rId6"/>
    <sheet xmlns:r="http://schemas.openxmlformats.org/officeDocument/2006/relationships" name="06_数据来源" sheetId="7" state="visible" r:id="rId7"/>
    <sheet xmlns:r="http://schemas.openxmlformats.org/officeDocument/2006/relationships" name="07_口径与冲突" sheetId="8" state="visible" r:id="rId8"/>
    <sheet xmlns:r="http://schemas.openxmlformats.org/officeDocument/2006/relationships" name="08_数据缺口与边界" sheetId="9" state="visible" r:id="rId9"/>
  </sheets>
  <definedNames>
    <definedName name="_xlnm.Print_Area" localSheetId="0">'00_封面'!$A$1:$F$30</definedName>
    <definedName name="_xlnm._FilterDatabase" localSheetId="1" hidden="1">'01_企业矩阵'!$A$4:$P$21</definedName>
    <definedName name="_xlnm.Print_Area" localSheetId="1">'01_企业矩阵'!$A$1:$P$25</definedName>
    <definedName name="_xlnm._FilterDatabase" localSheetId="2" hidden="1">'02_工厂明细'!$A$4:$P$26</definedName>
    <definedName name="_xlnm.Print_Area" localSheetId="2">'02_工厂明细'!$A$1:$P$29</definedName>
    <definedName name="_xlnm._FilterDatabase" localSheetId="3" hidden="1">'03_新增项目'!$A$4:$N$12</definedName>
    <definedName name="_xlnm.Print_Area" localSheetId="3">'03_新增项目'!$A$1:$N$15</definedName>
    <definedName name="_xlnm._FilterDatabase" localSheetId="4" hidden="1">'04_区域对照'!$A$4:$K$22</definedName>
    <definedName name="_xlnm.Print_Area" localSheetId="4">'04_区域对照'!$A$1:$K$25</definedName>
    <definedName name="_xlnm.Print_Area" localSheetId="5">'05_目标区域与潜客'!$A$1:$K$37</definedName>
    <definedName name="_xlnm._FilterDatabase" localSheetId="6" hidden="1">'06_数据来源'!$A$4:$G$41</definedName>
    <definedName name="_xlnm.Print_Area" localSheetId="6">'06_数据来源'!$A$1:$G$43</definedName>
    <definedName name="_xlnm._FilterDatabase" localSheetId="7" hidden="1">'07_口径与冲突'!$A$4:$G$13</definedName>
    <definedName name="_xlnm.Print_Area" localSheetId="7">'07_口径与冲突'!$A$1:$G$15</definedName>
    <definedName name="_xlnm._FilterDatabase" localSheetId="8" hidden="1">'08_数据缺口与边界'!$A$4:$E$15</definedName>
    <definedName name="_xlnm.Print_Area" localSheetId="8">'08_数据缺口与边界'!$A$1:$E$17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Microsoft YaHei"/>
      <b val="1"/>
      <color rgb="00D9A441"/>
      <sz val="9"/>
    </font>
    <font>
      <name val="Microsoft YaHei"/>
      <b val="1"/>
      <color rgb="00CFE3D7"/>
      <sz val="10"/>
    </font>
    <font>
      <name val="Microsoft YaHei"/>
      <b val="1"/>
      <color rgb="000F3D33"/>
      <sz val="34"/>
    </font>
    <font>
      <name val="Microsoft YaHei"/>
      <b val="1"/>
      <color rgb="00B4642D"/>
      <sz val="14"/>
    </font>
    <font>
      <name val="Microsoft YaHei"/>
      <b val="1"/>
      <color rgb="006E7B72"/>
      <sz val="9"/>
    </font>
    <font>
      <name val="Microsoft YaHei"/>
      <b val="1"/>
      <color rgb="000F3D33"/>
      <sz val="20"/>
    </font>
    <font>
      <name val="Microsoft YaHei"/>
      <color rgb="006E7B72"/>
      <sz val="8"/>
    </font>
    <font>
      <name val="Microsoft YaHei"/>
      <b val="1"/>
      <color rgb="00FFFFFF"/>
      <sz val="11"/>
    </font>
    <font>
      <name val="Microsoft YaHei"/>
      <b val="1"/>
      <color rgb="00B4642D"/>
      <sz val="12"/>
    </font>
    <font>
      <name val="Microsoft YaHei"/>
      <b val="1"/>
      <color rgb="000F3D33"/>
      <sz val="10"/>
    </font>
    <font>
      <name val="Microsoft YaHei"/>
      <color rgb="006E7B72"/>
      <sz val="9"/>
    </font>
    <font>
      <name val="Microsoft YaHei"/>
      <color rgb="006E7B72"/>
      <sz val="8.5"/>
    </font>
    <font>
      <name val="Microsoft YaHei"/>
      <color rgb="000F3D33"/>
      <sz val="9.5"/>
    </font>
    <font>
      <name val="Microsoft YaHei"/>
      <b val="1"/>
      <color rgb="00FFFFFF"/>
      <sz val="17"/>
    </font>
    <font>
      <name val="Microsoft YaHei"/>
      <b val="1"/>
      <color rgb="00FFFFFF"/>
      <sz val="9"/>
    </font>
    <font>
      <name val="Microsoft YaHei"/>
      <b val="1"/>
      <color rgb="000F3D33"/>
      <sz val="9.5"/>
    </font>
    <font>
      <name val="Microsoft YaHei"/>
      <b val="1"/>
      <color rgb="002F6F8F"/>
      <sz val="9"/>
    </font>
    <font>
      <name val="Microsoft YaHei"/>
      <color rgb="000F3D33"/>
      <sz val="9"/>
    </font>
    <font>
      <name val="Microsoft YaHei"/>
      <color rgb="000F3D33"/>
      <sz val="8.5"/>
    </font>
    <font>
      <name val="Microsoft YaHei"/>
      <b val="1"/>
      <color rgb="000F3D33"/>
      <sz val="9"/>
    </font>
    <font>
      <name val="Microsoft YaHei"/>
      <color rgb="002F6F8F"/>
      <sz val="8"/>
    </font>
    <font>
      <name val="Microsoft YaHei"/>
      <b val="1"/>
      <color rgb="002F6F8F"/>
      <sz val="8"/>
      <u val="single"/>
    </font>
    <font>
      <name val="Microsoft YaHei"/>
      <b val="1"/>
      <color rgb="00B4642D"/>
      <sz val="10"/>
    </font>
    <font>
      <name val="Microsoft YaHei"/>
      <color rgb="00B4642D"/>
      <sz val="8.5"/>
    </font>
    <font>
      <name val="Microsoft YaHei"/>
      <b val="1"/>
      <color rgb="000F3D33"/>
      <sz val="8.5"/>
    </font>
    <font>
      <name val="Consolas"/>
      <color rgb="006E7B72"/>
      <sz val="8"/>
    </font>
    <font>
      <name val="Microsoft YaHei"/>
      <b val="1"/>
      <color rgb="002F6F8F"/>
      <sz val="8.5"/>
    </font>
    <font>
      <name val="Microsoft YaHei"/>
      <b val="1"/>
      <color rgb="006E7B72"/>
      <sz val="8"/>
    </font>
    <font>
      <name val="Microsoft YaHei"/>
      <b val="1"/>
      <color rgb="00B4642D"/>
      <sz val="8"/>
    </font>
    <font>
      <name val="Microsoft YaHei"/>
      <b val="1"/>
      <color rgb="006E7B72"/>
      <sz val="8.5"/>
    </font>
    <font>
      <name val="Microsoft YaHei"/>
      <b val="1"/>
      <color rgb="00B4642D"/>
      <sz val="9"/>
    </font>
    <font>
      <name val="Microsoft YaHei"/>
      <color rgb="000F3D33"/>
      <sz val="8"/>
    </font>
    <font>
      <name val="Microsoft YaHei"/>
      <b val="1"/>
      <color rgb="00FFFFFF"/>
      <sz val="10"/>
    </font>
    <font>
      <name val="Microsoft YaHei"/>
      <b val="1"/>
      <color rgb="002F6F8F"/>
      <sz val="9"/>
      <u val="single"/>
    </font>
    <font>
      <name val="Microsoft YaHei"/>
      <color rgb="006E7B72"/>
      <sz val="7.5"/>
    </font>
    <font>
      <name val="Microsoft YaHei"/>
      <b val="1"/>
      <color rgb="00B4642D"/>
      <sz val="8.5"/>
    </font>
  </fonts>
  <fills count="8">
    <fill>
      <patternFill/>
    </fill>
    <fill>
      <patternFill patternType="gray125"/>
    </fill>
    <fill>
      <patternFill patternType="solid">
        <fgColor rgb="000F3D33"/>
      </patternFill>
    </fill>
    <fill>
      <patternFill patternType="solid">
        <fgColor rgb="00FFFDF8"/>
      </patternFill>
    </fill>
    <fill>
      <patternFill patternType="solid">
        <fgColor rgb="00B4642D"/>
      </patternFill>
    </fill>
    <fill>
      <patternFill patternType="solid">
        <fgColor rgb="00E7F0E9"/>
      </patternFill>
    </fill>
    <fill>
      <patternFill patternType="solid">
        <fgColor rgb="00F7EEDB"/>
      </patternFill>
    </fill>
    <fill>
      <patternFill patternType="solid">
        <fgColor rgb="002F6F8F"/>
      </patternFill>
    </fill>
  </fills>
  <borders count="6">
    <border>
      <left/>
      <right/>
      <top/>
      <bottom/>
      <diagonal/>
    </border>
    <border>
      <left style="thin">
        <color rgb="00DCD2C1"/>
      </left>
      <right style="thin">
        <color rgb="00DCD2C1"/>
      </right>
      <top style="thin">
        <color rgb="00DCD2C1"/>
      </top>
      <bottom style="thin">
        <color rgb="00DCD2C1"/>
      </bottom>
    </border>
    <border>
      <left style="thin">
        <color rgb="00C9D9CE"/>
      </left>
      <right style="thin">
        <color rgb="00C9D9CE"/>
      </right>
      <top style="thin">
        <color rgb="00C9D9CE"/>
      </top>
      <bottom style="thin">
        <color rgb="00C9D9CE"/>
      </bottom>
    </border>
    <border>
      <left style="thin">
        <color rgb="000F3D33"/>
      </left>
      <right style="thin">
        <color rgb="000F3D33"/>
      </right>
      <top style="thin">
        <color rgb="000F3D33"/>
      </top>
      <bottom style="thin">
        <color rgb="000F3D33"/>
      </bottom>
    </border>
    <border>
      <left style="thin">
        <color rgb="002F6F8F"/>
      </left>
      <right style="thin">
        <color rgb="002F6F8F"/>
      </right>
      <top style="thin">
        <color rgb="002F6F8F"/>
      </top>
      <bottom style="thin">
        <color rgb="002F6F8F"/>
      </bottom>
    </border>
    <border>
      <left style="thin">
        <color rgb="00B4642D"/>
      </left>
      <right style="thin">
        <color rgb="00B4642D"/>
      </right>
      <top style="thin">
        <color rgb="00B4642D"/>
      </top>
      <bottom style="thin">
        <color rgb="00B4642D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 wrapText="1"/>
    </xf>
    <xf numFmtId="0" fontId="15" fillId="2" borderId="3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3" fontId="10" fillId="3" borderId="1" applyAlignment="1" pivotButton="0" quotePrefix="0" xfId="0">
      <alignment horizontal="center" vertical="center" wrapText="1"/>
    </xf>
    <xf numFmtId="4" fontId="1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3" borderId="3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23" fillId="6" borderId="5" applyAlignment="1" pivotButton="0" quotePrefix="0" xfId="0">
      <alignment horizontal="left" vertical="center" wrapText="1"/>
    </xf>
    <xf numFmtId="0" fontId="23" fillId="6" borderId="5" applyAlignment="1" pivotButton="0" quotePrefix="0" xfId="0">
      <alignment horizontal="center" vertical="center" wrapText="1"/>
    </xf>
    <xf numFmtId="0" fontId="24" fillId="6" borderId="5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2" fontId="26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center" vertical="center" wrapText="1"/>
    </xf>
    <xf numFmtId="3" fontId="16" fillId="3" borderId="1" applyAlignment="1" pivotButton="0" quotePrefix="0" xfId="0">
      <alignment horizontal="center" vertical="center" wrapText="1"/>
    </xf>
    <xf numFmtId="3" fontId="23" fillId="3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left" vertical="center" wrapText="1"/>
    </xf>
    <xf numFmtId="3" fontId="23" fillId="6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left" vertical="center" wrapText="1"/>
    </xf>
    <xf numFmtId="3" fontId="31" fillId="3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left" vertical="center" wrapText="1"/>
    </xf>
    <xf numFmtId="0" fontId="31" fillId="3" borderId="5" applyAlignment="1" pivotButton="0" quotePrefix="0" xfId="0">
      <alignment horizontal="center" vertical="center" wrapText="1"/>
    </xf>
    <xf numFmtId="0" fontId="33" fillId="2" borderId="0" applyAlignment="1" pivotButton="0" quotePrefix="0" xfId="0">
      <alignment horizontal="left" vertical="center"/>
    </xf>
    <xf numFmtId="0" fontId="33" fillId="4" borderId="0" applyAlignment="1" pivotButton="0" quotePrefix="0" xfId="0">
      <alignment horizontal="left" vertical="center"/>
    </xf>
    <xf numFmtId="0" fontId="33" fillId="7" borderId="0" applyAlignment="1" pivotButton="0" quotePrefix="0" xfId="0">
      <alignment horizontal="left" vertical="center"/>
    </xf>
    <xf numFmtId="0" fontId="34" fillId="3" borderId="1" applyAlignment="1" pivotButton="0" quotePrefix="0" xfId="0">
      <alignment horizontal="left" vertical="center" wrapText="1"/>
    </xf>
    <xf numFmtId="0" fontId="3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6" fillId="6" borderId="1" applyAlignment="1" pivotButton="0" quotePrefix="0" xfId="0">
      <alignment horizontal="left" vertical="center" wrapText="1"/>
    </xf>
    <xf numFmtId="0" fontId="3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样本产能 TOP 10（万吨/年）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'01_企业矩阵'!G4</f>
            </strRef>
          </tx>
          <spPr>
            <a:ln xmlns:a="http://schemas.openxmlformats.org/drawingml/2006/main">
              <a:prstDash val="solid"/>
            </a:ln>
          </spPr>
          <cat>
            <strRef>
              <f>'01_企业矩阵'!$B$5:$B${min(14, 4 + len(rows))}</f>
            </strRef>
          </cat>
          <val>
            <numRef>
              <f>'01_企业矩阵'!$G$5:$G$14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万吨/年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省级样本产能 TOP 10（万吨/年）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'04_区域对照'!C4</f>
            </strRef>
          </tx>
          <spPr>
            <a:ln xmlns:a="http://schemas.openxmlformats.org/drawingml/2006/main">
              <a:prstDash val="solid"/>
            </a:ln>
          </spPr>
          <cat>
            <strRef>
              <f>'04_区域对照'!$B$5:$B${4 + len(rows)}</f>
            </strRef>
          </cat>
          <val>
            <numRef>
              <f>'04_区域对照'!$C$5:$C$14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万吨/年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static.cninfo.com.cn/finalpage/2025-08-08/1224424873.PDF" TargetMode="External" Id="rId1"/><Relationship Type="http://schemas.openxmlformats.org/officeDocument/2006/relationships/hyperlink" Target="http://file.finance.sina.com.cn/211.154.219.97:9494/MRGG/CNSESH_STOCK/2026/2026-4/2026-04-30/12285995.PDF" TargetMode="External" Id="rId2"/><Relationship Type="http://schemas.openxmlformats.org/officeDocument/2006/relationships/hyperlink" Target="https://money.finance.sina.com.cn/corp/view/vCB_AllBulletinDetail.php?stockid=600409&amp;id=12180724" TargetMode="External" Id="rId3"/><Relationship Type="http://schemas.openxmlformats.org/officeDocument/2006/relationships/hyperlink" Target="http://www.jshgjt.com/a/zoujinjinshan" TargetMode="External" Id="rId4"/><Relationship Type="http://schemas.openxmlformats.org/officeDocument/2006/relationships/hyperlink" Target="https://vip.stock.finance.sina.com.cn/corp/view/vCB_AllBulletinDetail.php?stockid=000822&amp;id=12008621" TargetMode="External" Id="rId5"/><Relationship Type="http://schemas.openxmlformats.org/officeDocument/2006/relationships/hyperlink" Target="http://static.cninfo.com.cn/finalpage/2025-08-26/1224566020.PDF" TargetMode="External" Id="rId6"/><Relationship Type="http://schemas.openxmlformats.org/officeDocument/2006/relationships/hyperlink" Target="http://file.finance.sina.com.cn/211.154.219.97:9494/MRGG/CNSESZ_STOCK/2026/2026-4/2026-04-29/12261120.PDF" TargetMode="External" Id="rId7"/><Relationship Type="http://schemas.openxmlformats.org/officeDocument/2006/relationships/hyperlink" Target="https://pdf.dfcfw.com/pdf/H3_AP202205101564746575_1.pdf" TargetMode="External" Id="rId8"/><Relationship Type="http://schemas.openxmlformats.org/officeDocument/2006/relationships/hyperlink" Target="https://www.lyg.gov.cn/zglygzfmhwz/gcyw/content/3ad7d8d1-8a2a-4683-82b5-4766ac84985e.html" TargetMode="External" Id="rId9"/><Relationship Type="http://schemas.openxmlformats.org/officeDocument/2006/relationships/hyperlink" Target="https://static.cninfo.com.cn/finalpage/2025-08-09/1224441432.PDF" TargetMode="External" Id="rId10"/><Relationship Type="http://schemas.openxmlformats.org/officeDocument/2006/relationships/hyperlink" Target="https://pdf.dfcfw.com/pdf/H3_AP202205101564746575_1.pdf" TargetMode="External" Id="rId11"/><Relationship Type="http://schemas.openxmlformats.org/officeDocument/2006/relationships/hyperlink" Target="https://pdf.dfcfw.com/pdf/H3_AP202310071601015959_1.pdf" TargetMode="External" Id="rId12"/><Relationship Type="http://schemas.openxmlformats.org/officeDocument/2006/relationships/hyperlink" Target="https://i.ifeng.com/c/8eLZkh3bKkz" TargetMode="External" Id="rId13"/><Relationship Type="http://schemas.openxmlformats.org/officeDocument/2006/relationships/hyperlink" Target="https://pdf.dfcfw.com/pdf/H3_AP202205101564746575_1.pdf" TargetMode="External" Id="rId14"/><Relationship Type="http://schemas.openxmlformats.org/officeDocument/2006/relationships/hyperlink" Target="http://www.nfsoda.com/m/About/about.aspx?m=115001" TargetMode="External" Id="rId15"/><Relationship Type="http://schemas.openxmlformats.org/officeDocument/2006/relationships/hyperlink" Target="https://epaper.hubeidaily.net/pc/content/202502/19/content_305436.html" TargetMode="External" Id="rId16"/><Relationship Type="http://schemas.openxmlformats.org/officeDocument/2006/relationships/hyperlink" Target="https://www.glqh.com/u/cms/www/202505/06091452kayw.pdf" TargetMode="External" Id="rId17"/><Relationship Type="http://schemas.openxmlformats.org/officeDocument/2006/relationships/drawing" Target="/xl/drawings/drawing1.xm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://static.cninfo.com.cn/finalpage/2025-08-08/1224424873.PDF" TargetMode="External" Id="rId1"/><Relationship Type="http://schemas.openxmlformats.org/officeDocument/2006/relationships/hyperlink" Target="http://file.finance.sina.com.cn/211.154.219.97:9494/MRGG/CNSESH_STOCK/2026/2026-4/2026-04-30/12285995.PDF" TargetMode="External" Id="rId2"/><Relationship Type="http://schemas.openxmlformats.org/officeDocument/2006/relationships/hyperlink" Target="https://pdf.dfcfw.com/pdf/H3_AP202205101564746575_1.pdf" TargetMode="External" Id="rId3"/><Relationship Type="http://schemas.openxmlformats.org/officeDocument/2006/relationships/hyperlink" Target="https://pdf.dfcfw.com/pdf/H3_AP202205101564746575_1.pdf" TargetMode="External" Id="rId4"/><Relationship Type="http://schemas.openxmlformats.org/officeDocument/2006/relationships/hyperlink" Target="https://pdf.dfcfw.com/pdf/H3_AP202205101564746575_1.pdf" TargetMode="External" Id="rId5"/><Relationship Type="http://schemas.openxmlformats.org/officeDocument/2006/relationships/hyperlink" Target="https://vip.stock.finance.sina.com.cn/corp/view/vCB_AllBulletinDetail.php?stockid=000822&amp;id=12008621" TargetMode="External" Id="rId6"/><Relationship Type="http://schemas.openxmlformats.org/officeDocument/2006/relationships/hyperlink" Target="http://static.cninfo.com.cn/finalpage/2025-08-26/1224566020.PDF" TargetMode="External" Id="rId7"/><Relationship Type="http://schemas.openxmlformats.org/officeDocument/2006/relationships/hyperlink" Target="http://www.nfsoda.com/m/About/about.aspx?m=115001" TargetMode="External" Id="rId8"/><Relationship Type="http://schemas.openxmlformats.org/officeDocument/2006/relationships/hyperlink" Target="https://www.lyg.gov.cn/zglygzfmhwz/gcyw/content/3ad7d8d1-8a2a-4683-82b5-4766ac84985e.html" TargetMode="External" Id="rId9"/><Relationship Type="http://schemas.openxmlformats.org/officeDocument/2006/relationships/hyperlink" Target="https://pdf.dfcfw.com/pdf/H3_AP202310071601015959_1.pdf" TargetMode="External" Id="rId10"/><Relationship Type="http://schemas.openxmlformats.org/officeDocument/2006/relationships/hyperlink" Target="https://i.ifeng.com/c/8eLZkh3bKkz" TargetMode="External" Id="rId11"/><Relationship Type="http://schemas.openxmlformats.org/officeDocument/2006/relationships/hyperlink" Target="http://file.finance.sina.com.cn/211.154.219.97:9494/MRGG/CNSESH_STOCK/2026/2026-4/2026-04-30/12285995.PDF" TargetMode="External" Id="rId12"/><Relationship Type="http://schemas.openxmlformats.org/officeDocument/2006/relationships/hyperlink" Target="https://www.glqh.com/u/cms/www/202505/06091452kayw.pdf" TargetMode="External" Id="rId13"/><Relationship Type="http://schemas.openxmlformats.org/officeDocument/2006/relationships/hyperlink" Target="https://money.finance.sina.com.cn/corp/view/vCB_AllBulletinDetail.php?stockid=600409&amp;id=12180724" TargetMode="External" Id="rId14"/><Relationship Type="http://schemas.openxmlformats.org/officeDocument/2006/relationships/hyperlink" Target="http://www.jshgjt.com/a/zoujinjinshan" TargetMode="External" Id="rId15"/><Relationship Type="http://schemas.openxmlformats.org/officeDocument/2006/relationships/hyperlink" Target="http://static.cninfo.com.cn/finalpage/2025-08-08/1224424873.PDF" TargetMode="External" Id="rId16"/><Relationship Type="http://schemas.openxmlformats.org/officeDocument/2006/relationships/hyperlink" Target="http://file.finance.sina.com.cn/211.154.219.97:9494/MRGG/CNSESZ_STOCK/2026/2026-4/2026-04-29/12261120.PDF" TargetMode="External" Id="rId17"/><Relationship Type="http://schemas.openxmlformats.org/officeDocument/2006/relationships/hyperlink" Target="https://epaper.hubeidaily.net/pc/content/202502/19/content_305436.html" TargetMode="External" Id="rId18"/><Relationship Type="http://schemas.openxmlformats.org/officeDocument/2006/relationships/hyperlink" Target="https://static.cninfo.com.cn/finalpage/2025-08-09/1224441432.PDF" TargetMode="External" Id="rId19"/><Relationship Type="http://schemas.openxmlformats.org/officeDocument/2006/relationships/hyperlink" Target="http://file.finance.sina.com.cn/211.154.219.97:9494/MRGG/CNSESH_STOCK/2026/2026-4/2026-04-30/12285995.PDF" TargetMode="External" Id="rId20"/><Relationship Type="http://schemas.openxmlformats.org/officeDocument/2006/relationships/hyperlink" Target="http://file.finance.sina.com.cn/211.154.219.97:9494/MRGG/CNSESH_STOCK/2026/2026-4/2026-04-30/12285995.PDF" TargetMode="External" Id="rId21"/><Relationship Type="http://schemas.openxmlformats.org/officeDocument/2006/relationships/hyperlink" Target="https://money.finance.sina.com.cn/corp/view/vCB_AllBulletinDetail.php?stockid=600409&amp;id=12180724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yg.gov.cn/zglygzfmhwz/gcyw/content/3ad7d8d1-8a2a-4683-82b5-4766ac84985e.html" TargetMode="External" Id="rId1"/><Relationship Type="http://schemas.openxmlformats.org/officeDocument/2006/relationships/hyperlink" Target="https://www.glqh.com/u/cms/www/202505/06091452kayw.pdf" TargetMode="External" Id="rId2"/><Relationship Type="http://schemas.openxmlformats.org/officeDocument/2006/relationships/hyperlink" Target="http://file.finance.sina.com.cn/211.154.219.97:9494/MRGG/CNSESZ_STOCK/2026/2026-4/2026-04-29/12261120.PDF" TargetMode="External" Id="rId3"/><Relationship Type="http://schemas.openxmlformats.org/officeDocument/2006/relationships/hyperlink" Target="http://static.cninfo.com.cn/finalpage/2025-08-08/1224424873.PDF" TargetMode="External" Id="rId4"/><Relationship Type="http://schemas.openxmlformats.org/officeDocument/2006/relationships/hyperlink" Target="https://www.ctdsb.net/c1676_202504/2412542.html" TargetMode="External" Id="rId5"/><Relationship Type="http://schemas.openxmlformats.org/officeDocument/2006/relationships/hyperlink" Target="https://www.glqh.com/u/cms/www/202505/06091452kayw.pdf" TargetMode="External" Id="rId6"/><Relationship Type="http://schemas.openxmlformats.org/officeDocument/2006/relationships/hyperlink" Target="https://www.stcn.com/article/detail/1117410.html" TargetMode="External" Id="rId7"/><Relationship Type="http://schemas.openxmlformats.org/officeDocument/2006/relationships/hyperlink" Target="https://www.stcn.com/article/detail/3910001.html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xinyiglass.com/Spain/companynews/info.aspx?itemid=2947" TargetMode="External" Id="rId1"/><Relationship Type="http://schemas.openxmlformats.org/officeDocument/2006/relationships/hyperlink" Target="https://assets.new.siemens.com/siemens/assets/api/uuid/56937710-9dc9-47b4-8cfa-676b9a6d77f5/huaxing-glass-digital-project.pdf" TargetMode="External" Id="rId2"/><Relationship Type="http://schemas.openxmlformats.org/officeDocument/2006/relationships/hyperlink" Target="https://money.finance.sina.com.cn/corp/view/vCB_AllBulletinDetail.php?stockid=601636&amp;id=12154621" TargetMode="External" Id="rId3"/><Relationship Type="http://schemas.openxmlformats.org/officeDocument/2006/relationships/hyperlink" Target="https://www.csgholding.com/about.aspx" TargetMode="External" Id="rId4"/><Relationship Type="http://schemas.openxmlformats.org/officeDocument/2006/relationships/hyperlink" Target="https://www.liby.com.cn/" TargetMode="External" Id="rId5"/><Relationship Type="http://schemas.openxmlformats.org/officeDocument/2006/relationships/hyperlink" Target="https://www.bluemoon.com.cn/" TargetMode="External" Id="rId6"/><Relationship Type="http://schemas.openxmlformats.org/officeDocument/2006/relationships/hyperlink" Target="https://www.esquel.com/" TargetMode="External" Id="rId7"/><Relationship Type="http://schemas.openxmlformats.org/officeDocument/2006/relationships/hyperlink" Target="https://www.dongpeng.com/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://file.finance.sina.com.cn/211.154.219.97:9494/MRGG/CNSESH_STOCK/2026/2026-4/2026-04-30/12285995.PDF" TargetMode="External" Id="rId1"/><Relationship Type="http://schemas.openxmlformats.org/officeDocument/2006/relationships/hyperlink" Target="http://file.finance.sina.com.cn/211.154.219.97:9494/MRGG/CNSESH_STOCK/2026/2026-4/2026-04-30/12285995.PDF" TargetMode="External" Id="rId2"/><Relationship Type="http://schemas.openxmlformats.org/officeDocument/2006/relationships/hyperlink" Target="http://file.finance.sina.com.cn/211.154.219.97:9494/MRGG/CNSESZ_STOCK/2026/2026-4/2026-04-29/12261120.PDF" TargetMode="External" Id="rId3"/><Relationship Type="http://schemas.openxmlformats.org/officeDocument/2006/relationships/hyperlink" Target="http://file.finance.sina.com.cn/211.154.219.97:9494/MRGG/CNSESZ_STOCK/2026/2026-4/2026-04-29/12261120.PDF" TargetMode="External" Id="rId4"/><Relationship Type="http://schemas.openxmlformats.org/officeDocument/2006/relationships/hyperlink" Target="https://vip.stock.finance.sina.com.cn/corp/view/vCB_AllBulletinDetail.php?stockid=000822&amp;id=12008621" TargetMode="External" Id="rId5"/><Relationship Type="http://schemas.openxmlformats.org/officeDocument/2006/relationships/hyperlink" Target="https://vip.stock.finance.sina.com.cn/corp/view/vCB_AllBulletinDetail.php?stockid=000822&amp;id=12008621" TargetMode="External" Id="rId6"/><Relationship Type="http://schemas.openxmlformats.org/officeDocument/2006/relationships/hyperlink" Target="http://static.cninfo.com.cn/finalpage/2025-08-08/1224424873.PDF" TargetMode="External" Id="rId7"/><Relationship Type="http://schemas.openxmlformats.org/officeDocument/2006/relationships/hyperlink" Target="http://static.cninfo.com.cn/finalpage/2025-08-08/1224424873.PDF" TargetMode="External" Id="rId8"/><Relationship Type="http://schemas.openxmlformats.org/officeDocument/2006/relationships/hyperlink" Target="https://www.chyxx.com/industry/1278161.html" TargetMode="External" Id="rId9"/><Relationship Type="http://schemas.openxmlformats.org/officeDocument/2006/relationships/hyperlink" Target="https://www.chyxx.com/industry/1278161.html" TargetMode="External" Id="rId10"/><Relationship Type="http://schemas.openxmlformats.org/officeDocument/2006/relationships/hyperlink" Target="https://m.sohu.com/a/963779831_115362" TargetMode="External" Id="rId11"/><Relationship Type="http://schemas.openxmlformats.org/officeDocument/2006/relationships/hyperlink" Target="https://m.sohu.com/a/963779831_115362" TargetMode="External" Id="rId12"/><Relationship Type="http://schemas.openxmlformats.org/officeDocument/2006/relationships/hyperlink" Target="https://www.stcn.com/article/detail/3910001.html" TargetMode="External" Id="rId13"/><Relationship Type="http://schemas.openxmlformats.org/officeDocument/2006/relationships/hyperlink" Target="https://www.stcn.com/article/detail/3910001.html" TargetMode="External" Id="rId14"/><Relationship Type="http://schemas.openxmlformats.org/officeDocument/2006/relationships/hyperlink" Target="https://www.lyg.gov.cn/zglygzfmhwz/gcyw/content/3ad7d8d1-8a2a-4683-82b5-4766ac84985e.html" TargetMode="External" Id="rId15"/><Relationship Type="http://schemas.openxmlformats.org/officeDocument/2006/relationships/hyperlink" Target="https://www.lyg.gov.cn/zglygzfmhwz/gcyw/content/3ad7d8d1-8a2a-4683-82b5-4766ac84985e.html" TargetMode="External" Id="rId16"/><Relationship Type="http://schemas.openxmlformats.org/officeDocument/2006/relationships/hyperlink" Target="https://www.glqh.com/u/cms/www/202505/06091452kayw.pdf" TargetMode="External" Id="rId17"/><Relationship Type="http://schemas.openxmlformats.org/officeDocument/2006/relationships/hyperlink" Target="https://www.glqh.com/u/cms/www/202505/06091452kayw.pdf" TargetMode="External" Id="rId18"/><Relationship Type="http://schemas.openxmlformats.org/officeDocument/2006/relationships/hyperlink" Target="https://static.cninfo.com.cn/finalpage/2025-08-09/1224441432.PDF" TargetMode="External" Id="rId19"/><Relationship Type="http://schemas.openxmlformats.org/officeDocument/2006/relationships/hyperlink" Target="https://static.cninfo.com.cn/finalpage/2025-08-09/1224441432.PDF" TargetMode="External" Id="rId20"/><Relationship Type="http://schemas.openxmlformats.org/officeDocument/2006/relationships/hyperlink" Target="https://www.stcn.com/article/detail/1117410.html" TargetMode="External" Id="rId21"/><Relationship Type="http://schemas.openxmlformats.org/officeDocument/2006/relationships/hyperlink" Target="https://www.stcn.com/article/detail/1117410.html" TargetMode="External" Id="rId22"/><Relationship Type="http://schemas.openxmlformats.org/officeDocument/2006/relationships/hyperlink" Target="http://www.jshgjt.com/a/zoujinjinshan" TargetMode="External" Id="rId23"/><Relationship Type="http://schemas.openxmlformats.org/officeDocument/2006/relationships/hyperlink" Target="http://www.jshgjt.com/a/zoujinjinshan" TargetMode="External" Id="rId24"/><Relationship Type="http://schemas.openxmlformats.org/officeDocument/2006/relationships/hyperlink" Target="https://news.haiwainet.cn/n/2025/0122/c3541089-32832061.html" TargetMode="External" Id="rId25"/><Relationship Type="http://schemas.openxmlformats.org/officeDocument/2006/relationships/hyperlink" Target="https://news.haiwainet.cn/n/2025/0122/c3541089-32832061.html" TargetMode="External" Id="rId26"/><Relationship Type="http://schemas.openxmlformats.org/officeDocument/2006/relationships/hyperlink" Target="http://www.nfsoda.com/m/About/about.aspx?m=115001" TargetMode="External" Id="rId27"/><Relationship Type="http://schemas.openxmlformats.org/officeDocument/2006/relationships/hyperlink" Target="http://www.nfsoda.com/m/About/about.aspx?m=115001" TargetMode="External" Id="rId28"/><Relationship Type="http://schemas.openxmlformats.org/officeDocument/2006/relationships/hyperlink" Target="http://www.nfsoda.com/About/scale.aspx?m=115003" TargetMode="External" Id="rId29"/><Relationship Type="http://schemas.openxmlformats.org/officeDocument/2006/relationships/hyperlink" Target="http://www.nfsoda.com/About/scale.aspx?m=115003" TargetMode="External" Id="rId30"/><Relationship Type="http://schemas.openxmlformats.org/officeDocument/2006/relationships/hyperlink" Target="http://www.nfsoda.com/CX/salesArea.aspx?m=119001" TargetMode="External" Id="rId31"/><Relationship Type="http://schemas.openxmlformats.org/officeDocument/2006/relationships/hyperlink" Target="http://www.nfsoda.com/CX/salesArea.aspx?m=119001" TargetMode="External" Id="rId32"/><Relationship Type="http://schemas.openxmlformats.org/officeDocument/2006/relationships/hyperlink" Target="https://www.xinyiglass.com/Spain/companynews/info.aspx?itemid=2947" TargetMode="External" Id="rId33"/><Relationship Type="http://schemas.openxmlformats.org/officeDocument/2006/relationships/hyperlink" Target="https://www.xinyiglass.com/Spain/companynews/info.aspx?itemid=2947" TargetMode="External" Id="rId34"/><Relationship Type="http://schemas.openxmlformats.org/officeDocument/2006/relationships/hyperlink" Target="https://assets.new.siemens.com/siemens/assets/api/uuid/56937710-9dc9-47b4-8cfa-676b9a6d77f5/huaxing-glass-digital-project.pdf" TargetMode="External" Id="rId35"/><Relationship Type="http://schemas.openxmlformats.org/officeDocument/2006/relationships/hyperlink" Target="https://assets.new.siemens.com/siemens/assets/api/uuid/56937710-9dc9-47b4-8cfa-676b9a6d77f5/huaxing-glass-digital-project.pdf" TargetMode="External" Id="rId36"/><Relationship Type="http://schemas.openxmlformats.org/officeDocument/2006/relationships/hyperlink" Target="https://www.7hcn.com/article/359299-1.html" TargetMode="External" Id="rId37"/><Relationship Type="http://schemas.openxmlformats.org/officeDocument/2006/relationships/hyperlink" Target="https://www.7hcn.com/article/359299-1.html" TargetMode="External" Id="rId38"/><Relationship Type="http://schemas.openxmlformats.org/officeDocument/2006/relationships/hyperlink" Target="https://finance.sina.cn/futuremarket/qszx/2019-11-22/detail-iihnzhfz0921055.d.html" TargetMode="External" Id="rId39"/><Relationship Type="http://schemas.openxmlformats.org/officeDocument/2006/relationships/hyperlink" Target="https://finance.sina.cn/futuremarket/qszx/2019-11-22/detail-iihnzhfz0921055.d.html" TargetMode="External" Id="rId40"/><Relationship Type="http://schemas.openxmlformats.org/officeDocument/2006/relationships/hyperlink" Target="https://www.ctdsb.net/c1676_202504/2412542.html" TargetMode="External" Id="rId41"/><Relationship Type="http://schemas.openxmlformats.org/officeDocument/2006/relationships/hyperlink" Target="https://www.ctdsb.net/c1676_202504/2412542.html" TargetMode="External" Id="rId42"/><Relationship Type="http://schemas.openxmlformats.org/officeDocument/2006/relationships/hyperlink" Target="https://epaper.hubeidaily.net/pc/content/202502/19/content_305436.html" TargetMode="External" Id="rId43"/><Relationship Type="http://schemas.openxmlformats.org/officeDocument/2006/relationships/hyperlink" Target="https://epaper.hubeidaily.net/pc/content/202502/19/content_305436.html" TargetMode="External" Id="rId44"/><Relationship Type="http://schemas.openxmlformats.org/officeDocument/2006/relationships/hyperlink" Target="http://static.cninfo.com.cn/finalpage/2025-08-26/1224566020.PDF" TargetMode="External" Id="rId45"/><Relationship Type="http://schemas.openxmlformats.org/officeDocument/2006/relationships/hyperlink" Target="http://static.cninfo.com.cn/finalpage/2025-08-26/1224566020.PDF" TargetMode="External" Id="rId46"/><Relationship Type="http://schemas.openxmlformats.org/officeDocument/2006/relationships/hyperlink" Target="https://money.finance.sina.com.cn/corp/view/vCB_AllBulletinDetail.php?stockid=600409&amp;id=12180724" TargetMode="External" Id="rId47"/><Relationship Type="http://schemas.openxmlformats.org/officeDocument/2006/relationships/hyperlink" Target="https://money.finance.sina.com.cn/corp/view/vCB_AllBulletinDetail.php?stockid=600409&amp;id=12180724" TargetMode="External" Id="rId48"/><Relationship Type="http://schemas.openxmlformats.org/officeDocument/2006/relationships/hyperlink" Target="https://i.ifeng.com/c/8eLZkh3bKkz" TargetMode="External" Id="rId49"/><Relationship Type="http://schemas.openxmlformats.org/officeDocument/2006/relationships/hyperlink" Target="https://i.ifeng.com/c/8eLZkh3bKkz" TargetMode="External" Id="rId50"/><Relationship Type="http://schemas.openxmlformats.org/officeDocument/2006/relationships/hyperlink" Target="https://pdf.dfcfw.com/pdf/H3_AP202310071601015959_1.pdf" TargetMode="External" Id="rId51"/><Relationship Type="http://schemas.openxmlformats.org/officeDocument/2006/relationships/hyperlink" Target="https://pdf.dfcfw.com/pdf/H3_AP202310071601015959_1.pdf" TargetMode="External" Id="rId52"/><Relationship Type="http://schemas.openxmlformats.org/officeDocument/2006/relationships/hyperlink" Target="https://pdf.dfcfw.com/pdf/H3_AP202205101564746575_1.pdf" TargetMode="External" Id="rId53"/><Relationship Type="http://schemas.openxmlformats.org/officeDocument/2006/relationships/hyperlink" Target="https://pdf.dfcfw.com/pdf/H3_AP202205101564746575_1.pdf" TargetMode="External" Id="rId54"/><Relationship Type="http://schemas.openxmlformats.org/officeDocument/2006/relationships/hyperlink" Target="https://www.wkqh.cn/ueditor/jsp/upload/file/20260106/1767660004954010828.pdf" TargetMode="External" Id="rId55"/><Relationship Type="http://schemas.openxmlformats.org/officeDocument/2006/relationships/hyperlink" Target="https://www.wkqh.cn/ueditor/jsp/upload/file/20260106/1767660004954010828.pdf" TargetMode="External" Id="rId56"/><Relationship Type="http://schemas.openxmlformats.org/officeDocument/2006/relationships/hyperlink" Target="https://www.cls.cn/detail/2111137" TargetMode="External" Id="rId57"/><Relationship Type="http://schemas.openxmlformats.org/officeDocument/2006/relationships/hyperlink" Target="https://www.cls.cn/detail/2111137" TargetMode="External" Id="rId58"/><Relationship Type="http://schemas.openxmlformats.org/officeDocument/2006/relationships/hyperlink" Target="https://money.finance.sina.com.cn/corp/view/vCB_AllBulletinDetail.php?stockid=601636&amp;id=12154621" TargetMode="External" Id="rId59"/><Relationship Type="http://schemas.openxmlformats.org/officeDocument/2006/relationships/hyperlink" Target="https://money.finance.sina.com.cn/corp/view/vCB_AllBulletinDetail.php?stockid=601636&amp;id=12154621" TargetMode="External" Id="rId60"/><Relationship Type="http://schemas.openxmlformats.org/officeDocument/2006/relationships/hyperlink" Target="https://www.csgholding.com/about.aspx" TargetMode="External" Id="rId61"/><Relationship Type="http://schemas.openxmlformats.org/officeDocument/2006/relationships/hyperlink" Target="https://www.csgholding.com/about.aspx" TargetMode="External" Id="rId62"/><Relationship Type="http://schemas.openxmlformats.org/officeDocument/2006/relationships/hyperlink" Target="http://www.gzjlhyxh.org/pod.jsp?id=58" TargetMode="External" Id="rId63"/><Relationship Type="http://schemas.openxmlformats.org/officeDocument/2006/relationships/hyperlink" Target="http://www.gzjlhyxh.org/pod.jsp?id=58" TargetMode="External" Id="rId64"/><Relationship Type="http://schemas.openxmlformats.org/officeDocument/2006/relationships/hyperlink" Target="https://www.czce.com.cn/cn/rootfiles/2021/09/03/1605597062097884-1605597062128743.pdf" TargetMode="External" Id="rId65"/><Relationship Type="http://schemas.openxmlformats.org/officeDocument/2006/relationships/hyperlink" Target="https://www.czce.com.cn/cn/rootfiles/2021/09/03/1605597062097884-1605597062128743.pdf" TargetMode="External" Id="rId66"/><Relationship Type="http://schemas.openxmlformats.org/officeDocument/2006/relationships/hyperlink" Target="https://www.liby.com.cn/" TargetMode="External" Id="rId67"/><Relationship Type="http://schemas.openxmlformats.org/officeDocument/2006/relationships/hyperlink" Target="https://www.liby.com.cn/" TargetMode="External" Id="rId68"/><Relationship Type="http://schemas.openxmlformats.org/officeDocument/2006/relationships/hyperlink" Target="https://www.bluemoon.com.cn/" TargetMode="External" Id="rId69"/><Relationship Type="http://schemas.openxmlformats.org/officeDocument/2006/relationships/hyperlink" Target="https://www.bluemoon.com.cn/" TargetMode="External" Id="rId70"/><Relationship Type="http://schemas.openxmlformats.org/officeDocument/2006/relationships/hyperlink" Target="https://www.esquel.com/" TargetMode="External" Id="rId71"/><Relationship Type="http://schemas.openxmlformats.org/officeDocument/2006/relationships/hyperlink" Target="https://www.esquel.com/" TargetMode="External" Id="rId72"/><Relationship Type="http://schemas.openxmlformats.org/officeDocument/2006/relationships/hyperlink" Target="https://www.dongpeng.com/" TargetMode="External" Id="rId73"/><Relationship Type="http://schemas.openxmlformats.org/officeDocument/2006/relationships/hyperlink" Target="https://www.dongpeng.com/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5" customWidth="1" min="4" max="4"/>
    <col width="22" customWidth="1" min="5" max="5"/>
    <col width="22" customWidth="1" min="6" max="6"/>
  </cols>
  <sheetData>
    <row r="1" ht="28" customHeight="1">
      <c r="A1" s="1" t="inlineStr">
        <is>
          <t>CHEMICAL COMPETITOR SUPPLY MAP</t>
        </is>
      </c>
    </row>
    <row r="2" ht="24" customHeight="1">
      <c r="A2" s="2" t="inlineStr">
        <is>
          <t>碱图 · SODA MAP</t>
        </is>
      </c>
    </row>
    <row r="4" ht="42" customHeight="1">
      <c r="A4" s="3" t="inlineStr">
        <is>
          <t>纯碱</t>
        </is>
      </c>
    </row>
    <row r="5" ht="24" customHeight="1"/>
    <row r="6" ht="26" customHeight="1">
      <c r="A6" s="4" t="inlineStr">
        <is>
          <t>竞争供给布局与区域空白 · 广东 · 江门</t>
        </is>
      </c>
    </row>
    <row r="8" ht="18" customHeight="1">
      <c r="A8" s="5" t="inlineStr">
        <is>
          <t>样本在产产能</t>
        </is>
      </c>
      <c r="D8" s="5" t="inlineStr">
        <is>
          <t>目标区域本地在产</t>
        </is>
      </c>
    </row>
    <row r="9" ht="28" customHeight="1">
      <c r="A9" s="6" t="inlineStr">
        <is>
          <t>3,070</t>
        </is>
      </c>
      <c r="D9" s="6" t="inlineStr">
        <is>
          <t>60</t>
        </is>
      </c>
    </row>
    <row r="10" ht="18" customHeight="1">
      <c r="A10" s="7" t="inlineStr">
        <is>
          <t>万吨/年  17 家企业 / 22 座工厂</t>
        </is>
      </c>
      <c r="D10" s="7" t="inlineStr">
        <is>
          <t>万吨/年  广东 · 到江门最近</t>
        </is>
      </c>
    </row>
    <row r="11" ht="28" customHeight="1">
      <c r="A11" s="5" t="inlineStr">
        <is>
          <t>样本覆盖</t>
        </is>
      </c>
      <c r="D11" s="5" t="inlineStr">
        <is>
          <t>数据截至</t>
        </is>
      </c>
    </row>
    <row r="12" ht="18" customHeight="1">
      <c r="A12" s="6" t="inlineStr">
        <is>
          <t>≈69–71%</t>
        </is>
      </c>
      <c r="D12" s="6" t="inlineStr">
        <is>
          <t>2026-10-19</t>
        </is>
      </c>
    </row>
    <row r="13" ht="28" customHeight="1">
      <c r="A13" s="7" t="inlineStr">
        <is>
          <t>覆盖度  样本 3,070 / 全国 4,305–4,468</t>
        </is>
      </c>
      <c r="D13" s="7" t="inlineStr">
        <is>
          <t>公开年报/公告/项目报道</t>
        </is>
      </c>
    </row>
    <row r="15" ht="23" customHeight="1">
      <c r="A15" s="8" t="inlineStr">
        <is>
          <t>READ  阅读顺序   先看地图 → 再看矩阵 → 最后看时间线</t>
        </is>
      </c>
    </row>
    <row r="16" ht="21" customHeight="1">
      <c r="A16" s="9" t="inlineStr">
        <is>
          <t>01</t>
        </is>
      </c>
      <c r="B16" s="10" t="inlineStr">
        <is>
          <t>企业对比矩阵</t>
        </is>
      </c>
      <c r="D16" s="11" t="inlineStr">
        <is>
          <t>产能/产量/工艺/距离/覆盖线索/新增项目并排</t>
        </is>
      </c>
    </row>
    <row r="17" ht="21" customHeight="1">
      <c r="A17" s="9" t="inlineStr">
        <is>
          <t>02</t>
        </is>
      </c>
      <c r="B17" s="10" t="inlineStr">
        <is>
          <t>工厂明细</t>
        </is>
      </c>
      <c r="D17" s="11" t="inlineStr">
        <is>
          <t>省/市/经纬度/产能/产品/来源，可逐厂回溯</t>
        </is>
      </c>
    </row>
    <row r="18" ht="21" customHeight="1">
      <c r="A18" s="9" t="inlineStr">
        <is>
          <t>03</t>
        </is>
      </c>
      <c r="B18" s="10" t="inlineStr">
        <is>
          <t>新增项目</t>
        </is>
      </c>
      <c r="D18" s="11" t="inlineStr">
        <is>
          <t>规模、性质、状态、时间、净增判断</t>
        </is>
      </c>
    </row>
    <row r="19" ht="21" customHeight="1">
      <c r="A19" s="9" t="inlineStr">
        <is>
          <t>04</t>
        </is>
      </c>
      <c r="B19" s="10" t="inlineStr">
        <is>
          <t>区域对照</t>
        </is>
      </c>
      <c r="D19" s="11" t="inlineStr">
        <is>
          <t>省级供给 + 需求线索 + 潜客数</t>
        </is>
      </c>
    </row>
    <row r="20" ht="21" customHeight="1">
      <c r="A20" s="9" t="inlineStr">
        <is>
          <t>05</t>
        </is>
      </c>
      <c r="B20" s="10" t="inlineStr">
        <is>
          <t>目标区域与潜客</t>
        </is>
      </c>
      <c r="D20" s="11" t="inlineStr">
        <is>
          <t>锚点客户、供应梯度、8 家潜客、动作卡</t>
        </is>
      </c>
    </row>
    <row r="21" ht="21" customHeight="1">
      <c r="A21" s="9" t="inlineStr">
        <is>
          <t>06</t>
        </is>
      </c>
      <c r="B21" s="10" t="inlineStr">
        <is>
          <t>数据来源</t>
        </is>
      </c>
      <c r="D21" s="11" t="inlineStr">
        <is>
          <t>每条来源可点击，标 A/B/C/D</t>
        </is>
      </c>
    </row>
    <row r="22" ht="21" customHeight="1">
      <c r="A22" s="9" t="inlineStr">
        <is>
          <t>07</t>
        </is>
      </c>
      <c r="B22" s="10" t="inlineStr">
        <is>
          <t>口径与冲突</t>
        </is>
      </c>
      <c r="D22" s="11" t="inlineStr">
        <is>
          <t>并列冲突 + 采用理由 + 影响</t>
        </is>
      </c>
    </row>
    <row r="23" ht="21" customHeight="1">
      <c r="A23" s="9" t="inlineStr">
        <is>
          <t>08</t>
        </is>
      </c>
      <c r="B23" s="10" t="inlineStr">
        <is>
          <t>数据缺口与边界</t>
        </is>
      </c>
      <c r="D23" s="11" t="inlineStr">
        <is>
          <t>下一步取证清单，不是免责声明</t>
        </is>
      </c>
    </row>
    <row r="25" ht="23" customHeight="1">
      <c r="A25" s="8" t="inlineStr">
        <is>
          <t>METHOD  口径与图例   样本不是全行业；产能≠产量；距离≠运费</t>
        </is>
      </c>
    </row>
    <row r="26" ht="30" customHeight="1">
      <c r="A26" s="12" t="inlineStr">
        <is>
          <t>A 公司定期报告/政府文件 ｜ B 公司 IR/行业统计/券商拆分 ｜ C 企业公开业务信息 ｜ D 物流/覆盖推断。冲突口径并列保留，不强行抹平。</t>
        </is>
      </c>
    </row>
    <row r="27" ht="24" customHeight="1">
      <c r="A27" s="13" t="inlineStr">
        <is>
          <t>使用方法：先在「01_企业矩阵」按产能/距离排序，锁定目标区域附近 3–5 家；再到「05_目标区域与潜客」看锚点客户与潜客；最后用「03_新增项目」判断 12–36 个月的价格与竞争窗口。</t>
        </is>
      </c>
    </row>
    <row r="28" ht="20" customHeight="1"/>
    <row r="30">
      <c r="A30" s="14" t="inlineStr">
        <is>
          <t>本报告为销售线索与竞争布局研究，不构成投资建议、价格承诺或市场份额结论。</t>
        </is>
      </c>
    </row>
  </sheetData>
  <mergeCells count="37">
    <mergeCell ref="D11:F11"/>
    <mergeCell ref="D13:F13"/>
    <mergeCell ref="B16:C16"/>
    <mergeCell ref="B22:C22"/>
    <mergeCell ref="D17:F17"/>
    <mergeCell ref="A12:C12"/>
    <mergeCell ref="B18:C18"/>
    <mergeCell ref="A26:F26"/>
    <mergeCell ref="D16:F16"/>
    <mergeCell ref="A2:F2"/>
    <mergeCell ref="B21:C21"/>
    <mergeCell ref="A8:C8"/>
    <mergeCell ref="D12:F12"/>
    <mergeCell ref="D18:F18"/>
    <mergeCell ref="B23:C23"/>
    <mergeCell ref="D9:F9"/>
    <mergeCell ref="B17:C17"/>
    <mergeCell ref="D8:F8"/>
    <mergeCell ref="A10:C10"/>
    <mergeCell ref="A13:C13"/>
    <mergeCell ref="D23:F23"/>
    <mergeCell ref="B19:C19"/>
    <mergeCell ref="A9:C9"/>
    <mergeCell ref="A27:F28"/>
    <mergeCell ref="A30:F30"/>
    <mergeCell ref="D20:F20"/>
    <mergeCell ref="A15:F15"/>
    <mergeCell ref="D10:F10"/>
    <mergeCell ref="D19:F19"/>
    <mergeCell ref="A11:C11"/>
    <mergeCell ref="A1:F1"/>
    <mergeCell ref="B20:C20"/>
    <mergeCell ref="D22:F22"/>
    <mergeCell ref="A6:F6"/>
    <mergeCell ref="D21:F21"/>
    <mergeCell ref="A4:F5"/>
    <mergeCell ref="A25:F25"/>
  </mergeCells>
  <hyperlinks>
    <hyperlink ref="B16" location="'01_企业矩阵'!A1" display="企业对比矩阵"/>
    <hyperlink ref="B17" location="'02_工厂明细'!A1" display="工厂明细"/>
    <hyperlink ref="B18" location="'03_新增项目'!A1" display="新增项目"/>
    <hyperlink ref="B19" location="'04_区域对照'!A1" display="区域对照"/>
    <hyperlink ref="B20" location="'05_目标区域与潜客'!A1" display="目标区域与潜客"/>
    <hyperlink ref="B21" location="'06_数据来源'!A1" display="数据来源"/>
    <hyperlink ref="B22" location="'07_口径与冲突'!A1" display="口径与冲突"/>
    <hyperlink ref="B23" location="'08_数据缺口与边界'!A1" display="数据缺口与边界"/>
  </hyperlinks>
  <pageMargins left="0.32" right="0.32" top="0.48" bottom="0.42" header="0.18" footer="0.18"/>
  <pageSetup orientation="portrait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6" customWidth="1" min="4" max="4"/>
    <col width="18" customWidth="1" min="5" max="5"/>
    <col width="9" customWidth="1" min="6" max="6"/>
    <col width="11" customWidth="1" min="7" max="7"/>
    <col width="11" customWidth="1" min="8" max="8"/>
    <col width="8" customWidth="1" min="9" max="9"/>
    <col width="7" customWidth="1" min="10" max="10"/>
    <col width="9" customWidth="1" min="11" max="11"/>
    <col width="16" customWidth="1" min="12" max="12"/>
    <col width="30" customWidth="1" min="13" max="13"/>
    <col width="30" customWidth="1" min="14" max="14"/>
    <col width="7" customWidth="1" min="15" max="15"/>
    <col width="12" customWidth="1" min="16" max="16"/>
  </cols>
  <sheetData>
    <row r="1" ht="34" customHeight="1">
      <c r="A1" s="15" t="inlineStr">
        <is>
          <t>01 / COMPANY MATRIX  企业对比矩阵</t>
        </is>
      </c>
    </row>
    <row r="2" ht="26" customHeight="1">
      <c r="A2" s="16" t="inlineStr">
        <is>
          <t>17 家企业 · 22 座工厂 · 样本 3,070 万吨/年；按样本产能降序</t>
        </is>
      </c>
    </row>
    <row r="4" ht="31" customHeight="1">
      <c r="A4" s="17" t="inlineStr">
        <is>
          <t>#</t>
        </is>
      </c>
      <c r="B4" s="17" t="inlineStr">
        <is>
          <t>企业</t>
        </is>
      </c>
      <c r="C4" s="17" t="inlineStr">
        <is>
          <t>简称</t>
        </is>
      </c>
      <c r="D4" s="17" t="inlineStr">
        <is>
          <t>代码 / 别名</t>
        </is>
      </c>
      <c r="E4" s="17" t="inlineStr">
        <is>
          <t>总部</t>
        </is>
      </c>
      <c r="F4" s="17" t="inlineStr">
        <is>
          <t>工艺</t>
        </is>
      </c>
      <c r="G4" s="17" t="inlineStr">
        <is>
          <t>样本产能
万吨/年</t>
        </is>
      </c>
      <c r="H4" s="17" t="inlineStr">
        <is>
          <t>最新产量
万吨</t>
        </is>
      </c>
      <c r="I4" s="17" t="inlineStr">
        <is>
          <t>产能
年份</t>
        </is>
      </c>
      <c r="J4" s="17" t="inlineStr">
        <is>
          <t>工厂
数</t>
        </is>
      </c>
      <c r="K4" s="17" t="inlineStr">
        <is>
          <t>到目标
km</t>
        </is>
      </c>
      <c r="L4" s="17" t="inlineStr">
        <is>
          <t>距离带</t>
        </is>
      </c>
      <c r="M4" s="17" t="inlineStr">
        <is>
          <t>区域覆盖线索（D）</t>
        </is>
      </c>
      <c r="N4" s="17" t="inlineStr">
        <is>
          <t>新增 / 在建</t>
        </is>
      </c>
      <c r="O4" s="17" t="inlineStr">
        <is>
          <t>等级</t>
        </is>
      </c>
      <c r="P4" s="17" t="inlineStr">
        <is>
          <t>来源</t>
        </is>
      </c>
    </row>
    <row r="5" ht="48" customHeight="1">
      <c r="A5" s="18" t="n">
        <v>1</v>
      </c>
      <c r="B5" s="19" t="inlineStr">
        <is>
          <t>博源化工</t>
        </is>
      </c>
      <c r="C5" s="18" t="inlineStr">
        <is>
          <t>博源</t>
        </is>
      </c>
      <c r="D5" s="20" t="inlineStr">
        <is>
          <t>000683 · 原远兴能源</t>
        </is>
      </c>
      <c r="E5" s="20" t="inlineStr">
        <is>
          <t>内蒙古·阿拉善 / 河南·桐柏</t>
        </is>
      </c>
      <c r="F5" s="21" t="inlineStr">
        <is>
          <t>天然碱</t>
        </is>
      </c>
      <c r="G5" s="22" t="n">
        <v>680</v>
      </c>
      <c r="H5" s="23" t="n">
        <v>711.12</v>
      </c>
      <c r="I5" s="24" t="inlineStr">
        <is>
          <t>2025H1</t>
        </is>
      </c>
      <c r="J5" s="25" t="n">
        <v>2</v>
      </c>
      <c r="K5" s="25" t="n">
        <v>1089</v>
      </c>
      <c r="L5" s="24" t="inlineStr">
        <is>
          <t>800–1500km 长途</t>
        </is>
      </c>
      <c r="M5" s="26" t="inlineStr">
        <is>
          <t>阿拉善/桐柏双基地，铁路+港口可全国覆盖；到江门直线约2,160km，成本优势可对冲运距</t>
        </is>
      </c>
      <c r="N5" s="27" t="inlineStr">
        <is>
          <t>阿拉善二期280万吨：2025-12首条100万吨线试车，2026逐步达产；设计总产能960万吨</t>
        </is>
      </c>
      <c r="O5" s="28" t="inlineStr">
        <is>
          <t>A</t>
        </is>
      </c>
      <c r="P5" s="29" t="inlineStr">
        <is>
          <t>S04 / S05 / S06</t>
        </is>
      </c>
    </row>
    <row r="6" ht="48" customHeight="1">
      <c r="A6" s="18" t="n">
        <v>2</v>
      </c>
      <c r="B6" s="19" t="inlineStr">
        <is>
          <t>中盐化工</t>
        </is>
      </c>
      <c r="C6" s="18" t="inlineStr">
        <is>
          <t>中盐</t>
        </is>
      </c>
      <c r="D6" s="20" t="inlineStr">
        <is>
          <t>600328</t>
        </is>
      </c>
      <c r="E6" s="20" t="inlineStr">
        <is>
          <t>内蒙古·阿拉善 / 青海·德令哈 / 江苏·昆山</t>
        </is>
      </c>
      <c r="F6" s="21" t="inlineStr">
        <is>
          <t>氨碱/联碱/天然碱</t>
        </is>
      </c>
      <c r="G6" s="22" t="n">
        <v>390</v>
      </c>
      <c r="H6" s="23" t="n">
        <v>444.62</v>
      </c>
      <c r="I6" s="24" t="inlineStr">
        <is>
          <t>2025A</t>
        </is>
      </c>
      <c r="J6" s="25" t="n">
        <v>4</v>
      </c>
      <c r="K6" s="25" t="n">
        <v>1253</v>
      </c>
      <c r="L6" s="24" t="inlineStr">
        <is>
          <t>800–1500km 长途</t>
        </is>
      </c>
      <c r="M6" s="26" t="inlineStr">
        <is>
          <t>青海/内蒙/昆山三地布局，覆盖华北、西北、西南、华中、华东、东北；昆山可水运南下</t>
        </is>
      </c>
      <c r="N6" s="27" t="inlineStr">
        <is>
          <t>通辽奈曼旗500万吨天然碱：2025年取得采矿权并启动溶采试验，远期项目；现有基地无在建纯碱产能</t>
        </is>
      </c>
      <c r="O6" s="28" t="inlineStr">
        <is>
          <t>A</t>
        </is>
      </c>
      <c r="P6" s="29" t="inlineStr">
        <is>
          <t>S01 / S07</t>
        </is>
      </c>
    </row>
    <row r="7" ht="34" customHeight="1">
      <c r="A7" s="18" t="n">
        <v>3</v>
      </c>
      <c r="B7" s="19" t="inlineStr">
        <is>
          <t>三友化工</t>
        </is>
      </c>
      <c r="C7" s="18" t="inlineStr">
        <is>
          <t>三友</t>
        </is>
      </c>
      <c r="D7" s="20" t="inlineStr">
        <is>
          <t>600409</t>
        </is>
      </c>
      <c r="E7" s="20" t="inlineStr">
        <is>
          <t>河北·唐山 / 青海·德令哈</t>
        </is>
      </c>
      <c r="F7" s="21" t="inlineStr">
        <is>
          <t>氨碱</t>
        </is>
      </c>
      <c r="G7" s="22" t="n">
        <v>340</v>
      </c>
      <c r="H7" s="23" t="n">
        <v>319.05</v>
      </c>
      <c r="I7" s="24" t="inlineStr">
        <is>
          <t>2025A</t>
        </is>
      </c>
      <c r="J7" s="25" t="n">
        <v>2</v>
      </c>
      <c r="K7" s="25" t="n">
        <v>1917</v>
      </c>
      <c r="L7" s="24" t="inlineStr">
        <is>
          <t>&gt;1500km 超长途</t>
        </is>
      </c>
      <c r="M7" s="26" t="inlineStr">
        <is>
          <t>唐山南堡+青海五彩；华北/东北为主，华南海运可覆盖；到江门直线约1,920km</t>
        </is>
      </c>
      <c r="N7" s="27" t="inlineStr">
        <is>
          <t>无公开新增纯碱产能；以节能降碳、装置提效为主</t>
        </is>
      </c>
      <c r="O7" s="28" t="inlineStr">
        <is>
          <t>A</t>
        </is>
      </c>
      <c r="P7" s="29" t="inlineStr">
        <is>
          <t>S24 / S27</t>
        </is>
      </c>
    </row>
    <row r="8" ht="48" customHeight="1">
      <c r="A8" s="18" t="n">
        <v>4</v>
      </c>
      <c r="B8" s="19" t="inlineStr">
        <is>
          <t>金山化工</t>
        </is>
      </c>
      <c r="C8" s="18" t="inlineStr">
        <is>
          <t>金山</t>
        </is>
      </c>
      <c r="D8" s="20" t="inlineStr">
        <is>
          <t>—</t>
        </is>
      </c>
      <c r="E8" s="20" t="inlineStr">
        <is>
          <t>河南·漯河舞阳</t>
        </is>
      </c>
      <c r="F8" s="21" t="inlineStr">
        <is>
          <t>联碱</t>
        </is>
      </c>
      <c r="G8" s="22" t="n">
        <v>330</v>
      </c>
      <c r="H8" s="23" t="inlineStr">
        <is>
          <t>—</t>
        </is>
      </c>
      <c r="I8" s="24" t="inlineStr">
        <is>
          <t>2025</t>
        </is>
      </c>
      <c r="J8" s="25" t="n">
        <v>1</v>
      </c>
      <c r="K8" s="25" t="n">
        <v>1209</v>
      </c>
      <c r="L8" s="24" t="inlineStr">
        <is>
          <t>800–1500km 长途</t>
        </is>
      </c>
      <c r="M8" s="26" t="inlineStr">
        <is>
          <t>舞阳单一大型基地，华中/华南铁路+汽运；到江门约1,210km；潜江项目投产后南向运距缩短</t>
        </is>
      </c>
      <c r="N8" s="27" t="inlineStr">
        <is>
          <t>潜江150万吨纯碱（搬迁产能）：2025-04开工，预计2026-06投产；净增需看河南老产能是否退出</t>
        </is>
      </c>
      <c r="O8" s="30" t="inlineStr">
        <is>
          <t>B</t>
        </is>
      </c>
      <c r="P8" s="29" t="inlineStr">
        <is>
          <t>S12 / S13 / S21</t>
        </is>
      </c>
    </row>
    <row r="9" ht="34" customHeight="1">
      <c r="A9" s="18" t="n">
        <v>5</v>
      </c>
      <c r="B9" s="19" t="inlineStr">
        <is>
          <t>山东海化</t>
        </is>
      </c>
      <c r="C9" s="18" t="inlineStr">
        <is>
          <t>海化</t>
        </is>
      </c>
      <c r="D9" s="20" t="inlineStr">
        <is>
          <t>000822</t>
        </is>
      </c>
      <c r="E9" s="20" t="inlineStr">
        <is>
          <t>山东·潍坊滨海</t>
        </is>
      </c>
      <c r="F9" s="21" t="inlineStr">
        <is>
          <t>氨碱</t>
        </is>
      </c>
      <c r="G9" s="22" t="n">
        <v>280</v>
      </c>
      <c r="H9" s="23" t="n">
        <v>272.42</v>
      </c>
      <c r="I9" s="24" t="inlineStr">
        <is>
          <t>2025A</t>
        </is>
      </c>
      <c r="J9" s="25" t="n">
        <v>1</v>
      </c>
      <c r="K9" s="25" t="n">
        <v>1718</v>
      </c>
      <c r="L9" s="24" t="inlineStr">
        <is>
          <t>&gt;1500km 超长途</t>
        </is>
      </c>
      <c r="M9" s="26" t="inlineStr">
        <is>
          <t>潍坊滨海，海运至华南便利；到江门直线约1,720km；华东/华南沿海是主要外销方向</t>
        </is>
      </c>
      <c r="N9" s="27" t="inlineStr">
        <is>
          <t>2025年报披露在建纯碱产能为0；以提质增效改造为主</t>
        </is>
      </c>
      <c r="O9" s="28" t="inlineStr">
        <is>
          <t>A</t>
        </is>
      </c>
      <c r="P9" s="29" t="inlineStr">
        <is>
          <t>S03 / S05</t>
        </is>
      </c>
    </row>
    <row r="10" ht="34" customHeight="1">
      <c r="A10" s="18" t="n">
        <v>6</v>
      </c>
      <c r="B10" s="19" t="inlineStr">
        <is>
          <t>金晶科技</t>
        </is>
      </c>
      <c r="C10" s="18" t="inlineStr">
        <is>
          <t>金晶</t>
        </is>
      </c>
      <c r="D10" s="20" t="inlineStr">
        <is>
          <t>600586</t>
        </is>
      </c>
      <c r="E10" s="20" t="inlineStr">
        <is>
          <t>山东·淄博</t>
        </is>
      </c>
      <c r="F10" s="21" t="inlineStr">
        <is>
          <t>氨碱</t>
        </is>
      </c>
      <c r="G10" s="22" t="n">
        <v>150</v>
      </c>
      <c r="H10" s="23" t="n">
        <v>124.81</v>
      </c>
      <c r="I10" s="24" t="inlineStr">
        <is>
          <t>2025H1</t>
        </is>
      </c>
      <c r="J10" s="25" t="n">
        <v>1</v>
      </c>
      <c r="K10" s="25" t="n">
        <v>1653</v>
      </c>
      <c r="L10" s="24" t="inlineStr">
        <is>
          <t>&gt;1500km 超长途</t>
        </is>
      </c>
      <c r="M10" s="26" t="inlineStr">
        <is>
          <t>淄博海天生物，纯碱自用+外销；到江门直线约1,650km，海运/铁路均可</t>
        </is>
      </c>
      <c r="N10" s="27" t="inlineStr">
        <is>
          <t>无公开新增纯碱产能；纯碱主要保障自有玻璃板块</t>
        </is>
      </c>
      <c r="O10" s="30" t="inlineStr">
        <is>
          <t>B</t>
        </is>
      </c>
      <c r="P10" s="29" t="inlineStr">
        <is>
          <t>S23 / S27</t>
        </is>
      </c>
    </row>
    <row r="11" ht="34" customHeight="1">
      <c r="A11" s="18" t="n">
        <v>7</v>
      </c>
      <c r="B11" s="19" t="inlineStr">
        <is>
          <t>双环科技</t>
        </is>
      </c>
      <c r="C11" s="18" t="inlineStr">
        <is>
          <t>双环</t>
        </is>
      </c>
      <c r="D11" s="20" t="inlineStr">
        <is>
          <t>000707</t>
        </is>
      </c>
      <c r="E11" s="20" t="inlineStr">
        <is>
          <t>湖北·应城</t>
        </is>
      </c>
      <c r="F11" s="21" t="inlineStr">
        <is>
          <t>联碱</t>
        </is>
      </c>
      <c r="G11" s="22" t="n">
        <v>110</v>
      </c>
      <c r="H11" s="23" t="n">
        <v>119.21</v>
      </c>
      <c r="I11" s="24" t="inlineStr">
        <is>
          <t>2025A</t>
        </is>
      </c>
      <c r="J11" s="25" t="n">
        <v>1</v>
      </c>
      <c r="K11" s="25" t="n">
        <v>930</v>
      </c>
      <c r="L11" s="24" t="inlineStr">
        <is>
          <t>800–1500km 长途</t>
        </is>
      </c>
      <c r="M11" s="26" t="inlineStr">
        <is>
          <t>应城基地，华中/华南铁路+汽运；到江门约930km，是广东目前最近的外省规模化供给之一</t>
        </is>
      </c>
      <c r="N11" s="27" t="inlineStr">
        <is>
          <t>60万吨联碱节能技改（等量置换），2025年推进；无净增</t>
        </is>
      </c>
      <c r="O11" s="28" t="inlineStr">
        <is>
          <t>A</t>
        </is>
      </c>
      <c r="P11" s="29" t="inlineStr">
        <is>
          <t>S02 / S09</t>
        </is>
      </c>
    </row>
    <row r="12" ht="34" customHeight="1">
      <c r="A12" s="18" t="n">
        <v>8</v>
      </c>
      <c r="B12" s="19" t="inlineStr">
        <is>
          <t>和邦生物</t>
        </is>
      </c>
      <c r="C12" s="18" t="inlineStr">
        <is>
          <t>和邦</t>
        </is>
      </c>
      <c r="D12" s="20" t="inlineStr">
        <is>
          <t>603077</t>
        </is>
      </c>
      <c r="E12" s="20" t="inlineStr">
        <is>
          <t>四川·乐山</t>
        </is>
      </c>
      <c r="F12" s="21" t="inlineStr">
        <is>
          <t>联碱</t>
        </is>
      </c>
      <c r="G12" s="22" t="n">
        <v>110</v>
      </c>
      <c r="H12" s="23" t="inlineStr">
        <is>
          <t>—</t>
        </is>
      </c>
      <c r="I12" s="24" t="inlineStr">
        <is>
          <t>2025</t>
        </is>
      </c>
      <c r="J12" s="25" t="n">
        <v>1</v>
      </c>
      <c r="K12" s="25" t="n">
        <v>1210</v>
      </c>
      <c r="L12" s="24" t="inlineStr">
        <is>
          <t>800–1500km 长途</t>
        </is>
      </c>
      <c r="M12" s="26" t="inlineStr">
        <is>
          <t>乐山五通桥，西南为主，华南可铁路/公路；到江门直线约1,210km</t>
        </is>
      </c>
      <c r="N12" s="27" t="inlineStr">
        <is>
          <t>无公开新增纯碱产能；双甘膦/光伏玻璃为延伸方向</t>
        </is>
      </c>
      <c r="O12" s="30" t="inlineStr">
        <is>
          <t>B</t>
        </is>
      </c>
      <c r="P12" s="29" t="inlineStr">
        <is>
          <t>S27</t>
        </is>
      </c>
    </row>
    <row r="13" ht="48" customHeight="1">
      <c r="A13" s="18" t="n">
        <v>9</v>
      </c>
      <c r="B13" s="19" t="inlineStr">
        <is>
          <t>连云港碱业</t>
        </is>
      </c>
      <c r="C13" s="18" t="inlineStr">
        <is>
          <t>连碱</t>
        </is>
      </c>
      <c r="D13" s="20" t="inlineStr">
        <is>
          <t>—</t>
        </is>
      </c>
      <c r="E13" s="20" t="inlineStr">
        <is>
          <t>江苏·连云港燕尾港</t>
        </is>
      </c>
      <c r="F13" s="21" t="inlineStr">
        <is>
          <t>联碱</t>
        </is>
      </c>
      <c r="G13" s="22" t="n">
        <v>110</v>
      </c>
      <c r="H13" s="23" t="inlineStr">
        <is>
          <t>—</t>
        </is>
      </c>
      <c r="I13" s="24" t="inlineStr">
        <is>
          <t>2025</t>
        </is>
      </c>
      <c r="J13" s="25" t="n">
        <v>1</v>
      </c>
      <c r="K13" s="25" t="n">
        <v>1475</v>
      </c>
      <c r="L13" s="24" t="inlineStr">
        <is>
          <t>800–1500km 长途</t>
        </is>
      </c>
      <c r="M13" s="26" t="inlineStr">
        <is>
          <t>燕尾港临港，海运至广东；到江门直线约1,475km；2025年搬迁项目投产，华东沿海供给增强</t>
        </is>
      </c>
      <c r="N13" s="27" t="inlineStr">
        <is>
          <t>110万吨联碱搬迁项目已于2024年底中交、2025年试生产/投产；净增来自旧110万吨氨碱退出后的置换</t>
        </is>
      </c>
      <c r="O13" s="28" t="inlineStr">
        <is>
          <t>A</t>
        </is>
      </c>
      <c r="P13" s="29" t="inlineStr">
        <is>
          <t>S08 / S09</t>
        </is>
      </c>
    </row>
    <row r="14" ht="48" customHeight="1">
      <c r="A14" s="18" t="n">
        <v>10</v>
      </c>
      <c r="B14" s="19" t="inlineStr">
        <is>
          <t>雪天盐业</t>
        </is>
      </c>
      <c r="C14" s="18" t="inlineStr">
        <is>
          <t>雪天</t>
        </is>
      </c>
      <c r="D14" s="20" t="inlineStr">
        <is>
          <t>600929</t>
        </is>
      </c>
      <c r="E14" s="20" t="inlineStr">
        <is>
          <t>重庆·万州 / 湖南·衡阳（在建）</t>
        </is>
      </c>
      <c r="F14" s="21" t="inlineStr">
        <is>
          <t>联碱</t>
        </is>
      </c>
      <c r="G14" s="22" t="n">
        <v>100</v>
      </c>
      <c r="H14" s="23" t="n">
        <v>101.68</v>
      </c>
      <c r="I14" s="24" t="inlineStr">
        <is>
          <t>2025H1</t>
        </is>
      </c>
      <c r="J14" s="25" t="n">
        <v>1</v>
      </c>
      <c r="K14" s="25" t="n">
        <v>1026</v>
      </c>
      <c r="L14" s="24" t="inlineStr">
        <is>
          <t>800–1500km 长途</t>
        </is>
      </c>
      <c r="M14" s="26" t="inlineStr">
        <is>
          <t>湘渝盐化（万州）覆盖西南/华中；衡阳项目投产后到江门直线约480km，首次进入广东近距圈</t>
        </is>
      </c>
      <c r="N14" s="27" t="inlineStr">
        <is>
          <t>衡阳绿色盐碱基地：纯碱80万吨，2024年公告，建设推进中；投产后将改变华南近距供给</t>
        </is>
      </c>
      <c r="O14" s="28" t="inlineStr">
        <is>
          <t>A</t>
        </is>
      </c>
      <c r="P14" s="29" t="inlineStr">
        <is>
          <t>S10 / S11</t>
        </is>
      </c>
    </row>
    <row r="15" ht="24" customHeight="1">
      <c r="A15" s="18" t="n">
        <v>11</v>
      </c>
      <c r="B15" s="19" t="inlineStr">
        <is>
          <t>天津渤化永利</t>
        </is>
      </c>
      <c r="C15" s="18" t="inlineStr">
        <is>
          <t>永利</t>
        </is>
      </c>
      <c r="D15" s="20" t="inlineStr">
        <is>
          <t>—</t>
        </is>
      </c>
      <c r="E15" s="20" t="inlineStr">
        <is>
          <t>天津·滨海新区临港</t>
        </is>
      </c>
      <c r="F15" s="21" t="inlineStr">
        <is>
          <t>联碱</t>
        </is>
      </c>
      <c r="G15" s="22" t="n">
        <v>80</v>
      </c>
      <c r="H15" s="23" t="inlineStr">
        <is>
          <t>—</t>
        </is>
      </c>
      <c r="I15" s="24" t="inlineStr">
        <is>
          <t>2022</t>
        </is>
      </c>
      <c r="J15" s="25" t="n">
        <v>1</v>
      </c>
      <c r="K15" s="25" t="n">
        <v>1876</v>
      </c>
      <c r="L15" s="24" t="inlineStr">
        <is>
          <t>&gt;1500km 超长途</t>
        </is>
      </c>
      <c r="M15" s="26" t="inlineStr">
        <is>
          <t>天津港临港，海运至华南；到江门直线约1,880km；北方碱南运的传统主力之一</t>
        </is>
      </c>
      <c r="N15" s="27" t="inlineStr">
        <is>
          <t>无公开新增纯碱产能</t>
        </is>
      </c>
      <c r="O15" s="30" t="inlineStr">
        <is>
          <t>B</t>
        </is>
      </c>
      <c r="P15" s="29" t="inlineStr">
        <is>
          <t>S27</t>
        </is>
      </c>
    </row>
    <row r="16" ht="24" customHeight="1">
      <c r="A16" s="18" t="n">
        <v>12</v>
      </c>
      <c r="B16" s="19" t="inlineStr">
        <is>
          <t>华昌化工</t>
        </is>
      </c>
      <c r="C16" s="18" t="inlineStr">
        <is>
          <t>华昌</t>
        </is>
      </c>
      <c r="D16" s="20" t="inlineStr">
        <is>
          <t>002274</t>
        </is>
      </c>
      <c r="E16" s="20" t="inlineStr">
        <is>
          <t>江苏·张家港</t>
        </is>
      </c>
      <c r="F16" s="21" t="inlineStr">
        <is>
          <t>联碱</t>
        </is>
      </c>
      <c r="G16" s="22" t="n">
        <v>70</v>
      </c>
      <c r="H16" s="23" t="n">
        <v>67.87</v>
      </c>
      <c r="I16" s="24" t="inlineStr">
        <is>
          <t>2023</t>
        </is>
      </c>
      <c r="J16" s="25" t="n">
        <v>1</v>
      </c>
      <c r="K16" s="25" t="n">
        <v>1269</v>
      </c>
      <c r="L16" s="24" t="inlineStr">
        <is>
          <t>800–1500km 长途</t>
        </is>
      </c>
      <c r="M16" s="26" t="inlineStr">
        <is>
          <t>张家港长江码头，江海联运至广东；到江门直线约1,270km；华东/华南水运优势明显</t>
        </is>
      </c>
      <c r="N16" s="27" t="inlineStr">
        <is>
          <t>无公开新增纯碱产能</t>
        </is>
      </c>
      <c r="O16" s="30" t="inlineStr">
        <is>
          <t>B</t>
        </is>
      </c>
      <c r="P16" s="29" t="inlineStr">
        <is>
          <t>S26 / S05</t>
        </is>
      </c>
    </row>
    <row r="17" ht="34" customHeight="1">
      <c r="A17" s="18" t="n">
        <v>13</v>
      </c>
      <c r="B17" s="19" t="inlineStr">
        <is>
          <t>苏盐井神</t>
        </is>
      </c>
      <c r="C17" s="18" t="inlineStr">
        <is>
          <t>苏盐</t>
        </is>
      </c>
      <c r="D17" s="20" t="inlineStr">
        <is>
          <t>603299</t>
        </is>
      </c>
      <c r="E17" s="20" t="inlineStr">
        <is>
          <t>江苏·淮安</t>
        </is>
      </c>
      <c r="F17" s="21" t="inlineStr">
        <is>
          <t>联碱</t>
        </is>
      </c>
      <c r="G17" s="22" t="n">
        <v>70</v>
      </c>
      <c r="H17" s="23" t="inlineStr">
        <is>
          <t>—</t>
        </is>
      </c>
      <c r="I17" s="24" t="inlineStr">
        <is>
          <t>2024IR</t>
        </is>
      </c>
      <c r="J17" s="25" t="n">
        <v>1</v>
      </c>
      <c r="K17" s="25" t="n">
        <v>1351</v>
      </c>
      <c r="L17" s="24" t="inlineStr">
        <is>
          <t>800–1500km 长途</t>
        </is>
      </c>
      <c r="M17" s="26" t="inlineStr">
        <is>
          <t>淮安，京杭大运河+长江码头，可水运至华南；到江门直线约1,350km</t>
        </is>
      </c>
      <c r="N17" s="27" t="inlineStr">
        <is>
          <t>无公开新增纯碱产能；盐穴储能/储气为延伸方向</t>
        </is>
      </c>
      <c r="O17" s="30" t="inlineStr">
        <is>
          <t>B</t>
        </is>
      </c>
      <c r="P17" s="29" t="inlineStr">
        <is>
          <t>S25</t>
        </is>
      </c>
    </row>
    <row r="18" ht="34" customHeight="1">
      <c r="A18" s="18" t="n">
        <v>14</v>
      </c>
      <c r="B18" s="19" t="inlineStr">
        <is>
          <t>安徽红四方</t>
        </is>
      </c>
      <c r="C18" s="18" t="inlineStr">
        <is>
          <t>红四方</t>
        </is>
      </c>
      <c r="D18" s="20" t="inlineStr">
        <is>
          <t>—</t>
        </is>
      </c>
      <c r="E18" s="20" t="inlineStr">
        <is>
          <t>安徽·合肥</t>
        </is>
      </c>
      <c r="F18" s="21" t="inlineStr">
        <is>
          <t>联碱</t>
        </is>
      </c>
      <c r="G18" s="22" t="n">
        <v>70</v>
      </c>
      <c r="H18" s="23" t="inlineStr">
        <is>
          <t>—</t>
        </is>
      </c>
      <c r="I18" s="24" t="inlineStr">
        <is>
          <t>2024</t>
        </is>
      </c>
      <c r="J18" s="25" t="n">
        <v>1</v>
      </c>
      <c r="K18" s="25" t="n">
        <v>1106</v>
      </c>
      <c r="L18" s="24" t="inlineStr">
        <is>
          <t>800–1500km 长途</t>
        </is>
      </c>
      <c r="M18" s="26" t="inlineStr">
        <is>
          <t>合肥，华东/华中；到江门直线约1,110km；以区域销售为主</t>
        </is>
      </c>
      <c r="N18" s="27" t="inlineStr">
        <is>
          <t>20万吨联碱扩产已于2023-2024年投产，计入现有产能</t>
        </is>
      </c>
      <c r="O18" s="30" t="inlineStr">
        <is>
          <t>B</t>
        </is>
      </c>
      <c r="P18" s="29" t="inlineStr">
        <is>
          <t>S27</t>
        </is>
      </c>
    </row>
    <row r="19" ht="48" customHeight="1">
      <c r="A19" s="18" t="n">
        <v>15</v>
      </c>
      <c r="B19" s="19" t="inlineStr">
        <is>
          <t>南方碱业</t>
        </is>
      </c>
      <c r="C19" s="18" t="inlineStr">
        <is>
          <t>南方</t>
        </is>
      </c>
      <c r="D19" s="20" t="inlineStr">
        <is>
          <t>—</t>
        </is>
      </c>
      <c r="E19" s="20" t="inlineStr">
        <is>
          <t>广东·广州黄埔</t>
        </is>
      </c>
      <c r="F19" s="21" t="inlineStr">
        <is>
          <t>氨碱</t>
        </is>
      </c>
      <c r="G19" s="22" t="n">
        <v>60</v>
      </c>
      <c r="H19" s="23" t="inlineStr">
        <is>
          <t>—</t>
        </is>
      </c>
      <c r="I19" s="24" t="inlineStr">
        <is>
          <t>2025</t>
        </is>
      </c>
      <c r="J19" s="25" t="n">
        <v>1</v>
      </c>
      <c r="K19" s="25" t="n">
        <v>69</v>
      </c>
      <c r="L19" s="24" t="inlineStr">
        <is>
          <t>≤300km 本地</t>
        </is>
      </c>
      <c r="M19" s="26" t="inlineStr">
        <is>
          <t>广东唯一在产纯碱厂，珠三角本地65km；自有码头；本地供给“薄而不空”</t>
        </is>
      </c>
      <c r="N19" s="27" t="inlineStr">
        <is>
          <t>无公开新增纯碱产能；官网另有35万吨/年旧口径，需以最新环评/年报复核</t>
        </is>
      </c>
      <c r="O19" s="30" t="inlineStr">
        <is>
          <t>B</t>
        </is>
      </c>
      <c r="P19" s="29" t="inlineStr">
        <is>
          <t>S14 / S15 / S16 / S32</t>
        </is>
      </c>
    </row>
    <row r="20" ht="48" customHeight="1">
      <c r="A20" s="18" t="n">
        <v>16</v>
      </c>
      <c r="B20" s="19" t="inlineStr">
        <is>
          <t>新都化工</t>
        </is>
      </c>
      <c r="C20" s="18" t="inlineStr">
        <is>
          <t>新都</t>
        </is>
      </c>
      <c r="D20" s="20" t="inlineStr">
        <is>
          <t>—</t>
        </is>
      </c>
      <c r="E20" s="20" t="inlineStr">
        <is>
          <t>湖北·应城</t>
        </is>
      </c>
      <c r="F20" s="21" t="inlineStr">
        <is>
          <t>联碱</t>
        </is>
      </c>
      <c r="G20" s="22" t="n">
        <v>60</v>
      </c>
      <c r="H20" s="23" t="inlineStr">
        <is>
          <t>—</t>
        </is>
      </c>
      <c r="I20" s="24" t="inlineStr">
        <is>
          <t>2025</t>
        </is>
      </c>
      <c r="J20" s="25" t="n">
        <v>1</v>
      </c>
      <c r="K20" s="25" t="n">
        <v>924</v>
      </c>
      <c r="L20" s="24" t="inlineStr">
        <is>
          <t>800–1500km 长途</t>
        </is>
      </c>
      <c r="M20" s="26" t="inlineStr">
        <is>
          <t>应城，华中/华南；到江门约930km；与双环同城，形成应城盐碱集群</t>
        </is>
      </c>
      <c r="N20" s="27" t="inlineStr">
        <is>
          <t>70万吨联碱项目：2025年底建成、2026年投产（公告/行业口径60-70万吨）</t>
        </is>
      </c>
      <c r="O20" s="30" t="inlineStr">
        <is>
          <t>B</t>
        </is>
      </c>
      <c r="P20" s="29" t="inlineStr">
        <is>
          <t>S22 / S09 / S28</t>
        </is>
      </c>
    </row>
    <row r="21" ht="34" customHeight="1">
      <c r="A21" s="18" t="n">
        <v>17</v>
      </c>
      <c r="B21" s="19" t="inlineStr">
        <is>
          <t>江苏德邦</t>
        </is>
      </c>
      <c r="C21" s="18" t="inlineStr">
        <is>
          <t>德邦</t>
        </is>
      </c>
      <c r="D21" s="20" t="inlineStr">
        <is>
          <t>—</t>
        </is>
      </c>
      <c r="E21" s="20" t="inlineStr">
        <is>
          <t>江苏·连云港</t>
        </is>
      </c>
      <c r="F21" s="21" t="inlineStr">
        <is>
          <t>联碱</t>
        </is>
      </c>
      <c r="G21" s="22" t="n">
        <v>60</v>
      </c>
      <c r="H21" s="23" t="inlineStr">
        <is>
          <t>—</t>
        </is>
      </c>
      <c r="I21" s="24" t="inlineStr">
        <is>
          <t>2025</t>
        </is>
      </c>
      <c r="J21" s="25" t="n">
        <v>1</v>
      </c>
      <c r="K21" s="25" t="n">
        <v>1473</v>
      </c>
      <c r="L21" s="24" t="inlineStr">
        <is>
          <t>800–1500km 长途</t>
        </is>
      </c>
      <c r="M21" s="26" t="inlineStr">
        <is>
          <t>连云港，海运至广东；到江门直线约1,475km；2025年2月搬迁项目出货</t>
        </is>
      </c>
      <c r="N21" s="27" t="inlineStr">
        <is>
          <t>60万吨联碱搬迁项目2025年2月出货，已计入现有产能</t>
        </is>
      </c>
      <c r="O21" s="30" t="inlineStr">
        <is>
          <t>B</t>
        </is>
      </c>
      <c r="P21" s="29" t="inlineStr">
        <is>
          <t>S09</t>
        </is>
      </c>
    </row>
    <row r="22" ht="24" customHeight="1">
      <c r="A22" s="31" t="inlineStr">
        <is>
          <t>合计 / 样本</t>
        </is>
      </c>
      <c r="G22" s="32" t="n">
        <v>3070</v>
      </c>
      <c r="H22" s="32" t="n">
        <v>2160.78</v>
      </c>
      <c r="I22" s="32" t="inlineStr"/>
      <c r="J22" s="32" t="n">
        <v>22</v>
      </c>
      <c r="K22" s="33" t="inlineStr">
        <is>
          <t>产能≠产量；样本覆盖≠市场份额</t>
        </is>
      </c>
    </row>
    <row r="24" ht="22" customHeight="1">
      <c r="A24" s="12" t="inlineStr">
        <is>
          <t>注：产能利用率=最新产量/产能，部分企业产量含贸易/代工/统计口径差异，可能&gt;100%，仅作量级参考。区域覆盖为物流可达性推断（D），不是企业披露的销售分区。</t>
        </is>
      </c>
    </row>
    <row r="25" ht="22" customHeight="1">
      <c r="A25" s="12" t="inlineStr">
        <is>
          <t>来源缩写对应「06_数据来源」；绿色=A，蓝色=B，铜色=C，灰色=D。</t>
        </is>
      </c>
    </row>
  </sheetData>
  <autoFilter ref="A4:P21"/>
  <mergeCells count="6">
    <mergeCell ref="A1:P1"/>
    <mergeCell ref="K22:P22"/>
    <mergeCell ref="A22:F22"/>
    <mergeCell ref="A25:P25"/>
    <mergeCell ref="A24:P24"/>
    <mergeCell ref="A2:P2"/>
  </mergeCells>
  <hyperlinks>
    <hyperlink xmlns:r="http://schemas.openxmlformats.org/officeDocument/2006/relationships" ref="P5" r:id="rId1"/>
    <hyperlink xmlns:r="http://schemas.openxmlformats.org/officeDocument/2006/relationships" ref="P6" r:id="rId2"/>
    <hyperlink xmlns:r="http://schemas.openxmlformats.org/officeDocument/2006/relationships" ref="P7" r:id="rId3"/>
    <hyperlink xmlns:r="http://schemas.openxmlformats.org/officeDocument/2006/relationships" ref="P8" r:id="rId4"/>
    <hyperlink xmlns:r="http://schemas.openxmlformats.org/officeDocument/2006/relationships" ref="P9" r:id="rId5"/>
    <hyperlink xmlns:r="http://schemas.openxmlformats.org/officeDocument/2006/relationships" ref="P10" r:id="rId6"/>
    <hyperlink xmlns:r="http://schemas.openxmlformats.org/officeDocument/2006/relationships" ref="P11" r:id="rId7"/>
    <hyperlink xmlns:r="http://schemas.openxmlformats.org/officeDocument/2006/relationships" ref="P12" r:id="rId8"/>
    <hyperlink xmlns:r="http://schemas.openxmlformats.org/officeDocument/2006/relationships" ref="P13" r:id="rId9"/>
    <hyperlink xmlns:r="http://schemas.openxmlformats.org/officeDocument/2006/relationships" ref="P14" r:id="rId10"/>
    <hyperlink xmlns:r="http://schemas.openxmlformats.org/officeDocument/2006/relationships" ref="P15" r:id="rId11"/>
    <hyperlink xmlns:r="http://schemas.openxmlformats.org/officeDocument/2006/relationships" ref="P16" r:id="rId12"/>
    <hyperlink xmlns:r="http://schemas.openxmlformats.org/officeDocument/2006/relationships" ref="P17" r:id="rId13"/>
    <hyperlink xmlns:r="http://schemas.openxmlformats.org/officeDocument/2006/relationships" ref="P18" r:id="rId14"/>
    <hyperlink xmlns:r="http://schemas.openxmlformats.org/officeDocument/2006/relationships" ref="P19" r:id="rId15"/>
    <hyperlink xmlns:r="http://schemas.openxmlformats.org/officeDocument/2006/relationships" ref="P20" r:id="rId16"/>
    <hyperlink xmlns:r="http://schemas.openxmlformats.org/officeDocument/2006/relationships" ref="P21" r:id="rId17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  <drawing xmlns:r="http://schemas.openxmlformats.org/officeDocument/2006/relationships" r:id="rId1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10" customWidth="1" min="9" max="9"/>
    <col width="8" customWidth="1" min="10" max="10"/>
    <col width="22" customWidth="1" min="11" max="11"/>
    <col width="9" customWidth="1" min="12" max="12"/>
    <col width="16" customWidth="1" min="13" max="13"/>
    <col width="34" customWidth="1" min="14" max="14"/>
    <col width="7" customWidth="1" min="15" max="15"/>
    <col width="11" customWidth="1" min="16" max="16"/>
  </cols>
  <sheetData>
    <row r="1" ht="34" customHeight="1">
      <c r="A1" s="15" t="inlineStr">
        <is>
          <t>02 / PLANT DETAILS  工厂明细</t>
        </is>
      </c>
    </row>
    <row r="2" ht="26" customHeight="1">
      <c r="A2" s="16" t="inlineStr">
        <is>
          <t>22 座工厂 · 经纬度可直接复核 · 距离为到江门的直线距离</t>
        </is>
      </c>
    </row>
    <row r="4" ht="31" customHeight="1">
      <c r="A4" s="17" t="inlineStr">
        <is>
          <t>#</t>
        </is>
      </c>
      <c r="B4" s="17" t="inlineStr">
        <is>
          <t>企业</t>
        </is>
      </c>
      <c r="C4" s="17" t="inlineStr">
        <is>
          <t>工厂 / 基地</t>
        </is>
      </c>
      <c r="D4" s="17" t="inlineStr">
        <is>
          <t>省</t>
        </is>
      </c>
      <c r="E4" s="17" t="inlineStr">
        <is>
          <t>市</t>
        </is>
      </c>
      <c r="F4" s="17" t="inlineStr">
        <is>
          <t>经度</t>
        </is>
      </c>
      <c r="G4" s="17" t="inlineStr">
        <is>
          <t>纬度</t>
        </is>
      </c>
      <c r="H4" s="17" t="inlineStr">
        <is>
          <t>工艺</t>
        </is>
      </c>
      <c r="I4" s="17" t="inlineStr">
        <is>
          <t>产能
万吨/年</t>
        </is>
      </c>
      <c r="J4" s="17" t="inlineStr">
        <is>
          <t>产能
年份</t>
        </is>
      </c>
      <c r="K4" s="17" t="inlineStr">
        <is>
          <t>主要产品</t>
        </is>
      </c>
      <c r="L4" s="17" t="inlineStr">
        <is>
          <t>到目标
km</t>
        </is>
      </c>
      <c r="M4" s="17" t="inlineStr">
        <is>
          <t>距离带</t>
        </is>
      </c>
      <c r="N4" s="17" t="inlineStr">
        <is>
          <t>备注</t>
        </is>
      </c>
      <c r="O4" s="17" t="inlineStr">
        <is>
          <t>等级</t>
        </is>
      </c>
      <c r="P4" s="17" t="inlineStr">
        <is>
          <t>来源</t>
        </is>
      </c>
    </row>
    <row r="5" ht="34" customHeight="1">
      <c r="A5" s="18" t="n">
        <v>1</v>
      </c>
      <c r="B5" s="34" t="inlineStr">
        <is>
          <t>博源化工</t>
        </is>
      </c>
      <c r="C5" s="35" t="inlineStr">
        <is>
          <t>阿拉善塔木素基地</t>
        </is>
      </c>
      <c r="D5" s="36" t="inlineStr">
        <is>
          <t>内蒙古</t>
        </is>
      </c>
      <c r="E5" s="36" t="inlineStr">
        <is>
          <t>阿拉善盟</t>
        </is>
      </c>
      <c r="F5" s="37" t="n">
        <v>103.7</v>
      </c>
      <c r="G5" s="37" t="n">
        <v>40.3</v>
      </c>
      <c r="H5" s="38" t="inlineStr">
        <is>
          <t>天然碱</t>
        </is>
      </c>
      <c r="I5" s="39" t="n">
        <v>500</v>
      </c>
      <c r="J5" s="24" t="inlineStr">
        <is>
          <t>2025</t>
        </is>
      </c>
      <c r="K5" s="26" t="inlineStr">
        <is>
          <t>重碱/轻碱</t>
        </is>
      </c>
      <c r="L5" s="25" t="n">
        <v>2159</v>
      </c>
      <c r="M5" s="24" t="inlineStr">
        <is>
          <t>&gt;1500km 超长途</t>
        </is>
      </c>
      <c r="N5" s="26" t="inlineStr">
        <is>
          <t>银根矿业；一期500万吨2023年6月投料，已达产</t>
        </is>
      </c>
      <c r="O5" s="28" t="inlineStr">
        <is>
          <t>A</t>
        </is>
      </c>
      <c r="P5" s="29" t="inlineStr">
        <is>
          <t>S04</t>
        </is>
      </c>
    </row>
    <row r="6" ht="28" customHeight="1">
      <c r="A6" s="18" t="n">
        <v>2</v>
      </c>
      <c r="B6" s="34" t="inlineStr">
        <is>
          <t>中盐化工</t>
        </is>
      </c>
      <c r="C6" s="35" t="inlineStr">
        <is>
          <t>吉兰泰盐碱分公司</t>
        </is>
      </c>
      <c r="D6" s="36" t="inlineStr">
        <is>
          <t>内蒙古</t>
        </is>
      </c>
      <c r="E6" s="36" t="inlineStr">
        <is>
          <t>阿拉善左旗</t>
        </is>
      </c>
      <c r="F6" s="37" t="n">
        <v>105.75</v>
      </c>
      <c r="G6" s="37" t="n">
        <v>39.78</v>
      </c>
      <c r="H6" s="38" t="inlineStr">
        <is>
          <t>天然碱</t>
        </is>
      </c>
      <c r="I6" s="39" t="n">
        <v>35</v>
      </c>
      <c r="J6" s="24" t="inlineStr">
        <is>
          <t>2025A</t>
        </is>
      </c>
      <c r="K6" s="26" t="inlineStr">
        <is>
          <t>纯碱</t>
        </is>
      </c>
      <c r="L6" s="25" t="n">
        <v>2034</v>
      </c>
      <c r="M6" s="24" t="inlineStr">
        <is>
          <t>&gt;1500km 超长途</t>
        </is>
      </c>
      <c r="N6" s="26" t="inlineStr">
        <is>
          <t>产能利用率133.81%；天然碱/盐湖资源</t>
        </is>
      </c>
      <c r="O6" s="28" t="inlineStr">
        <is>
          <t>A</t>
        </is>
      </c>
      <c r="P6" s="29" t="inlineStr">
        <is>
          <t>S01</t>
        </is>
      </c>
    </row>
    <row r="7" ht="28" customHeight="1">
      <c r="A7" s="18" t="n">
        <v>3</v>
      </c>
      <c r="B7" s="34" t="inlineStr">
        <is>
          <t>和邦生物</t>
        </is>
      </c>
      <c r="C7" s="35" t="inlineStr">
        <is>
          <t>乐山五通桥基地</t>
        </is>
      </c>
      <c r="D7" s="36" t="inlineStr">
        <is>
          <t>四川</t>
        </is>
      </c>
      <c r="E7" s="36" t="inlineStr">
        <is>
          <t>乐山</t>
        </is>
      </c>
      <c r="F7" s="37" t="n">
        <v>103.77</v>
      </c>
      <c r="G7" s="37" t="n">
        <v>29.55</v>
      </c>
      <c r="H7" s="38" t="inlineStr">
        <is>
          <t>联碱</t>
        </is>
      </c>
      <c r="I7" s="39" t="n">
        <v>110</v>
      </c>
      <c r="J7" s="24" t="inlineStr">
        <is>
          <t>2025</t>
        </is>
      </c>
      <c r="K7" s="26" t="inlineStr">
        <is>
          <t>纯碱/氯化铵</t>
        </is>
      </c>
      <c r="L7" s="25" t="n">
        <v>1210</v>
      </c>
      <c r="M7" s="24" t="inlineStr">
        <is>
          <t>800–1500km 长途</t>
        </is>
      </c>
      <c r="N7" s="26" t="inlineStr">
        <is>
          <t>联碱法；与双甘膦/玻璃一体化</t>
        </is>
      </c>
      <c r="O7" s="30" t="inlineStr">
        <is>
          <t>B</t>
        </is>
      </c>
      <c r="P7" s="29" t="inlineStr">
        <is>
          <t>S27</t>
        </is>
      </c>
    </row>
    <row r="8" ht="28" customHeight="1">
      <c r="A8" s="18" t="n">
        <v>4</v>
      </c>
      <c r="B8" s="34" t="inlineStr">
        <is>
          <t>天津渤化永利</t>
        </is>
      </c>
      <c r="C8" s="35" t="inlineStr">
        <is>
          <t>天津临港基地</t>
        </is>
      </c>
      <c r="D8" s="36" t="inlineStr">
        <is>
          <t>天津</t>
        </is>
      </c>
      <c r="E8" s="36" t="inlineStr">
        <is>
          <t>天津滨海</t>
        </is>
      </c>
      <c r="F8" s="37" t="n">
        <v>117.7</v>
      </c>
      <c r="G8" s="37" t="n">
        <v>38.98</v>
      </c>
      <c r="H8" s="38" t="inlineStr">
        <is>
          <t>联碱</t>
        </is>
      </c>
      <c r="I8" s="39" t="n">
        <v>80</v>
      </c>
      <c r="J8" s="24" t="inlineStr">
        <is>
          <t>2022</t>
        </is>
      </c>
      <c r="K8" s="26" t="inlineStr">
        <is>
          <t>纯碱/氯化铵</t>
        </is>
      </c>
      <c r="L8" s="25" t="n">
        <v>1876</v>
      </c>
      <c r="M8" s="24" t="inlineStr">
        <is>
          <t>&gt;1500km 超长途</t>
        </is>
      </c>
      <c r="N8" s="26" t="inlineStr">
        <is>
          <t>原天津碱厂搬迁；临港，靠近天津港</t>
        </is>
      </c>
      <c r="O8" s="30" t="inlineStr">
        <is>
          <t>B</t>
        </is>
      </c>
      <c r="P8" s="29" t="inlineStr">
        <is>
          <t>S27</t>
        </is>
      </c>
    </row>
    <row r="9" ht="28" customHeight="1">
      <c r="A9" s="18" t="n">
        <v>5</v>
      </c>
      <c r="B9" s="34" t="inlineStr">
        <is>
          <t>安徽红四方</t>
        </is>
      </c>
      <c r="C9" s="35" t="inlineStr">
        <is>
          <t>合肥基地</t>
        </is>
      </c>
      <c r="D9" s="36" t="inlineStr">
        <is>
          <t>安徽</t>
        </is>
      </c>
      <c r="E9" s="36" t="inlineStr">
        <is>
          <t>合肥</t>
        </is>
      </c>
      <c r="F9" s="37" t="n">
        <v>117.23</v>
      </c>
      <c r="G9" s="37" t="n">
        <v>31.82</v>
      </c>
      <c r="H9" s="38" t="inlineStr">
        <is>
          <t>联碱</t>
        </is>
      </c>
      <c r="I9" s="39" t="n">
        <v>70</v>
      </c>
      <c r="J9" s="24" t="inlineStr">
        <is>
          <t>2024</t>
        </is>
      </c>
      <c r="K9" s="26" t="inlineStr">
        <is>
          <t>纯碱/氯化铵</t>
        </is>
      </c>
      <c r="L9" s="25" t="n">
        <v>1106</v>
      </c>
      <c r="M9" s="24" t="inlineStr">
        <is>
          <t>800–1500km 长途</t>
        </is>
      </c>
      <c r="N9" s="26" t="inlineStr">
        <is>
          <t>红四方联碱；20万吨扩产已投产</t>
        </is>
      </c>
      <c r="O9" s="30" t="inlineStr">
        <is>
          <t>B</t>
        </is>
      </c>
      <c r="P9" s="29" t="inlineStr">
        <is>
          <t>S27</t>
        </is>
      </c>
    </row>
    <row r="10" ht="28" customHeight="1">
      <c r="A10" s="18" t="n">
        <v>6</v>
      </c>
      <c r="B10" s="34" t="inlineStr">
        <is>
          <t>山东海化</t>
        </is>
      </c>
      <c r="C10" s="35" t="inlineStr">
        <is>
          <t>潍坊滨海纯碱厂</t>
        </is>
      </c>
      <c r="D10" s="36" t="inlineStr">
        <is>
          <t>山东</t>
        </is>
      </c>
      <c r="E10" s="36" t="inlineStr">
        <is>
          <t>潍坊滨海</t>
        </is>
      </c>
      <c r="F10" s="37" t="n">
        <v>119.1</v>
      </c>
      <c r="G10" s="37" t="n">
        <v>37.13</v>
      </c>
      <c r="H10" s="38" t="inlineStr">
        <is>
          <t>氨碱</t>
        </is>
      </c>
      <c r="I10" s="39" t="n">
        <v>280</v>
      </c>
      <c r="J10" s="24" t="inlineStr">
        <is>
          <t>2025A</t>
        </is>
      </c>
      <c r="K10" s="26" t="inlineStr">
        <is>
          <t>重碱/轻碱</t>
        </is>
      </c>
      <c r="L10" s="25" t="n">
        <v>1718</v>
      </c>
      <c r="M10" s="24" t="inlineStr">
        <is>
          <t>&gt;1500km 超长途</t>
        </is>
      </c>
      <c r="N10" s="26" t="inlineStr">
        <is>
          <t>老线120+新线160；单套装置规模大</t>
        </is>
      </c>
      <c r="O10" s="28" t="inlineStr">
        <is>
          <t>A</t>
        </is>
      </c>
      <c r="P10" s="29" t="inlineStr">
        <is>
          <t>S03</t>
        </is>
      </c>
    </row>
    <row r="11" ht="28" customHeight="1">
      <c r="A11" s="18" t="n">
        <v>7</v>
      </c>
      <c r="B11" s="34" t="inlineStr">
        <is>
          <t>金晶科技</t>
        </is>
      </c>
      <c r="C11" s="35" t="inlineStr">
        <is>
          <t>山东海天生物化工</t>
        </is>
      </c>
      <c r="D11" s="36" t="inlineStr">
        <is>
          <t>山东</t>
        </is>
      </c>
      <c r="E11" s="36" t="inlineStr">
        <is>
          <t>淄博</t>
        </is>
      </c>
      <c r="F11" s="37" t="n">
        <v>118.05</v>
      </c>
      <c r="G11" s="37" t="n">
        <v>36.81</v>
      </c>
      <c r="H11" s="38" t="inlineStr">
        <is>
          <t>氨碱</t>
        </is>
      </c>
      <c r="I11" s="39" t="n">
        <v>150</v>
      </c>
      <c r="J11" s="24" t="inlineStr">
        <is>
          <t>2025</t>
        </is>
      </c>
      <c r="K11" s="26" t="inlineStr">
        <is>
          <t>纯碱</t>
        </is>
      </c>
      <c r="L11" s="25" t="n">
        <v>1653</v>
      </c>
      <c r="M11" s="24" t="inlineStr">
        <is>
          <t>&gt;1500km 超长途</t>
        </is>
      </c>
      <c r="N11" s="26" t="inlineStr">
        <is>
          <t>金晶全资子公司；纯碱—玻璃一体化</t>
        </is>
      </c>
      <c r="O11" s="30" t="inlineStr">
        <is>
          <t>B</t>
        </is>
      </c>
      <c r="P11" s="29" t="inlineStr">
        <is>
          <t>S23 / S27</t>
        </is>
      </c>
    </row>
    <row r="12" ht="34" customHeight="1">
      <c r="A12" s="18" t="n">
        <v>8</v>
      </c>
      <c r="B12" s="34" t="inlineStr">
        <is>
          <t>南方碱业</t>
        </is>
      </c>
      <c r="C12" s="35" t="inlineStr">
        <is>
          <t>广州黄埔南岗厂区</t>
        </is>
      </c>
      <c r="D12" s="36" t="inlineStr">
        <is>
          <t>广东</t>
        </is>
      </c>
      <c r="E12" s="36" t="inlineStr">
        <is>
          <t>广州黄埔</t>
        </is>
      </c>
      <c r="F12" s="37" t="n">
        <v>113.45</v>
      </c>
      <c r="G12" s="37" t="n">
        <v>23.1</v>
      </c>
      <c r="H12" s="38" t="inlineStr">
        <is>
          <t>氨碱</t>
        </is>
      </c>
      <c r="I12" s="39" t="n">
        <v>60</v>
      </c>
      <c r="J12" s="24" t="inlineStr">
        <is>
          <t>2025</t>
        </is>
      </c>
      <c r="K12" s="26" t="inlineStr">
        <is>
          <t>重碱/轻碱/食品级</t>
        </is>
      </c>
      <c r="L12" s="25" t="n">
        <v>69</v>
      </c>
      <c r="M12" s="24" t="inlineStr">
        <is>
          <t>≤300km 本地</t>
        </is>
      </c>
      <c r="N12" s="26" t="inlineStr">
        <is>
          <t>广东唯一在产纯碱厂；自有码头；官网规模页仍写35万吨/年</t>
        </is>
      </c>
      <c r="O12" s="30" t="inlineStr">
        <is>
          <t>B</t>
        </is>
      </c>
      <c r="P12" s="29" t="inlineStr">
        <is>
          <t>S14 / S15</t>
        </is>
      </c>
    </row>
    <row r="13" ht="28" customHeight="1">
      <c r="A13" s="18" t="n">
        <v>9</v>
      </c>
      <c r="B13" s="34" t="inlineStr">
        <is>
          <t>连云港碱业</t>
        </is>
      </c>
      <c r="C13" s="35" t="inlineStr">
        <is>
          <t>燕尾港临港基地</t>
        </is>
      </c>
      <c r="D13" s="36" t="inlineStr">
        <is>
          <t>江苏</t>
        </is>
      </c>
      <c r="E13" s="36" t="inlineStr">
        <is>
          <t>连云港</t>
        </is>
      </c>
      <c r="F13" s="37" t="n">
        <v>119.78</v>
      </c>
      <c r="G13" s="37" t="n">
        <v>34.48</v>
      </c>
      <c r="H13" s="38" t="inlineStr">
        <is>
          <t>联碱</t>
        </is>
      </c>
      <c r="I13" s="39" t="n">
        <v>110</v>
      </c>
      <c r="J13" s="24" t="inlineStr">
        <is>
          <t>2025</t>
        </is>
      </c>
      <c r="K13" s="26" t="inlineStr">
        <is>
          <t>纯碱/氯化铵</t>
        </is>
      </c>
      <c r="L13" s="25" t="n">
        <v>1475</v>
      </c>
      <c r="M13" s="24" t="inlineStr">
        <is>
          <t>800–1500km 长途</t>
        </is>
      </c>
      <c r="N13" s="26" t="inlineStr">
        <is>
          <t>搬迁升级项目；联碱法替代原氨碱法</t>
        </is>
      </c>
      <c r="O13" s="28" t="inlineStr">
        <is>
          <t>A</t>
        </is>
      </c>
      <c r="P13" s="29" t="inlineStr">
        <is>
          <t>S08</t>
        </is>
      </c>
    </row>
    <row r="14" ht="28" customHeight="1">
      <c r="A14" s="18" t="n">
        <v>10</v>
      </c>
      <c r="B14" s="34" t="inlineStr">
        <is>
          <t>华昌化工</t>
        </is>
      </c>
      <c r="C14" s="35" t="inlineStr">
        <is>
          <t>张家港基地</t>
        </is>
      </c>
      <c r="D14" s="36" t="inlineStr">
        <is>
          <t>江苏</t>
        </is>
      </c>
      <c r="E14" s="36" t="inlineStr">
        <is>
          <t>张家港</t>
        </is>
      </c>
      <c r="F14" s="37" t="n">
        <v>120.55</v>
      </c>
      <c r="G14" s="37" t="n">
        <v>31.87</v>
      </c>
      <c r="H14" s="38" t="inlineStr">
        <is>
          <t>联碱</t>
        </is>
      </c>
      <c r="I14" s="39" t="n">
        <v>70</v>
      </c>
      <c r="J14" s="24" t="inlineStr">
        <is>
          <t>2023</t>
        </is>
      </c>
      <c r="K14" s="26" t="inlineStr">
        <is>
          <t>纯碱/氯化铵</t>
        </is>
      </c>
      <c r="L14" s="25" t="n">
        <v>1269</v>
      </c>
      <c r="M14" s="24" t="inlineStr">
        <is>
          <t>800–1500km 长途</t>
        </is>
      </c>
      <c r="N14" s="26" t="inlineStr">
        <is>
          <t>长江码头，江海联运</t>
        </is>
      </c>
      <c r="O14" s="30" t="inlineStr">
        <is>
          <t>B</t>
        </is>
      </c>
      <c r="P14" s="29" t="inlineStr">
        <is>
          <t>S26</t>
        </is>
      </c>
    </row>
    <row r="15" ht="34" customHeight="1">
      <c r="A15" s="18" t="n">
        <v>11</v>
      </c>
      <c r="B15" s="34" t="inlineStr">
        <is>
          <t>苏盐井神</t>
        </is>
      </c>
      <c r="C15" s="35" t="inlineStr">
        <is>
          <t>淮安基地</t>
        </is>
      </c>
      <c r="D15" s="36" t="inlineStr">
        <is>
          <t>江苏</t>
        </is>
      </c>
      <c r="E15" s="36" t="inlineStr">
        <is>
          <t>淮安</t>
        </is>
      </c>
      <c r="F15" s="37" t="n">
        <v>119.02</v>
      </c>
      <c r="G15" s="37" t="n">
        <v>33.55</v>
      </c>
      <c r="H15" s="38" t="inlineStr">
        <is>
          <t>联碱</t>
        </is>
      </c>
      <c r="I15" s="39" t="n">
        <v>70</v>
      </c>
      <c r="J15" s="24" t="inlineStr">
        <is>
          <t>2024IR</t>
        </is>
      </c>
      <c r="K15" s="26" t="inlineStr">
        <is>
          <t>纯碱/工业盐</t>
        </is>
      </c>
      <c r="L15" s="25" t="n">
        <v>1351</v>
      </c>
      <c r="M15" s="24" t="inlineStr">
        <is>
          <t>800–1500km 长途</t>
        </is>
      </c>
      <c r="N15" s="26" t="inlineStr">
        <is>
          <t>井矿盐—纯碱一体化；京杭大运河/长江码头</t>
        </is>
      </c>
      <c r="O15" s="30" t="inlineStr">
        <is>
          <t>B</t>
        </is>
      </c>
      <c r="P15" s="29" t="inlineStr">
        <is>
          <t>S25</t>
        </is>
      </c>
    </row>
    <row r="16" ht="34" customHeight="1">
      <c r="A16" s="18" t="n">
        <v>12</v>
      </c>
      <c r="B16" s="34" t="inlineStr">
        <is>
          <t>中盐化工</t>
        </is>
      </c>
      <c r="C16" s="35" t="inlineStr">
        <is>
          <t>中盐昆山</t>
        </is>
      </c>
      <c r="D16" s="36" t="inlineStr">
        <is>
          <t>江苏</t>
        </is>
      </c>
      <c r="E16" s="36" t="inlineStr">
        <is>
          <t>昆山</t>
        </is>
      </c>
      <c r="F16" s="37" t="n">
        <v>120.98</v>
      </c>
      <c r="G16" s="37" t="n">
        <v>31.39</v>
      </c>
      <c r="H16" s="38" t="inlineStr">
        <is>
          <t>联碱</t>
        </is>
      </c>
      <c r="I16" s="39" t="n">
        <v>60</v>
      </c>
      <c r="J16" s="24" t="inlineStr">
        <is>
          <t>2025A</t>
        </is>
      </c>
      <c r="K16" s="26" t="inlineStr">
        <is>
          <t>纯碱/氯化铵</t>
        </is>
      </c>
      <c r="L16" s="25" t="n">
        <v>1253</v>
      </c>
      <c r="M16" s="24" t="inlineStr">
        <is>
          <t>800–1500km 长途</t>
        </is>
      </c>
      <c r="N16" s="26" t="inlineStr">
        <is>
          <t>产能利用率132.58%；氯化铵主要销往出口及江浙皖</t>
        </is>
      </c>
      <c r="O16" s="28" t="inlineStr">
        <is>
          <t>A</t>
        </is>
      </c>
      <c r="P16" s="29" t="inlineStr">
        <is>
          <t>S01</t>
        </is>
      </c>
    </row>
    <row r="17" ht="28" customHeight="1">
      <c r="A17" s="18" t="n">
        <v>13</v>
      </c>
      <c r="B17" s="34" t="inlineStr">
        <is>
          <t>江苏德邦</t>
        </is>
      </c>
      <c r="C17" s="35" t="inlineStr">
        <is>
          <t>连云港基地</t>
        </is>
      </c>
      <c r="D17" s="36" t="inlineStr">
        <is>
          <t>江苏</t>
        </is>
      </c>
      <c r="E17" s="36" t="inlineStr">
        <is>
          <t>连云港</t>
        </is>
      </c>
      <c r="F17" s="37" t="n">
        <v>119.25</v>
      </c>
      <c r="G17" s="37" t="n">
        <v>34.68</v>
      </c>
      <c r="H17" s="38" t="inlineStr">
        <is>
          <t>联碱</t>
        </is>
      </c>
      <c r="I17" s="39" t="n">
        <v>60</v>
      </c>
      <c r="J17" s="24" t="inlineStr">
        <is>
          <t>2025</t>
        </is>
      </c>
      <c r="K17" s="26" t="inlineStr">
        <is>
          <t>纯碱/氯化铵</t>
        </is>
      </c>
      <c r="L17" s="25" t="n">
        <v>1473</v>
      </c>
      <c r="M17" s="24" t="inlineStr">
        <is>
          <t>800–1500km 长途</t>
        </is>
      </c>
      <c r="N17" s="26" t="inlineStr">
        <is>
          <t>60万吨搬迁项目2025年2月出货</t>
        </is>
      </c>
      <c r="O17" s="30" t="inlineStr">
        <is>
          <t>B</t>
        </is>
      </c>
      <c r="P17" s="29" t="inlineStr">
        <is>
          <t>S09</t>
        </is>
      </c>
    </row>
    <row r="18" ht="28" customHeight="1">
      <c r="A18" s="18" t="n">
        <v>14</v>
      </c>
      <c r="B18" s="34" t="inlineStr">
        <is>
          <t>三友化工</t>
        </is>
      </c>
      <c r="C18" s="35" t="inlineStr">
        <is>
          <t>唐山南堡本部</t>
        </is>
      </c>
      <c r="D18" s="36" t="inlineStr">
        <is>
          <t>河北</t>
        </is>
      </c>
      <c r="E18" s="36" t="inlineStr">
        <is>
          <t>唐山南堡</t>
        </is>
      </c>
      <c r="F18" s="37" t="n">
        <v>118.25</v>
      </c>
      <c r="G18" s="37" t="n">
        <v>39.25</v>
      </c>
      <c r="H18" s="38" t="inlineStr">
        <is>
          <t>氨碱</t>
        </is>
      </c>
      <c r="I18" s="39" t="n">
        <v>230</v>
      </c>
      <c r="J18" s="24" t="inlineStr">
        <is>
          <t>2025</t>
        </is>
      </c>
      <c r="K18" s="26" t="inlineStr">
        <is>
          <t>重碱/轻碱</t>
        </is>
      </c>
      <c r="L18" s="25" t="n">
        <v>1917</v>
      </c>
      <c r="M18" s="24" t="inlineStr">
        <is>
          <t>&gt;1500km 超长途</t>
        </is>
      </c>
      <c r="N18" s="26" t="inlineStr">
        <is>
          <t>“两碱一化”循环经济；自用+外销</t>
        </is>
      </c>
      <c r="O18" s="28" t="inlineStr">
        <is>
          <t>A</t>
        </is>
      </c>
      <c r="P18" s="29" t="inlineStr">
        <is>
          <t>S24 / S27</t>
        </is>
      </c>
    </row>
    <row r="19" ht="34" customHeight="1">
      <c r="A19" s="18" t="n">
        <v>15</v>
      </c>
      <c r="B19" s="34" t="inlineStr">
        <is>
          <t>金山化工</t>
        </is>
      </c>
      <c r="C19" s="35" t="inlineStr">
        <is>
          <t>舞阳盐化工基地</t>
        </is>
      </c>
      <c r="D19" s="36" t="inlineStr">
        <is>
          <t>河南</t>
        </is>
      </c>
      <c r="E19" s="36" t="inlineStr">
        <is>
          <t>漯河舞阳</t>
        </is>
      </c>
      <c r="F19" s="37" t="n">
        <v>113.6</v>
      </c>
      <c r="G19" s="37" t="n">
        <v>33.44</v>
      </c>
      <c r="H19" s="38" t="inlineStr">
        <is>
          <t>联碱</t>
        </is>
      </c>
      <c r="I19" s="39" t="n">
        <v>330</v>
      </c>
      <c r="J19" s="24" t="inlineStr">
        <is>
          <t>2025</t>
        </is>
      </c>
      <c r="K19" s="26" t="inlineStr">
        <is>
          <t>纯碱/氯化铵/小苏打</t>
        </is>
      </c>
      <c r="L19" s="25" t="n">
        <v>1209</v>
      </c>
      <c r="M19" s="24" t="inlineStr">
        <is>
          <t>800–1500km 长途</t>
        </is>
      </c>
      <c r="N19" s="26" t="inlineStr">
        <is>
          <t>金山集团主基地；采矿制盐—联碱—热电联产</t>
        </is>
      </c>
      <c r="O19" s="30" t="inlineStr">
        <is>
          <t>B</t>
        </is>
      </c>
      <c r="P19" s="29" t="inlineStr">
        <is>
          <t>S12</t>
        </is>
      </c>
    </row>
    <row r="20" ht="28" customHeight="1">
      <c r="A20" s="18" t="n">
        <v>16</v>
      </c>
      <c r="B20" s="34" t="inlineStr">
        <is>
          <t>博源化工</t>
        </is>
      </c>
      <c r="C20" s="35" t="inlineStr">
        <is>
          <t>桐柏中源化学基地</t>
        </is>
      </c>
      <c r="D20" s="36" t="inlineStr">
        <is>
          <t>河南</t>
        </is>
      </c>
      <c r="E20" s="36" t="inlineStr">
        <is>
          <t>南阳桐柏</t>
        </is>
      </c>
      <c r="F20" s="37" t="n">
        <v>113.42</v>
      </c>
      <c r="G20" s="37" t="n">
        <v>32.37</v>
      </c>
      <c r="H20" s="38" t="inlineStr">
        <is>
          <t>天然碱</t>
        </is>
      </c>
      <c r="I20" s="39" t="n">
        <v>180</v>
      </c>
      <c r="J20" s="24" t="inlineStr">
        <is>
          <t>2025</t>
        </is>
      </c>
      <c r="K20" s="26" t="inlineStr">
        <is>
          <t>重碱/轻碱/小苏打</t>
        </is>
      </c>
      <c r="L20" s="25" t="n">
        <v>1089</v>
      </c>
      <c r="M20" s="24" t="inlineStr">
        <is>
          <t>800–1500km 长途</t>
        </is>
      </c>
      <c r="N20" s="26" t="inlineStr">
        <is>
          <t>安棚/吴城碱矿；天然碱法</t>
        </is>
      </c>
      <c r="O20" s="28" t="inlineStr">
        <is>
          <t>A</t>
        </is>
      </c>
      <c r="P20" s="29" t="inlineStr">
        <is>
          <t>S04</t>
        </is>
      </c>
    </row>
    <row r="21" ht="34" customHeight="1">
      <c r="A21" s="18" t="n">
        <v>17</v>
      </c>
      <c r="B21" s="34" t="inlineStr">
        <is>
          <t>双环科技</t>
        </is>
      </c>
      <c r="C21" s="35" t="inlineStr">
        <is>
          <t>应城东马坊基地</t>
        </is>
      </c>
      <c r="D21" s="36" t="inlineStr">
        <is>
          <t>湖北</t>
        </is>
      </c>
      <c r="E21" s="36" t="inlineStr">
        <is>
          <t>应城</t>
        </is>
      </c>
      <c r="F21" s="37" t="n">
        <v>113.57</v>
      </c>
      <c r="G21" s="37" t="n">
        <v>30.93</v>
      </c>
      <c r="H21" s="38" t="inlineStr">
        <is>
          <t>联碱</t>
        </is>
      </c>
      <c r="I21" s="39" t="n">
        <v>110</v>
      </c>
      <c r="J21" s="24" t="inlineStr">
        <is>
          <t>2025A</t>
        </is>
      </c>
      <c r="K21" s="26" t="inlineStr">
        <is>
          <t>纯碱/氯化铵</t>
        </is>
      </c>
      <c r="L21" s="25" t="n">
        <v>930</v>
      </c>
      <c r="M21" s="24" t="inlineStr">
        <is>
          <t>800–1500km 长途</t>
        </is>
      </c>
      <c r="N21" s="26" t="inlineStr">
        <is>
          <t>设计产能110万吨；2025年产量119.21万吨</t>
        </is>
      </c>
      <c r="O21" s="28" t="inlineStr">
        <is>
          <t>A</t>
        </is>
      </c>
      <c r="P21" s="29" t="inlineStr">
        <is>
          <t>S02</t>
        </is>
      </c>
    </row>
    <row r="22" ht="34" customHeight="1">
      <c r="A22" s="18" t="n">
        <v>18</v>
      </c>
      <c r="B22" s="34" t="inlineStr">
        <is>
          <t>新都化工</t>
        </is>
      </c>
      <c r="C22" s="35" t="inlineStr">
        <is>
          <t>应城基地</t>
        </is>
      </c>
      <c r="D22" s="36" t="inlineStr">
        <is>
          <t>湖北</t>
        </is>
      </c>
      <c r="E22" s="36" t="inlineStr">
        <is>
          <t>应城</t>
        </is>
      </c>
      <c r="F22" s="37" t="n">
        <v>113.48</v>
      </c>
      <c r="G22" s="37" t="n">
        <v>30.88</v>
      </c>
      <c r="H22" s="38" t="inlineStr">
        <is>
          <t>联碱</t>
        </is>
      </c>
      <c r="I22" s="39" t="n">
        <v>60</v>
      </c>
      <c r="J22" s="24" t="inlineStr">
        <is>
          <t>2025</t>
        </is>
      </c>
      <c r="K22" s="26" t="inlineStr">
        <is>
          <t>纯碱/氯化铵</t>
        </is>
      </c>
      <c r="L22" s="25" t="n">
        <v>924</v>
      </c>
      <c r="M22" s="24" t="inlineStr">
        <is>
          <t>800–1500km 长途</t>
        </is>
      </c>
      <c r="N22" s="26" t="inlineStr">
        <is>
          <t>云图控股旗下；现有60万吨，70万吨新项目2026投产</t>
        </is>
      </c>
      <c r="O22" s="30" t="inlineStr">
        <is>
          <t>B</t>
        </is>
      </c>
      <c r="P22" s="29" t="inlineStr">
        <is>
          <t>S22</t>
        </is>
      </c>
    </row>
    <row r="23" ht="34" customHeight="1">
      <c r="A23" s="18" t="n">
        <v>19</v>
      </c>
      <c r="B23" s="34" t="inlineStr">
        <is>
          <t>雪天盐业</t>
        </is>
      </c>
      <c r="C23" s="35" t="inlineStr">
        <is>
          <t>湘渝盐化（万州）</t>
        </is>
      </c>
      <c r="D23" s="36" t="inlineStr">
        <is>
          <t>重庆</t>
        </is>
      </c>
      <c r="E23" s="36" t="inlineStr">
        <is>
          <t>万州</t>
        </is>
      </c>
      <c r="F23" s="37" t="n">
        <v>108.41</v>
      </c>
      <c r="G23" s="37" t="n">
        <v>30.81</v>
      </c>
      <c r="H23" s="38" t="inlineStr">
        <is>
          <t>联碱</t>
        </is>
      </c>
      <c r="I23" s="39" t="n">
        <v>100</v>
      </c>
      <c r="J23" s="24" t="inlineStr">
        <is>
          <t>2025H1</t>
        </is>
      </c>
      <c r="K23" s="26" t="inlineStr">
        <is>
          <t>纯碱/氯化铵</t>
        </is>
      </c>
      <c r="L23" s="25" t="n">
        <v>1026</v>
      </c>
      <c r="M23" s="24" t="inlineStr">
        <is>
          <t>800–1500km 长途</t>
        </is>
      </c>
      <c r="N23" s="26" t="inlineStr">
        <is>
          <t>雪天盐业全资子公司；纯碱100万吨、氯化铵100万吨</t>
        </is>
      </c>
      <c r="O23" s="28" t="inlineStr">
        <is>
          <t>A</t>
        </is>
      </c>
      <c r="P23" s="29" t="inlineStr">
        <is>
          <t>S10</t>
        </is>
      </c>
    </row>
    <row r="24" ht="34" customHeight="1">
      <c r="A24" s="18" t="n">
        <v>20</v>
      </c>
      <c r="B24" s="34" t="inlineStr">
        <is>
          <t>中盐化工</t>
        </is>
      </c>
      <c r="C24" s="35" t="inlineStr">
        <is>
          <t>昆仑碱业</t>
        </is>
      </c>
      <c r="D24" s="36" t="inlineStr">
        <is>
          <t>青海</t>
        </is>
      </c>
      <c r="E24" s="36" t="inlineStr">
        <is>
          <t>德令哈</t>
        </is>
      </c>
      <c r="F24" s="37" t="n">
        <v>97.2</v>
      </c>
      <c r="G24" s="37" t="n">
        <v>37.2</v>
      </c>
      <c r="H24" s="38" t="inlineStr">
        <is>
          <t>氨碱</t>
        </is>
      </c>
      <c r="I24" s="39" t="n">
        <v>155</v>
      </c>
      <c r="J24" s="24" t="inlineStr">
        <is>
          <t>2025A</t>
        </is>
      </c>
      <c r="K24" s="26" t="inlineStr">
        <is>
          <t>重碱/轻碱</t>
        </is>
      </c>
      <c r="L24" s="25" t="n">
        <v>2226</v>
      </c>
      <c r="M24" s="24" t="inlineStr">
        <is>
          <t>&gt;1500km 超长途</t>
        </is>
      </c>
      <c r="N24" s="26" t="inlineStr">
        <is>
          <t>产能利用率108.07%；青海石灰石/盐资源</t>
        </is>
      </c>
      <c r="O24" s="28" t="inlineStr">
        <is>
          <t>A</t>
        </is>
      </c>
      <c r="P24" s="29" t="inlineStr">
        <is>
          <t>S01</t>
        </is>
      </c>
    </row>
    <row r="25" ht="28" customHeight="1">
      <c r="A25" s="18" t="n">
        <v>21</v>
      </c>
      <c r="B25" s="34" t="inlineStr">
        <is>
          <t>中盐化工</t>
        </is>
      </c>
      <c r="C25" s="35" t="inlineStr">
        <is>
          <t>发投碱业</t>
        </is>
      </c>
      <c r="D25" s="36" t="inlineStr">
        <is>
          <t>青海</t>
        </is>
      </c>
      <c r="E25" s="36" t="inlineStr">
        <is>
          <t>德令哈</t>
        </is>
      </c>
      <c r="F25" s="37" t="n">
        <v>97.55</v>
      </c>
      <c r="G25" s="37" t="n">
        <v>37.55</v>
      </c>
      <c r="H25" s="38" t="inlineStr">
        <is>
          <t>氨碱</t>
        </is>
      </c>
      <c r="I25" s="39" t="n">
        <v>140</v>
      </c>
      <c r="J25" s="24" t="inlineStr">
        <is>
          <t>2025A</t>
        </is>
      </c>
      <c r="K25" s="26" t="inlineStr">
        <is>
          <t>重碱/轻碱</t>
        </is>
      </c>
      <c r="L25" s="25" t="n">
        <v>2231</v>
      </c>
      <c r="M25" s="24" t="inlineStr">
        <is>
          <t>&gt;1500km 超长途</t>
        </is>
      </c>
      <c r="N25" s="26" t="inlineStr">
        <is>
          <t>产能利用率107.65%；与昆仑碱业同城</t>
        </is>
      </c>
      <c r="O25" s="28" t="inlineStr">
        <is>
          <t>A</t>
        </is>
      </c>
      <c r="P25" s="29" t="inlineStr">
        <is>
          <t>S01</t>
        </is>
      </c>
    </row>
    <row r="26" ht="28" customHeight="1">
      <c r="A26" s="18" t="n">
        <v>22</v>
      </c>
      <c r="B26" s="34" t="inlineStr">
        <is>
          <t>三友化工</t>
        </is>
      </c>
      <c r="C26" s="35" t="inlineStr">
        <is>
          <t>青海五彩碱业</t>
        </is>
      </c>
      <c r="D26" s="36" t="inlineStr">
        <is>
          <t>青海</t>
        </is>
      </c>
      <c r="E26" s="36" t="inlineStr">
        <is>
          <t>德令哈</t>
        </is>
      </c>
      <c r="F26" s="37" t="n">
        <v>97.55</v>
      </c>
      <c r="G26" s="37" t="n">
        <v>37.35</v>
      </c>
      <c r="H26" s="38" t="inlineStr">
        <is>
          <t>氨碱</t>
        </is>
      </c>
      <c r="I26" s="39" t="n">
        <v>110</v>
      </c>
      <c r="J26" s="24" t="inlineStr">
        <is>
          <t>2025</t>
        </is>
      </c>
      <c r="K26" s="26" t="inlineStr">
        <is>
          <t>重碱/轻碱</t>
        </is>
      </c>
      <c r="L26" s="25" t="n">
        <v>2215</v>
      </c>
      <c r="M26" s="24" t="inlineStr">
        <is>
          <t>&gt;1500km 超长途</t>
        </is>
      </c>
      <c r="N26" s="26" t="inlineStr">
        <is>
          <t>三友控股子公司；青海基地</t>
        </is>
      </c>
      <c r="O26" s="28" t="inlineStr">
        <is>
          <t>A</t>
        </is>
      </c>
      <c r="P26" s="29" t="inlineStr">
        <is>
          <t>S24 / S27</t>
        </is>
      </c>
    </row>
    <row r="27" ht="24" customHeight="1">
      <c r="A27" s="31" t="inlineStr">
        <is>
          <t>合计 / 样本</t>
        </is>
      </c>
      <c r="I27" s="32" t="n">
        <v>3070</v>
      </c>
      <c r="J27" s="33" t="inlineStr">
        <is>
          <t>工厂产能合计应等于企业矩阵合计</t>
        </is>
      </c>
    </row>
    <row r="29" ht="22" customHeight="1">
      <c r="A29" s="12" t="inlineStr">
        <is>
          <t>注：经纬度用于距离计算与地图定位；距离为直线距离，不是铁路/水运运距。工厂备注保留公开口径差异。</t>
        </is>
      </c>
    </row>
  </sheetData>
  <autoFilter ref="A4:P26"/>
  <mergeCells count="5">
    <mergeCell ref="J27:P27"/>
    <mergeCell ref="A1:P1"/>
    <mergeCell ref="A2:P2"/>
    <mergeCell ref="A27:H27"/>
    <mergeCell ref="A29:P29"/>
  </mergeCells>
  <hyperlinks>
    <hyperlink xmlns:r="http://schemas.openxmlformats.org/officeDocument/2006/relationships" ref="P5" r:id="rId1"/>
    <hyperlink xmlns:r="http://schemas.openxmlformats.org/officeDocument/2006/relationships" ref="P6" r:id="rId2"/>
    <hyperlink xmlns:r="http://schemas.openxmlformats.org/officeDocument/2006/relationships" ref="P7" r:id="rId3"/>
    <hyperlink xmlns:r="http://schemas.openxmlformats.org/officeDocument/2006/relationships" ref="P8" r:id="rId4"/>
    <hyperlink xmlns:r="http://schemas.openxmlformats.org/officeDocument/2006/relationships" ref="P9" r:id="rId5"/>
    <hyperlink xmlns:r="http://schemas.openxmlformats.org/officeDocument/2006/relationships" ref="P10" r:id="rId6"/>
    <hyperlink xmlns:r="http://schemas.openxmlformats.org/officeDocument/2006/relationships" ref="P11" r:id="rId7"/>
    <hyperlink xmlns:r="http://schemas.openxmlformats.org/officeDocument/2006/relationships" ref="P12" r:id="rId8"/>
    <hyperlink xmlns:r="http://schemas.openxmlformats.org/officeDocument/2006/relationships" ref="P13" r:id="rId9"/>
    <hyperlink xmlns:r="http://schemas.openxmlformats.org/officeDocument/2006/relationships" ref="P14" r:id="rId10"/>
    <hyperlink xmlns:r="http://schemas.openxmlformats.org/officeDocument/2006/relationships" ref="P15" r:id="rId11"/>
    <hyperlink xmlns:r="http://schemas.openxmlformats.org/officeDocument/2006/relationships" ref="P16" r:id="rId12"/>
    <hyperlink xmlns:r="http://schemas.openxmlformats.org/officeDocument/2006/relationships" ref="P17" r:id="rId13"/>
    <hyperlink xmlns:r="http://schemas.openxmlformats.org/officeDocument/2006/relationships" ref="P18" r:id="rId14"/>
    <hyperlink xmlns:r="http://schemas.openxmlformats.org/officeDocument/2006/relationships" ref="P19" r:id="rId15"/>
    <hyperlink xmlns:r="http://schemas.openxmlformats.org/officeDocument/2006/relationships" ref="P20" r:id="rId16"/>
    <hyperlink xmlns:r="http://schemas.openxmlformats.org/officeDocument/2006/relationships" ref="P21" r:id="rId17"/>
    <hyperlink xmlns:r="http://schemas.openxmlformats.org/officeDocument/2006/relationships" ref="P22" r:id="rId18"/>
    <hyperlink xmlns:r="http://schemas.openxmlformats.org/officeDocument/2006/relationships" ref="P23" r:id="rId19"/>
    <hyperlink xmlns:r="http://schemas.openxmlformats.org/officeDocument/2006/relationships" ref="P24" r:id="rId20"/>
    <hyperlink xmlns:r="http://schemas.openxmlformats.org/officeDocument/2006/relationships" ref="P25" r:id="rId21"/>
    <hyperlink xmlns:r="http://schemas.openxmlformats.org/officeDocument/2006/relationships" ref="P26" r:id="rId22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9" customWidth="1" min="5" max="5"/>
    <col width="9" customWidth="1" min="6" max="6"/>
    <col width="8" customWidth="1" min="7" max="7"/>
    <col width="11" customWidth="1" min="8" max="8"/>
    <col width="7" customWidth="1" min="9" max="9"/>
    <col width="30" customWidth="1" min="10" max="10"/>
    <col width="16" customWidth="1" min="11" max="11"/>
    <col width="38" customWidth="1" min="12" max="12"/>
    <col width="7" customWidth="1" min="13" max="13"/>
    <col width="10" customWidth="1" min="14" max="14"/>
  </cols>
  <sheetData>
    <row r="1" ht="34" customHeight="1">
      <c r="A1" s="15" t="inlineStr">
        <is>
          <t>03 / CAPACITY PIPELINE  新增 / 在建 / 搬迁项目</t>
        </is>
      </c>
    </row>
    <row r="2" ht="26" customHeight="1">
      <c r="A2" s="16" t="inlineStr">
        <is>
          <t>只列公开可核实项目；毛增量不等于净增；负增量（冷修/停产/限产）须另行收集</t>
        </is>
      </c>
    </row>
    <row r="4" ht="31" customHeight="1">
      <c r="A4" s="17" t="inlineStr">
        <is>
          <t>#</t>
        </is>
      </c>
      <c r="B4" s="17" t="inlineStr">
        <is>
          <t>企业</t>
        </is>
      </c>
      <c r="C4" s="17" t="inlineStr">
        <is>
          <t>项目</t>
        </is>
      </c>
      <c r="D4" s="17" t="inlineStr">
        <is>
          <t>地点</t>
        </is>
      </c>
      <c r="E4" s="17" t="inlineStr">
        <is>
          <t>工艺</t>
        </is>
      </c>
      <c r="F4" s="17" t="inlineStr">
        <is>
          <t>规模
万吨/年</t>
        </is>
      </c>
      <c r="G4" s="17" t="inlineStr">
        <is>
          <t>性质</t>
        </is>
      </c>
      <c r="H4" s="17" t="inlineStr">
        <is>
          <t>状态</t>
        </is>
      </c>
      <c r="I4" s="17" t="inlineStr">
        <is>
          <t>预计
年份</t>
        </is>
      </c>
      <c r="J4" s="17" t="inlineStr">
        <is>
          <t>时间 / 进展</t>
        </is>
      </c>
      <c r="K4" s="17" t="inlineStr">
        <is>
          <t>净增判断</t>
        </is>
      </c>
      <c r="L4" s="17" t="inlineStr">
        <is>
          <t>对目标区域的影响</t>
        </is>
      </c>
      <c r="M4" s="17" t="inlineStr">
        <is>
          <t>等级</t>
        </is>
      </c>
      <c r="N4" s="17" t="inlineStr">
        <is>
          <t>来源</t>
        </is>
      </c>
    </row>
    <row r="5" ht="34" customHeight="1">
      <c r="A5" s="18" t="n">
        <v>1</v>
      </c>
      <c r="B5" s="34" t="inlineStr">
        <is>
          <t>连云港碱业</t>
        </is>
      </c>
      <c r="C5" s="35" t="inlineStr">
        <is>
          <t>连云港碱业搬迁升级</t>
        </is>
      </c>
      <c r="D5" s="26" t="inlineStr">
        <is>
          <t>江苏·连云港燕尾港</t>
        </is>
      </c>
      <c r="E5" s="38" t="inlineStr">
        <is>
          <t>联碱</t>
        </is>
      </c>
      <c r="F5" s="40" t="n">
        <v>110</v>
      </c>
      <c r="G5" s="41" t="inlineStr">
        <is>
          <t>搬迁</t>
        </is>
      </c>
      <c r="H5" s="24" t="inlineStr">
        <is>
          <t>已投产</t>
        </is>
      </c>
      <c r="I5" s="25" t="n">
        <v>2025</v>
      </c>
      <c r="J5" s="26" t="inlineStr">
        <is>
          <t>2024年底中交，2025年试生产/投产；110万吨联碱替代旧氨碱</t>
        </is>
      </c>
      <c r="K5" s="42" t="inlineStr">
        <is>
          <t>0（置换）</t>
        </is>
      </c>
      <c r="L5" s="26" t="inlineStr">
        <is>
          <t>华东沿海供给增强，海运至广东更便利；旧氨碱退出改善环保约束</t>
        </is>
      </c>
      <c r="M5" s="28" t="inlineStr">
        <is>
          <t>A</t>
        </is>
      </c>
      <c r="N5" s="29" t="inlineStr">
        <is>
          <t>S08</t>
        </is>
      </c>
    </row>
    <row r="6" ht="34" customHeight="1">
      <c r="A6" s="18" t="n">
        <v>2</v>
      </c>
      <c r="B6" s="34" t="inlineStr">
        <is>
          <t>江苏德邦</t>
        </is>
      </c>
      <c r="C6" s="35" t="inlineStr">
        <is>
          <t>连云港德邦搬迁</t>
        </is>
      </c>
      <c r="D6" s="26" t="inlineStr">
        <is>
          <t>江苏·连云港</t>
        </is>
      </c>
      <c r="E6" s="38" t="inlineStr">
        <is>
          <t>联碱</t>
        </is>
      </c>
      <c r="F6" s="40" t="n">
        <v>60</v>
      </c>
      <c r="G6" s="41" t="inlineStr">
        <is>
          <t>搬迁</t>
        </is>
      </c>
      <c r="H6" s="24" t="inlineStr">
        <is>
          <t>已投产</t>
        </is>
      </c>
      <c r="I6" s="25" t="n">
        <v>2025</v>
      </c>
      <c r="J6" s="26" t="inlineStr">
        <is>
          <t>2025年2月出货</t>
        </is>
      </c>
      <c r="K6" s="42" t="inlineStr">
        <is>
          <t>0（置换）</t>
        </is>
      </c>
      <c r="L6" s="26" t="inlineStr">
        <is>
          <t>华东沿海联碱供给增加，与连碱形成连云港集群</t>
        </is>
      </c>
      <c r="M6" s="30" t="inlineStr">
        <is>
          <t>B</t>
        </is>
      </c>
      <c r="N6" s="29" t="inlineStr">
        <is>
          <t>S09</t>
        </is>
      </c>
    </row>
    <row r="7" ht="34" customHeight="1">
      <c r="A7" s="18" t="n">
        <v>3</v>
      </c>
      <c r="B7" s="34" t="inlineStr">
        <is>
          <t>双环科技</t>
        </is>
      </c>
      <c r="C7" s="35" t="inlineStr">
        <is>
          <t>60万吨联碱节能技改</t>
        </is>
      </c>
      <c r="D7" s="26" t="inlineStr">
        <is>
          <t>湖北·应城</t>
        </is>
      </c>
      <c r="E7" s="38" t="inlineStr">
        <is>
          <t>联碱</t>
        </is>
      </c>
      <c r="F7" s="40" t="n">
        <v>60</v>
      </c>
      <c r="G7" s="41" t="inlineStr">
        <is>
          <t>技改</t>
        </is>
      </c>
      <c r="H7" s="24" t="inlineStr">
        <is>
          <t>推进中</t>
        </is>
      </c>
      <c r="I7" s="25" t="n">
        <v>2025</v>
      </c>
      <c r="J7" s="26" t="inlineStr">
        <is>
          <t>2023年公告，等量置换；2025年推进</t>
        </is>
      </c>
      <c r="K7" s="42" t="inlineStr">
        <is>
          <t>0（等量）</t>
        </is>
      </c>
      <c r="L7" s="26" t="inlineStr">
        <is>
          <t>不增加总产能，但降低能耗/成本，增强应城货源的价格竞争力</t>
        </is>
      </c>
      <c r="M7" s="28" t="inlineStr">
        <is>
          <t>A</t>
        </is>
      </c>
      <c r="N7" s="29" t="inlineStr">
        <is>
          <t>S02</t>
        </is>
      </c>
    </row>
    <row r="8" ht="48" customHeight="1">
      <c r="A8" s="18" t="n">
        <v>4</v>
      </c>
      <c r="B8" s="34" t="inlineStr">
        <is>
          <t>博源化工</t>
        </is>
      </c>
      <c r="C8" s="35" t="inlineStr">
        <is>
          <t>阿拉善二期</t>
        </is>
      </c>
      <c r="D8" s="26" t="inlineStr">
        <is>
          <t>内蒙古·阿拉善右旗</t>
        </is>
      </c>
      <c r="E8" s="38" t="inlineStr">
        <is>
          <t>天然碱</t>
        </is>
      </c>
      <c r="F8" s="40" t="n">
        <v>280</v>
      </c>
      <c r="G8" s="41" t="inlineStr">
        <is>
          <t>新增</t>
        </is>
      </c>
      <c r="H8" s="24" t="inlineStr">
        <is>
          <t>试车/爬坡</t>
        </is>
      </c>
      <c r="I8" s="25" t="n">
        <v>2026</v>
      </c>
      <c r="J8" s="26" t="inlineStr">
        <is>
          <t>2025-12首条100万吨线投料；2026年其余线逐步试车</t>
        </is>
      </c>
      <c r="K8" s="42" t="inlineStr">
        <is>
          <t>+280</t>
        </is>
      </c>
      <c r="L8" s="26" t="inlineStr">
        <is>
          <t>低成本天然碱增量，全国价格中枢承压；华东/华南到货价差收窄，远距离高成本货源先被挤出</t>
        </is>
      </c>
      <c r="M8" s="28" t="inlineStr">
        <is>
          <t>A</t>
        </is>
      </c>
      <c r="N8" s="29" t="inlineStr">
        <is>
          <t>S04 / S06</t>
        </is>
      </c>
    </row>
    <row r="9" ht="34" customHeight="1">
      <c r="A9" s="18" t="n">
        <v>5</v>
      </c>
      <c r="B9" s="34" t="inlineStr">
        <is>
          <t>金山化工</t>
        </is>
      </c>
      <c r="C9" s="35" t="inlineStr">
        <is>
          <t>潜江盐穴综合开发一期</t>
        </is>
      </c>
      <c r="D9" s="26" t="inlineStr">
        <is>
          <t>湖北·潜江</t>
        </is>
      </c>
      <c r="E9" s="38" t="inlineStr">
        <is>
          <t>联碱</t>
        </is>
      </c>
      <c r="F9" s="40" t="n">
        <v>150</v>
      </c>
      <c r="G9" s="41" t="inlineStr">
        <is>
          <t>搬迁</t>
        </is>
      </c>
      <c r="H9" s="24" t="inlineStr">
        <is>
          <t>在建</t>
        </is>
      </c>
      <c r="I9" s="25" t="n">
        <v>2026</v>
      </c>
      <c r="J9" s="26" t="inlineStr">
        <is>
          <t>2025-04开工，预计2026-06投产；一期150万吨纯碱（搬迁产能）</t>
        </is>
      </c>
      <c r="K9" s="42" t="inlineStr">
        <is>
          <t>0（若河南老产能退出）</t>
        </is>
      </c>
      <c r="L9" s="26" t="inlineStr">
        <is>
          <t>金山南向运距缩短，华中/华南铁路竞争加剧；净增取决于河南老线是否关停</t>
        </is>
      </c>
      <c r="M9" s="30" t="inlineStr">
        <is>
          <t>B</t>
        </is>
      </c>
      <c r="N9" s="29" t="inlineStr">
        <is>
          <t>S21</t>
        </is>
      </c>
    </row>
    <row r="10" ht="34" customHeight="1">
      <c r="A10" s="18" t="n">
        <v>6</v>
      </c>
      <c r="B10" s="34" t="inlineStr">
        <is>
          <t>新都化工</t>
        </is>
      </c>
      <c r="C10" s="35" t="inlineStr">
        <is>
          <t>应城联碱扩产</t>
        </is>
      </c>
      <c r="D10" s="26" t="inlineStr">
        <is>
          <t>湖北·应城</t>
        </is>
      </c>
      <c r="E10" s="38" t="inlineStr">
        <is>
          <t>联碱</t>
        </is>
      </c>
      <c r="F10" s="40" t="n">
        <v>70</v>
      </c>
      <c r="G10" s="41" t="inlineStr">
        <is>
          <t>新增</t>
        </is>
      </c>
      <c r="H10" s="24" t="inlineStr">
        <is>
          <t>建成/投产</t>
        </is>
      </c>
      <c r="I10" s="25" t="n">
        <v>2026</v>
      </c>
      <c r="J10" s="26" t="inlineStr">
        <is>
          <t>2025年底建成，2026年投产（行业口径60-70万吨）</t>
        </is>
      </c>
      <c r="K10" s="42" t="inlineStr">
        <is>
          <t>+70</t>
        </is>
      </c>
      <c r="L10" s="26" t="inlineStr">
        <is>
          <t>应城集群供给增加，华中/华南铁路货源更充裕；对广东到厂价形成压制</t>
        </is>
      </c>
      <c r="M10" s="30" t="inlineStr">
        <is>
          <t>B</t>
        </is>
      </c>
      <c r="N10" s="29" t="inlineStr">
        <is>
          <t>S09 / S22 / S28</t>
        </is>
      </c>
    </row>
    <row r="11" ht="34" customHeight="1">
      <c r="A11" s="18" t="n">
        <v>7</v>
      </c>
      <c r="B11" s="34" t="inlineStr">
        <is>
          <t>雪天盐业</t>
        </is>
      </c>
      <c r="C11" s="35" t="inlineStr">
        <is>
          <t>衡阳绿色盐碱基地</t>
        </is>
      </c>
      <c r="D11" s="26" t="inlineStr">
        <is>
          <t>湖南·衡阳</t>
        </is>
      </c>
      <c r="E11" s="38" t="inlineStr">
        <is>
          <t>联碱</t>
        </is>
      </c>
      <c r="F11" s="40" t="n">
        <v>80</v>
      </c>
      <c r="G11" s="41" t="inlineStr">
        <is>
          <t>新增</t>
        </is>
      </c>
      <c r="H11" s="24" t="inlineStr">
        <is>
          <t>在建</t>
        </is>
      </c>
      <c r="I11" s="25" t="n">
        <v>2027</v>
      </c>
      <c r="J11" s="26" t="inlineStr">
        <is>
          <t>2024-02公告，投资87.87亿元；建设推进中，行业预计2026-2027</t>
        </is>
      </c>
      <c r="K11" s="42" t="inlineStr">
        <is>
          <t>+80</t>
        </is>
      </c>
      <c r="L11" s="26" t="inlineStr">
        <is>
          <t>首次在江门480km内形成规模化供给，粤北/珠三角近距竞争启动；本地“空白”窗口收窄</t>
        </is>
      </c>
      <c r="M11" s="28" t="inlineStr">
        <is>
          <t>A</t>
        </is>
      </c>
      <c r="N11" s="29" t="inlineStr">
        <is>
          <t>S11</t>
        </is>
      </c>
    </row>
    <row r="12" ht="34" customHeight="1">
      <c r="A12" s="18" t="n">
        <v>8</v>
      </c>
      <c r="B12" s="34" t="inlineStr">
        <is>
          <t>中盐化工</t>
        </is>
      </c>
      <c r="C12" s="35" t="inlineStr">
        <is>
          <t>奈曼旗天然碱</t>
        </is>
      </c>
      <c r="D12" s="26" t="inlineStr">
        <is>
          <t>内蒙古·通辽奈曼旗</t>
        </is>
      </c>
      <c r="E12" s="38" t="inlineStr">
        <is>
          <t>天然碱</t>
        </is>
      </c>
      <c r="F12" s="40" t="n">
        <v>500</v>
      </c>
      <c r="G12" s="41" t="inlineStr">
        <is>
          <t>新增</t>
        </is>
      </c>
      <c r="H12" s="24" t="inlineStr">
        <is>
          <t>前期/溶采试验</t>
        </is>
      </c>
      <c r="I12" s="25" t="n">
        <v>2029</v>
      </c>
      <c r="J12" s="26" t="inlineStr">
        <is>
          <t>2025-06取得采矿权；2025-08启动500万吨溶采试验；投产预计“十五五”中后期</t>
        </is>
      </c>
      <c r="K12" s="42" t="inlineStr">
        <is>
          <t>+500</t>
        </is>
      </c>
      <c r="L12" s="26" t="inlineStr">
        <is>
          <t>远期最大变量；东北/华北/华东沿海供给格局重写，经港口南下将压低华南到货成本</t>
        </is>
      </c>
      <c r="M12" s="28" t="inlineStr">
        <is>
          <t>A</t>
        </is>
      </c>
      <c r="N12" s="29" t="inlineStr">
        <is>
          <t>S07 / S29</t>
        </is>
      </c>
    </row>
    <row r="13">
      <c r="A13" s="31" t="inlineStr">
        <is>
          <t>合计 / 全部项目</t>
        </is>
      </c>
      <c r="F13" s="43" t="n">
        <v>1310</v>
      </c>
      <c r="G13" s="33" t="inlineStr">
        <is>
          <t>全部 1,310 万吨/年；2026+ 毛增量 1,080 万吨/年；净增约 930 万吨（含搬迁/置换，需逐项核）</t>
        </is>
      </c>
    </row>
    <row r="15" ht="22" customHeight="1">
      <c r="A15" s="12" t="inlineStr">
        <is>
          <t>注：项目规模为公开口径；搬迁/技改/置换不必然增加总产能，净增判断需结合老产能退出。项目状态以公告/环评/开工报道为准。</t>
        </is>
      </c>
    </row>
  </sheetData>
  <autoFilter ref="A4:N12"/>
  <mergeCells count="5">
    <mergeCell ref="A2:N2"/>
    <mergeCell ref="A15:N15"/>
    <mergeCell ref="A13:E13"/>
    <mergeCell ref="G13:N13"/>
    <mergeCell ref="A1:N1"/>
  </mergeCell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7" customWidth="1" min="4" max="4"/>
    <col width="7" customWidth="1" min="5" max="5"/>
    <col width="9" customWidth="1" min="6" max="6"/>
    <col width="9" customWidth="1" min="7" max="7"/>
    <col width="16" customWidth="1" min="8" max="8"/>
    <col width="12" customWidth="1" min="9" max="9"/>
    <col width="58" customWidth="1" min="10" max="10"/>
    <col width="9" customWidth="1" min="11" max="11"/>
  </cols>
  <sheetData>
    <row r="1" ht="34" customHeight="1">
      <c r="A1" s="15" t="inlineStr">
        <is>
          <t>04 / REGION VIEW  区域对照</t>
        </is>
      </c>
    </row>
    <row r="2" ht="26" customHeight="1">
      <c r="A2" s="16" t="inlineStr">
        <is>
          <t>省级产能为样本加总；无样本≠无货，只表示无在产工厂；需求线索单独标注</t>
        </is>
      </c>
    </row>
    <row r="4" ht="31" customHeight="1">
      <c r="A4" s="17" t="inlineStr">
        <is>
          <t>#</t>
        </is>
      </c>
      <c r="B4" s="17" t="inlineStr">
        <is>
          <t>省级区域</t>
        </is>
      </c>
      <c r="C4" s="17" t="inlineStr">
        <is>
          <t>样本在产
万吨/年</t>
        </is>
      </c>
      <c r="D4" s="17" t="inlineStr">
        <is>
          <t>工厂</t>
        </is>
      </c>
      <c r="E4" s="17" t="inlineStr">
        <is>
          <t>企业</t>
        </is>
      </c>
      <c r="F4" s="17" t="inlineStr">
        <is>
          <t>主导工艺</t>
        </is>
      </c>
      <c r="G4" s="17" t="inlineStr">
        <is>
          <t>到目标
km</t>
        </is>
      </c>
      <c r="H4" s="17" t="inlineStr">
        <is>
          <t>距离带</t>
        </is>
      </c>
      <c r="I4" s="17" t="inlineStr">
        <is>
          <t>本地供给判断</t>
        </is>
      </c>
      <c r="J4" s="17" t="inlineStr">
        <is>
          <t>需求 / 空白线索</t>
        </is>
      </c>
      <c r="K4" s="17" t="inlineStr">
        <is>
          <t>潜客样本</t>
        </is>
      </c>
    </row>
    <row r="5" ht="24" customHeight="1">
      <c r="A5" s="18" t="n">
        <v>1</v>
      </c>
      <c r="B5" s="44" t="inlineStr">
        <is>
          <t>内蒙古</t>
        </is>
      </c>
      <c r="C5" s="22" t="n">
        <v>535</v>
      </c>
      <c r="D5" s="25" t="n">
        <v>2</v>
      </c>
      <c r="E5" s="25" t="n">
        <v>2</v>
      </c>
      <c r="F5" s="38" t="inlineStr">
        <is>
          <t>天然碱</t>
        </is>
      </c>
      <c r="G5" s="25" t="n">
        <v>2034</v>
      </c>
      <c r="H5" s="41" t="inlineStr">
        <is>
          <t>密集</t>
        </is>
      </c>
      <c r="I5" s="45" t="inlineStr">
        <is>
          <t>本地</t>
        </is>
      </c>
      <c r="J5" s="26" t="inlineStr">
        <is>
          <t>天然碱资源；本地535万吨，外运型</t>
        </is>
      </c>
      <c r="K5" s="25" t="n">
        <v>0</v>
      </c>
    </row>
    <row r="6" ht="24" customHeight="1">
      <c r="A6" s="18" t="n">
        <v>2</v>
      </c>
      <c r="B6" s="44" t="inlineStr">
        <is>
          <t>河南</t>
        </is>
      </c>
      <c r="C6" s="22" t="n">
        <v>510</v>
      </c>
      <c r="D6" s="25" t="n">
        <v>2</v>
      </c>
      <c r="E6" s="25" t="n">
        <v>2</v>
      </c>
      <c r="F6" s="38" t="inlineStr">
        <is>
          <t>联碱</t>
        </is>
      </c>
      <c r="G6" s="25" t="n">
        <v>1089</v>
      </c>
      <c r="H6" s="41" t="inlineStr">
        <is>
          <t>密集</t>
        </is>
      </c>
      <c r="I6" s="45" t="inlineStr">
        <is>
          <t>本地</t>
        </is>
      </c>
      <c r="J6" s="26" t="inlineStr">
        <is>
          <t>玻璃/化工；本地510万吨，密集</t>
        </is>
      </c>
      <c r="K6" s="25" t="n">
        <v>0</v>
      </c>
    </row>
    <row r="7" ht="24" customHeight="1">
      <c r="A7" s="18" t="n">
        <v>3</v>
      </c>
      <c r="B7" s="44" t="inlineStr">
        <is>
          <t>山东</t>
        </is>
      </c>
      <c r="C7" s="22" t="n">
        <v>430</v>
      </c>
      <c r="D7" s="25" t="n">
        <v>2</v>
      </c>
      <c r="E7" s="25" t="n">
        <v>2</v>
      </c>
      <c r="F7" s="38" t="inlineStr">
        <is>
          <t>氨碱</t>
        </is>
      </c>
      <c r="G7" s="25" t="n">
        <v>1653</v>
      </c>
      <c r="H7" s="41" t="inlineStr">
        <is>
          <t>密集</t>
        </is>
      </c>
      <c r="I7" s="45" t="inlineStr">
        <is>
          <t>本地</t>
        </is>
      </c>
      <c r="J7" s="26" t="inlineStr">
        <is>
          <t>浮法/日用玻璃+化工；本地430万吨，密集</t>
        </is>
      </c>
      <c r="K7" s="25" t="n">
        <v>0</v>
      </c>
    </row>
    <row r="8" ht="24" customHeight="1">
      <c r="A8" s="18" t="n">
        <v>4</v>
      </c>
      <c r="B8" s="44" t="inlineStr">
        <is>
          <t>青海</t>
        </is>
      </c>
      <c r="C8" s="22" t="n">
        <v>405</v>
      </c>
      <c r="D8" s="25" t="n">
        <v>3</v>
      </c>
      <c r="E8" s="25" t="n">
        <v>2</v>
      </c>
      <c r="F8" s="38" t="inlineStr">
        <is>
          <t>氨碱</t>
        </is>
      </c>
      <c r="G8" s="25" t="n">
        <v>2215</v>
      </c>
      <c r="H8" s="41" t="inlineStr">
        <is>
          <t>密集</t>
        </is>
      </c>
      <c r="I8" s="45" t="inlineStr">
        <is>
          <t>本地</t>
        </is>
      </c>
      <c r="J8" s="26" t="inlineStr">
        <is>
          <t>盐湖化工；本地405万吨，外运型</t>
        </is>
      </c>
      <c r="K8" s="25" t="n">
        <v>0</v>
      </c>
    </row>
    <row r="9" ht="24" customHeight="1">
      <c r="A9" s="18" t="n">
        <v>5</v>
      </c>
      <c r="B9" s="44" t="inlineStr">
        <is>
          <t>江苏</t>
        </is>
      </c>
      <c r="C9" s="22" t="n">
        <v>370</v>
      </c>
      <c r="D9" s="25" t="n">
        <v>5</v>
      </c>
      <c r="E9" s="25" t="n">
        <v>5</v>
      </c>
      <c r="F9" s="38" t="inlineStr">
        <is>
          <t>联碱</t>
        </is>
      </c>
      <c r="G9" s="25" t="n">
        <v>1253</v>
      </c>
      <c r="H9" s="41" t="inlineStr">
        <is>
          <t>较密集</t>
        </is>
      </c>
      <c r="I9" s="45" t="inlineStr">
        <is>
          <t>本地</t>
        </is>
      </c>
      <c r="J9" s="26" t="inlineStr">
        <is>
          <t>光伏/浮法玻璃集群；本地370万吨，竞争密集</t>
        </is>
      </c>
      <c r="K9" s="25" t="n">
        <v>0</v>
      </c>
    </row>
    <row r="10" ht="24" customHeight="1">
      <c r="A10" s="18" t="n">
        <v>6</v>
      </c>
      <c r="B10" s="44" t="inlineStr">
        <is>
          <t>河北</t>
        </is>
      </c>
      <c r="C10" s="22" t="n">
        <v>230</v>
      </c>
      <c r="D10" s="25" t="n">
        <v>1</v>
      </c>
      <c r="E10" s="25" t="n">
        <v>1</v>
      </c>
      <c r="F10" s="38" t="inlineStr">
        <is>
          <t>氨碱</t>
        </is>
      </c>
      <c r="G10" s="25" t="n">
        <v>1917</v>
      </c>
      <c r="H10" s="41" t="inlineStr">
        <is>
          <t>较密集</t>
        </is>
      </c>
      <c r="I10" s="45" t="inlineStr">
        <is>
          <t>本地</t>
        </is>
      </c>
      <c r="J10" s="26" t="inlineStr">
        <is>
          <t>沙河浮法玻璃集群；本地230万吨</t>
        </is>
      </c>
      <c r="K10" s="25" t="n">
        <v>0</v>
      </c>
    </row>
    <row r="11" ht="24" customHeight="1">
      <c r="A11" s="18" t="n">
        <v>7</v>
      </c>
      <c r="B11" s="44" t="inlineStr">
        <is>
          <t>湖北</t>
        </is>
      </c>
      <c r="C11" s="22" t="n">
        <v>170</v>
      </c>
      <c r="D11" s="25" t="n">
        <v>2</v>
      </c>
      <c r="E11" s="25" t="n">
        <v>2</v>
      </c>
      <c r="F11" s="38" t="inlineStr">
        <is>
          <t>联碱</t>
        </is>
      </c>
      <c r="G11" s="25" t="n">
        <v>924</v>
      </c>
      <c r="H11" s="41" t="inlineStr">
        <is>
          <t>薄</t>
        </is>
      </c>
      <c r="I11" s="45" t="inlineStr">
        <is>
          <t>本地</t>
        </is>
      </c>
      <c r="J11" s="26" t="inlineStr">
        <is>
          <t>玻璃/化工；本地170万吨，应城集群</t>
        </is>
      </c>
      <c r="K11" s="25" t="n">
        <v>0</v>
      </c>
    </row>
    <row r="12" ht="24" customHeight="1">
      <c r="A12" s="18" t="n">
        <v>8</v>
      </c>
      <c r="B12" s="44" t="inlineStr">
        <is>
          <t>四川</t>
        </is>
      </c>
      <c r="C12" s="22" t="n">
        <v>110</v>
      </c>
      <c r="D12" s="25" t="n">
        <v>1</v>
      </c>
      <c r="E12" s="25" t="n">
        <v>1</v>
      </c>
      <c r="F12" s="38" t="inlineStr">
        <is>
          <t>联碱</t>
        </is>
      </c>
      <c r="G12" s="25" t="n">
        <v>1210</v>
      </c>
      <c r="H12" s="41" t="inlineStr">
        <is>
          <t>薄</t>
        </is>
      </c>
      <c r="I12" s="45" t="inlineStr">
        <is>
          <t>本地</t>
        </is>
      </c>
      <c r="J12" s="26" t="inlineStr">
        <is>
          <t>玻璃/化工；本地110万吨</t>
        </is>
      </c>
      <c r="K12" s="25" t="n">
        <v>0</v>
      </c>
    </row>
    <row r="13" ht="24" customHeight="1">
      <c r="A13" s="18" t="n">
        <v>9</v>
      </c>
      <c r="B13" s="44" t="inlineStr">
        <is>
          <t>重庆</t>
        </is>
      </c>
      <c r="C13" s="22" t="n">
        <v>100</v>
      </c>
      <c r="D13" s="25" t="n">
        <v>1</v>
      </c>
      <c r="E13" s="25" t="n">
        <v>1</v>
      </c>
      <c r="F13" s="38" t="inlineStr">
        <is>
          <t>联碱</t>
        </is>
      </c>
      <c r="G13" s="25" t="n">
        <v>1026</v>
      </c>
      <c r="H13" s="41" t="inlineStr">
        <is>
          <t>薄</t>
        </is>
      </c>
      <c r="I13" s="45" t="inlineStr">
        <is>
          <t>本地</t>
        </is>
      </c>
      <c r="J13" s="26" t="inlineStr">
        <is>
          <t>玻璃/化工；本地100万吨</t>
        </is>
      </c>
      <c r="K13" s="25" t="n">
        <v>0</v>
      </c>
    </row>
    <row r="14" ht="24" customHeight="1">
      <c r="A14" s="18" t="n">
        <v>10</v>
      </c>
      <c r="B14" s="44" t="inlineStr">
        <is>
          <t>天津</t>
        </is>
      </c>
      <c r="C14" s="22" t="n">
        <v>80</v>
      </c>
      <c r="D14" s="25" t="n">
        <v>1</v>
      </c>
      <c r="E14" s="25" t="n">
        <v>1</v>
      </c>
      <c r="F14" s="38" t="inlineStr">
        <is>
          <t>联碱</t>
        </is>
      </c>
      <c r="G14" s="25" t="n">
        <v>1876</v>
      </c>
      <c r="H14" s="41" t="inlineStr">
        <is>
          <t>薄</t>
        </is>
      </c>
      <c r="I14" s="45" t="inlineStr">
        <is>
          <t>本地</t>
        </is>
      </c>
      <c r="J14" s="26" t="inlineStr">
        <is>
          <t>港口+化工；本地80万吨</t>
        </is>
      </c>
      <c r="K14" s="25" t="n">
        <v>0</v>
      </c>
    </row>
    <row r="15" ht="24" customHeight="1">
      <c r="A15" s="18" t="n">
        <v>11</v>
      </c>
      <c r="B15" s="44" t="inlineStr">
        <is>
          <t>安徽</t>
        </is>
      </c>
      <c r="C15" s="22" t="n">
        <v>70</v>
      </c>
      <c r="D15" s="25" t="n">
        <v>1</v>
      </c>
      <c r="E15" s="25" t="n">
        <v>1</v>
      </c>
      <c r="F15" s="38" t="inlineStr">
        <is>
          <t>联碱</t>
        </is>
      </c>
      <c r="G15" s="25" t="n">
        <v>1106</v>
      </c>
      <c r="H15" s="41" t="inlineStr">
        <is>
          <t>薄</t>
        </is>
      </c>
      <c r="I15" s="45" t="inlineStr">
        <is>
          <t>本地</t>
        </is>
      </c>
      <c r="J15" s="26" t="inlineStr">
        <is>
          <t>光伏玻璃集群（滁州/凤阳）；本地70万吨</t>
        </is>
      </c>
      <c r="K15" s="25" t="n">
        <v>0</v>
      </c>
    </row>
    <row r="16" ht="34" customHeight="1">
      <c r="A16" s="18" t="n">
        <v>12</v>
      </c>
      <c r="B16" s="44" t="inlineStr">
        <is>
          <t>广东</t>
        </is>
      </c>
      <c r="C16" s="43" t="n">
        <v>60</v>
      </c>
      <c r="D16" s="25" t="n">
        <v>1</v>
      </c>
      <c r="E16" s="25" t="n">
        <v>1</v>
      </c>
      <c r="F16" s="38" t="inlineStr">
        <is>
          <t>氨碱</t>
        </is>
      </c>
      <c r="G16" s="25" t="n">
        <v>69</v>
      </c>
      <c r="H16" s="41" t="inlineStr">
        <is>
          <t>薄</t>
        </is>
      </c>
      <c r="I16" s="45" t="inlineStr">
        <is>
          <t>本地</t>
        </is>
      </c>
      <c r="J16" s="26" t="inlineStr">
        <is>
          <t>珠三角年纯碱需求约150万吨（南方碱业公开口径）；广东浮法玻璃29条线（2019调研）</t>
        </is>
      </c>
      <c r="K16" s="25" t="n">
        <v>8</v>
      </c>
    </row>
    <row r="17" ht="24" customHeight="1">
      <c r="A17" s="18" t="n">
        <v>13</v>
      </c>
      <c r="B17" s="44" t="inlineStr">
        <is>
          <t>广西</t>
        </is>
      </c>
      <c r="C17" s="22" t="n">
        <v>0</v>
      </c>
      <c r="D17" s="25" t="n">
        <v>0</v>
      </c>
      <c r="E17" s="25" t="n">
        <v>0</v>
      </c>
      <c r="F17" s="38" t="inlineStr">
        <is>
          <t>—</t>
        </is>
      </c>
      <c r="G17" s="25" t="inlineStr">
        <is>
          <t>—</t>
        </is>
      </c>
      <c r="H17" s="41" t="inlineStr">
        <is>
          <t>空白</t>
        </is>
      </c>
      <c r="I17" s="45" t="inlineStr">
        <is>
          <t>无在产</t>
        </is>
      </c>
      <c r="J17" s="26" t="inlineStr">
        <is>
          <t>浮法/日用玻璃；本地无在产样本</t>
        </is>
      </c>
      <c r="K17" s="25" t="n">
        <v>0</v>
      </c>
    </row>
    <row r="18" ht="24" customHeight="1">
      <c r="A18" s="18" t="n">
        <v>14</v>
      </c>
      <c r="B18" s="44" t="inlineStr">
        <is>
          <t>江西</t>
        </is>
      </c>
      <c r="C18" s="22" t="n">
        <v>0</v>
      </c>
      <c r="D18" s="25" t="n">
        <v>0</v>
      </c>
      <c r="E18" s="25" t="n">
        <v>0</v>
      </c>
      <c r="F18" s="38" t="inlineStr">
        <is>
          <t>—</t>
        </is>
      </c>
      <c r="G18" s="25" t="inlineStr">
        <is>
          <t>—</t>
        </is>
      </c>
      <c r="H18" s="41" t="inlineStr">
        <is>
          <t>空白</t>
        </is>
      </c>
      <c r="I18" s="45" t="inlineStr">
        <is>
          <t>无在产</t>
        </is>
      </c>
      <c r="J18" s="26" t="inlineStr">
        <is>
          <t>陶瓷/玻璃；本地无在产样本</t>
        </is>
      </c>
      <c r="K18" s="25" t="n">
        <v>0</v>
      </c>
    </row>
    <row r="19" ht="24" customHeight="1">
      <c r="A19" s="18" t="n">
        <v>15</v>
      </c>
      <c r="B19" s="44" t="inlineStr">
        <is>
          <t>浙江</t>
        </is>
      </c>
      <c r="C19" s="22" t="n">
        <v>0</v>
      </c>
      <c r="D19" s="25" t="n">
        <v>0</v>
      </c>
      <c r="E19" s="25" t="n">
        <v>0</v>
      </c>
      <c r="F19" s="38" t="inlineStr">
        <is>
          <t>—</t>
        </is>
      </c>
      <c r="G19" s="25" t="inlineStr">
        <is>
          <t>—</t>
        </is>
      </c>
      <c r="H19" s="41" t="inlineStr">
        <is>
          <t>空白</t>
        </is>
      </c>
      <c r="I19" s="45" t="inlineStr">
        <is>
          <t>无在产</t>
        </is>
      </c>
      <c r="J19" s="26" t="inlineStr">
        <is>
          <t>光伏/浮法玻璃集群（嘉兴、宁波）；本地无在产纯碱样本</t>
        </is>
      </c>
      <c r="K19" s="25" t="n">
        <v>0</v>
      </c>
    </row>
    <row r="20" ht="24" customHeight="1">
      <c r="A20" s="18" t="n">
        <v>16</v>
      </c>
      <c r="B20" s="44" t="inlineStr">
        <is>
          <t>海南</t>
        </is>
      </c>
      <c r="C20" s="22" t="n">
        <v>0</v>
      </c>
      <c r="D20" s="25" t="n">
        <v>0</v>
      </c>
      <c r="E20" s="25" t="n">
        <v>0</v>
      </c>
      <c r="F20" s="38" t="inlineStr">
        <is>
          <t>—</t>
        </is>
      </c>
      <c r="G20" s="25" t="inlineStr">
        <is>
          <t>—</t>
        </is>
      </c>
      <c r="H20" s="41" t="inlineStr">
        <is>
          <t>空白</t>
        </is>
      </c>
      <c r="I20" s="45" t="inlineStr">
        <is>
          <t>无在产</t>
        </is>
      </c>
      <c r="J20" s="26" t="inlineStr">
        <is>
          <t>玻璃/食品；本地无在产样本</t>
        </is>
      </c>
      <c r="K20" s="25" t="n">
        <v>0</v>
      </c>
    </row>
    <row r="21" ht="24" customHeight="1">
      <c r="A21" s="18" t="n">
        <v>17</v>
      </c>
      <c r="B21" s="44" t="inlineStr">
        <is>
          <t>湖南</t>
        </is>
      </c>
      <c r="C21" s="22" t="n">
        <v>0</v>
      </c>
      <c r="D21" s="25" t="n">
        <v>0</v>
      </c>
      <c r="E21" s="25" t="n">
        <v>0</v>
      </c>
      <c r="F21" s="38" t="inlineStr">
        <is>
          <t>—</t>
        </is>
      </c>
      <c r="G21" s="25" t="inlineStr">
        <is>
          <t>—</t>
        </is>
      </c>
      <c r="H21" s="41" t="inlineStr">
        <is>
          <t>空白</t>
        </is>
      </c>
      <c r="I21" s="45" t="inlineStr">
        <is>
          <t>无在产</t>
        </is>
      </c>
      <c r="J21" s="26" t="inlineStr">
        <is>
          <t>衡阳80万吨联碱在建；本地无在产样本</t>
        </is>
      </c>
      <c r="K21" s="25" t="n">
        <v>0</v>
      </c>
    </row>
    <row r="22" ht="24" customHeight="1">
      <c r="A22" s="18" t="n">
        <v>18</v>
      </c>
      <c r="B22" s="44" t="inlineStr">
        <is>
          <t>福建</t>
        </is>
      </c>
      <c r="C22" s="22" t="n">
        <v>0</v>
      </c>
      <c r="D22" s="25" t="n">
        <v>0</v>
      </c>
      <c r="E22" s="25" t="n">
        <v>0</v>
      </c>
      <c r="F22" s="38" t="inlineStr">
        <is>
          <t>—</t>
        </is>
      </c>
      <c r="G22" s="25" t="inlineStr">
        <is>
          <t>—</t>
        </is>
      </c>
      <c r="H22" s="41" t="inlineStr">
        <is>
          <t>空白</t>
        </is>
      </c>
      <c r="I22" s="45" t="inlineStr">
        <is>
          <t>无在产</t>
        </is>
      </c>
      <c r="J22" s="26" t="inlineStr">
        <is>
          <t>浮法玻璃集群（漳州、福州）；本地无在产纯碱样本</t>
        </is>
      </c>
      <c r="K22" s="25" t="n">
        <v>0</v>
      </c>
    </row>
    <row r="23" ht="24" customHeight="1">
      <c r="A23" s="31" t="inlineStr">
        <is>
          <t>合计 / 样本</t>
        </is>
      </c>
      <c r="C23" s="32" t="n">
        <v>3070</v>
      </c>
      <c r="D23" s="32" t="n">
        <v>22</v>
      </c>
      <c r="E23" s="32" t="n">
        <v>17</v>
      </c>
      <c r="F23" s="33" t="inlineStr">
        <is>
          <t>省级加总 = 企业/工厂合计</t>
        </is>
      </c>
    </row>
    <row r="25" ht="22" customHeight="1">
      <c r="A25" s="12" t="inlineStr">
        <is>
          <t>注：省级产能为样本加总，不是全省全部产能；无样本不等于无货。需求线索来自公开报道/协会/调研，年份见来源表。</t>
        </is>
      </c>
    </row>
  </sheetData>
  <autoFilter ref="A4:K22"/>
  <mergeCells count="5">
    <mergeCell ref="F23:K23"/>
    <mergeCell ref="A25:K25"/>
    <mergeCell ref="A2:K2"/>
    <mergeCell ref="A23:B23"/>
    <mergeCell ref="A1:K1"/>
  </mergeCell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30" customWidth="1" min="5" max="5"/>
    <col width="14" customWidth="1" min="6" max="6"/>
    <col width="14" customWidth="1" min="7" max="7"/>
    <col width="4" customWidth="1" min="8" max="8"/>
    <col width="45" customWidth="1" min="9" max="9"/>
    <col width="9" customWidth="1" min="10" max="10"/>
    <col width="16" customWidth="1" min="11" max="11"/>
  </cols>
  <sheetData>
    <row r="1" ht="34" customHeight="1">
      <c r="A1" s="15" t="inlineStr">
        <is>
          <t>05  TARGET REGION → PROSPECTS</t>
        </is>
      </c>
    </row>
    <row r="2" ht="26" customHeight="1">
      <c r="A2" s="16" t="inlineStr">
        <is>
          <t>广东 · 江门 · 示例客户：信义环保特种玻璃（江门）有限公司 ｜ 先看供给梯度，再看潜客与动作</t>
        </is>
      </c>
    </row>
    <row r="4" ht="34" customHeight="1">
      <c r="A4" s="46" t="inlineStr">
        <is>
          <t>目标区域
广东 · 江门</t>
        </is>
      </c>
      <c r="D4" s="46" t="inlineStr">
        <is>
          <t>本地在产
60 万吨/年</t>
        </is>
      </c>
    </row>
    <row r="5" ht="34" customHeight="1">
      <c r="A5" s="46" t="inlineStr">
        <is>
          <t>800km 内在产
60 万吨/年</t>
        </is>
      </c>
      <c r="D5" s="46" t="inlineStr">
        <is>
          <t>示例客户
信义玻璃 · 江门</t>
        </is>
      </c>
    </row>
    <row r="6" ht="34" customHeight="1">
      <c r="A6" s="46" t="inlineStr">
        <is>
          <t>示例客户用量
18 万吨/年（推算）</t>
        </is>
      </c>
    </row>
    <row r="7" ht="23" customHeight="1">
      <c r="A7" s="8" t="inlineStr">
        <is>
          <t>LADDER  供应梯度   从江门出发，按直线距离排序</t>
        </is>
      </c>
    </row>
    <row r="8" ht="31" customHeight="1">
      <c r="A8" s="17" t="inlineStr">
        <is>
          <t>顺序</t>
        </is>
      </c>
      <c r="B8" s="17" t="inlineStr">
        <is>
          <t>供给来源</t>
        </is>
      </c>
      <c r="C8" s="17" t="inlineStr">
        <is>
          <t>距离 km</t>
        </is>
      </c>
      <c r="D8" s="17" t="inlineStr">
        <is>
          <t>产能 万吨/年</t>
        </is>
      </c>
      <c r="E8" s="17" t="inlineStr">
        <is>
          <t>说明</t>
        </is>
      </c>
    </row>
    <row r="9" ht="22" customHeight="1">
      <c r="A9" s="18" t="n">
        <v>1</v>
      </c>
      <c r="B9" s="35" t="inlineStr">
        <is>
          <t>南方 · 广州黄埔南岗厂区</t>
        </is>
      </c>
      <c r="C9" s="25" t="n">
        <v>69</v>
      </c>
      <c r="D9" s="47" t="n">
        <v>60</v>
      </c>
      <c r="E9" s="26" t="inlineStr">
        <is>
          <t>广东 广州黄埔 · 氨碱 · ≤300km 本地</t>
        </is>
      </c>
    </row>
    <row r="10" ht="22" customHeight="1">
      <c r="A10" s="18" t="n">
        <v>2</v>
      </c>
      <c r="B10" s="35" t="inlineStr">
        <is>
          <t>新都 · 应城基地</t>
        </is>
      </c>
      <c r="C10" s="25" t="n">
        <v>924</v>
      </c>
      <c r="D10" s="47" t="n">
        <v>60</v>
      </c>
      <c r="E10" s="26" t="inlineStr">
        <is>
          <t>湖北 应城 · 联碱 · 800–1500km 长途</t>
        </is>
      </c>
    </row>
    <row r="11" ht="22" customHeight="1">
      <c r="A11" s="18" t="n">
        <v>3</v>
      </c>
      <c r="B11" s="35" t="inlineStr">
        <is>
          <t>双环 · 应城东马坊基地</t>
        </is>
      </c>
      <c r="C11" s="25" t="n">
        <v>930</v>
      </c>
      <c r="D11" s="47" t="n">
        <v>110</v>
      </c>
      <c r="E11" s="26" t="inlineStr">
        <is>
          <t>湖北 应城 · 联碱 · 800–1500km 长途</t>
        </is>
      </c>
    </row>
    <row r="12" ht="22" customHeight="1">
      <c r="A12" s="18" t="n">
        <v>4</v>
      </c>
      <c r="B12" s="35" t="inlineStr">
        <is>
          <t>雪天 · 湘渝盐化（万州）</t>
        </is>
      </c>
      <c r="C12" s="25" t="n">
        <v>1026</v>
      </c>
      <c r="D12" s="47" t="n">
        <v>100</v>
      </c>
      <c r="E12" s="26" t="inlineStr">
        <is>
          <t>重庆 万州 · 联碱 · 800–1500km 长途</t>
        </is>
      </c>
    </row>
    <row r="13" ht="22" customHeight="1">
      <c r="A13" s="18" t="n">
        <v>5</v>
      </c>
      <c r="B13" s="35" t="inlineStr">
        <is>
          <t>博源 · 桐柏中源化学基地</t>
        </is>
      </c>
      <c r="C13" s="25" t="n">
        <v>1089</v>
      </c>
      <c r="D13" s="47" t="n">
        <v>180</v>
      </c>
      <c r="E13" s="26" t="inlineStr">
        <is>
          <t>河南 南阳桐柏 · 天然碱 · 800–1500km 长途</t>
        </is>
      </c>
    </row>
    <row r="14" ht="22" customHeight="1">
      <c r="A14" s="18" t="n">
        <v>6</v>
      </c>
      <c r="B14" s="35" t="inlineStr">
        <is>
          <t>红四方 · 合肥基地</t>
        </is>
      </c>
      <c r="C14" s="25" t="n">
        <v>1106</v>
      </c>
      <c r="D14" s="47" t="n">
        <v>70</v>
      </c>
      <c r="E14" s="26" t="inlineStr">
        <is>
          <t>安徽 合肥 · 联碱 · 800–1500km 长途</t>
        </is>
      </c>
    </row>
    <row r="15" ht="22" customHeight="1">
      <c r="A15" s="18" t="n">
        <v>7</v>
      </c>
      <c r="B15" s="35" t="inlineStr">
        <is>
          <t>金山 · 舞阳盐化工基地</t>
        </is>
      </c>
      <c r="C15" s="25" t="n">
        <v>1209</v>
      </c>
      <c r="D15" s="47" t="n">
        <v>330</v>
      </c>
      <c r="E15" s="26" t="inlineStr">
        <is>
          <t>河南 漯河舞阳 · 联碱 · 800–1500km 长途</t>
        </is>
      </c>
    </row>
    <row r="16" ht="22" customHeight="1">
      <c r="A16" s="18" t="n">
        <v>8</v>
      </c>
      <c r="B16" s="35" t="inlineStr">
        <is>
          <t>和邦 · 乐山五通桥基地</t>
        </is>
      </c>
      <c r="C16" s="25" t="n">
        <v>1210</v>
      </c>
      <c r="D16" s="47" t="n">
        <v>110</v>
      </c>
      <c r="E16" s="26" t="inlineStr">
        <is>
          <t>四川 乐山 · 联碱 · 800–1500km 长途</t>
        </is>
      </c>
    </row>
    <row r="17" ht="22" customHeight="1">
      <c r="A17" s="12" t="inlineStr">
        <is>
          <t>注：距离为直线距离，不是铁路/水运运距；供应梯度用于排序，不替代到厂成本测算。</t>
        </is>
      </c>
    </row>
    <row r="19" ht="23" customHeight="1">
      <c r="A19" s="8" t="inlineStr">
        <is>
          <t>PROSPECTS  区域潜客样本   8 家 · 只放可核实的规模/业务事实；用量为推算</t>
        </is>
      </c>
    </row>
    <row r="20" ht="31" customHeight="1">
      <c r="A20" s="17" t="inlineStr">
        <is>
          <t>优先级</t>
        </is>
      </c>
      <c r="B20" s="17" t="inlineStr">
        <is>
          <t>客户</t>
        </is>
      </c>
      <c r="C20" s="17" t="inlineStr">
        <is>
          <t>城市</t>
        </is>
      </c>
      <c r="D20" s="17" t="inlineStr">
        <is>
          <t>赛道</t>
        </is>
      </c>
      <c r="E20" s="17" t="inlineStr">
        <is>
          <t>公开规模</t>
        </is>
      </c>
      <c r="F20" s="17" t="inlineStr">
        <is>
          <t>用量级</t>
        </is>
      </c>
      <c r="G20" s="17" t="inlineStr">
        <is>
          <t>使用场景</t>
        </is>
      </c>
      <c r="H20" s="17" t="inlineStr"/>
      <c r="I20" s="17" t="inlineStr">
        <is>
          <t>为什么优先 / 下一步</t>
        </is>
      </c>
      <c r="J20" s="17" t="inlineStr">
        <is>
          <t>等级</t>
        </is>
      </c>
      <c r="K20" s="17" t="inlineStr">
        <is>
          <t>来源</t>
        </is>
      </c>
    </row>
    <row r="21" ht="48" customHeight="1">
      <c r="A21" s="48" t="inlineStr">
        <is>
          <t>S</t>
        </is>
      </c>
      <c r="B21" s="35" t="inlineStr">
        <is>
          <t>信义玻璃·江门</t>
        </is>
      </c>
      <c r="C21" s="24" t="inlineStr">
        <is>
          <t>江门</t>
        </is>
      </c>
      <c r="D21" s="26" t="inlineStr">
        <is>
          <t>浮法玻璃</t>
        </is>
      </c>
      <c r="E21" s="26" t="inlineStr">
        <is>
          <t>3条×900 t/d 浮法线（2011年一期）</t>
        </is>
      </c>
      <c r="F21" s="26" t="inlineStr">
        <is>
          <t>约18万吨/年（推算）</t>
        </is>
      </c>
      <c r="G21" s="26" t="inlineStr">
        <is>
          <t>重碱：浮法/超白浮法玻璃</t>
        </is>
      </c>
      <c r="I21" s="49" t="inlineStr">
        <is>
          <t>单客户用碱量约等于本地供给的30%；距南方碱业约65km，是本地锚点客户
→ 先做重碱粒度/水不溶物对标；用“本地提货+外省补充”双源方案切供应份额</t>
        </is>
      </c>
      <c r="J21" s="28" t="inlineStr">
        <is>
          <t>A</t>
        </is>
      </c>
      <c r="K21" s="29" t="inlineStr">
        <is>
          <t>S17 / S14</t>
        </is>
      </c>
    </row>
    <row r="22" ht="48" customHeight="1">
      <c r="A22" s="48" t="inlineStr">
        <is>
          <t>S</t>
        </is>
      </c>
      <c r="B22" s="35" t="inlineStr">
        <is>
          <t>华兴玻璃·佛山</t>
        </is>
      </c>
      <c r="C22" s="24" t="inlineStr">
        <is>
          <t>佛山</t>
        </is>
      </c>
      <c r="D22" s="26" t="inlineStr">
        <is>
          <t>日用玻璃</t>
        </is>
      </c>
      <c r="E22" s="26" t="inlineStr">
        <is>
          <t>高明基地55万吨/年，5座窑炉、23条线</t>
        </is>
      </c>
      <c r="F22" s="26" t="inlineStr">
        <is>
          <t>约11万吨/年（推算）</t>
        </is>
      </c>
      <c r="G22" s="26" t="inlineStr">
        <is>
          <t>轻碱/重碱：瓶罐玻璃</t>
        </is>
      </c>
      <c r="I22" s="49" t="inlineStr">
        <is>
          <t>亚洲日用玻璃龙头，佛山高明基地用碱稳定；轻碱可小批量、多频次
→ 以轻碱吨袋/散装+JIT 库存切入；对比南方碱业出厂价与短驳成本</t>
        </is>
      </c>
      <c r="J22" s="28" t="inlineStr">
        <is>
          <t>A</t>
        </is>
      </c>
      <c r="K22" s="29" t="inlineStr">
        <is>
          <t>S18</t>
        </is>
      </c>
    </row>
    <row r="23" ht="48" customHeight="1">
      <c r="A23" s="44" t="inlineStr">
        <is>
          <t>A</t>
        </is>
      </c>
      <c r="B23" s="35" t="inlineStr">
        <is>
          <t>旗滨·河源</t>
        </is>
      </c>
      <c r="C23" s="24" t="inlineStr">
        <is>
          <t>河源</t>
        </is>
      </c>
      <c r="D23" s="26" t="inlineStr">
        <is>
          <t>浮法玻璃</t>
        </is>
      </c>
      <c r="E23" s="26" t="inlineStr">
        <is>
          <t>旗滨集团浮法基地之一；集团24条浮法线</t>
        </is>
      </c>
      <c r="F23" s="26" t="inlineStr">
        <is>
          <t>未披露</t>
        </is>
      </c>
      <c r="G23" s="26" t="inlineStr">
        <is>
          <t>重碱：浮法玻璃</t>
        </is>
      </c>
      <c r="I23" s="49" t="inlineStr">
        <is>
          <t>粤北浮法集群；衡阳80万吨项目投产后，河源将成为近距竞争前沿
→ 跟踪其重碱供应商结构；以铁路到厂价+保供能力做第二供应商</t>
        </is>
      </c>
      <c r="J23" s="30" t="inlineStr">
        <is>
          <t>B</t>
        </is>
      </c>
      <c r="K23" s="29" t="inlineStr">
        <is>
          <t>S30</t>
        </is>
      </c>
    </row>
    <row r="24" ht="48" customHeight="1">
      <c r="A24" s="44" t="inlineStr">
        <is>
          <t>A</t>
        </is>
      </c>
      <c r="B24" s="35" t="inlineStr">
        <is>
          <t>南玻·东莞</t>
        </is>
      </c>
      <c r="C24" s="24" t="inlineStr">
        <is>
          <t>东莞</t>
        </is>
      </c>
      <c r="D24" s="26" t="inlineStr">
        <is>
          <t>浮法玻璃</t>
        </is>
      </c>
      <c r="E24" s="26" t="inlineStr">
        <is>
          <t>南玻集团东莞基地；集团10条浮法线</t>
        </is>
      </c>
      <c r="F24" s="26" t="inlineStr">
        <is>
          <t>未披露</t>
        </is>
      </c>
      <c r="G24" s="26" t="inlineStr">
        <is>
          <t>重碱：浮法/光伏玻璃</t>
        </is>
      </c>
      <c r="I24" s="49" t="inlineStr">
        <is>
          <t>华南高端玻璃基地，认证周期长、粘性高；一旦进入难被替换
→ 准备全套指标/体系资料；从光伏玻璃用重碱小试入手</t>
        </is>
      </c>
      <c r="J24" s="30" t="inlineStr">
        <is>
          <t>B</t>
        </is>
      </c>
      <c r="K24" s="29" t="inlineStr">
        <is>
          <t>S31</t>
        </is>
      </c>
    </row>
    <row r="25" ht="48" customHeight="1">
      <c r="A25" s="44" t="inlineStr">
        <is>
          <t>B</t>
        </is>
      </c>
      <c r="B25" s="35" t="inlineStr">
        <is>
          <t>立白·广州</t>
        </is>
      </c>
      <c r="C25" s="24" t="inlineStr">
        <is>
          <t>广州</t>
        </is>
      </c>
      <c r="D25" s="26" t="inlineStr">
        <is>
          <t>洗涤日化</t>
        </is>
      </c>
      <c r="E25" s="26" t="inlineStr">
        <is>
          <t>企业未披露纯碱用量</t>
        </is>
      </c>
      <c r="F25" s="26" t="inlineStr">
        <is>
          <t>未披露</t>
        </is>
      </c>
      <c r="G25" s="26" t="inlineStr">
        <is>
          <t>轻碱：洗衣粉/洗涤剂</t>
        </is>
      </c>
      <c r="I25" s="49" t="inlineStr">
        <is>
          <t>广州日化集群，轻碱小批量多频次；本地交割库可提货
→ 用食品级/轻碱小包装试单；先切区域工厂，再谈年度框架</t>
        </is>
      </c>
      <c r="J25" s="50" t="inlineStr">
        <is>
          <t>C</t>
        </is>
      </c>
      <c r="K25" s="29" t="inlineStr">
        <is>
          <t>S34</t>
        </is>
      </c>
    </row>
    <row r="26" ht="48" customHeight="1">
      <c r="A26" s="44" t="inlineStr">
        <is>
          <t>B</t>
        </is>
      </c>
      <c r="B26" s="35" t="inlineStr">
        <is>
          <t>蓝月亮·广州</t>
        </is>
      </c>
      <c r="C26" s="24" t="inlineStr">
        <is>
          <t>广州</t>
        </is>
      </c>
      <c r="D26" s="26" t="inlineStr">
        <is>
          <t>洗涤日化</t>
        </is>
      </c>
      <c r="E26" s="26" t="inlineStr">
        <is>
          <t>企业未披露纯碱用量</t>
        </is>
      </c>
      <c r="F26" s="26" t="inlineStr">
        <is>
          <t>未披露</t>
        </is>
      </c>
      <c r="G26" s="26" t="inlineStr">
        <is>
          <t>轻碱：洗衣液/洗涤剂</t>
        </is>
      </c>
      <c r="I26" s="49" t="inlineStr">
        <is>
          <t>广州总部+多基地，轻碱需求稳定；对指标/批次一致性要求高
→ 先做小试与批次稳定性数据；以质量+服务而非单纯低价切入</t>
        </is>
      </c>
      <c r="J26" s="50" t="inlineStr">
        <is>
          <t>C</t>
        </is>
      </c>
      <c r="K26" s="29" t="inlineStr">
        <is>
          <t>S35</t>
        </is>
      </c>
    </row>
    <row r="27" ht="48" customHeight="1">
      <c r="A27" s="44" t="inlineStr">
        <is>
          <t>B</t>
        </is>
      </c>
      <c r="B27" s="35" t="inlineStr">
        <is>
          <t>溢达纺织·佛山</t>
        </is>
      </c>
      <c r="C27" s="24" t="inlineStr">
        <is>
          <t>佛山</t>
        </is>
      </c>
      <c r="D27" s="26" t="inlineStr">
        <is>
          <t>纺织印染</t>
        </is>
      </c>
      <c r="E27" s="26" t="inlineStr">
        <is>
          <t>企业未披露纯碱用量</t>
        </is>
      </c>
      <c r="F27" s="26" t="inlineStr">
        <is>
          <t>未披露</t>
        </is>
      </c>
      <c r="G27" s="26" t="inlineStr">
        <is>
          <t>轻碱：印染助剂/中和</t>
        </is>
      </c>
      <c r="I27" s="49" t="inlineStr">
        <is>
          <t>佛山高明纺织集群，用碱分散但区域集中；价格敏感
→ 以区域仓+吨袋配送切入；关注其环保/COD 指标要求</t>
        </is>
      </c>
      <c r="J27" s="50" t="inlineStr">
        <is>
          <t>C</t>
        </is>
      </c>
      <c r="K27" s="29" t="inlineStr">
        <is>
          <t>S36</t>
        </is>
      </c>
    </row>
    <row r="28" ht="48" customHeight="1">
      <c r="A28" s="44" t="inlineStr">
        <is>
          <t>C</t>
        </is>
      </c>
      <c r="B28" s="35" t="inlineStr">
        <is>
          <t>东鹏·佛山</t>
        </is>
      </c>
      <c r="C28" s="24" t="inlineStr">
        <is>
          <t>佛山</t>
        </is>
      </c>
      <c r="D28" s="26" t="inlineStr">
        <is>
          <t>陶瓷</t>
        </is>
      </c>
      <c r="E28" s="26" t="inlineStr">
        <is>
          <t>企业未披露纯碱用量</t>
        </is>
      </c>
      <c r="F28" s="26" t="inlineStr">
        <is>
          <t>未披露</t>
        </is>
      </c>
      <c r="G28" s="26" t="inlineStr">
        <is>
          <t>轻碱：釉料/硅酸钠</t>
        </is>
      </c>
      <c r="I28" s="49" t="inlineStr">
        <is>
          <t>佛山陶瓷集群，纯碱为辅助原料；单户量小但可做区域拼单
→ 通过贸易商/区域仓覆盖，暂不投入直销资源</t>
        </is>
      </c>
      <c r="J28" s="50" t="inlineStr">
        <is>
          <t>C</t>
        </is>
      </c>
      <c r="K28" s="29" t="inlineStr">
        <is>
          <t>S37</t>
        </is>
      </c>
    </row>
    <row r="29" ht="23" customHeight="1">
      <c r="A29" s="8" t="inlineStr">
        <is>
          <t>ACTION  销售动作卡   从“区域空白”到“先打谁、怎么打”</t>
        </is>
      </c>
    </row>
    <row r="30" ht="21" customHeight="1">
      <c r="A30" s="51" t="inlineStr">
        <is>
          <t>锚点打法 ｜ 先把信义江门做成“双源”标杆</t>
        </is>
      </c>
    </row>
    <row r="31" ht="30" customHeight="1">
      <c r="A31" s="27" t="inlineStr">
        <is>
          <t>本地南方碱业60万吨是唯一近距供给，信义单户用碱约18万吨/年。用“本地提货+外省补充”的双源方案切份额，先证明重碱粒度/水不溶物/批次稳定性。  目标：进入合格供应商</t>
        </is>
      </c>
    </row>
    <row r="32" ht="21" customHeight="1">
      <c r="A32" s="52" t="inlineStr">
        <is>
          <t>复制路径 ｜ 佛山日用玻璃 → 河源/东莞浮法</t>
        </is>
      </c>
    </row>
    <row r="33" ht="30" customHeight="1">
      <c r="A33" s="27" t="inlineStr">
        <is>
          <t>华兴高明55万吨/年日用玻璃是轻碱稳定需求；河源旗滨、东莞南玻是浮法/光伏重碱。按“轻碱走量、重碱做认证”两条线并进。  目标：3个月新增2家试单</t>
        </is>
      </c>
    </row>
    <row r="34" ht="21" customHeight="1">
      <c r="A34" s="53" t="inlineStr">
        <is>
          <t>防守变量 ｜ 2027 衡阳投产后，近距竞争启动</t>
        </is>
      </c>
    </row>
    <row r="35" ht="30" customHeight="1">
      <c r="A35" s="27" t="inlineStr">
        <is>
          <t>雪天衡阳80万吨投产后，江门480km内出现规模化供给，本地“空白”窗口收窄。现在锁年度框架/运费，比投产后再谈更有利。  目标：锁12个月框架</t>
        </is>
      </c>
    </row>
    <row r="37" ht="22" customHeight="1">
      <c r="A37" s="12" t="inlineStr">
        <is>
          <t>本演示只内置广东潜客样本；正式版可按省接入潜客库。</t>
        </is>
      </c>
    </row>
  </sheetData>
  <mergeCells count="58">
    <mergeCell ref="I23"/>
    <mergeCell ref="A34:K34"/>
    <mergeCell ref="H27"/>
    <mergeCell ref="B9"/>
    <mergeCell ref="E26"/>
    <mergeCell ref="A30:K30"/>
    <mergeCell ref="B15"/>
    <mergeCell ref="E25"/>
    <mergeCell ref="E16:K16"/>
    <mergeCell ref="H24"/>
    <mergeCell ref="A1:K1"/>
    <mergeCell ref="E22"/>
    <mergeCell ref="E6:G6"/>
    <mergeCell ref="H23"/>
    <mergeCell ref="E27"/>
    <mergeCell ref="H28"/>
    <mergeCell ref="A7:K7"/>
    <mergeCell ref="E21"/>
    <mergeCell ref="H26"/>
    <mergeCell ref="E12:K12"/>
    <mergeCell ref="B16"/>
    <mergeCell ref="E24"/>
    <mergeCell ref="I27"/>
    <mergeCell ref="A37:K37"/>
    <mergeCell ref="E23"/>
    <mergeCell ref="E14:K14"/>
    <mergeCell ref="B12"/>
    <mergeCell ref="H25"/>
    <mergeCell ref="I26"/>
    <mergeCell ref="A5:B5"/>
    <mergeCell ref="A2:K2"/>
    <mergeCell ref="B11"/>
    <mergeCell ref="H21"/>
    <mergeCell ref="I25"/>
    <mergeCell ref="D4:E4"/>
    <mergeCell ref="A33:K33"/>
    <mergeCell ref="A32:K32"/>
    <mergeCell ref="E10:K10"/>
    <mergeCell ref="E28"/>
    <mergeCell ref="B14"/>
    <mergeCell ref="A17:K17"/>
    <mergeCell ref="I22"/>
    <mergeCell ref="I28"/>
    <mergeCell ref="A4:B4"/>
    <mergeCell ref="E13:K13"/>
    <mergeCell ref="A35:K35"/>
    <mergeCell ref="B13"/>
    <mergeCell ref="E9:K9"/>
    <mergeCell ref="A29:K29"/>
    <mergeCell ref="D5:E5"/>
    <mergeCell ref="I21"/>
    <mergeCell ref="A19:K19"/>
    <mergeCell ref="B10"/>
    <mergeCell ref="E15:K15"/>
    <mergeCell ref="I24"/>
    <mergeCell ref="E11:K11"/>
    <mergeCell ref="H22"/>
    <mergeCell ref="A31:K31"/>
  </mergeCells>
  <hyperlinks>
    <hyperlink xmlns:r="http://schemas.openxmlformats.org/officeDocument/2006/relationships" ref="K21" r:id="rId1"/>
    <hyperlink xmlns:r="http://schemas.openxmlformats.org/officeDocument/2006/relationships" ref="K22" r:id="rId2"/>
    <hyperlink xmlns:r="http://schemas.openxmlformats.org/officeDocument/2006/relationships" ref="K23" r:id="rId3"/>
    <hyperlink xmlns:r="http://schemas.openxmlformats.org/officeDocument/2006/relationships" ref="K24" r:id="rId4"/>
    <hyperlink xmlns:r="http://schemas.openxmlformats.org/officeDocument/2006/relationships" ref="K25" r:id="rId5"/>
    <hyperlink xmlns:r="http://schemas.openxmlformats.org/officeDocument/2006/relationships" ref="K26" r:id="rId6"/>
    <hyperlink xmlns:r="http://schemas.openxmlformats.org/officeDocument/2006/relationships" ref="K27" r:id="rId7"/>
    <hyperlink xmlns:r="http://schemas.openxmlformats.org/officeDocument/2006/relationships" ref="K28" r:id="rId8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3" customWidth="1" min="4" max="4"/>
    <col width="42" customWidth="1" min="5" max="5"/>
    <col width="52" customWidth="1" min="6" max="6"/>
    <col width="7" customWidth="1" min="7" max="7"/>
  </cols>
  <sheetData>
    <row r="1" ht="34" customHeight="1">
      <c r="A1" s="15" t="inlineStr">
        <is>
          <t>06 / SOURCES  数据来源</t>
        </is>
      </c>
    </row>
    <row r="2" ht="26" customHeight="1">
      <c r="A2" s="16" t="inlineStr">
        <is>
          <t>37 条来源 · 每条产能至少能回到一个来源 · 点击链接跳原文</t>
        </is>
      </c>
    </row>
    <row r="4" ht="31" customHeight="1">
      <c r="A4" s="17" t="inlineStr">
        <is>
          <t>ID</t>
        </is>
      </c>
      <c r="B4" s="17" t="inlineStr">
        <is>
          <t>机构</t>
        </is>
      </c>
      <c r="C4" s="17" t="inlineStr">
        <is>
          <t>标题</t>
        </is>
      </c>
      <c r="D4" s="17" t="inlineStr">
        <is>
          <t>日期</t>
        </is>
      </c>
      <c r="E4" s="17" t="inlineStr">
        <is>
          <t>链接</t>
        </is>
      </c>
      <c r="F4" s="17" t="inlineStr">
        <is>
          <t>用于</t>
        </is>
      </c>
      <c r="G4" s="17" t="inlineStr">
        <is>
          <t>等级</t>
        </is>
      </c>
    </row>
    <row r="5" ht="34" customHeight="1">
      <c r="A5" s="21" t="inlineStr">
        <is>
          <t>S01</t>
        </is>
      </c>
      <c r="B5" s="20" t="inlineStr">
        <is>
          <t>中盐化工</t>
        </is>
      </c>
      <c r="C5" s="54" t="inlineStr">
        <is>
          <t>2025年年度报告</t>
        </is>
      </c>
      <c r="D5" s="24" t="inlineStr">
        <is>
          <t>2026-04-30</t>
        </is>
      </c>
      <c r="E5" s="55" t="inlineStr">
        <is>
          <t>http://file.finance.sina.com.cn/211.154.219.97:9494/MRGG/CNSESH_STOCK/2026/2026-4/2026-04-30/12285995.PDF</t>
        </is>
      </c>
      <c r="F5" s="49" t="inlineStr">
        <is>
          <t>中盐产能390万吨；昆仑155、发投140、昆山60、吉兰泰35；2025产量444.62万吨；全国产能4,468万吨</t>
        </is>
      </c>
      <c r="G5" s="28" t="inlineStr">
        <is>
          <t>A</t>
        </is>
      </c>
    </row>
    <row r="6" ht="34" customHeight="1">
      <c r="A6" s="21" t="inlineStr">
        <is>
          <t>S02</t>
        </is>
      </c>
      <c r="B6" s="20" t="inlineStr">
        <is>
          <t>双环科技</t>
        </is>
      </c>
      <c r="C6" s="54" t="inlineStr">
        <is>
          <t>2025年年度报告</t>
        </is>
      </c>
      <c r="D6" s="24" t="inlineStr">
        <is>
          <t>2026-04-29</t>
        </is>
      </c>
      <c r="E6" s="55" t="inlineStr">
        <is>
          <t>http://file.finance.sina.com.cn/211.154.219.97:9494/MRGG/CNSESZ_STOCK/2026/2026-4/2026-04-29/12261120.PDF</t>
        </is>
      </c>
      <c r="F6" s="49" t="inlineStr">
        <is>
          <t>双环纯碱设计产能110万吨；产能利用率108.37%；2025产量119.21万吨</t>
        </is>
      </c>
      <c r="G6" s="28" t="inlineStr">
        <is>
          <t>A</t>
        </is>
      </c>
    </row>
    <row r="7" ht="26" customHeight="1">
      <c r="A7" s="21" t="inlineStr">
        <is>
          <t>S03</t>
        </is>
      </c>
      <c r="B7" s="20" t="inlineStr">
        <is>
          <t>山东海化</t>
        </is>
      </c>
      <c r="C7" s="54" t="inlineStr">
        <is>
          <t>2025年年度报告</t>
        </is>
      </c>
      <c r="D7" s="24" t="inlineStr">
        <is>
          <t>2026-04</t>
        </is>
      </c>
      <c r="E7" s="55" t="inlineStr">
        <is>
          <t>https://vip.stock.finance.sina.com.cn/corp/view/vCB_AllBulletinDetail.php?stockid=000822&amp;id=12008621</t>
        </is>
      </c>
      <c r="F7" s="49" t="inlineStr">
        <is>
          <t>纯碱设计产能280万吨；产能利用率97.29%；在建产能无</t>
        </is>
      </c>
      <c r="G7" s="28" t="inlineStr">
        <is>
          <t>A</t>
        </is>
      </c>
    </row>
    <row r="8" ht="34" customHeight="1">
      <c r="A8" s="21" t="inlineStr">
        <is>
          <t>S04</t>
        </is>
      </c>
      <c r="B8" s="20" t="inlineStr">
        <is>
          <t>博源化工</t>
        </is>
      </c>
      <c r="C8" s="54" t="inlineStr">
        <is>
          <t>2025年半年度报告</t>
        </is>
      </c>
      <c r="D8" s="24" t="inlineStr">
        <is>
          <t>2025-08-08</t>
        </is>
      </c>
      <c r="E8" s="55" t="inlineStr">
        <is>
          <t>http://static.cninfo.com.cn/finalpage/2025-08-08/1224424873.PDF</t>
        </is>
      </c>
      <c r="F8" s="49" t="inlineStr">
        <is>
          <t>纯碱在产产能680万吨/年；阿拉善规划780万吨（一期500、二期280）；桐柏中源化学</t>
        </is>
      </c>
      <c r="G8" s="28" t="inlineStr">
        <is>
          <t>A</t>
        </is>
      </c>
    </row>
    <row r="9" ht="48" customHeight="1">
      <c r="A9" s="21" t="inlineStr">
        <is>
          <t>S05</t>
        </is>
      </c>
      <c r="B9" s="20" t="inlineStr">
        <is>
          <t>智研咨询</t>
        </is>
      </c>
      <c r="C9" s="54" t="inlineStr">
        <is>
          <t>2026年中国纯碱行业重点上市企业对比分析</t>
        </is>
      </c>
      <c r="D9" s="24" t="inlineStr">
        <is>
          <t>2026-08-27</t>
        </is>
      </c>
      <c r="E9" s="55" t="inlineStr">
        <is>
          <t>https://www.chyxx.com/industry/1278161.html</t>
        </is>
      </c>
      <c r="F9" s="49" t="inlineStr">
        <is>
          <t>2025年纯碱产量：博源711.12、中盐444.62、三友319.05、海化272.42、金晶124.81、双环119.21、雪天101.68、华昌67.87；博源在产680/设计960</t>
        </is>
      </c>
      <c r="G9" s="30" t="inlineStr">
        <is>
          <t>B</t>
        </is>
      </c>
    </row>
    <row r="10" ht="34" customHeight="1">
      <c r="A10" s="21" t="inlineStr">
        <is>
          <t>S06</t>
        </is>
      </c>
      <c r="B10" s="20" t="inlineStr">
        <is>
          <t>每日经济新闻</t>
        </is>
      </c>
      <c r="C10" s="54" t="inlineStr">
        <is>
          <t>博源化工阿拉善二期第一条100万吨纯碱线投料试车</t>
        </is>
      </c>
      <c r="D10" s="24" t="inlineStr">
        <is>
          <t>2025-12-10</t>
        </is>
      </c>
      <c r="E10" s="55" t="inlineStr">
        <is>
          <t>https://m.sohu.com/a/963779831_115362</t>
        </is>
      </c>
      <c r="F10" s="49" t="inlineStr">
        <is>
          <t>二期第一条100万吨/年纯碱线2025-12-09投料试车并出产品；其余线逐步试车</t>
        </is>
      </c>
      <c r="G10" s="28" t="inlineStr">
        <is>
          <t>A</t>
        </is>
      </c>
    </row>
    <row r="11" ht="34" customHeight="1">
      <c r="A11" s="21" t="inlineStr">
        <is>
          <t>S07</t>
        </is>
      </c>
      <c r="B11" s="20" t="inlineStr">
        <is>
          <t>证券时报</t>
        </is>
      </c>
      <c r="C11" s="54" t="inlineStr">
        <is>
          <t>中盐化工总投资超250亿元打造全球最大天然碱生产基地</t>
        </is>
      </c>
      <c r="D11" s="24" t="inlineStr">
        <is>
          <t>2025-06-17</t>
        </is>
      </c>
      <c r="E11" s="55" t="inlineStr">
        <is>
          <t>https://www.stcn.com/article/detail/3910001.html</t>
        </is>
      </c>
      <c r="F11" s="49" t="inlineStr">
        <is>
          <t>中盐奈曼旗天然碱项目：采矿权68.09亿元，规划500万吨/年，矿物量14.47亿吨</t>
        </is>
      </c>
      <c r="G11" s="28" t="inlineStr">
        <is>
          <t>A</t>
        </is>
      </c>
    </row>
    <row r="12" ht="26" customHeight="1">
      <c r="A12" s="21" t="inlineStr">
        <is>
          <t>S08</t>
        </is>
      </c>
      <c r="B12" s="20" t="inlineStr">
        <is>
          <t>连云港市人民政府</t>
        </is>
      </c>
      <c r="C12" s="54" t="inlineStr">
        <is>
          <t>连云港碱业公司搬迁升级改造项目建成投产</t>
        </is>
      </c>
      <c r="D12" s="24" t="inlineStr">
        <is>
          <t>2025</t>
        </is>
      </c>
      <c r="E12" s="55" t="inlineStr">
        <is>
          <t>https://www.lyg.gov.cn/zglygzfmhwz/gcyw/content/3ad7d8d1-8a2a-4683-82b5-4766ac84985e.html</t>
        </is>
      </c>
      <c r="F12" s="49" t="inlineStr">
        <is>
          <t>连云港碱业搬迁项目：110万吨/年联碱，2024年底中交</t>
        </is>
      </c>
      <c r="G12" s="28" t="inlineStr">
        <is>
          <t>A</t>
        </is>
      </c>
    </row>
    <row r="13" ht="34" customHeight="1">
      <c r="A13" s="21" t="inlineStr">
        <is>
          <t>S09</t>
        </is>
      </c>
      <c r="B13" s="20" t="inlineStr">
        <is>
          <t>国联期货</t>
        </is>
      </c>
      <c r="C13" s="54" t="inlineStr">
        <is>
          <t>玻璃纯碱假期事件盘点和品种前瞻</t>
        </is>
      </c>
      <c r="D13" s="24" t="inlineStr">
        <is>
          <t>2025-05</t>
        </is>
      </c>
      <c r="E13" s="55" t="inlineStr">
        <is>
          <t>https://www.glqh.com/u/cms/www/202505/06091452kayw.pdf</t>
        </is>
      </c>
      <c r="F13" s="49" t="inlineStr">
        <is>
          <t>2025年新产能：江苏德邦60万吨2月出货、连云港碱业110万吨试生产、双环40万吨、博源二期280万吨、新都60万吨</t>
        </is>
      </c>
      <c r="G13" s="30" t="inlineStr">
        <is>
          <t>B</t>
        </is>
      </c>
    </row>
    <row r="14" ht="34" customHeight="1">
      <c r="A14" s="21" t="inlineStr">
        <is>
          <t>S10</t>
        </is>
      </c>
      <c r="B14" s="20" t="inlineStr">
        <is>
          <t>雪天盐业</t>
        </is>
      </c>
      <c r="C14" s="54" t="inlineStr">
        <is>
          <t>2025年半年度报告</t>
        </is>
      </c>
      <c r="D14" s="24" t="inlineStr">
        <is>
          <t>2025-08-09</t>
        </is>
      </c>
      <c r="E14" s="55" t="inlineStr">
        <is>
          <t>https://static.cninfo.com.cn/finalpage/2025-08-09/1224441432.PDF</t>
        </is>
      </c>
      <c r="F14" s="49" t="inlineStr">
        <is>
          <t>湘渝盐化纯碱产能100万吨/年、氯化铵100万吨/年，位于重庆万州</t>
        </is>
      </c>
      <c r="G14" s="28" t="inlineStr">
        <is>
          <t>A</t>
        </is>
      </c>
    </row>
    <row r="15" ht="34" customHeight="1">
      <c r="A15" s="21" t="inlineStr">
        <is>
          <t>S11</t>
        </is>
      </c>
      <c r="B15" s="20" t="inlineStr">
        <is>
          <t>证券时报</t>
        </is>
      </c>
      <c r="C15" s="54" t="inlineStr">
        <is>
          <t>雪天盐业拟投资建设百万吨级盐碱产业链</t>
        </is>
      </c>
      <c r="D15" s="24" t="inlineStr">
        <is>
          <t>2024-02-06</t>
        </is>
      </c>
      <c r="E15" s="55" t="inlineStr">
        <is>
          <t>https://www.stcn.com/article/detail/1117410.html</t>
        </is>
      </c>
      <c r="F15" s="49" t="inlineStr">
        <is>
          <t>衡阳绿色低碳盐碱产业园：纯碱80万吨/年、氯化铵80万吨/年，投资87.87亿元</t>
        </is>
      </c>
      <c r="G15" s="28" t="inlineStr">
        <is>
          <t>A</t>
        </is>
      </c>
    </row>
    <row r="16" ht="34" customHeight="1">
      <c r="A16" s="21" t="inlineStr">
        <is>
          <t>S12</t>
        </is>
      </c>
      <c r="B16" s="20" t="inlineStr">
        <is>
          <t>河南金山化工集团</t>
        </is>
      </c>
      <c r="C16" s="54" t="inlineStr">
        <is>
          <t>走进金山（企业简介）</t>
        </is>
      </c>
      <c r="D16" s="24" t="inlineStr">
        <is>
          <t>访问于2026-10</t>
        </is>
      </c>
      <c r="E16" s="55" t="inlineStr">
        <is>
          <t>http://www.jshgjt.com/a/zoujinjinshan</t>
        </is>
      </c>
      <c r="F16" s="49" t="inlineStr">
        <is>
          <t>集团纯碱330万吨、氯化铵360万吨、合成氨95万吨、工业盐380万吨</t>
        </is>
      </c>
      <c r="G16" s="30" t="inlineStr">
        <is>
          <t>B</t>
        </is>
      </c>
    </row>
    <row r="17" ht="34" customHeight="1">
      <c r="A17" s="21" t="inlineStr">
        <is>
          <t>S13</t>
        </is>
      </c>
      <c r="B17" s="20" t="inlineStr">
        <is>
          <t>海外网</t>
        </is>
      </c>
      <c r="C17" s="54" t="inlineStr">
        <is>
          <t>纯碱工业高质量发展综合述评</t>
        </is>
      </c>
      <c r="D17" s="24" t="inlineStr">
        <is>
          <t>2025-01-22</t>
        </is>
      </c>
      <c r="E17" s="55" t="inlineStr">
        <is>
          <t>https://news.haiwainet.cn/n/2025/0122/c3541089-32832061.html</t>
        </is>
      </c>
      <c r="F17" s="49" t="inlineStr">
        <is>
          <t>金山“现有联碱产能660万吨”表述；天然碱资源发现；行业总产能约3,970万吨</t>
        </is>
      </c>
      <c r="G17" s="30" t="inlineStr">
        <is>
          <t>B</t>
        </is>
      </c>
    </row>
    <row r="18" ht="34" customHeight="1">
      <c r="A18" s="21" t="inlineStr">
        <is>
          <t>S14</t>
        </is>
      </c>
      <c r="B18" s="20" t="inlineStr">
        <is>
          <t>广东南方碱业</t>
        </is>
      </c>
      <c r="C18" s="54" t="inlineStr">
        <is>
          <t>公司简介</t>
        </is>
      </c>
      <c r="D18" s="24" t="inlineStr">
        <is>
          <t>访问于2026-10</t>
        </is>
      </c>
      <c r="E18" s="55" t="inlineStr">
        <is>
          <t>http://www.nfsoda.com/m/About/about.aspx?m=115001</t>
        </is>
      </c>
      <c r="F18" s="49" t="inlineStr">
        <is>
          <t>广东省唯一纯碱生产企业，华南最大纯碱厂，厂区广州黄埔南岗；实际生产能力60万吨/年</t>
        </is>
      </c>
      <c r="G18" s="30" t="inlineStr">
        <is>
          <t>B</t>
        </is>
      </c>
    </row>
    <row r="19" ht="34" customHeight="1">
      <c r="A19" s="21" t="inlineStr">
        <is>
          <t>S15</t>
        </is>
      </c>
      <c r="B19" s="20" t="inlineStr">
        <is>
          <t>广东南方碱业</t>
        </is>
      </c>
      <c r="C19" s="54" t="inlineStr">
        <is>
          <t>企业规模</t>
        </is>
      </c>
      <c r="D19" s="24" t="inlineStr">
        <is>
          <t>访问于2026-10</t>
        </is>
      </c>
      <c r="E19" s="55" t="inlineStr">
        <is>
          <t>http://www.nfsoda.com/About/scale.aspx?m=115003</t>
        </is>
      </c>
      <c r="F19" s="49" t="inlineStr">
        <is>
          <t>现生产能力为纯碱35万吨/年、无水硫酸钠7.5万吨/年（与简介60万吨口径冲突）</t>
        </is>
      </c>
      <c r="G19" s="30" t="inlineStr">
        <is>
          <t>B</t>
        </is>
      </c>
    </row>
    <row r="20" ht="34" customHeight="1">
      <c r="A20" s="21" t="inlineStr">
        <is>
          <t>S16</t>
        </is>
      </c>
      <c r="B20" s="20" t="inlineStr">
        <is>
          <t>广东南方碱业</t>
        </is>
      </c>
      <c r="C20" s="54" t="inlineStr">
        <is>
          <t>销售区域 / 产销状况</t>
        </is>
      </c>
      <c r="D20" s="24" t="inlineStr">
        <is>
          <t>访问于2026-10</t>
        </is>
      </c>
      <c r="E20" s="55" t="inlineStr">
        <is>
          <t>http://www.nfsoda.com/CX/salesArea.aspx?m=119001</t>
        </is>
      </c>
      <c r="F20" s="49" t="inlineStr">
        <is>
          <t>珠三角年纯碱需求量150万吨；我司年产纯碱35万吨；填补广东纯碱生产空白</t>
        </is>
      </c>
      <c r="G20" s="30" t="inlineStr">
        <is>
          <t>B</t>
        </is>
      </c>
    </row>
    <row r="21" ht="34" customHeight="1">
      <c r="A21" s="21" t="inlineStr">
        <is>
          <t>S17</t>
        </is>
      </c>
      <c r="B21" s="20" t="inlineStr">
        <is>
          <t>信义玻璃</t>
        </is>
      </c>
      <c r="C21" s="54" t="inlineStr">
        <is>
          <t>信义玻璃江门工业园一期3条线全部投产</t>
        </is>
      </c>
      <c r="D21" s="24" t="inlineStr">
        <is>
          <t>2011-05-18</t>
        </is>
      </c>
      <c r="E21" s="55" t="inlineStr">
        <is>
          <t>https://www.xinyiglass.com/Spain/companynews/info.aspx?itemid=2947</t>
        </is>
      </c>
      <c r="F21" s="49" t="inlineStr">
        <is>
          <t>江门工业园一期3条优质浮法玻璃线，合计日熔量2,400吨→实际单线900吨/日，3条合计2,700吨/日</t>
        </is>
      </c>
      <c r="G21" s="28" t="inlineStr">
        <is>
          <t>A</t>
        </is>
      </c>
    </row>
    <row r="22" ht="34" customHeight="1">
      <c r="A22" s="21" t="inlineStr">
        <is>
          <t>S18</t>
        </is>
      </c>
      <c r="B22" s="20" t="inlineStr">
        <is>
          <t>西门子 / 华兴玻璃</t>
        </is>
      </c>
      <c r="C22" s="54" t="inlineStr">
        <is>
          <t>亚洲玻璃大王的数智决心</t>
        </is>
      </c>
      <c r="D22" s="24" t="inlineStr">
        <is>
          <t>2022</t>
        </is>
      </c>
      <c r="E22" s="55" t="inlineStr">
        <is>
          <t>https://assets.new.siemens.com/siemens/assets/api/uuid/56937710-9dc9-47b4-8cfa-676b9a6d77f5/huaxing-glass-digital-project.pdf</t>
        </is>
      </c>
      <c r="F22" s="49" t="inlineStr">
        <is>
          <t>华兴玻璃年产能400万吨、年产值超70亿元；佛山高明基地5座窑炉、23条线、年产能55万吨</t>
        </is>
      </c>
      <c r="G22" s="30" t="inlineStr">
        <is>
          <t>B</t>
        </is>
      </c>
    </row>
    <row r="23" ht="34" customHeight="1">
      <c r="A23" s="21" t="inlineStr">
        <is>
          <t>S19</t>
        </is>
      </c>
      <c r="B23" s="20" t="inlineStr">
        <is>
          <t>华南玻璃纯碱调研</t>
        </is>
      </c>
      <c r="C23" s="54" t="inlineStr">
        <is>
          <t>华南地区玻璃纯碱调研报告</t>
        </is>
      </c>
      <c r="D23" s="24" t="inlineStr">
        <is>
          <t>2019-11-04</t>
        </is>
      </c>
      <c r="E23" s="55" t="inlineStr">
        <is>
          <t>https://www.7hcn.com/article/359299-1.html</t>
        </is>
      </c>
      <c r="F23" s="49" t="inlineStr">
        <is>
          <t>广东15家玻璃厂、29条浮法线；年产量9,000万重量箱、需求约1.1亿重量箱；华南纯碱产能不足</t>
        </is>
      </c>
      <c r="G23" s="30" t="inlineStr">
        <is>
          <t>B</t>
        </is>
      </c>
    </row>
    <row r="24" ht="34" customHeight="1">
      <c r="A24" s="21" t="inlineStr">
        <is>
          <t>S20</t>
        </is>
      </c>
      <c r="B24" s="20" t="inlineStr">
        <is>
          <t>新浪财经</t>
        </is>
      </c>
      <c r="C24" s="54" t="inlineStr">
        <is>
          <t>纯碱产业链市场研究：纯碱专题系列之二</t>
        </is>
      </c>
      <c r="D24" s="24" t="inlineStr">
        <is>
          <t>2019-11-22</t>
        </is>
      </c>
      <c r="E24" s="55" t="inlineStr">
        <is>
          <t>https://finance.sina.cn/futuremarket/qszx/2019-11-22/detail-iihnzhfz0921055.d.html</t>
        </is>
      </c>
      <c r="F24" s="49" t="inlineStr">
        <is>
          <t>广东纯碱年调入量268.7万吨，占主要调入省第一（2019年口径，仅作历史线索）</t>
        </is>
      </c>
      <c r="G24" s="30" t="inlineStr">
        <is>
          <t>B</t>
        </is>
      </c>
    </row>
    <row r="25" ht="34" customHeight="1">
      <c r="A25" s="21" t="inlineStr">
        <is>
          <t>S21</t>
        </is>
      </c>
      <c r="B25" s="20" t="inlineStr">
        <is>
          <t>极目新闻</t>
        </is>
      </c>
      <c r="C25" s="54" t="inlineStr">
        <is>
          <t>潜江市23个重大项目集中开工</t>
        </is>
      </c>
      <c r="D25" s="24" t="inlineStr">
        <is>
          <t>2025-04</t>
        </is>
      </c>
      <c r="E25" s="55" t="inlineStr">
        <is>
          <t>https://www.ctdsb.net/c1676_202504/2412542.html</t>
        </is>
      </c>
      <c r="F25" s="49" t="inlineStr">
        <is>
          <t>金山化工潜江项目：一期150万吨/年纯碱（搬迁产能）、70万吨液氨，2025-04开工，预计2026-06投产</t>
        </is>
      </c>
      <c r="G25" s="30" t="inlineStr">
        <is>
          <t>B</t>
        </is>
      </c>
    </row>
    <row r="26" ht="34" customHeight="1">
      <c r="A26" s="21" t="inlineStr">
        <is>
          <t>S22</t>
        </is>
      </c>
      <c r="B26" s="20" t="inlineStr">
        <is>
          <t>湖北日报</t>
        </is>
      </c>
      <c r="C26" s="54" t="inlineStr">
        <is>
          <t>新都化工冲刺百亿</t>
        </is>
      </c>
      <c r="D26" s="24" t="inlineStr">
        <is>
          <t>2025-02-19</t>
        </is>
      </c>
      <c r="E26" s="55" t="inlineStr">
        <is>
          <t>https://epaper.hubeidaily.net/pc/content/202502/19/content_305436.html</t>
        </is>
      </c>
      <c r="F26" s="49" t="inlineStr">
        <is>
          <t>应城新都化工现有纯碱60万吨/年；复合肥140万吨、盐100万吨</t>
        </is>
      </c>
      <c r="G26" s="30" t="inlineStr">
        <is>
          <t>B</t>
        </is>
      </c>
    </row>
    <row r="27" ht="34" customHeight="1">
      <c r="A27" s="21" t="inlineStr">
        <is>
          <t>S23</t>
        </is>
      </c>
      <c r="B27" s="20" t="inlineStr">
        <is>
          <t>金晶科技</t>
        </is>
      </c>
      <c r="C27" s="54" t="inlineStr">
        <is>
          <t>2025年半年度报告</t>
        </is>
      </c>
      <c r="D27" s="24" t="inlineStr">
        <is>
          <t>2025-08-26</t>
        </is>
      </c>
      <c r="E27" s="55" t="inlineStr">
        <is>
          <t>http://static.cninfo.com.cn/finalpage/2025-08-26/1224566020.PDF</t>
        </is>
      </c>
      <c r="F27" s="49" t="inlineStr">
        <is>
          <t>纯碱业务运营主体山东海天生物化工，年产销量约135万吨；2025年产量124.81万吨</t>
        </is>
      </c>
      <c r="G27" s="28" t="inlineStr">
        <is>
          <t>A</t>
        </is>
      </c>
    </row>
    <row r="28" ht="34" customHeight="1">
      <c r="A28" s="21" t="inlineStr">
        <is>
          <t>S24</t>
        </is>
      </c>
      <c r="B28" s="20" t="inlineStr">
        <is>
          <t>三友化工</t>
        </is>
      </c>
      <c r="C28" s="54" t="inlineStr">
        <is>
          <t>2025年年度报告</t>
        </is>
      </c>
      <c r="D28" s="24" t="inlineStr">
        <is>
          <t>2026-04</t>
        </is>
      </c>
      <c r="E28" s="55" t="inlineStr">
        <is>
          <t>https://money.finance.sina.com.cn/corp/view/vCB_AllBulletinDetail.php?stockid=600409&amp;id=12180724</t>
        </is>
      </c>
      <c r="F28" s="49" t="inlineStr">
        <is>
          <t>2025年纯碱产量319.05万吨；产能340万吨（唐山本部230+青海五彩110，券商拆分口径）</t>
        </is>
      </c>
      <c r="G28" s="28" t="inlineStr">
        <is>
          <t>A</t>
        </is>
      </c>
    </row>
    <row r="29" ht="26" customHeight="1">
      <c r="A29" s="21" t="inlineStr">
        <is>
          <t>S25</t>
        </is>
      </c>
      <c r="B29" s="20" t="inlineStr">
        <is>
          <t>苏盐井神</t>
        </is>
      </c>
      <c r="C29" s="54" t="inlineStr">
        <is>
          <t>投资者关系活动 / 董秘答复</t>
        </is>
      </c>
      <c r="D29" s="24" t="inlineStr">
        <is>
          <t>2024-11-08</t>
        </is>
      </c>
      <c r="E29" s="55" t="inlineStr">
        <is>
          <t>https://i.ifeng.com/c/8eLZkh3bKkz</t>
        </is>
      </c>
      <c r="F29" s="49" t="inlineStr">
        <is>
          <t>公司纯碱年产能70万吨左右；淮安基地</t>
        </is>
      </c>
      <c r="G29" s="30" t="inlineStr">
        <is>
          <t>B</t>
        </is>
      </c>
    </row>
    <row r="30" ht="26" customHeight="1">
      <c r="A30" s="21" t="inlineStr">
        <is>
          <t>S26</t>
        </is>
      </c>
      <c r="B30" s="20" t="inlineStr">
        <is>
          <t>民生证券</t>
        </is>
      </c>
      <c r="C30" s="54" t="inlineStr">
        <is>
          <t>华昌化工：老牌煤化工企业，新产能蓄势</t>
        </is>
      </c>
      <c r="D30" s="24" t="inlineStr">
        <is>
          <t>2023-10</t>
        </is>
      </c>
      <c r="E30" s="55" t="inlineStr">
        <is>
          <t>https://pdf.dfcfw.com/pdf/H3_AP202310071601015959_1.pdf</t>
        </is>
      </c>
      <c r="F30" s="49" t="inlineStr">
        <is>
          <t>华昌化工纯碱产能70万吨，张家港，联碱法</t>
        </is>
      </c>
      <c r="G30" s="30" t="inlineStr">
        <is>
          <t>B</t>
        </is>
      </c>
    </row>
    <row r="31" ht="34" customHeight="1">
      <c r="A31" s="21" t="inlineStr">
        <is>
          <t>S27</t>
        </is>
      </c>
      <c r="B31" s="20" t="inlineStr">
        <is>
          <t>券商行业框架</t>
        </is>
      </c>
      <c r="C31" s="54" t="inlineStr">
        <is>
          <t>纯碱行业分析框架（产能拆分表）</t>
        </is>
      </c>
      <c r="D31" s="24" t="inlineStr">
        <is>
          <t>2022-05-10</t>
        </is>
      </c>
      <c r="E31" s="55" t="inlineStr">
        <is>
          <t>https://pdf.dfcfw.com/pdf/H3_AP202205101564746575_1.pdf</t>
        </is>
      </c>
      <c r="F31" s="49" t="inlineStr">
        <is>
          <t>中盐/三友/海化/和邦/双环/华昌/新都等产能拆分；金晶海天150万吨氨碱；天津永利80万吨联碱；红四方70万吨联碱</t>
        </is>
      </c>
      <c r="G31" s="30" t="inlineStr">
        <is>
          <t>B</t>
        </is>
      </c>
    </row>
    <row r="32" ht="26" customHeight="1">
      <c r="A32" s="21" t="inlineStr">
        <is>
          <t>S28</t>
        </is>
      </c>
      <c r="B32" s="20" t="inlineStr">
        <is>
          <t>五矿期货</t>
        </is>
      </c>
      <c r="C32" s="54" t="inlineStr">
        <is>
          <t>纯碱：往期阿拉善产能投产对比</t>
        </is>
      </c>
      <c r="D32" s="24" t="inlineStr">
        <is>
          <t>2026-01-06</t>
        </is>
      </c>
      <c r="E32" s="55" t="inlineStr">
        <is>
          <t>https://www.wkqh.cn/ueditor/jsp/upload/file/20260106/1767660004954010828.pdf</t>
        </is>
      </c>
      <c r="F32" s="49" t="inlineStr">
        <is>
          <t>2025-2026年投产节奏：博源二期、应城新都70、雪天80等</t>
        </is>
      </c>
      <c r="G32" s="30" t="inlineStr">
        <is>
          <t>B</t>
        </is>
      </c>
    </row>
    <row r="33" ht="34" customHeight="1">
      <c r="A33" s="21" t="inlineStr">
        <is>
          <t>S29</t>
        </is>
      </c>
      <c r="B33" s="20" t="inlineStr">
        <is>
          <t>财联社 / 卓创资讯</t>
        </is>
      </c>
      <c r="C33" s="54" t="inlineStr">
        <is>
          <t>纯碱反内卷另类样本：低成本天然碱持续扩张</t>
        </is>
      </c>
      <c r="D33" s="24" t="inlineStr">
        <is>
          <t>2025-08</t>
        </is>
      </c>
      <c r="E33" s="55" t="inlineStr">
        <is>
          <t>https://www.cls.cn/detail/2111137</t>
        </is>
      </c>
      <c r="F33" s="49" t="inlineStr">
        <is>
          <t>全国纯碱产能4,078万吨；未来新增：博源二期280、湖北潜江200、中盐奈曼500、湘衡80</t>
        </is>
      </c>
      <c r="G33" s="30" t="inlineStr">
        <is>
          <t>B</t>
        </is>
      </c>
    </row>
    <row r="34" ht="34" customHeight="1">
      <c r="A34" s="21" t="inlineStr">
        <is>
          <t>S30</t>
        </is>
      </c>
      <c r="B34" s="20" t="inlineStr">
        <is>
          <t>旗滨集团</t>
        </is>
      </c>
      <c r="C34" s="54" t="inlineStr">
        <is>
          <t>2025年年度报告</t>
        </is>
      </c>
      <c r="D34" s="24" t="inlineStr">
        <is>
          <t>2026-04</t>
        </is>
      </c>
      <c r="E34" s="55" t="inlineStr">
        <is>
          <t>https://money.finance.sina.com.cn/corp/view/vCB_AllBulletinDetail.php?stockid=601636&amp;id=12154621</t>
        </is>
      </c>
      <c r="F34" s="49" t="inlineStr">
        <is>
          <t>全国浮法玻璃265条、在产212条、日熔量151,405吨；旗滨24条优质浮法线，广东河源基地</t>
        </is>
      </c>
      <c r="G34" s="28" t="inlineStr">
        <is>
          <t>A</t>
        </is>
      </c>
    </row>
    <row r="35" ht="34" customHeight="1">
      <c r="A35" s="21" t="inlineStr">
        <is>
          <t>S31</t>
        </is>
      </c>
      <c r="B35" s="20" t="inlineStr">
        <is>
          <t>南玻集团 / MoneyDJ</t>
        </is>
      </c>
      <c r="C35" s="54" t="inlineStr">
        <is>
          <t>南玻集团业务与基地</t>
        </is>
      </c>
      <c r="D35" s="24" t="inlineStr">
        <is>
          <t>2026-10</t>
        </is>
      </c>
      <c r="E35" s="55" t="inlineStr">
        <is>
          <t>https://www.csgholding.com/about.aspx</t>
        </is>
      </c>
      <c r="F35" s="49" t="inlineStr">
        <is>
          <t>南玻在东莞、成都、廊坊、吴江、咸宁拥有10条浮法线；东莞为华南基地之一</t>
        </is>
      </c>
      <c r="G35" s="30" t="inlineStr">
        <is>
          <t>B</t>
        </is>
      </c>
    </row>
    <row r="36" ht="34" customHeight="1">
      <c r="A36" s="21" t="inlineStr">
        <is>
          <t>S32</t>
        </is>
      </c>
      <c r="B36" s="20" t="inlineStr">
        <is>
          <t>广州市计量行业协会</t>
        </is>
      </c>
      <c r="C36" s="54" t="inlineStr">
        <is>
          <t>广东南方碱业股份有限公司简介</t>
        </is>
      </c>
      <c r="D36" s="24" t="inlineStr">
        <is>
          <t>访问于2026-10</t>
        </is>
      </c>
      <c r="E36" s="55" t="inlineStr">
        <is>
          <t>http://www.gzjlhyxh.org/pod.jsp?id=58</t>
        </is>
      </c>
      <c r="F36" s="49" t="inlineStr">
        <is>
          <t>南方碱业是广东、广西、海南三省唯一纯碱生产企业，产能仅能满足广东纯碱需求的不到30%</t>
        </is>
      </c>
      <c r="G36" s="30" t="inlineStr">
        <is>
          <t>B</t>
        </is>
      </c>
    </row>
    <row r="37" ht="26" customHeight="1">
      <c r="A37" s="21" t="inlineStr">
        <is>
          <t>S33</t>
        </is>
      </c>
      <c r="B37" s="20" t="inlineStr">
        <is>
          <t>郑商所 / 期货日报</t>
        </is>
      </c>
      <c r="C37" s="54" t="inlineStr">
        <is>
          <t>纯碱期货上市与产业格局</t>
        </is>
      </c>
      <c r="D37" s="24" t="inlineStr">
        <is>
          <t>2019-2021</t>
        </is>
      </c>
      <c r="E37" s="55" t="inlineStr">
        <is>
          <t>https://www.czce.com.cn/cn/rootfiles/2021/09/03/1605597062097884-1605597062128743.pdf</t>
        </is>
      </c>
      <c r="F37" s="49" t="inlineStr">
        <is>
          <t>纯碱产能区域分布、氨碱/联碱企业数量；广东为净调入省</t>
        </is>
      </c>
      <c r="G37" s="30" t="inlineStr">
        <is>
          <t>B</t>
        </is>
      </c>
    </row>
    <row r="38" ht="26" customHeight="1">
      <c r="A38" s="21" t="inlineStr">
        <is>
          <t>S34</t>
        </is>
      </c>
      <c r="B38" s="20" t="inlineStr">
        <is>
          <t>立白集团</t>
        </is>
      </c>
      <c r="C38" s="54" t="inlineStr">
        <is>
          <t>立白集团官网 · 集团简介</t>
        </is>
      </c>
      <c r="D38" s="24" t="inlineStr">
        <is>
          <t>2026-01-01</t>
        </is>
      </c>
      <c r="E38" s="55" t="inlineStr">
        <is>
          <t>https://www.liby.com.cn/</t>
        </is>
      </c>
      <c r="F38" s="49" t="inlineStr">
        <is>
          <t>日化客户业务线索</t>
        </is>
      </c>
      <c r="G38" s="50" t="inlineStr">
        <is>
          <t>C</t>
        </is>
      </c>
    </row>
    <row r="39" ht="26" customHeight="1">
      <c r="A39" s="21" t="inlineStr">
        <is>
          <t>S35</t>
        </is>
      </c>
      <c r="B39" s="20" t="inlineStr">
        <is>
          <t>蓝月亮集团</t>
        </is>
      </c>
      <c r="C39" s="54" t="inlineStr">
        <is>
          <t>蓝月亮集团官网 · 公司简介</t>
        </is>
      </c>
      <c r="D39" s="24" t="inlineStr">
        <is>
          <t>2026-01-01</t>
        </is>
      </c>
      <c r="E39" s="55" t="inlineStr">
        <is>
          <t>https://www.bluemoon.com.cn/</t>
        </is>
      </c>
      <c r="F39" s="49" t="inlineStr">
        <is>
          <t>日化客户业务线索</t>
        </is>
      </c>
      <c r="G39" s="50" t="inlineStr">
        <is>
          <t>C</t>
        </is>
      </c>
    </row>
    <row r="40" ht="26" customHeight="1">
      <c r="A40" s="21" t="inlineStr">
        <is>
          <t>S36</t>
        </is>
      </c>
      <c r="B40" s="20" t="inlineStr">
        <is>
          <t>溢达集团</t>
        </is>
      </c>
      <c r="C40" s="54" t="inlineStr">
        <is>
          <t>溢达集团官网 · 集团简介</t>
        </is>
      </c>
      <c r="D40" s="24" t="inlineStr">
        <is>
          <t>2026-01-01</t>
        </is>
      </c>
      <c r="E40" s="55" t="inlineStr">
        <is>
          <t>https://www.esquel.com/</t>
        </is>
      </c>
      <c r="F40" s="49" t="inlineStr">
        <is>
          <t>纺织客户业务线索</t>
        </is>
      </c>
      <c r="G40" s="50" t="inlineStr">
        <is>
          <t>C</t>
        </is>
      </c>
    </row>
    <row r="41" ht="26" customHeight="1">
      <c r="A41" s="21" t="inlineStr">
        <is>
          <t>S37</t>
        </is>
      </c>
      <c r="B41" s="20" t="inlineStr">
        <is>
          <t>东鹏控股</t>
        </is>
      </c>
      <c r="C41" s="54" t="inlineStr">
        <is>
          <t>东鹏控股官网 · 公司简介</t>
        </is>
      </c>
      <c r="D41" s="24" t="inlineStr">
        <is>
          <t>2026-01-01</t>
        </is>
      </c>
      <c r="E41" s="55" t="inlineStr">
        <is>
          <t>https://www.dongpeng.com/</t>
        </is>
      </c>
      <c r="F41" s="49" t="inlineStr">
        <is>
          <t>陶瓷客户业务线索</t>
        </is>
      </c>
      <c r="G41" s="50" t="inlineStr">
        <is>
          <t>C</t>
        </is>
      </c>
    </row>
    <row r="43" ht="22" customHeight="1">
      <c r="A43" s="12" t="inlineStr">
        <is>
          <t>注：A 公司定期报告/政府文件；B 公司 IR/行业统计/券商拆分；C 企业公开业务信息；D 物流/覆盖推断。链接为公开网页，可能随时间失效。</t>
        </is>
      </c>
    </row>
  </sheetData>
  <autoFilter ref="A4:G41"/>
  <mergeCells count="3">
    <mergeCell ref="A43:G43"/>
    <mergeCell ref="A2:G2"/>
    <mergeCell ref="A1:G1"/>
  </mergeCells>
  <hyperlinks>
    <hyperlink xmlns:r="http://schemas.openxmlformats.org/officeDocument/2006/relationships" ref="C5" r:id="rId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E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E8" r:id="rId8"/>
    <hyperlink xmlns:r="http://schemas.openxmlformats.org/officeDocument/2006/relationships" ref="C9" r:id="rId9"/>
    <hyperlink xmlns:r="http://schemas.openxmlformats.org/officeDocument/2006/relationships" ref="E9" r:id="rId10"/>
    <hyperlink xmlns:r="http://schemas.openxmlformats.org/officeDocument/2006/relationships" ref="C10" r:id="rId11"/>
    <hyperlink xmlns:r="http://schemas.openxmlformats.org/officeDocument/2006/relationships" ref="E10" r:id="rId12"/>
    <hyperlink xmlns:r="http://schemas.openxmlformats.org/officeDocument/2006/relationships" ref="C11" r:id="rId13"/>
    <hyperlink xmlns:r="http://schemas.openxmlformats.org/officeDocument/2006/relationships" ref="E11" r:id="rId14"/>
    <hyperlink xmlns:r="http://schemas.openxmlformats.org/officeDocument/2006/relationships" ref="C12" r:id="rId15"/>
    <hyperlink xmlns:r="http://schemas.openxmlformats.org/officeDocument/2006/relationships" ref="E12" r:id="rId16"/>
    <hyperlink xmlns:r="http://schemas.openxmlformats.org/officeDocument/2006/relationships" ref="C13" r:id="rId17"/>
    <hyperlink xmlns:r="http://schemas.openxmlformats.org/officeDocument/2006/relationships" ref="E13" r:id="rId18"/>
    <hyperlink xmlns:r="http://schemas.openxmlformats.org/officeDocument/2006/relationships" ref="C14" r:id="rId19"/>
    <hyperlink xmlns:r="http://schemas.openxmlformats.org/officeDocument/2006/relationships" ref="E14" r:id="rId20"/>
    <hyperlink xmlns:r="http://schemas.openxmlformats.org/officeDocument/2006/relationships" ref="C15" r:id="rId21"/>
    <hyperlink xmlns:r="http://schemas.openxmlformats.org/officeDocument/2006/relationships" ref="E15" r:id="rId22"/>
    <hyperlink xmlns:r="http://schemas.openxmlformats.org/officeDocument/2006/relationships" ref="C16" r:id="rId23"/>
    <hyperlink xmlns:r="http://schemas.openxmlformats.org/officeDocument/2006/relationships" ref="E16" r:id="rId24"/>
    <hyperlink xmlns:r="http://schemas.openxmlformats.org/officeDocument/2006/relationships" ref="C17" r:id="rId25"/>
    <hyperlink xmlns:r="http://schemas.openxmlformats.org/officeDocument/2006/relationships" ref="E17" r:id="rId26"/>
    <hyperlink xmlns:r="http://schemas.openxmlformats.org/officeDocument/2006/relationships" ref="C18" r:id="rId27"/>
    <hyperlink xmlns:r="http://schemas.openxmlformats.org/officeDocument/2006/relationships" ref="E18" r:id="rId28"/>
    <hyperlink xmlns:r="http://schemas.openxmlformats.org/officeDocument/2006/relationships" ref="C19" r:id="rId29"/>
    <hyperlink xmlns:r="http://schemas.openxmlformats.org/officeDocument/2006/relationships" ref="E19" r:id="rId30"/>
    <hyperlink xmlns:r="http://schemas.openxmlformats.org/officeDocument/2006/relationships" ref="C20" r:id="rId31"/>
    <hyperlink xmlns:r="http://schemas.openxmlformats.org/officeDocument/2006/relationships" ref="E20" r:id="rId32"/>
    <hyperlink xmlns:r="http://schemas.openxmlformats.org/officeDocument/2006/relationships" ref="C21" r:id="rId33"/>
    <hyperlink xmlns:r="http://schemas.openxmlformats.org/officeDocument/2006/relationships" ref="E21" r:id="rId34"/>
    <hyperlink xmlns:r="http://schemas.openxmlformats.org/officeDocument/2006/relationships" ref="C22" r:id="rId35"/>
    <hyperlink xmlns:r="http://schemas.openxmlformats.org/officeDocument/2006/relationships" ref="E22" r:id="rId36"/>
    <hyperlink xmlns:r="http://schemas.openxmlformats.org/officeDocument/2006/relationships" ref="C23" r:id="rId37"/>
    <hyperlink xmlns:r="http://schemas.openxmlformats.org/officeDocument/2006/relationships" ref="E23" r:id="rId38"/>
    <hyperlink xmlns:r="http://schemas.openxmlformats.org/officeDocument/2006/relationships" ref="C24" r:id="rId39"/>
    <hyperlink xmlns:r="http://schemas.openxmlformats.org/officeDocument/2006/relationships" ref="E24" r:id="rId40"/>
    <hyperlink xmlns:r="http://schemas.openxmlformats.org/officeDocument/2006/relationships" ref="C25" r:id="rId41"/>
    <hyperlink xmlns:r="http://schemas.openxmlformats.org/officeDocument/2006/relationships" ref="E25" r:id="rId42"/>
    <hyperlink xmlns:r="http://schemas.openxmlformats.org/officeDocument/2006/relationships" ref="C26" r:id="rId43"/>
    <hyperlink xmlns:r="http://schemas.openxmlformats.org/officeDocument/2006/relationships" ref="E26" r:id="rId44"/>
    <hyperlink xmlns:r="http://schemas.openxmlformats.org/officeDocument/2006/relationships" ref="C27" r:id="rId45"/>
    <hyperlink xmlns:r="http://schemas.openxmlformats.org/officeDocument/2006/relationships" ref="E27" r:id="rId46"/>
    <hyperlink xmlns:r="http://schemas.openxmlformats.org/officeDocument/2006/relationships" ref="C28" r:id="rId47"/>
    <hyperlink xmlns:r="http://schemas.openxmlformats.org/officeDocument/2006/relationships" ref="E28" r:id="rId48"/>
    <hyperlink xmlns:r="http://schemas.openxmlformats.org/officeDocument/2006/relationships" ref="C29" r:id="rId49"/>
    <hyperlink xmlns:r="http://schemas.openxmlformats.org/officeDocument/2006/relationships" ref="E29" r:id="rId50"/>
    <hyperlink xmlns:r="http://schemas.openxmlformats.org/officeDocument/2006/relationships" ref="C30" r:id="rId51"/>
    <hyperlink xmlns:r="http://schemas.openxmlformats.org/officeDocument/2006/relationships" ref="E30" r:id="rId52"/>
    <hyperlink xmlns:r="http://schemas.openxmlformats.org/officeDocument/2006/relationships" ref="C31" r:id="rId53"/>
    <hyperlink xmlns:r="http://schemas.openxmlformats.org/officeDocument/2006/relationships" ref="E31" r:id="rId54"/>
    <hyperlink xmlns:r="http://schemas.openxmlformats.org/officeDocument/2006/relationships" ref="C32" r:id="rId55"/>
    <hyperlink xmlns:r="http://schemas.openxmlformats.org/officeDocument/2006/relationships" ref="E32" r:id="rId56"/>
    <hyperlink xmlns:r="http://schemas.openxmlformats.org/officeDocument/2006/relationships" ref="C33" r:id="rId57"/>
    <hyperlink xmlns:r="http://schemas.openxmlformats.org/officeDocument/2006/relationships" ref="E33" r:id="rId58"/>
    <hyperlink xmlns:r="http://schemas.openxmlformats.org/officeDocument/2006/relationships" ref="C34" r:id="rId59"/>
    <hyperlink xmlns:r="http://schemas.openxmlformats.org/officeDocument/2006/relationships" ref="E34" r:id="rId60"/>
    <hyperlink xmlns:r="http://schemas.openxmlformats.org/officeDocument/2006/relationships" ref="C35" r:id="rId61"/>
    <hyperlink xmlns:r="http://schemas.openxmlformats.org/officeDocument/2006/relationships" ref="E35" r:id="rId62"/>
    <hyperlink xmlns:r="http://schemas.openxmlformats.org/officeDocument/2006/relationships" ref="C36" r:id="rId63"/>
    <hyperlink xmlns:r="http://schemas.openxmlformats.org/officeDocument/2006/relationships" ref="E36" r:id="rId64"/>
    <hyperlink xmlns:r="http://schemas.openxmlformats.org/officeDocument/2006/relationships" ref="C37" r:id="rId65"/>
    <hyperlink xmlns:r="http://schemas.openxmlformats.org/officeDocument/2006/relationships" ref="E37" r:id="rId66"/>
    <hyperlink xmlns:r="http://schemas.openxmlformats.org/officeDocument/2006/relationships" ref="C38" r:id="rId67"/>
    <hyperlink xmlns:r="http://schemas.openxmlformats.org/officeDocument/2006/relationships" ref="E38" r:id="rId68"/>
    <hyperlink xmlns:r="http://schemas.openxmlformats.org/officeDocument/2006/relationships" ref="C39" r:id="rId69"/>
    <hyperlink xmlns:r="http://schemas.openxmlformats.org/officeDocument/2006/relationships" ref="E39" r:id="rId70"/>
    <hyperlink xmlns:r="http://schemas.openxmlformats.org/officeDocument/2006/relationships" ref="C40" r:id="rId71"/>
    <hyperlink xmlns:r="http://schemas.openxmlformats.org/officeDocument/2006/relationships" ref="E40" r:id="rId72"/>
    <hyperlink xmlns:r="http://schemas.openxmlformats.org/officeDocument/2006/relationships" ref="C41" r:id="rId73"/>
    <hyperlink xmlns:r="http://schemas.openxmlformats.org/officeDocument/2006/relationships" ref="E41" r:id="rId74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32" customWidth="1" min="4" max="4"/>
    <col width="26" customWidth="1" min="5" max="5"/>
    <col width="44" customWidth="1" min="6" max="6"/>
    <col width="40" customWidth="1" min="7" max="7"/>
  </cols>
  <sheetData>
    <row r="1" ht="34" customHeight="1">
      <c r="A1" s="15" t="inlineStr">
        <is>
          <t>07 / CONFLICTS  口径冲突 · 采用判断</t>
        </is>
      </c>
    </row>
    <row r="2" ht="26" customHeight="1">
      <c r="A2" s="16" t="inlineStr">
        <is>
          <t>9 项 · 不强行抹平，并列展示并说明采用理由；冲突本身也是数据质量信号</t>
        </is>
      </c>
    </row>
    <row r="4" ht="31" customHeight="1">
      <c r="A4" s="17" t="inlineStr">
        <is>
          <t>#</t>
        </is>
      </c>
      <c r="B4" s="17" t="inlineStr">
        <is>
          <t>冲突项</t>
        </is>
      </c>
      <c r="C4" s="17" t="inlineStr">
        <is>
          <t>口径 A</t>
        </is>
      </c>
      <c r="D4" s="17" t="inlineStr">
        <is>
          <t>口径 B</t>
        </is>
      </c>
      <c r="E4" s="17" t="inlineStr">
        <is>
          <t>采用</t>
        </is>
      </c>
      <c r="F4" s="17" t="inlineStr">
        <is>
          <t>理由</t>
        </is>
      </c>
      <c r="G4" s="17" t="inlineStr">
        <is>
          <t>影响</t>
        </is>
      </c>
    </row>
    <row r="5" ht="38" customHeight="1">
      <c r="A5" s="56" t="n">
        <v>1</v>
      </c>
      <c r="B5" s="19" t="inlineStr">
        <is>
          <t>南方碱业纯碱产能</t>
        </is>
      </c>
      <c r="C5" s="26" t="inlineStr">
        <is>
          <t>企业简介：实际生产能力60万吨/年</t>
        </is>
      </c>
      <c r="D5" s="26" t="inlineStr">
        <is>
          <t>企业规模页：现生产能力35万吨/年</t>
        </is>
      </c>
      <c r="E5" s="57" t="inlineStr">
        <is>
          <t>60万吨/年（并在工厂备注保留35万吨旧口径）</t>
        </is>
      </c>
      <c r="F5" s="26" t="inlineStr">
        <is>
          <t>简介为较新对外口径；仍与官网规模页冲突，需用最新环评/年报复核</t>
        </is>
      </c>
      <c r="G5" s="26" t="inlineStr">
        <is>
          <t>若实际为35万吨，广东本地供给更薄，“本地空白”结论更强</t>
        </is>
      </c>
    </row>
    <row r="6" ht="38" customHeight="1">
      <c r="A6" s="56" t="n">
        <v>2</v>
      </c>
      <c r="B6" s="19" t="inlineStr">
        <is>
          <t>金山化工纯碱产能</t>
        </is>
      </c>
      <c r="C6" s="26" t="inlineStr">
        <is>
          <t>企业官网：纯碱330万吨/年</t>
        </is>
      </c>
      <c r="D6" s="26" t="inlineStr">
        <is>
          <t>行业报道：“现有联碱产能660万吨”</t>
        </is>
      </c>
      <c r="E6" s="57" t="inlineStr">
        <is>
          <t>330万吨/年（纯碱）</t>
        </is>
      </c>
      <c r="F6" s="26" t="inlineStr">
        <is>
          <t>660万吨更像“纯碱+氯化铵”联碱装置合计；公司官网明确纯碱330、氯化铵360</t>
        </is>
      </c>
      <c r="G6" s="26" t="inlineStr">
        <is>
          <t>若误用660，会把金山从第4位抬到第2位，扭曲竞争格局</t>
        </is>
      </c>
    </row>
    <row r="7" ht="38" customHeight="1">
      <c r="A7" s="56" t="n">
        <v>3</v>
      </c>
      <c r="B7" s="19" t="inlineStr">
        <is>
          <t>全国纯碱总产能（2025）</t>
        </is>
      </c>
      <c r="C7" s="26" t="inlineStr">
        <is>
          <t>双环年报引隆众：4,305万吨</t>
        </is>
      </c>
      <c r="D7" s="26" t="inlineStr">
        <is>
          <t>中盐年报：约4,468万吨</t>
        </is>
      </c>
      <c r="E7" s="57" t="inlineStr">
        <is>
          <t>4,305–4,468万吨区间</t>
        </is>
      </c>
      <c r="F7" s="26" t="inlineStr">
        <is>
          <t>统计口径/时点不同；不取单点，避免虚假精确</t>
        </is>
      </c>
      <c r="G7" s="26" t="inlineStr">
        <is>
          <t>样本覆盖率约69%-71%，只作覆盖度，不作市场份额</t>
        </is>
      </c>
    </row>
    <row r="8" ht="38" customHeight="1">
      <c r="A8" s="56" t="n">
        <v>4</v>
      </c>
      <c r="B8" s="19" t="inlineStr">
        <is>
          <t>博源二期规模</t>
        </is>
      </c>
      <c r="C8" s="26" t="inlineStr">
        <is>
          <t>公司公告：二期280万吨</t>
        </is>
      </c>
      <c r="D8" s="26" t="inlineStr">
        <is>
          <t>部分行业报道：二期180万吨（剩余）</t>
        </is>
      </c>
      <c r="E8" s="57" t="inlineStr">
        <is>
          <t>280万吨（其中首条100万吨线2025-12试车）</t>
        </is>
      </c>
      <c r="F8" s="26" t="inlineStr">
        <is>
          <t>公司公告为二期总规模；180万吨是“剩余未投”部分</t>
        </is>
      </c>
      <c r="G8" s="26" t="inlineStr">
        <is>
          <t>2026年增量按280万吨爬坡计，而非一次性满产</t>
        </is>
      </c>
    </row>
    <row r="9" ht="38" customHeight="1">
      <c r="A9" s="56" t="n">
        <v>5</v>
      </c>
      <c r="B9" s="19" t="inlineStr">
        <is>
          <t>雪天衡阳项目规模</t>
        </is>
      </c>
      <c r="C9" s="26" t="inlineStr">
        <is>
          <t>2024年公告：纯碱80万吨/年</t>
        </is>
      </c>
      <c r="D9" s="26" t="inlineStr">
        <is>
          <t>2026年行业报道：100万吨/年联碱</t>
        </is>
      </c>
      <c r="E9" s="57" t="inlineStr">
        <is>
          <t>80万吨/年（公告口径）</t>
        </is>
      </c>
      <c r="F9" s="26" t="inlineStr">
        <is>
          <t>以公司公告为准；100万吨可能含氯化铵或后续调整</t>
        </is>
      </c>
      <c r="G9" s="26" t="inlineStr">
        <is>
          <t>华南近距供给增量按80万吨计，避免高估</t>
        </is>
      </c>
    </row>
    <row r="10" ht="38" customHeight="1">
      <c r="A10" s="56" t="n">
        <v>6</v>
      </c>
      <c r="B10" s="19" t="inlineStr">
        <is>
          <t>苏盐井神产能</t>
        </is>
      </c>
      <c r="C10" s="26" t="inlineStr">
        <is>
          <t>公司IR：70万吨/年左右</t>
        </is>
      </c>
      <c r="D10" s="26" t="inlineStr">
        <is>
          <t>部分“百万吨以上企业”名单将其列入</t>
        </is>
      </c>
      <c r="E10" s="57" t="inlineStr">
        <is>
          <t>70万吨/年</t>
        </is>
      </c>
      <c r="F10" s="26" t="inlineStr">
        <is>
          <t>公司IR为直接口径；名单可能含在建或口径差异</t>
        </is>
      </c>
      <c r="G10" s="26" t="inlineStr">
        <is>
          <t>江苏样本产能按70万吨计</t>
        </is>
      </c>
    </row>
    <row r="11" ht="38" customHeight="1">
      <c r="A11" s="56" t="n">
        <v>7</v>
      </c>
      <c r="B11" s="19" t="inlineStr">
        <is>
          <t>产能 vs 产量</t>
        </is>
      </c>
      <c r="C11" s="26" t="inlineStr">
        <is>
          <t>设计/在产产能（万吨/年）</t>
        </is>
      </c>
      <c r="D11" s="26" t="inlineStr">
        <is>
          <t>2025年实际产量（万吨）</t>
        </is>
      </c>
      <c r="E11" s="57" t="inlineStr">
        <is>
          <t>分列两栏，不互相替代</t>
        </is>
      </c>
      <c r="F11" s="26" t="inlineStr">
        <is>
          <t>双环、中盐等产能利用率超100%，产量可高于设计产能</t>
        </is>
      </c>
      <c r="G11" s="26" t="inlineStr">
        <is>
          <t>矩阵同时展示，避免把产量当产能</t>
        </is>
      </c>
    </row>
    <row r="12" ht="38" customHeight="1">
      <c r="A12" s="56" t="n">
        <v>8</v>
      </c>
      <c r="B12" s="19" t="inlineStr">
        <is>
          <t>样本覆盖率 vs 市场份额</t>
        </is>
      </c>
      <c r="C12" s="26" t="inlineStr">
        <is>
          <t>样本产能3,070万吨/全国4,305-4,468万吨</t>
        </is>
      </c>
      <c r="D12" s="26" t="inlineStr">
        <is>
          <t>企业市场份额</t>
        </is>
      </c>
      <c r="E12" s="57" t="inlineStr">
        <is>
          <t>只写“样本覆盖约七成”，不写市场份额</t>
        </is>
      </c>
      <c r="F12" s="26" t="inlineStr">
        <is>
          <t>样本未穷尽34家；且份额需销量/收入口径</t>
        </is>
      </c>
      <c r="G12" s="26" t="inlineStr">
        <is>
          <t>所有竞争判断均为供给布局，不是份额排名</t>
        </is>
      </c>
    </row>
    <row r="13" ht="48" customHeight="1">
      <c r="A13" s="56" t="n">
        <v>9</v>
      </c>
      <c r="B13" s="19" t="inlineStr">
        <is>
          <t>南方 60 万吨 vs 需求覆盖率</t>
        </is>
      </c>
      <c r="C13" s="26" t="inlineStr">
        <is>
          <t>公司简介/企业规模：实际生产能力 60 万吨/年（另有 35 万吨口径）</t>
        </is>
      </c>
      <c r="D13" s="26" t="inlineStr">
        <is>
          <t>协会简介：南方产能仅能满足广东纯碱需求的不到 30%</t>
        </is>
      </c>
      <c r="E13" s="57" t="inlineStr">
        <is>
          <t>采用 60 万吨/年；不采用“不到30%”反推产能</t>
        </is>
      </c>
      <c r="F13" s="26" t="inlineStr">
        <is>
          <t>60 万吨为两次企业简介的明确产能口径；“不到30%”是需求覆盖率表述，反推需假设需求，且与“150万吨需求/60万吨产能=40%”不一致</t>
        </is>
      </c>
      <c r="G13" s="26" t="inlineStr">
        <is>
          <t>若按不到30%反推，南方产能约≤45万吨；广东本地供给更薄、空白更强。该矛盾本身说明本地供给数据弱</t>
        </is>
      </c>
    </row>
    <row r="15" ht="22" customHeight="1">
      <c r="A15" s="12" t="inlineStr">
        <is>
          <t>注：冲突项不是“错误”，而是公开口径不一致；正式版应继续用最新年报/环评/项目公告复核。</t>
        </is>
      </c>
    </row>
  </sheetData>
  <autoFilter ref="A4:G13"/>
  <mergeCells count="3">
    <mergeCell ref="A2:G2"/>
    <mergeCell ref="A1:G1"/>
    <mergeCell ref="A15:G15"/>
  </mergeCell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80" customWidth="1" min="4" max="4"/>
    <col width="25" customWidth="1" min="5" max="5"/>
  </cols>
  <sheetData>
    <row r="1" ht="34" customHeight="1">
      <c r="A1" s="15" t="inlineStr">
        <is>
          <t>08 / GAPS &amp; BOUNDARIES  数据缺口与边界</t>
        </is>
      </c>
    </row>
    <row r="2" ht="26" customHeight="1">
      <c r="A2" s="16" t="inlineStr">
        <is>
          <t>这是下一步取证清单，不是免责声明；写清“查不到什么”比假装全知道更专业</t>
        </is>
      </c>
    </row>
    <row r="4" ht="31" customHeight="1">
      <c r="A4" s="17" t="inlineStr">
        <is>
          <t>#</t>
        </is>
      </c>
      <c r="B4" s="17" t="inlineStr">
        <is>
          <t>类型</t>
        </is>
      </c>
      <c r="C4" s="17" t="inlineStr">
        <is>
          <t>条目</t>
        </is>
      </c>
      <c r="D4" s="17" t="inlineStr">
        <is>
          <t>说明</t>
        </is>
      </c>
      <c r="E4" s="17" t="inlineStr">
        <is>
          <t>对结论的影响</t>
        </is>
      </c>
    </row>
    <row r="5" ht="30" customHeight="1">
      <c r="A5" s="18" t="n">
        <v>1</v>
      </c>
      <c r="B5" s="58" t="inlineStr">
        <is>
          <t>缺口</t>
        </is>
      </c>
      <c r="C5" s="19" t="inlineStr">
        <is>
          <t>样本不是全行业</t>
        </is>
      </c>
      <c r="D5" s="26" t="inlineStr">
        <is>
          <t>17 家 / 22 厂，未穷尽行业 34 家；覆盖约七成是覆盖度，不是市场份额。</t>
        </is>
      </c>
      <c r="E5" s="26" t="inlineStr">
        <is>
          <t>可能高估或低估，需补数据后再下结论</t>
        </is>
      </c>
    </row>
    <row r="6" ht="34" customHeight="1">
      <c r="A6" s="18" t="n">
        <v>2</v>
      </c>
      <c r="B6" s="58" t="inlineStr">
        <is>
          <t>缺口</t>
        </is>
      </c>
      <c r="C6" s="19" t="inlineStr">
        <is>
          <t>负增量未系统收集</t>
        </is>
      </c>
      <c r="D6" s="26" t="inlineStr">
        <is>
          <t>冷修、停产、限产未纳入项目表；只加正向项目会高估净增，金山/连碱等已按“搬迁/置换”单列。</t>
        </is>
      </c>
      <c r="E6" s="26" t="inlineStr">
        <is>
          <t>可能高估或低估，需补数据后再下结论</t>
        </is>
      </c>
    </row>
    <row r="7" ht="30" customHeight="1">
      <c r="A7" s="18" t="n">
        <v>3</v>
      </c>
      <c r="B7" s="58" t="inlineStr">
        <is>
          <t>缺口</t>
        </is>
      </c>
      <c r="C7" s="19" t="inlineStr">
        <is>
          <t>距离不是运费</t>
        </is>
      </c>
      <c r="D7" s="26" t="inlineStr">
        <is>
          <t>直线距离未接铁路/水运价、港杂、短驳；正式版应改为“到厂成本”测算。</t>
        </is>
      </c>
      <c r="E7" s="26" t="inlineStr">
        <is>
          <t>可能高估或低估，需补数据后再下结论</t>
        </is>
      </c>
    </row>
    <row r="8" ht="30" customHeight="1">
      <c r="A8" s="18" t="n">
        <v>4</v>
      </c>
      <c r="B8" s="58" t="inlineStr">
        <is>
          <t>缺口</t>
        </is>
      </c>
      <c r="C8" s="19" t="inlineStr">
        <is>
          <t>非上市披露弱</t>
        </is>
      </c>
      <c r="D8" s="26" t="inlineStr">
        <is>
          <t>金山、南方、永利、红四方等以官网/行业口径为主，标 B；南方 35/60 万吨冲突已并列。</t>
        </is>
      </c>
      <c r="E8" s="26" t="inlineStr">
        <is>
          <t>可能高估或低估，需补数据后再下结论</t>
        </is>
      </c>
    </row>
    <row r="9" ht="30" customHeight="1">
      <c r="A9" s="18" t="n">
        <v>5</v>
      </c>
      <c r="B9" s="58" t="inlineStr">
        <is>
          <t>缺口</t>
        </is>
      </c>
      <c r="C9" s="19" t="inlineStr">
        <is>
          <t>潜客仅广东</t>
        </is>
      </c>
      <c r="D9" s="26" t="inlineStr">
        <is>
          <t>8 家样本用于演示“区域→潜客”路径；浙江、福建、广西等未建潜客库。</t>
        </is>
      </c>
      <c r="E9" s="26" t="inlineStr">
        <is>
          <t>可能高估或低估，需补数据后再下结论</t>
        </is>
      </c>
    </row>
    <row r="10" ht="30" customHeight="1">
      <c r="A10" s="18" t="n">
        <v>6</v>
      </c>
      <c r="B10" s="58" t="inlineStr">
        <is>
          <t>缺口</t>
        </is>
      </c>
      <c r="C10" s="19" t="inlineStr">
        <is>
          <t>价格未接入</t>
        </is>
      </c>
      <c r="D10" s="26" t="inlineStr">
        <is>
          <t>未接隆众/卓创日价与区域价差；无法判断“现在是不是切客户”的价格窗口。</t>
        </is>
      </c>
      <c r="E10" s="26" t="inlineStr">
        <is>
          <t>可能高估或低估，需补数据后再下结论</t>
        </is>
      </c>
    </row>
    <row r="11" ht="30" customHeight="1">
      <c r="A11" s="18" t="n">
        <v>7</v>
      </c>
      <c r="B11" s="38" t="inlineStr">
        <is>
          <t>边界</t>
        </is>
      </c>
      <c r="C11" s="19" t="inlineStr">
        <is>
          <t>同行不列潜客</t>
        </is>
      </c>
      <c r="D11" s="26" t="inlineStr">
        <is>
          <t>纯碱生产企业只作竞争供给，不混进客户名单。</t>
        </is>
      </c>
      <c r="E11" s="26" t="inlineStr">
        <is>
          <t>已在报告中排除或单独标注</t>
        </is>
      </c>
    </row>
    <row r="12" ht="30" customHeight="1">
      <c r="A12" s="18" t="n">
        <v>8</v>
      </c>
      <c r="B12" s="38" t="inlineStr">
        <is>
          <t>边界</t>
        </is>
      </c>
      <c r="C12" s="19" t="inlineStr">
        <is>
          <t>误判下游</t>
        </is>
      </c>
      <c r="D12" s="26" t="inlineStr">
        <is>
          <t>玻璃深加工、光伏组件、氧化铝（用烧碱）等不消耗/极少消耗纯碱，已排除。</t>
        </is>
      </c>
      <c r="E12" s="26" t="inlineStr">
        <is>
          <t>已在报告中排除或单独标注</t>
        </is>
      </c>
    </row>
    <row r="13" ht="30" customHeight="1">
      <c r="A13" s="18" t="n">
        <v>9</v>
      </c>
      <c r="B13" s="38" t="inlineStr">
        <is>
          <t>边界</t>
        </is>
      </c>
      <c r="C13" s="19" t="inlineStr">
        <is>
          <t>贸易商不是终端</t>
        </is>
      </c>
      <c r="D13" s="26" t="inlineStr">
        <is>
          <t>贸易商只作渠道线索，最终需求仍要落到工厂。</t>
        </is>
      </c>
      <c r="E13" s="26" t="inlineStr">
        <is>
          <t>已在报告中排除或单独标注</t>
        </is>
      </c>
    </row>
    <row r="14" ht="30" customHeight="1">
      <c r="A14" s="18" t="n">
        <v>10</v>
      </c>
      <c r="B14" s="38" t="inlineStr">
        <is>
          <t>边界</t>
        </is>
      </c>
      <c r="C14" s="19" t="inlineStr">
        <is>
          <t>规格要分开</t>
        </is>
      </c>
      <c r="D14" s="26" t="inlineStr">
        <is>
          <t>轻碱/重碱、食品级/工业级用途与价格不同，不能合并成一个“纯碱需求”。</t>
        </is>
      </c>
      <c r="E14" s="26" t="inlineStr">
        <is>
          <t>已在报告中排除或单独标注</t>
        </is>
      </c>
    </row>
    <row r="15" ht="30" customHeight="1">
      <c r="A15" s="18" t="n">
        <v>11</v>
      </c>
      <c r="B15" s="38" t="inlineStr">
        <is>
          <t>边界</t>
        </is>
      </c>
      <c r="C15" s="19" t="inlineStr">
        <is>
          <t>产能≠产量</t>
        </is>
      </c>
      <c r="D15" s="26" t="inlineStr">
        <is>
          <t>产量受检修、负荷、原料影响，利用率仅作量级参考。</t>
        </is>
      </c>
      <c r="E15" s="26" t="inlineStr">
        <is>
          <t>已在报告中排除或单独标注</t>
        </is>
      </c>
    </row>
    <row r="17" ht="22" customHeight="1">
      <c r="A17" s="12" t="inlineStr">
        <is>
          <t>注：缺口不是“免责声明”，而是下一轮研究的任务清单；正式版可把每条缺口转成 owner + 截止日期。</t>
        </is>
      </c>
    </row>
  </sheetData>
  <autoFilter ref="A4:E15"/>
  <mergeCells count="3">
    <mergeCell ref="A2:E2"/>
    <mergeCell ref="A1:E1"/>
    <mergeCell ref="A17:E17"/>
  </mergeCell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2026-10-19 ·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chemical-competitor-supply-map</dc:creator>
  <dc:subject xmlns:dc="http://purl.org/dc/elements/1.1/">纯碱 · 广东 · 江门 · 竞争供给布局</dc:subject>
  <dcterms:created xmlns:dcterms="http://purl.org/dc/terms/" xmlns:xsi="http://www.w3.org/2001/XMLSchema-instance" xsi:type="dcterms:W3CDTF">2026-10-19T05:57:38Z</dcterms:created>
  <dcterms:modified xmlns:dcterms="http://purl.org/dc/terms/" xmlns:xsi="http://www.w3.org/2001/XMLSchema-instance" xsi:type="dcterms:W3CDTF">2026-10-19T05:57:38Z</dcterms:modified>
</cp:coreProperties>
</file>
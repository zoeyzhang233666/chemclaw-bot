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drawings/drawing2.xml" ContentType="application/vnd.openxmlformats-officedocument.drawing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封面" sheetId="1" state="visible" r:id="rId1"/>
    <sheet xmlns:r="http://schemas.openxmlformats.org/officeDocument/2006/relationships" name="01_企业矩阵" sheetId="2" state="visible" r:id="rId2"/>
    <sheet xmlns:r="http://schemas.openxmlformats.org/officeDocument/2006/relationships" name="02_工厂明细" sheetId="3" state="visible" r:id="rId3"/>
    <sheet xmlns:r="http://schemas.openxmlformats.org/officeDocument/2006/relationships" name="03_新增项目" sheetId="4" state="visible" r:id="rId4"/>
    <sheet xmlns:r="http://schemas.openxmlformats.org/officeDocument/2006/relationships" name="04_区域对照" sheetId="5" state="visible" r:id="rId5"/>
    <sheet xmlns:r="http://schemas.openxmlformats.org/officeDocument/2006/relationships" name="05_目标区域与潜客" sheetId="6" state="visible" r:id="rId6"/>
    <sheet xmlns:r="http://schemas.openxmlformats.org/officeDocument/2006/relationships" name="06_数据来源" sheetId="7" state="visible" r:id="rId7"/>
    <sheet xmlns:r="http://schemas.openxmlformats.org/officeDocument/2006/relationships" name="07_口径与冲突" sheetId="8" state="visible" r:id="rId8"/>
    <sheet xmlns:r="http://schemas.openxmlformats.org/officeDocument/2006/relationships" name="08_数据缺口与边界" sheetId="9" state="visible" r:id="rId9"/>
  </sheets>
  <definedNames>
    <definedName name="_xlnm.Print_Area" localSheetId="0">'00_封面'!$A$1:$F$30</definedName>
    <definedName name="_xlnm._FilterDatabase" localSheetId="1" hidden="1">'01_企业矩阵'!$A$4:$P$7</definedName>
    <definedName name="_xlnm.Print_Area" localSheetId="1">'01_企业矩阵'!$A$1:$P$11</definedName>
    <definedName name="_xlnm._FilterDatabase" localSheetId="2" hidden="1">'02_工厂明细'!$A$4:$P$7</definedName>
    <definedName name="_xlnm.Print_Area" localSheetId="2">'02_工厂明细'!$A$1:$P$10</definedName>
    <definedName name="_xlnm._FilterDatabase" localSheetId="3" hidden="1">'03_新增项目'!$A$4:$N$6</definedName>
    <definedName name="_xlnm.Print_Area" localSheetId="3">'03_新增项目'!$A$1:$N$9</definedName>
    <definedName name="_xlnm._FilterDatabase" localSheetId="4" hidden="1">'04_区域对照'!$A$4:$K$6</definedName>
    <definedName name="_xlnm.Print_Area" localSheetId="4">'04_区域对照'!$A$1:$K$9</definedName>
    <definedName name="_xlnm.Print_Area" localSheetId="5">'05_目标区域与潜客'!$A$1:$K$27</definedName>
    <definedName name="_xlnm._FilterDatabase" localSheetId="6" hidden="1">'06_数据来源'!$A$4:$G$8</definedName>
    <definedName name="_xlnm.Print_Area" localSheetId="6">'06_数据来源'!$A$1:$G$10</definedName>
    <definedName name="_xlnm._FilterDatabase" localSheetId="7" hidden="1">'07_口径与冲突'!$A$4:$G$5</definedName>
    <definedName name="_xlnm.Print_Area" localSheetId="7">'07_口径与冲突'!$A$1:$G$7</definedName>
    <definedName name="_xlnm._FilterDatabase" localSheetId="8" hidden="1">'08_数据缺口与边界'!$A$4:$E$8</definedName>
    <definedName name="_xlnm.Print_Area" localSheetId="8">'08_数据缺口与边界'!$A$1:$E$10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8">
    <font>
      <name val="Calibri"/>
      <family val="2"/>
      <color theme="1"/>
      <sz val="11"/>
      <scheme val="minor"/>
    </font>
    <font>
      <name val="Microsoft YaHei"/>
      <b val="1"/>
      <color rgb="00D9A441"/>
      <sz val="9"/>
    </font>
    <font>
      <name val="Microsoft YaHei"/>
      <b val="1"/>
      <color rgb="00CFE3D7"/>
      <sz val="10"/>
    </font>
    <font>
      <name val="Microsoft YaHei"/>
      <b val="1"/>
      <color rgb="007A4B1E"/>
      <sz val="9"/>
    </font>
    <font>
      <name val="Microsoft YaHei"/>
      <b val="1"/>
      <color rgb="000F3D33"/>
      <sz val="34"/>
    </font>
    <font>
      <name val="Microsoft YaHei"/>
      <b val="1"/>
      <color rgb="00B4642D"/>
      <sz val="14"/>
    </font>
    <font>
      <name val="Microsoft YaHei"/>
      <b val="1"/>
      <color rgb="006E7B72"/>
      <sz val="9"/>
    </font>
    <font>
      <name val="Microsoft YaHei"/>
      <b val="1"/>
      <color rgb="000F3D33"/>
      <sz val="20"/>
    </font>
    <font>
      <name val="Microsoft YaHei"/>
      <color rgb="006E7B72"/>
      <sz val="8"/>
    </font>
    <font>
      <name val="Microsoft YaHei"/>
      <b val="1"/>
      <color rgb="00FFFFFF"/>
      <sz val="11"/>
    </font>
    <font>
      <name val="Microsoft YaHei"/>
      <b val="1"/>
      <color rgb="00B4642D"/>
      <sz val="12"/>
    </font>
    <font>
      <name val="Microsoft YaHei"/>
      <b val="1"/>
      <color rgb="000F3D33"/>
      <sz val="10"/>
    </font>
    <font>
      <name val="Microsoft YaHei"/>
      <color rgb="006E7B72"/>
      <sz val="9"/>
    </font>
    <font>
      <name val="Microsoft YaHei"/>
      <color rgb="006E7B72"/>
      <sz val="8.5"/>
    </font>
    <font>
      <name val="Microsoft YaHei"/>
      <color rgb="000F3D33"/>
      <sz val="9.5"/>
    </font>
    <font>
      <name val="Microsoft YaHei"/>
      <b val="1"/>
      <color rgb="00FFFFFF"/>
      <sz val="17"/>
    </font>
    <font>
      <name val="Microsoft YaHei"/>
      <b val="1"/>
      <color rgb="00FFFFFF"/>
      <sz val="9"/>
    </font>
    <font>
      <name val="Microsoft YaHei"/>
      <b val="1"/>
      <color rgb="000F3D33"/>
      <sz val="9.5"/>
    </font>
    <font>
      <name val="Microsoft YaHei"/>
      <b val="1"/>
      <color rgb="002F6F8F"/>
      <sz val="9"/>
    </font>
    <font>
      <name val="Microsoft YaHei"/>
      <color rgb="000F3D33"/>
      <sz val="9"/>
    </font>
    <font>
      <name val="Microsoft YaHei"/>
      <color rgb="000F3D33"/>
      <sz val="8.5"/>
    </font>
    <font>
      <name val="Microsoft YaHei"/>
      <b val="1"/>
      <color rgb="000F3D33"/>
      <sz val="9"/>
    </font>
    <font>
      <name val="Microsoft YaHei"/>
      <color rgb="002F6F8F"/>
      <sz val="8"/>
    </font>
    <font>
      <name val="Microsoft YaHei"/>
      <b val="1"/>
      <color rgb="002F6F8F"/>
      <sz val="8"/>
      <u val="single"/>
    </font>
    <font>
      <name val="Microsoft YaHei"/>
      <b val="1"/>
      <color rgb="00B4642D"/>
      <sz val="10"/>
    </font>
    <font>
      <name val="Microsoft YaHei"/>
      <color rgb="00B4642D"/>
      <sz val="8.5"/>
    </font>
    <font>
      <name val="Microsoft YaHei"/>
      <b val="1"/>
      <color rgb="000F3D33"/>
      <sz val="8.5"/>
    </font>
    <font>
      <name val="Consolas"/>
      <color rgb="006E7B72"/>
      <sz val="8"/>
    </font>
    <font>
      <name val="Microsoft YaHei"/>
      <b val="1"/>
      <color rgb="002F6F8F"/>
      <sz val="8.5"/>
    </font>
    <font>
      <name val="Microsoft YaHei"/>
      <b val="1"/>
      <color rgb="006E7B72"/>
      <sz val="8"/>
    </font>
    <font>
      <name val="Microsoft YaHei"/>
      <b val="1"/>
      <color rgb="00B4642D"/>
      <sz val="8"/>
    </font>
    <font>
      <name val="Microsoft YaHei"/>
      <b val="1"/>
      <color rgb="00B4642D"/>
      <sz val="9"/>
    </font>
    <font>
      <name val="Microsoft YaHei"/>
      <b val="1"/>
      <color rgb="006E7B72"/>
      <sz val="8.5"/>
    </font>
    <font>
      <name val="Microsoft YaHei"/>
      <color rgb="000F3D33"/>
      <sz val="8"/>
    </font>
    <font>
      <name val="Microsoft YaHei"/>
      <b val="1"/>
      <color rgb="00FFFFFF"/>
      <sz val="10"/>
    </font>
    <font>
      <name val="Microsoft YaHei"/>
      <b val="1"/>
      <color rgb="002F6F8F"/>
      <sz val="9"/>
      <u val="single"/>
    </font>
    <font>
      <name val="Microsoft YaHei"/>
      <color rgb="006E7B72"/>
      <sz val="7.5"/>
    </font>
    <font>
      <name val="Microsoft YaHei"/>
      <b val="1"/>
      <color rgb="00B4642D"/>
      <sz val="8.5"/>
    </font>
  </fonts>
  <fills count="8">
    <fill>
      <patternFill/>
    </fill>
    <fill>
      <patternFill patternType="gray125"/>
    </fill>
    <fill>
      <patternFill patternType="solid">
        <fgColor rgb="000F3D33"/>
      </patternFill>
    </fill>
    <fill>
      <patternFill patternType="solid">
        <fgColor rgb="00F7EEDB"/>
      </patternFill>
    </fill>
    <fill>
      <patternFill patternType="solid">
        <fgColor rgb="00FFFDF8"/>
      </patternFill>
    </fill>
    <fill>
      <patternFill patternType="solid">
        <fgColor rgb="00B4642D"/>
      </patternFill>
    </fill>
    <fill>
      <patternFill patternType="solid">
        <fgColor rgb="00E7F0E9"/>
      </patternFill>
    </fill>
    <fill>
      <patternFill patternType="solid">
        <fgColor rgb="002F6F8F"/>
      </patternFill>
    </fill>
  </fills>
  <borders count="6">
    <border>
      <left/>
      <right/>
      <top/>
      <bottom/>
      <diagonal/>
    </border>
    <border>
      <left style="thin">
        <color rgb="00DCD2C1"/>
      </left>
      <right style="thin">
        <color rgb="00DCD2C1"/>
      </right>
      <top style="thin">
        <color rgb="00DCD2C1"/>
      </top>
      <bottom style="thin">
        <color rgb="00DCD2C1"/>
      </bottom>
    </border>
    <border>
      <left style="thin">
        <color rgb="00C9D9CE"/>
      </left>
      <right style="thin">
        <color rgb="00C9D9CE"/>
      </right>
      <top style="thin">
        <color rgb="00C9D9CE"/>
      </top>
      <bottom style="thin">
        <color rgb="00C9D9CE"/>
      </bottom>
    </border>
    <border>
      <left style="thin">
        <color rgb="000F3D33"/>
      </left>
      <right style="thin">
        <color rgb="000F3D33"/>
      </right>
      <top style="thin">
        <color rgb="000F3D33"/>
      </top>
      <bottom style="thin">
        <color rgb="000F3D33"/>
      </bottom>
    </border>
    <border>
      <left style="thin">
        <color rgb="002F6F8F"/>
      </left>
      <right style="thin">
        <color rgb="002F6F8F"/>
      </right>
      <top style="thin">
        <color rgb="002F6F8F"/>
      </top>
      <bottom style="thin">
        <color rgb="002F6F8F"/>
      </bottom>
    </border>
    <border>
      <left style="thin">
        <color rgb="00B4642D"/>
      </left>
      <right style="thin">
        <color rgb="00B4642D"/>
      </right>
      <top style="thin">
        <color rgb="00B4642D"/>
      </top>
      <bottom style="thin">
        <color rgb="00B4642D"/>
      </bottom>
    </border>
  </borders>
  <cellStyleXfs count="1">
    <xf numFmtId="0" fontId="0" fillId="0" borderId="0"/>
  </cellStyleXfs>
  <cellXfs count="60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2" borderId="0" applyAlignment="1" pivotButton="0" quotePrefix="0" xfId="0">
      <alignment horizontal="left" vertical="center"/>
    </xf>
    <xf numFmtId="0" fontId="3" fillId="3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/>
    </xf>
    <xf numFmtId="0" fontId="6" fillId="4" borderId="1" applyAlignment="1" pivotButton="0" quotePrefix="0" xfId="0">
      <alignment horizontal="left" vertical="center"/>
    </xf>
    <xf numFmtId="0" fontId="7" fillId="4" borderId="1" applyAlignment="1" pivotButton="0" quotePrefix="0" xfId="0">
      <alignment horizontal="left" vertical="center"/>
    </xf>
    <xf numFmtId="0" fontId="8" fillId="4" borderId="1" applyAlignment="1" pivotButton="0" quotePrefix="0" xfId="0">
      <alignment horizontal="left" vertical="center"/>
    </xf>
    <xf numFmtId="0" fontId="9" fillId="5" borderId="0" applyAlignment="1" pivotButton="0" quotePrefix="0" xfId="0">
      <alignment horizontal="left" vertical="center"/>
    </xf>
    <xf numFmtId="0" fontId="10" fillId="4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left" vertical="center" wrapText="1"/>
    </xf>
    <xf numFmtId="0" fontId="12" fillId="4" borderId="1" applyAlignment="1" pivotButton="0" quotePrefix="0" xfId="0">
      <alignment horizontal="left" vertical="center" wrapText="1"/>
    </xf>
    <xf numFmtId="0" fontId="13" fillId="0" borderId="0" applyAlignment="1" pivotButton="0" quotePrefix="0" xfId="0">
      <alignment horizontal="left" vertical="center" wrapText="1"/>
    </xf>
    <xf numFmtId="0" fontId="14" fillId="6" borderId="2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left" vertical="center"/>
    </xf>
    <xf numFmtId="0" fontId="12" fillId="4" borderId="0" applyAlignment="1" pivotButton="0" quotePrefix="0" xfId="0">
      <alignment horizontal="left" vertical="center" wrapText="1"/>
    </xf>
    <xf numFmtId="0" fontId="16" fillId="2" borderId="3" applyAlignment="1" pivotButton="0" quotePrefix="0" xfId="0">
      <alignment horizontal="center" vertical="center" wrapText="1"/>
    </xf>
    <xf numFmtId="0" fontId="12" fillId="4" borderId="1" applyAlignment="1" pivotButton="0" quotePrefix="0" xfId="0">
      <alignment horizontal="center" vertical="center" wrapText="1"/>
    </xf>
    <xf numFmtId="0" fontId="17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8" fillId="4" borderId="1" applyAlignment="1" pivotButton="0" quotePrefix="0" xfId="0">
      <alignment horizontal="center" vertical="center" wrapText="1"/>
    </xf>
    <xf numFmtId="3" fontId="11" fillId="4" borderId="1" applyAlignment="1" pivotButton="0" quotePrefix="0" xfId="0">
      <alignment horizontal="center" vertical="center" wrapText="1"/>
    </xf>
    <xf numFmtId="4" fontId="1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center" vertical="center" wrapText="1"/>
    </xf>
    <xf numFmtId="0" fontId="19" fillId="4" borderId="1" applyAlignment="1" pivotButton="0" quotePrefix="0" xfId="0">
      <alignment horizontal="center" vertical="center" wrapText="1"/>
    </xf>
    <xf numFmtId="0" fontId="8" fillId="4" borderId="1" applyAlignment="1" pivotButton="0" quotePrefix="0" xfId="0">
      <alignment horizontal="left" vertical="center" wrapText="1"/>
    </xf>
    <xf numFmtId="0" fontId="20" fillId="4" borderId="1" applyAlignment="1" pivotButton="0" quotePrefix="0" xfId="0">
      <alignment horizontal="left" vertical="center" wrapText="1"/>
    </xf>
    <xf numFmtId="0" fontId="21" fillId="4" borderId="3" applyAlignment="1" pivotButton="0" quotePrefix="0" xfId="0">
      <alignment horizontal="center" vertical="center" wrapText="1"/>
    </xf>
    <xf numFmtId="0" fontId="23" fillId="4" borderId="1" applyAlignment="1" pivotButton="0" quotePrefix="0" xfId="0">
      <alignment horizontal="center" vertical="center" wrapText="1"/>
    </xf>
    <xf numFmtId="0" fontId="18" fillId="4" borderId="4" applyAlignment="1" pivotButton="0" quotePrefix="0" xfId="0">
      <alignment horizontal="center" vertical="center" wrapText="1"/>
    </xf>
    <xf numFmtId="0" fontId="24" fillId="3" borderId="5" applyAlignment="1" pivotButton="0" quotePrefix="0" xfId="0">
      <alignment horizontal="left" vertical="center" wrapText="1"/>
    </xf>
    <xf numFmtId="0" fontId="24" fillId="3" borderId="5" applyAlignment="1" pivotButton="0" quotePrefix="0" xfId="0">
      <alignment horizontal="center" vertical="center" wrapText="1"/>
    </xf>
    <xf numFmtId="0" fontId="25" fillId="3" borderId="5" applyAlignment="1" pivotButton="0" quotePrefix="0" xfId="0">
      <alignment horizontal="left" vertical="center" wrapText="1"/>
    </xf>
    <xf numFmtId="0" fontId="26" fillId="4" borderId="1" applyAlignment="1" pivotButton="0" quotePrefix="0" xfId="0">
      <alignment horizontal="left" vertical="center" wrapText="1"/>
    </xf>
    <xf numFmtId="0" fontId="21" fillId="4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center" vertical="center" wrapText="1"/>
    </xf>
    <xf numFmtId="2" fontId="27" fillId="4" borderId="1" applyAlignment="1" pivotButton="0" quotePrefix="0" xfId="0">
      <alignment horizontal="center" vertical="center" wrapText="1"/>
    </xf>
    <xf numFmtId="0" fontId="28" fillId="4" borderId="1" applyAlignment="1" pivotButton="0" quotePrefix="0" xfId="0">
      <alignment horizontal="center" vertical="center" wrapText="1"/>
    </xf>
    <xf numFmtId="3" fontId="17" fillId="4" borderId="1" applyAlignment="1" pivotButton="0" quotePrefix="0" xfId="0">
      <alignment horizontal="center" vertical="center" wrapText="1"/>
    </xf>
    <xf numFmtId="3" fontId="24" fillId="4" borderId="1" applyAlignment="1" pivotButton="0" quotePrefix="0" xfId="0">
      <alignment horizontal="center" vertical="center" wrapText="1"/>
    </xf>
    <xf numFmtId="0" fontId="29" fillId="4" borderId="1" applyAlignment="1" pivotButton="0" quotePrefix="0" xfId="0">
      <alignment horizontal="center" vertical="center" wrapText="1"/>
    </xf>
    <xf numFmtId="0" fontId="30" fillId="4" borderId="1" applyAlignment="1" pivotButton="0" quotePrefix="0" xfId="0">
      <alignment horizontal="left" vertical="center" wrapText="1"/>
    </xf>
    <xf numFmtId="0" fontId="31" fillId="4" borderId="5" applyAlignment="1" pivotButton="0" quotePrefix="0" xfId="0">
      <alignment horizontal="center" vertical="center" wrapText="1"/>
    </xf>
    <xf numFmtId="3" fontId="24" fillId="3" borderId="1" applyAlignment="1" pivotButton="0" quotePrefix="0" xfId="0">
      <alignment horizontal="center" vertical="center" wrapText="1"/>
    </xf>
    <xf numFmtId="0" fontId="11" fillId="4" borderId="1" applyAlignment="1" pivotButton="0" quotePrefix="0" xfId="0">
      <alignment horizontal="center" vertical="center" wrapText="1"/>
    </xf>
    <xf numFmtId="0" fontId="32" fillId="4" borderId="1" applyAlignment="1" pivotButton="0" quotePrefix="0" xfId="0">
      <alignment horizontal="center" vertical="center" wrapText="1"/>
    </xf>
    <xf numFmtId="0" fontId="21" fillId="6" borderId="2" applyAlignment="1" pivotButton="0" quotePrefix="0" xfId="0">
      <alignment horizontal="left" vertical="center" wrapText="1"/>
    </xf>
    <xf numFmtId="3" fontId="31" fillId="4" borderId="1" applyAlignment="1" pivotButton="0" quotePrefix="0" xfId="0">
      <alignment horizontal="center" vertical="center" wrapText="1"/>
    </xf>
    <xf numFmtId="0" fontId="24" fillId="3" borderId="1" applyAlignment="1" pivotButton="0" quotePrefix="0" xfId="0">
      <alignment horizontal="center" vertical="center" wrapText="1"/>
    </xf>
    <xf numFmtId="0" fontId="33" fillId="4" borderId="1" applyAlignment="1" pivotButton="0" quotePrefix="0" xfId="0">
      <alignment horizontal="left" vertical="center" wrapText="1"/>
    </xf>
    <xf numFmtId="0" fontId="34" fillId="2" borderId="0" applyAlignment="1" pivotButton="0" quotePrefix="0" xfId="0">
      <alignment horizontal="left" vertical="center"/>
    </xf>
    <xf numFmtId="0" fontId="34" fillId="5" borderId="0" applyAlignment="1" pivotButton="0" quotePrefix="0" xfId="0">
      <alignment horizontal="left" vertical="center"/>
    </xf>
    <xf numFmtId="0" fontId="34" fillId="7" borderId="0" applyAlignment="1" pivotButton="0" quotePrefix="0" xfId="0">
      <alignment horizontal="left" vertical="center"/>
    </xf>
    <xf numFmtId="0" fontId="35" fillId="4" borderId="1" applyAlignment="1" pivotButton="0" quotePrefix="0" xfId="0">
      <alignment horizontal="left" vertical="center" wrapText="1"/>
    </xf>
    <xf numFmtId="0" fontId="36" fillId="4" borderId="1" applyAlignment="1" pivotButton="0" quotePrefix="0" xfId="0">
      <alignment horizontal="left" vertical="center" wrapText="1"/>
    </xf>
    <xf numFmtId="0" fontId="6" fillId="4" borderId="1" applyAlignment="1" pivotButton="0" quotePrefix="0" xfId="0">
      <alignment horizontal="center" vertical="center" wrapText="1"/>
    </xf>
    <xf numFmtId="0" fontId="37" fillId="3" borderId="1" applyAlignment="1" pivotButton="0" quotePrefix="0" xfId="0">
      <alignment horizontal="left" vertical="center" wrapText="1"/>
    </xf>
    <xf numFmtId="0" fontId="37" fillId="4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charts/chart1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样本产能 TOP 10（万吨/年）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'01_企业矩阵'!G4</f>
            </strRef>
          </tx>
          <spPr>
            <a:ln xmlns:a="http://schemas.openxmlformats.org/drawingml/2006/main">
              <a:prstDash val="solid"/>
            </a:ln>
          </spPr>
          <cat>
            <strRef>
              <f>'01_企业矩阵'!$B$5:$B${min(14, 4 + len(rows))}</f>
            </strRef>
          </cat>
          <val>
            <numRef>
              <f>'01_企业矩阵'!$G$5:$G$7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10"/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省级样本产能 TOP 10（万吨/年）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'04_区域对照'!C4</f>
            </strRef>
          </tx>
          <spPr>
            <a:ln xmlns:a="http://schemas.openxmlformats.org/drawingml/2006/main">
              <a:prstDash val="solid"/>
            </a:ln>
          </spPr>
          <cat>
            <strRef>
              <f>'04_区域对照'!$B$5:$B${4 + len(rows)}</f>
            </strRef>
          </cat>
          <val>
            <numRef>
              <f>'04_区域对照'!$C$5:$C$6</f>
            </numRef>
          </val>
        </ser>
        <dLbls>
          <showVal val="1"/>
        </dLbls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万吨/年</a:t>
                </a:r>
              </a:p>
            </rich>
          </tx>
        </title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_rels/drawing2.xml.rels><Relationships xmlns="http://schemas.openxmlformats.org/package/2006/relationships"><Relationship Type="http://schemas.openxmlformats.org/officeDocument/2006/relationships/chart" Target="/xl/charts/chart2.xml" Id="rId1"/></Relationships>
</file>

<file path=xl/drawings/drawing1.xml><?xml version="1.0" encoding="utf-8"?>
<wsDr xmlns="http://schemas.openxmlformats.org/drawingml/2006/spreadsheetDrawing">
  <oneCellAnchor>
    <from>
      <col>17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drawings/drawing2.xml><?xml version="1.0" encoding="utf-8"?>
<wsDr xmlns="http://schemas.openxmlformats.org/drawingml/2006/spreadsheetDrawing">
  <oneCellAnchor>
    <from>
      <col>12</col>
      <colOff>0</colOff>
      <row>3</row>
      <rowOff>0</rowOff>
    </from>
    <ext cx="5400000" cy="306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example.com/s3" TargetMode="External" Id="rId1"/><Relationship Type="http://schemas.openxmlformats.org/officeDocument/2006/relationships/hyperlink" Target="https://example.com/s1" TargetMode="External" Id="rId2"/><Relationship Type="http://schemas.openxmlformats.org/officeDocument/2006/relationships/hyperlink" Target="https://example.com/s2" TargetMode="External" Id="rId3"/><Relationship Type="http://schemas.openxmlformats.org/officeDocument/2006/relationships/drawing" Target="/xl/drawings/drawing1.xml" Id="rId4"/></Relationships>
</file>

<file path=xl/worksheets/_rels/sheet3.xml.rels><Relationships xmlns="http://schemas.openxmlformats.org/package/2006/relationships"><Relationship Type="http://schemas.openxmlformats.org/officeDocument/2006/relationships/hyperlink" Target="https://example.com/s1" TargetMode="External" Id="rId1"/><Relationship Type="http://schemas.openxmlformats.org/officeDocument/2006/relationships/hyperlink" Target="https://example.com/s2" TargetMode="External" Id="rId2"/><Relationship Type="http://schemas.openxmlformats.org/officeDocument/2006/relationships/hyperlink" Target="https://example.com/s3" TargetMode="External" Id="rId3"/></Relationships>
</file>

<file path=xl/worksheets/_rels/sheet4.xml.rels><Relationships xmlns="http://schemas.openxmlformats.org/package/2006/relationships"><Relationship Type="http://schemas.openxmlformats.org/officeDocument/2006/relationships/hyperlink" Target="https://example.com/s4" TargetMode="External" Id="rId1"/><Relationship Type="http://schemas.openxmlformats.org/officeDocument/2006/relationships/hyperlink" Target="https://example.com/s3" TargetMode="External" Id="rId2"/></Relationships>
</file>

<file path=xl/worksheets/_rels/sheet5.xml.rels><Relationships xmlns="http://schemas.openxmlformats.org/package/2006/relationships"><Relationship Type="http://schemas.openxmlformats.org/officeDocument/2006/relationships/drawing" Target="/xl/drawings/drawing2.xm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example.com/s1" TargetMode="External" Id="rId1"/><Relationship Type="http://schemas.openxmlformats.org/officeDocument/2006/relationships/hyperlink" Target="https://example.com/s1" TargetMode="External" Id="rId2"/><Relationship Type="http://schemas.openxmlformats.org/officeDocument/2006/relationships/hyperlink" Target="https://example.com/s2" TargetMode="External" Id="rId3"/></Relationships>
</file>

<file path=xl/worksheets/_rels/sheet7.xml.rels><Relationships xmlns="http://schemas.openxmlformats.org/package/2006/relationships"><Relationship Type="http://schemas.openxmlformats.org/officeDocument/2006/relationships/hyperlink" Target="https://example.com/s1" TargetMode="External" Id="rId1"/><Relationship Type="http://schemas.openxmlformats.org/officeDocument/2006/relationships/hyperlink" Target="https://example.com/s1" TargetMode="External" Id="rId2"/><Relationship Type="http://schemas.openxmlformats.org/officeDocument/2006/relationships/hyperlink" Target="https://example.com/s2" TargetMode="External" Id="rId3"/><Relationship Type="http://schemas.openxmlformats.org/officeDocument/2006/relationships/hyperlink" Target="https://example.com/s2" TargetMode="External" Id="rId4"/><Relationship Type="http://schemas.openxmlformats.org/officeDocument/2006/relationships/hyperlink" Target="https://example.com/s3" TargetMode="External" Id="rId5"/><Relationship Type="http://schemas.openxmlformats.org/officeDocument/2006/relationships/hyperlink" Target="https://example.com/s3" TargetMode="External" Id="rId6"/><Relationship Type="http://schemas.openxmlformats.org/officeDocument/2006/relationships/hyperlink" Target="https://example.com/s4" TargetMode="External" Id="rId7"/><Relationship Type="http://schemas.openxmlformats.org/officeDocument/2006/relationships/hyperlink" Target="https://example.com/s4" TargetMode="External" Id="rId8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30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22" customWidth="1" min="2" max="2"/>
    <col width="22" customWidth="1" min="3" max="3"/>
    <col width="25" customWidth="1" min="4" max="4"/>
    <col width="22" customWidth="1" min="5" max="5"/>
    <col width="22" customWidth="1" min="6" max="6"/>
  </cols>
  <sheetData>
    <row r="1" ht="28" customHeight="1">
      <c r="A1" s="1" t="inlineStr">
        <is>
          <t>CHEMICAL COMPETITOR SUPPLY MAP</t>
        </is>
      </c>
    </row>
    <row r="2" ht="24" customHeight="1">
      <c r="A2" s="2" t="inlineStr">
        <is>
          <t>化图 · SUPPLY MAP</t>
        </is>
      </c>
    </row>
    <row r="3" ht="22" customHeight="1">
      <c r="A3" s="3" t="inlineStr">
        <is>
          <t>结构示例 · 不是研究结论 · 企业/数字/链接均为虚构，禁止用于真实业务判断</t>
        </is>
      </c>
    </row>
    <row r="4" ht="42" customHeight="1">
      <c r="A4" s="4" t="inlineStr">
        <is>
          <t>示例品</t>
        </is>
      </c>
    </row>
    <row r="5" ht="24" customHeight="1"/>
    <row r="6" ht="26" customHeight="1">
      <c r="A6" s="5" t="inlineStr">
        <is>
          <t>竞争供给布局与区域空白 · 示例省 · 示例市</t>
        </is>
      </c>
    </row>
    <row r="8" ht="18" customHeight="1">
      <c r="A8" s="6" t="inlineStr">
        <is>
          <t>样本在产产能</t>
        </is>
      </c>
      <c r="D8" s="6" t="inlineStr">
        <is>
          <t>目标区域本地在产</t>
        </is>
      </c>
    </row>
    <row r="9" ht="28" customHeight="1">
      <c r="A9" s="7" t="inlineStr">
        <is>
          <t>340</t>
        </is>
      </c>
      <c r="D9" s="7" t="inlineStr">
        <is>
          <t>160</t>
        </is>
      </c>
    </row>
    <row r="10" ht="18" customHeight="1">
      <c r="A10" s="8" t="inlineStr">
        <is>
          <t>万吨/年  3 家企业 / 3 座工厂</t>
        </is>
      </c>
      <c r="D10" s="8" t="inlineStr">
        <is>
          <t>万吨/年  示例省 · 到示例市最近</t>
        </is>
      </c>
    </row>
    <row r="11" ht="28" customHeight="1">
      <c r="A11" s="6" t="inlineStr">
        <is>
          <t>公开来源</t>
        </is>
      </c>
      <c r="D11" s="6" t="inlineStr">
        <is>
          <t>数据截至</t>
        </is>
      </c>
    </row>
    <row r="12" ht="18" customHeight="1">
      <c r="A12" s="7" t="inlineStr">
        <is>
          <t>4</t>
        </is>
      </c>
      <c r="D12" s="7" t="inlineStr">
        <is>
          <t>2026-01-01</t>
        </is>
      </c>
    </row>
    <row r="13" ht="28" customHeight="1">
      <c r="A13" s="8" t="inlineStr">
        <is>
          <t>条  每条产能可回溯</t>
        </is>
      </c>
      <c r="D13" s="8" t="inlineStr">
        <is>
          <t>公开年报/公告/项目报道</t>
        </is>
      </c>
    </row>
    <row r="15" ht="23" customHeight="1">
      <c r="A15" s="9" t="inlineStr">
        <is>
          <t>READ  阅读顺序   先看地图 → 再看矩阵 → 最后看时间线</t>
        </is>
      </c>
    </row>
    <row r="16" ht="21" customHeight="1">
      <c r="A16" s="10" t="inlineStr">
        <is>
          <t>01</t>
        </is>
      </c>
      <c r="B16" s="11" t="inlineStr">
        <is>
          <t>企业对比矩阵</t>
        </is>
      </c>
      <c r="D16" s="12" t="inlineStr">
        <is>
          <t>产能/产量/工艺/距离/覆盖线索/新增项目并排</t>
        </is>
      </c>
    </row>
    <row r="17" ht="21" customHeight="1">
      <c r="A17" s="10" t="inlineStr">
        <is>
          <t>02</t>
        </is>
      </c>
      <c r="B17" s="11" t="inlineStr">
        <is>
          <t>工厂明细</t>
        </is>
      </c>
      <c r="D17" s="12" t="inlineStr">
        <is>
          <t>省/市/经纬度/产能/产品/来源，可逐厂回溯</t>
        </is>
      </c>
    </row>
    <row r="18" ht="21" customHeight="1">
      <c r="A18" s="10" t="inlineStr">
        <is>
          <t>03</t>
        </is>
      </c>
      <c r="B18" s="11" t="inlineStr">
        <is>
          <t>新增项目</t>
        </is>
      </c>
      <c r="D18" s="12" t="inlineStr">
        <is>
          <t>规模、性质、状态、时间、净增判断</t>
        </is>
      </c>
    </row>
    <row r="19" ht="21" customHeight="1">
      <c r="A19" s="10" t="inlineStr">
        <is>
          <t>04</t>
        </is>
      </c>
      <c r="B19" s="11" t="inlineStr">
        <is>
          <t>区域对照</t>
        </is>
      </c>
      <c r="D19" s="12" t="inlineStr">
        <is>
          <t>省级供给 + 需求线索 + 潜客数</t>
        </is>
      </c>
    </row>
    <row r="20" ht="21" customHeight="1">
      <c r="A20" s="10" t="inlineStr">
        <is>
          <t>05</t>
        </is>
      </c>
      <c r="B20" s="11" t="inlineStr">
        <is>
          <t>目标区域与潜客</t>
        </is>
      </c>
      <c r="D20" s="12" t="inlineStr">
        <is>
          <t>锚点客户、供应梯度、8 家潜客、动作卡</t>
        </is>
      </c>
    </row>
    <row r="21" ht="21" customHeight="1">
      <c r="A21" s="10" t="inlineStr">
        <is>
          <t>06</t>
        </is>
      </c>
      <c r="B21" s="11" t="inlineStr">
        <is>
          <t>数据来源</t>
        </is>
      </c>
      <c r="D21" s="12" t="inlineStr">
        <is>
          <t>每条来源可点击，标 A/B/C/D</t>
        </is>
      </c>
    </row>
    <row r="22" ht="21" customHeight="1">
      <c r="A22" s="10" t="inlineStr">
        <is>
          <t>07</t>
        </is>
      </c>
      <c r="B22" s="11" t="inlineStr">
        <is>
          <t>口径与冲突</t>
        </is>
      </c>
      <c r="D22" s="12" t="inlineStr">
        <is>
          <t>并列冲突 + 采用理由 + 影响</t>
        </is>
      </c>
    </row>
    <row r="23" ht="21" customHeight="1">
      <c r="A23" s="10" t="inlineStr">
        <is>
          <t>08</t>
        </is>
      </c>
      <c r="B23" s="11" t="inlineStr">
        <is>
          <t>数据缺口与边界</t>
        </is>
      </c>
      <c r="D23" s="12" t="inlineStr">
        <is>
          <t>下一步取证清单，不是免责声明</t>
        </is>
      </c>
    </row>
    <row r="25" ht="23" customHeight="1">
      <c r="A25" s="9" t="inlineStr">
        <is>
          <t>METHOD  口径与图例   样本不是全行业；产能≠产量；距离≠运费</t>
        </is>
      </c>
    </row>
    <row r="26" ht="30" customHeight="1">
      <c r="A26" s="13" t="inlineStr">
        <is>
          <t>A 公司定期报告/政府文件 ｜ B 公司 IR/行业统计/券商拆分 ｜ C 企业公开业务信息 ｜ D 物流/覆盖推断。冲突口径并列保留，不强行抹平。</t>
        </is>
      </c>
    </row>
    <row r="27" ht="24" customHeight="1">
      <c r="A27" s="14" t="inlineStr">
        <is>
          <t>使用方法：先在「01_企业矩阵」按产能/距离排序，锁定目标区域附近 3–5 家；再到「05_目标区域与潜客」看锚点客户与潜客；最后用「03_新增项目」判断 12–36 个月的价格与竞争窗口。</t>
        </is>
      </c>
    </row>
    <row r="28" ht="20" customHeight="1"/>
    <row r="30">
      <c r="A30" s="15" t="inlineStr">
        <is>
          <t>本报告为销售线索与竞争布局研究，不构成投资建议、价格承诺或市场份额结论。</t>
        </is>
      </c>
    </row>
  </sheetData>
  <mergeCells count="38">
    <mergeCell ref="D11:F11"/>
    <mergeCell ref="D13:F13"/>
    <mergeCell ref="B16:C16"/>
    <mergeCell ref="B22:C22"/>
    <mergeCell ref="D17:F17"/>
    <mergeCell ref="A12:C12"/>
    <mergeCell ref="A3:F3"/>
    <mergeCell ref="B18:C18"/>
    <mergeCell ref="A26:F26"/>
    <mergeCell ref="D16:F16"/>
    <mergeCell ref="A2:F2"/>
    <mergeCell ref="B21:C21"/>
    <mergeCell ref="A8:C8"/>
    <mergeCell ref="D12:F12"/>
    <mergeCell ref="D18:F18"/>
    <mergeCell ref="B23:C23"/>
    <mergeCell ref="D9:F9"/>
    <mergeCell ref="B17:C17"/>
    <mergeCell ref="D8:F8"/>
    <mergeCell ref="A10:C10"/>
    <mergeCell ref="A13:C13"/>
    <mergeCell ref="D23:F23"/>
    <mergeCell ref="B19:C19"/>
    <mergeCell ref="A9:C9"/>
    <mergeCell ref="A27:F28"/>
    <mergeCell ref="A30:F30"/>
    <mergeCell ref="D20:F20"/>
    <mergeCell ref="A15:F15"/>
    <mergeCell ref="D10:F10"/>
    <mergeCell ref="D19:F19"/>
    <mergeCell ref="A11:C11"/>
    <mergeCell ref="A1:F1"/>
    <mergeCell ref="B20:C20"/>
    <mergeCell ref="D22:F22"/>
    <mergeCell ref="A6:F6"/>
    <mergeCell ref="D21:F21"/>
    <mergeCell ref="A4:F5"/>
    <mergeCell ref="A25:F25"/>
  </mergeCells>
  <hyperlinks>
    <hyperlink ref="B16" location="'01_企业矩阵'!A1" display="企业对比矩阵"/>
    <hyperlink ref="B17" location="'02_工厂明细'!A1" display="工厂明细"/>
    <hyperlink ref="B18" location="'03_新增项目'!A1" display="新增项目"/>
    <hyperlink ref="B19" location="'04_区域对照'!A1" display="区域对照"/>
    <hyperlink ref="B20" location="'05_目标区域与潜客'!A1" display="目标区域与潜客"/>
    <hyperlink ref="B21" location="'06_数据来源'!A1" display="数据来源"/>
    <hyperlink ref="B22" location="'07_口径与冲突'!A1" display="口径与冲突"/>
    <hyperlink ref="B23" location="'08_数据缺口与边界'!A1" display="数据缺口与边界"/>
  </hyperlinks>
  <pageMargins left="0.32" right="0.32" top="0.48" bottom="0.42" header="0.18" footer="0.18"/>
  <pageSetup orientation="portrait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P1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4" customWidth="1" min="2" max="2"/>
    <col width="10" customWidth="1" min="3" max="3"/>
    <col width="16" customWidth="1" min="4" max="4"/>
    <col width="18" customWidth="1" min="5" max="5"/>
    <col width="9" customWidth="1" min="6" max="6"/>
    <col width="11" customWidth="1" min="7" max="7"/>
    <col width="11" customWidth="1" min="8" max="8"/>
    <col width="8" customWidth="1" min="9" max="9"/>
    <col width="7" customWidth="1" min="10" max="10"/>
    <col width="9" customWidth="1" min="11" max="11"/>
    <col width="16" customWidth="1" min="12" max="12"/>
    <col width="30" customWidth="1" min="13" max="13"/>
    <col width="30" customWidth="1" min="14" max="14"/>
    <col width="7" customWidth="1" min="15" max="15"/>
    <col width="12" customWidth="1" min="16" max="16"/>
  </cols>
  <sheetData>
    <row r="1" ht="34" customHeight="1">
      <c r="A1" s="16" t="inlineStr">
        <is>
          <t>01 / COMPANY MATRIX  企业对比矩阵</t>
        </is>
      </c>
    </row>
    <row r="2" ht="26" customHeight="1">
      <c r="A2" s="17" t="inlineStr">
        <is>
          <t>3 家企业 · 3 座工厂 · 样本 340 万吨/年；按样本产能降序</t>
        </is>
      </c>
    </row>
    <row r="4" ht="31" customHeight="1">
      <c r="A4" s="18" t="inlineStr">
        <is>
          <t>#</t>
        </is>
      </c>
      <c r="B4" s="18" t="inlineStr">
        <is>
          <t>企业</t>
        </is>
      </c>
      <c r="C4" s="18" t="inlineStr">
        <is>
          <t>简称</t>
        </is>
      </c>
      <c r="D4" s="18" t="inlineStr">
        <is>
          <t>代码 / 别名</t>
        </is>
      </c>
      <c r="E4" s="18" t="inlineStr">
        <is>
          <t>总部</t>
        </is>
      </c>
      <c r="F4" s="18" t="inlineStr">
        <is>
          <t>工艺</t>
        </is>
      </c>
      <c r="G4" s="18" t="inlineStr">
        <is>
          <t>样本产能
万吨/年</t>
        </is>
      </c>
      <c r="H4" s="18" t="inlineStr">
        <is>
          <t>最新产量
万吨</t>
        </is>
      </c>
      <c r="I4" s="18" t="inlineStr">
        <is>
          <t>产能
年份</t>
        </is>
      </c>
      <c r="J4" s="18" t="inlineStr">
        <is>
          <t>工厂
数</t>
        </is>
      </c>
      <c r="K4" s="18" t="inlineStr">
        <is>
          <t>到目标
km</t>
        </is>
      </c>
      <c r="L4" s="18" t="inlineStr">
        <is>
          <t>距离带</t>
        </is>
      </c>
      <c r="M4" s="18" t="inlineStr">
        <is>
          <t>区域覆盖线索（D）</t>
        </is>
      </c>
      <c r="N4" s="18" t="inlineStr">
        <is>
          <t>新增 / 在建</t>
        </is>
      </c>
      <c r="O4" s="18" t="inlineStr">
        <is>
          <t>等级</t>
        </is>
      </c>
      <c r="P4" s="18" t="inlineStr">
        <is>
          <t>来源</t>
        </is>
      </c>
    </row>
    <row r="5" ht="24" customHeight="1">
      <c r="A5" s="19" t="n">
        <v>1</v>
      </c>
      <c r="B5" s="20" t="inlineStr">
        <is>
          <t>示例丙集团有限公司</t>
        </is>
      </c>
      <c r="C5" s="19" t="inlineStr">
        <is>
          <t>示例丙</t>
        </is>
      </c>
      <c r="D5" s="21" t="inlineStr">
        <is>
          <t>000000（示例）</t>
        </is>
      </c>
      <c r="E5" s="21" t="inlineStr">
        <is>
          <t>邻省·邻市</t>
        </is>
      </c>
      <c r="F5" s="22" t="inlineStr">
        <is>
          <t>工艺甲</t>
        </is>
      </c>
      <c r="G5" s="23" t="n">
        <v>180</v>
      </c>
      <c r="H5" s="24" t="n">
        <v>150</v>
      </c>
      <c r="I5" s="25" t="inlineStr">
        <is>
          <t>2025</t>
        </is>
      </c>
      <c r="J5" s="26" t="n">
        <v>1</v>
      </c>
      <c r="K5" s="26" t="n">
        <v>168</v>
      </c>
      <c r="L5" s="25" t="inlineStr">
        <is>
          <t>≤300km 本地</t>
        </is>
      </c>
      <c r="M5" s="27" t="inlineStr">
        <is>
          <t>全国/出口</t>
        </is>
      </c>
      <c r="N5" s="28" t="inlineStr">
        <is>
          <t>2028 新建 40 万吨</t>
        </is>
      </c>
      <c r="O5" s="29" t="inlineStr">
        <is>
          <t>A</t>
        </is>
      </c>
      <c r="P5" s="30" t="inlineStr">
        <is>
          <t>S3</t>
        </is>
      </c>
    </row>
    <row r="6" ht="24" customHeight="1">
      <c r="A6" s="19" t="n">
        <v>2</v>
      </c>
      <c r="B6" s="20" t="inlineStr">
        <is>
          <t>示例甲化工有限公司</t>
        </is>
      </c>
      <c r="C6" s="19" t="inlineStr">
        <is>
          <t>示例甲</t>
        </is>
      </c>
      <c r="D6" s="21" t="inlineStr">
        <is>
          <t>非上市</t>
        </is>
      </c>
      <c r="E6" s="21" t="inlineStr">
        <is>
          <t>示例省·示例市</t>
        </is>
      </c>
      <c r="F6" s="22" t="inlineStr">
        <is>
          <t>工艺甲</t>
        </is>
      </c>
      <c r="G6" s="23" t="n">
        <v>100</v>
      </c>
      <c r="H6" s="24" t="n">
        <v>80</v>
      </c>
      <c r="I6" s="25" t="inlineStr">
        <is>
          <t>2025</t>
        </is>
      </c>
      <c r="J6" s="26" t="n">
        <v>1</v>
      </c>
      <c r="K6" s="26" t="n">
        <v>23</v>
      </c>
      <c r="L6" s="25" t="inlineStr">
        <is>
          <t>≤300km 本地</t>
        </is>
      </c>
      <c r="M6" s="27" t="inlineStr">
        <is>
          <t>示例省本地及邻省</t>
        </is>
      </c>
      <c r="N6" s="28" t="inlineStr">
        <is>
          <t>2027 技改 20 万吨</t>
        </is>
      </c>
      <c r="O6" s="31" t="inlineStr">
        <is>
          <t>B</t>
        </is>
      </c>
      <c r="P6" s="30" t="inlineStr">
        <is>
          <t>S1</t>
        </is>
      </c>
    </row>
    <row r="7" ht="24" customHeight="1">
      <c r="A7" s="19" t="n">
        <v>3</v>
      </c>
      <c r="B7" s="20" t="inlineStr">
        <is>
          <t>示例乙材料有限公司</t>
        </is>
      </c>
      <c r="C7" s="19" t="inlineStr">
        <is>
          <t>示例乙</t>
        </is>
      </c>
      <c r="D7" s="21" t="inlineStr">
        <is>
          <t>非上市</t>
        </is>
      </c>
      <c r="E7" s="21" t="inlineStr">
        <is>
          <t>示例省·示例市</t>
        </is>
      </c>
      <c r="F7" s="22" t="inlineStr">
        <is>
          <t>工艺乙</t>
        </is>
      </c>
      <c r="G7" s="23" t="n">
        <v>60</v>
      </c>
      <c r="H7" s="24" t="n">
        <v>55</v>
      </c>
      <c r="I7" s="25" t="inlineStr">
        <is>
          <t>2025</t>
        </is>
      </c>
      <c r="J7" s="26" t="n">
        <v>1</v>
      </c>
      <c r="K7" s="26" t="n">
        <v>52</v>
      </c>
      <c r="L7" s="25" t="inlineStr">
        <is>
          <t>≤300km 本地</t>
        </is>
      </c>
      <c r="M7" s="27" t="inlineStr">
        <is>
          <t>示例省本地</t>
        </is>
      </c>
      <c r="N7" s="28" t="inlineStr">
        <is>
          <t>—</t>
        </is>
      </c>
      <c r="O7" s="31" t="inlineStr">
        <is>
          <t>B</t>
        </is>
      </c>
      <c r="P7" s="30" t="inlineStr">
        <is>
          <t>S2</t>
        </is>
      </c>
    </row>
    <row r="8" ht="24" customHeight="1">
      <c r="A8" s="32" t="inlineStr">
        <is>
          <t>合计 / 样本</t>
        </is>
      </c>
      <c r="G8" s="33" t="n">
        <v>340</v>
      </c>
      <c r="H8" s="33" t="n">
        <v>285</v>
      </c>
      <c r="I8" s="33" t="inlineStr"/>
      <c r="J8" s="33" t="n">
        <v>3</v>
      </c>
      <c r="K8" s="34" t="inlineStr">
        <is>
          <t>产能≠产量；样本覆盖≠市场份额</t>
        </is>
      </c>
    </row>
    <row r="10" ht="22" customHeight="1">
      <c r="A10" s="13" t="inlineStr">
        <is>
          <t>注：产能利用率=最新产量/产能，部分企业产量含贸易/代工/统计口径差异，可能&gt;100%，仅作量级参考。区域覆盖为物流可达性推断（D），不是企业披露的销售分区。</t>
        </is>
      </c>
    </row>
    <row r="11" ht="22" customHeight="1">
      <c r="A11" s="13" t="inlineStr">
        <is>
          <t>来源缩写对应「06_数据来源」；绿色=A，蓝色=B，铜色=C，灰色=D。</t>
        </is>
      </c>
    </row>
  </sheetData>
  <autoFilter ref="A4:P7"/>
  <mergeCells count="6">
    <mergeCell ref="A11:P11"/>
    <mergeCell ref="A10:P10"/>
    <mergeCell ref="A1:P1"/>
    <mergeCell ref="A2:P2"/>
    <mergeCell ref="A8:F8"/>
    <mergeCell ref="K8:P8"/>
  </mergeCells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  <drawing xmlns:r="http://schemas.openxmlformats.org/officeDocument/2006/relationships" r:id="rId4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P10"/>
  <sheetViews>
    <sheetView showGridLines="0" workbookViewId="0">
      <pane xSplit="3" ySplit="4" topLeftCell="D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20" customWidth="1" min="2" max="2"/>
    <col width="26" customWidth="1" min="3" max="3"/>
    <col width="9" customWidth="1" min="4" max="4"/>
    <col width="12" customWidth="1" min="5" max="5"/>
    <col width="9" customWidth="1" min="6" max="6"/>
    <col width="9" customWidth="1" min="7" max="7"/>
    <col width="9" customWidth="1" min="8" max="8"/>
    <col width="10" customWidth="1" min="9" max="9"/>
    <col width="8" customWidth="1" min="10" max="10"/>
    <col width="22" customWidth="1" min="11" max="11"/>
    <col width="9" customWidth="1" min="12" max="12"/>
    <col width="16" customWidth="1" min="13" max="13"/>
    <col width="34" customWidth="1" min="14" max="14"/>
    <col width="7" customWidth="1" min="15" max="15"/>
    <col width="11" customWidth="1" min="16" max="16"/>
  </cols>
  <sheetData>
    <row r="1" ht="34" customHeight="1">
      <c r="A1" s="16" t="inlineStr">
        <is>
          <t>02 / PLANT DETAILS  工厂明细</t>
        </is>
      </c>
    </row>
    <row r="2" ht="26" customHeight="1">
      <c r="A2" s="17" t="inlineStr">
        <is>
          <t>3 座工厂 · 经纬度可直接复核 · 距离为到示例市的直线距离</t>
        </is>
      </c>
    </row>
    <row r="4" ht="31" customHeight="1">
      <c r="A4" s="18" t="inlineStr">
        <is>
          <t>#</t>
        </is>
      </c>
      <c r="B4" s="18" t="inlineStr">
        <is>
          <t>企业</t>
        </is>
      </c>
      <c r="C4" s="18" t="inlineStr">
        <is>
          <t>工厂 / 基地</t>
        </is>
      </c>
      <c r="D4" s="18" t="inlineStr">
        <is>
          <t>省</t>
        </is>
      </c>
      <c r="E4" s="18" t="inlineStr">
        <is>
          <t>市</t>
        </is>
      </c>
      <c r="F4" s="18" t="inlineStr">
        <is>
          <t>经度</t>
        </is>
      </c>
      <c r="G4" s="18" t="inlineStr">
        <is>
          <t>纬度</t>
        </is>
      </c>
      <c r="H4" s="18" t="inlineStr">
        <is>
          <t>工艺</t>
        </is>
      </c>
      <c r="I4" s="18" t="inlineStr">
        <is>
          <t>产能
万吨/年</t>
        </is>
      </c>
      <c r="J4" s="18" t="inlineStr">
        <is>
          <t>产能
年份</t>
        </is>
      </c>
      <c r="K4" s="18" t="inlineStr">
        <is>
          <t>主要产品</t>
        </is>
      </c>
      <c r="L4" s="18" t="inlineStr">
        <is>
          <t>到目标
km</t>
        </is>
      </c>
      <c r="M4" s="18" t="inlineStr">
        <is>
          <t>距离带</t>
        </is>
      </c>
      <c r="N4" s="18" t="inlineStr">
        <is>
          <t>备注</t>
        </is>
      </c>
      <c r="O4" s="18" t="inlineStr">
        <is>
          <t>等级</t>
        </is>
      </c>
      <c r="P4" s="18" t="inlineStr">
        <is>
          <t>来源</t>
        </is>
      </c>
    </row>
    <row r="5" ht="28" customHeight="1">
      <c r="A5" s="19" t="n">
        <v>1</v>
      </c>
      <c r="B5" s="35" t="inlineStr">
        <is>
          <t>示例甲化工有限公司</t>
        </is>
      </c>
      <c r="C5" s="36" t="inlineStr">
        <is>
          <t>示例甲示例工厂</t>
        </is>
      </c>
      <c r="D5" s="37" t="inlineStr">
        <is>
          <t>示例省</t>
        </is>
      </c>
      <c r="E5" s="37" t="inlineStr">
        <is>
          <t>示例市</t>
        </is>
      </c>
      <c r="F5" s="38" t="n">
        <v>113.2</v>
      </c>
      <c r="G5" s="38" t="n">
        <v>22.9</v>
      </c>
      <c r="H5" s="39" t="inlineStr">
        <is>
          <t>工艺甲</t>
        </is>
      </c>
      <c r="I5" s="40" t="n">
        <v>100</v>
      </c>
      <c r="J5" s="25" t="inlineStr">
        <is>
          <t>2025</t>
        </is>
      </c>
      <c r="K5" s="27" t="inlineStr">
        <is>
          <t>示例品</t>
        </is>
      </c>
      <c r="L5" s="26" t="n">
        <v>23</v>
      </c>
      <c r="M5" s="25" t="inlineStr">
        <is>
          <t>≤300km 本地</t>
        </is>
      </c>
      <c r="N5" s="27" t="inlineStr">
        <is>
          <t>示例工厂 A；数据虚构。</t>
        </is>
      </c>
      <c r="O5" s="31" t="inlineStr">
        <is>
          <t>B</t>
        </is>
      </c>
      <c r="P5" s="30" t="inlineStr">
        <is>
          <t>S1</t>
        </is>
      </c>
    </row>
    <row r="6" ht="28" customHeight="1">
      <c r="A6" s="19" t="n">
        <v>2</v>
      </c>
      <c r="B6" s="35" t="inlineStr">
        <is>
          <t>示例乙材料有限公司</t>
        </is>
      </c>
      <c r="C6" s="36" t="inlineStr">
        <is>
          <t>示例乙示例工厂</t>
        </is>
      </c>
      <c r="D6" s="37" t="inlineStr">
        <is>
          <t>示例省</t>
        </is>
      </c>
      <c r="E6" s="37" t="inlineStr">
        <is>
          <t>示例市</t>
        </is>
      </c>
      <c r="F6" s="38" t="n">
        <v>113.5</v>
      </c>
      <c r="G6" s="38" t="n">
        <v>23.1</v>
      </c>
      <c r="H6" s="39" t="inlineStr">
        <is>
          <t>工艺乙</t>
        </is>
      </c>
      <c r="I6" s="40" t="n">
        <v>60</v>
      </c>
      <c r="J6" s="25" t="inlineStr">
        <is>
          <t>2025</t>
        </is>
      </c>
      <c r="K6" s="27" t="inlineStr">
        <is>
          <t>示例品</t>
        </is>
      </c>
      <c r="L6" s="26" t="n">
        <v>52</v>
      </c>
      <c r="M6" s="25" t="inlineStr">
        <is>
          <t>≤300km 本地</t>
        </is>
      </c>
      <c r="N6" s="27" t="inlineStr">
        <is>
          <t>示例工厂 B；数据虚构。</t>
        </is>
      </c>
      <c r="O6" s="31" t="inlineStr">
        <is>
          <t>B</t>
        </is>
      </c>
      <c r="P6" s="30" t="inlineStr">
        <is>
          <t>S2</t>
        </is>
      </c>
    </row>
    <row r="7" ht="28" customHeight="1">
      <c r="A7" s="19" t="n">
        <v>3</v>
      </c>
      <c r="B7" s="35" t="inlineStr">
        <is>
          <t>示例丙集团有限公司</t>
        </is>
      </c>
      <c r="C7" s="36" t="inlineStr">
        <is>
          <t>示例丙示例工厂</t>
        </is>
      </c>
      <c r="D7" s="37" t="inlineStr">
        <is>
          <t>邻省</t>
        </is>
      </c>
      <c r="E7" s="37" t="inlineStr">
        <is>
          <t>邻市</t>
        </is>
      </c>
      <c r="F7" s="38" t="n">
        <v>112</v>
      </c>
      <c r="G7" s="38" t="n">
        <v>24.2</v>
      </c>
      <c r="H7" s="39" t="inlineStr">
        <is>
          <t>工艺甲</t>
        </is>
      </c>
      <c r="I7" s="40" t="n">
        <v>180</v>
      </c>
      <c r="J7" s="25" t="inlineStr">
        <is>
          <t>2025</t>
        </is>
      </c>
      <c r="K7" s="27" t="inlineStr">
        <is>
          <t>示例品</t>
        </is>
      </c>
      <c r="L7" s="26" t="n">
        <v>168</v>
      </c>
      <c r="M7" s="25" t="inlineStr">
        <is>
          <t>≤300km 本地</t>
        </is>
      </c>
      <c r="N7" s="27" t="inlineStr">
        <is>
          <t>示例工厂 C；数据虚构。</t>
        </is>
      </c>
      <c r="O7" s="29" t="inlineStr">
        <is>
          <t>A</t>
        </is>
      </c>
      <c r="P7" s="30" t="inlineStr">
        <is>
          <t>S3</t>
        </is>
      </c>
    </row>
    <row r="8" ht="24" customHeight="1">
      <c r="A8" s="32" t="inlineStr">
        <is>
          <t>合计 / 样本</t>
        </is>
      </c>
      <c r="I8" s="33" t="n">
        <v>340</v>
      </c>
      <c r="J8" s="34" t="inlineStr">
        <is>
          <t>工厂产能合计应等于企业矩阵合计</t>
        </is>
      </c>
    </row>
    <row r="10" ht="22" customHeight="1">
      <c r="A10" s="13" t="inlineStr">
        <is>
          <t>注：经纬度用于距离计算与地图定位；距离为直线距离，不是铁路/水运运距。工厂备注保留公开口径差异。</t>
        </is>
      </c>
    </row>
  </sheetData>
  <autoFilter ref="A4:P7"/>
  <mergeCells count="5">
    <mergeCell ref="A10:P10"/>
    <mergeCell ref="J8:P8"/>
    <mergeCell ref="A1:P1"/>
    <mergeCell ref="A8:H8"/>
    <mergeCell ref="A2:P2"/>
  </mergeCells>
  <hyperlinks>
    <hyperlink xmlns:r="http://schemas.openxmlformats.org/officeDocument/2006/relationships" ref="P5" r:id="rId1"/>
    <hyperlink xmlns:r="http://schemas.openxmlformats.org/officeDocument/2006/relationships" ref="P6" r:id="rId2"/>
    <hyperlink xmlns:r="http://schemas.openxmlformats.org/officeDocument/2006/relationships" ref="P7" r:id="rId3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N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22" customWidth="1" min="3" max="3"/>
    <col width="18" customWidth="1" min="4" max="4"/>
    <col width="9" customWidth="1" min="5" max="5"/>
    <col width="9" customWidth="1" min="6" max="6"/>
    <col width="8" customWidth="1" min="7" max="7"/>
    <col width="11" customWidth="1" min="8" max="8"/>
    <col width="7" customWidth="1" min="9" max="9"/>
    <col width="30" customWidth="1" min="10" max="10"/>
    <col width="16" customWidth="1" min="11" max="11"/>
    <col width="38" customWidth="1" min="12" max="12"/>
    <col width="7" customWidth="1" min="13" max="13"/>
    <col width="10" customWidth="1" min="14" max="14"/>
  </cols>
  <sheetData>
    <row r="1" ht="34" customHeight="1">
      <c r="A1" s="16" t="inlineStr">
        <is>
          <t>03 / CAPACITY PIPELINE  新增 / 在建 / 搬迁项目</t>
        </is>
      </c>
    </row>
    <row r="2" ht="26" customHeight="1">
      <c r="A2" s="17" t="inlineStr">
        <is>
          <t>只列公开可核实项目；毛增量不等于净增；负增量（冷修/停产/限产）须另行收集</t>
        </is>
      </c>
    </row>
    <row r="4" ht="31" customHeight="1">
      <c r="A4" s="18" t="inlineStr">
        <is>
          <t>#</t>
        </is>
      </c>
      <c r="B4" s="18" t="inlineStr">
        <is>
          <t>企业</t>
        </is>
      </c>
      <c r="C4" s="18" t="inlineStr">
        <is>
          <t>项目</t>
        </is>
      </c>
      <c r="D4" s="18" t="inlineStr">
        <is>
          <t>地点</t>
        </is>
      </c>
      <c r="E4" s="18" t="inlineStr">
        <is>
          <t>工艺</t>
        </is>
      </c>
      <c r="F4" s="18" t="inlineStr">
        <is>
          <t>规模
万吨/年</t>
        </is>
      </c>
      <c r="G4" s="18" t="inlineStr">
        <is>
          <t>性质</t>
        </is>
      </c>
      <c r="H4" s="18" t="inlineStr">
        <is>
          <t>状态</t>
        </is>
      </c>
      <c r="I4" s="18" t="inlineStr">
        <is>
          <t>预计
年份</t>
        </is>
      </c>
      <c r="J4" s="18" t="inlineStr">
        <is>
          <t>时间 / 进展</t>
        </is>
      </c>
      <c r="K4" s="18" t="inlineStr">
        <is>
          <t>净增判断</t>
        </is>
      </c>
      <c r="L4" s="18" t="inlineStr">
        <is>
          <t>对目标区域的影响</t>
        </is>
      </c>
      <c r="M4" s="18" t="inlineStr">
        <is>
          <t>等级</t>
        </is>
      </c>
      <c r="N4" s="18" t="inlineStr">
        <is>
          <t>来源</t>
        </is>
      </c>
    </row>
    <row r="5" ht="28" customHeight="1">
      <c r="A5" s="19" t="n">
        <v>1</v>
      </c>
      <c r="B5" s="35" t="inlineStr">
        <is>
          <t>示例甲化工有限公司</t>
        </is>
      </c>
      <c r="C5" s="36" t="inlineStr">
        <is>
          <t>示例甲 20 万吨技改</t>
        </is>
      </c>
      <c r="D5" s="27" t="inlineStr">
        <is>
          <t>示例省·示例市</t>
        </is>
      </c>
      <c r="E5" s="39" t="inlineStr">
        <is>
          <t>工艺甲</t>
        </is>
      </c>
      <c r="F5" s="41" t="n">
        <v>20</v>
      </c>
      <c r="G5" s="42" t="inlineStr">
        <is>
          <t>技改</t>
        </is>
      </c>
      <c r="H5" s="25" t="inlineStr">
        <is>
          <t>前期</t>
        </is>
      </c>
      <c r="I5" s="26" t="n">
        <v>2027</v>
      </c>
      <c r="J5" s="27" t="inlineStr">
        <is>
          <t>2027E（示例）</t>
        </is>
      </c>
      <c r="K5" s="43" t="inlineStr">
        <is>
          <t>净增 20（假设旧线不退出）</t>
        </is>
      </c>
      <c r="L5" s="27" t="inlineStr">
        <is>
          <t>本地供给增加，需与客户认证进度匹配。</t>
        </is>
      </c>
      <c r="M5" s="44" t="inlineStr">
        <is>
          <t>C</t>
        </is>
      </c>
      <c r="N5" s="30" t="inlineStr">
        <is>
          <t>S4</t>
        </is>
      </c>
    </row>
    <row r="6" ht="28" customHeight="1">
      <c r="A6" s="19" t="n">
        <v>2</v>
      </c>
      <c r="B6" s="35" t="inlineStr">
        <is>
          <t>示例丙集团有限公司</t>
        </is>
      </c>
      <c r="C6" s="36" t="inlineStr">
        <is>
          <t>示例丙 40 万吨新建</t>
        </is>
      </c>
      <c r="D6" s="27" t="inlineStr">
        <is>
          <t>邻省·邻市</t>
        </is>
      </c>
      <c r="E6" s="39" t="inlineStr">
        <is>
          <t>工艺甲</t>
        </is>
      </c>
      <c r="F6" s="41" t="n">
        <v>40</v>
      </c>
      <c r="G6" s="42" t="inlineStr">
        <is>
          <t>新建</t>
        </is>
      </c>
      <c r="H6" s="25" t="inlineStr">
        <is>
          <t>已备案</t>
        </is>
      </c>
      <c r="I6" s="26" t="n">
        <v>2028</v>
      </c>
      <c r="J6" s="27" t="inlineStr">
        <is>
          <t>2028E（示例）</t>
        </is>
      </c>
      <c r="K6" s="43" t="inlineStr">
        <is>
          <t>净增 40（假设无置换）</t>
        </is>
      </c>
      <c r="L6" s="27" t="inlineStr">
        <is>
          <t>邻省供给增强，可能压低区域价格。</t>
        </is>
      </c>
      <c r="M6" s="31" t="inlineStr">
        <is>
          <t>B</t>
        </is>
      </c>
      <c r="N6" s="30" t="inlineStr">
        <is>
          <t>S3</t>
        </is>
      </c>
    </row>
    <row r="7">
      <c r="A7" s="32" t="inlineStr">
        <is>
          <t>合计 / 全部项目</t>
        </is>
      </c>
      <c r="F7" s="45" t="n">
        <v>60</v>
      </c>
      <c r="G7" s="34" t="inlineStr">
        <is>
          <t>全部 60 万吨/年；2026+ 毛增量 60 万吨/年；净增约 930 万吨（含搬迁/置换，需逐项核）</t>
        </is>
      </c>
    </row>
    <row r="9" ht="22" customHeight="1">
      <c r="A9" s="13" t="inlineStr">
        <is>
          <t>注：项目规模为公开口径；搬迁/技改/置换不必然增加总产能，净增判断需结合老产能退出。项目状态以公告/环评/开工报道为准。</t>
        </is>
      </c>
    </row>
  </sheetData>
  <autoFilter ref="A4:N6"/>
  <mergeCells count="5">
    <mergeCell ref="A9:N9"/>
    <mergeCell ref="G7:N7"/>
    <mergeCell ref="A7:E7"/>
    <mergeCell ref="A2:N2"/>
    <mergeCell ref="A1:N1"/>
  </mergeCells>
  <hyperlinks>
    <hyperlink xmlns:r="http://schemas.openxmlformats.org/officeDocument/2006/relationships" ref="N5" r:id="rId1"/>
    <hyperlink xmlns:r="http://schemas.openxmlformats.org/officeDocument/2006/relationships" ref="N6" r:id="rId2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1" customWidth="1" min="2" max="2"/>
    <col width="12" customWidth="1" min="3" max="3"/>
    <col width="7" customWidth="1" min="4" max="4"/>
    <col width="7" customWidth="1" min="5" max="5"/>
    <col width="9" customWidth="1" min="6" max="6"/>
    <col width="9" customWidth="1" min="7" max="7"/>
    <col width="16" customWidth="1" min="8" max="8"/>
    <col width="12" customWidth="1" min="9" max="9"/>
    <col width="58" customWidth="1" min="10" max="10"/>
    <col width="9" customWidth="1" min="11" max="11"/>
  </cols>
  <sheetData>
    <row r="1" ht="34" customHeight="1">
      <c r="A1" s="16" t="inlineStr">
        <is>
          <t>04 / REGION VIEW  区域对照</t>
        </is>
      </c>
    </row>
    <row r="2" ht="26" customHeight="1">
      <c r="A2" s="17" t="inlineStr">
        <is>
          <t>省级产能为样本加总；无样本≠无货，只表示无在产工厂；需求线索单独标注</t>
        </is>
      </c>
    </row>
    <row r="4" ht="31" customHeight="1">
      <c r="A4" s="18" t="inlineStr">
        <is>
          <t>#</t>
        </is>
      </c>
      <c r="B4" s="18" t="inlineStr">
        <is>
          <t>省级区域</t>
        </is>
      </c>
      <c r="C4" s="18" t="inlineStr">
        <is>
          <t>样本在产
万吨/年</t>
        </is>
      </c>
      <c r="D4" s="18" t="inlineStr">
        <is>
          <t>工厂</t>
        </is>
      </c>
      <c r="E4" s="18" t="inlineStr">
        <is>
          <t>企业</t>
        </is>
      </c>
      <c r="F4" s="18" t="inlineStr">
        <is>
          <t>主导工艺</t>
        </is>
      </c>
      <c r="G4" s="18" t="inlineStr">
        <is>
          <t>到目标
km</t>
        </is>
      </c>
      <c r="H4" s="18" t="inlineStr">
        <is>
          <t>距离带</t>
        </is>
      </c>
      <c r="I4" s="18" t="inlineStr">
        <is>
          <t>本地供给判断</t>
        </is>
      </c>
      <c r="J4" s="18" t="inlineStr">
        <is>
          <t>需求 / 空白线索</t>
        </is>
      </c>
      <c r="K4" s="18" t="inlineStr">
        <is>
          <t>潜客样本</t>
        </is>
      </c>
    </row>
    <row r="5" ht="24" customHeight="1">
      <c r="A5" s="19" t="n">
        <v>1</v>
      </c>
      <c r="B5" s="46" t="inlineStr">
        <is>
          <t>邻省</t>
        </is>
      </c>
      <c r="C5" s="23" t="n">
        <v>180</v>
      </c>
      <c r="D5" s="26" t="n">
        <v>1</v>
      </c>
      <c r="E5" s="26" t="n">
        <v>1</v>
      </c>
      <c r="F5" s="39" t="inlineStr">
        <is>
          <t>工艺甲</t>
        </is>
      </c>
      <c r="G5" s="26" t="n">
        <v>168</v>
      </c>
      <c r="H5" s="42" t="inlineStr">
        <is>
          <t>薄</t>
        </is>
      </c>
      <c r="I5" s="47" t="inlineStr">
        <is>
          <t>本地</t>
        </is>
      </c>
      <c r="J5" s="27" t="inlineStr">
        <is>
          <t>需求线索待补。</t>
        </is>
      </c>
      <c r="K5" s="26" t="n">
        <v>0</v>
      </c>
    </row>
    <row r="6" ht="24" customHeight="1">
      <c r="A6" s="19" t="n">
        <v>2</v>
      </c>
      <c r="B6" s="46" t="inlineStr">
        <is>
          <t>示例省</t>
        </is>
      </c>
      <c r="C6" s="45" t="n">
        <v>160</v>
      </c>
      <c r="D6" s="26" t="n">
        <v>2</v>
      </c>
      <c r="E6" s="26" t="n">
        <v>2</v>
      </c>
      <c r="F6" s="39" t="inlineStr">
        <is>
          <t>工艺甲</t>
        </is>
      </c>
      <c r="G6" s="26" t="n">
        <v>23</v>
      </c>
      <c r="H6" s="42" t="inlineStr">
        <is>
          <t>薄</t>
        </is>
      </c>
      <c r="I6" s="47" t="inlineStr">
        <is>
          <t>本地</t>
        </is>
      </c>
      <c r="J6" s="27" t="inlineStr">
        <is>
          <t>示例需求 12 万吨/年（虚构）；仅用于展示字段。</t>
        </is>
      </c>
      <c r="K6" s="26" t="n">
        <v>3</v>
      </c>
    </row>
    <row r="7" ht="24" customHeight="1">
      <c r="A7" s="32" t="inlineStr">
        <is>
          <t>合计 / 样本</t>
        </is>
      </c>
      <c r="C7" s="33" t="n">
        <v>340</v>
      </c>
      <c r="D7" s="33" t="n">
        <v>3</v>
      </c>
      <c r="E7" s="33" t="n">
        <v>3</v>
      </c>
      <c r="F7" s="34" t="inlineStr">
        <is>
          <t>省级加总 = 企业/工厂合计</t>
        </is>
      </c>
    </row>
    <row r="9" ht="22" customHeight="1">
      <c r="A9" s="13" t="inlineStr">
        <is>
          <t>注：省级产能为样本加总，不是全省全部产能；无样本不等于无货。需求线索来自公开报道/协会/调研，年份见来源表。</t>
        </is>
      </c>
    </row>
  </sheetData>
  <autoFilter ref="A4:K6"/>
  <mergeCells count="5">
    <mergeCell ref="A7:B7"/>
    <mergeCell ref="A2:K2"/>
    <mergeCell ref="F7:K7"/>
    <mergeCell ref="A1:K1"/>
    <mergeCell ref="A9:K9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  <drawing xmlns:r="http://schemas.openxmlformats.org/officeDocument/2006/relationships" r:id="rId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7"/>
  <sheetViews>
    <sheetView showGridLines="0" workbookViewId="0">
      <selection activeCell="A1" sqref="A1"/>
    </sheetView>
  </sheetViews>
  <sheetFormatPr baseColWidth="8" defaultRowHeight="15"/>
  <cols>
    <col width="8" customWidth="1" min="1" max="1"/>
    <col width="30" customWidth="1" min="2" max="2"/>
    <col width="10" customWidth="1" min="3" max="3"/>
    <col width="12" customWidth="1" min="4" max="4"/>
    <col width="30" customWidth="1" min="5" max="5"/>
    <col width="14" customWidth="1" min="6" max="6"/>
    <col width="14" customWidth="1" min="7" max="7"/>
    <col width="4" customWidth="1" min="8" max="8"/>
    <col width="45" customWidth="1" min="9" max="9"/>
    <col width="9" customWidth="1" min="10" max="10"/>
    <col width="16" customWidth="1" min="11" max="11"/>
  </cols>
  <sheetData>
    <row r="1" ht="34" customHeight="1">
      <c r="A1" s="16" t="inlineStr">
        <is>
          <t>05  TARGET REGION → PROSPECTS</t>
        </is>
      </c>
    </row>
    <row r="2" ht="26" customHeight="1">
      <c r="A2" s="17" t="inlineStr">
        <is>
          <t>示例省 · 示例市 · 示例客户：示例玻璃有限公司（虚构） ｜ 先看供给梯度，再看潜客与动作</t>
        </is>
      </c>
    </row>
    <row r="4" ht="34" customHeight="1">
      <c r="A4" s="48" t="inlineStr">
        <is>
          <t>目标区域
示例省 · 示例市</t>
        </is>
      </c>
      <c r="D4" s="48" t="inlineStr">
        <is>
          <t>本地在产
160 万吨/年</t>
        </is>
      </c>
    </row>
    <row r="5" ht="34" customHeight="1">
      <c r="A5" s="48" t="inlineStr">
        <is>
          <t>800km 内在产
340 万吨/年</t>
        </is>
      </c>
      <c r="D5" s="48" t="inlineStr">
        <is>
          <t>示例客户
示例玻璃</t>
        </is>
      </c>
    </row>
    <row r="6" ht="34" customHeight="1">
      <c r="A6" s="48" t="inlineStr">
        <is>
          <t>示例客户用量
1.0 万吨/年（推算）</t>
        </is>
      </c>
    </row>
    <row r="7" ht="23" customHeight="1">
      <c r="A7" s="9" t="inlineStr">
        <is>
          <t>LADDER  供应梯度   从示例市出发，按直线距离排序</t>
        </is>
      </c>
    </row>
    <row r="8" ht="31" customHeight="1">
      <c r="A8" s="18" t="inlineStr">
        <is>
          <t>顺序</t>
        </is>
      </c>
      <c r="B8" s="18" t="inlineStr">
        <is>
          <t>供给来源</t>
        </is>
      </c>
      <c r="C8" s="18" t="inlineStr">
        <is>
          <t>距离 km</t>
        </is>
      </c>
      <c r="D8" s="18" t="inlineStr">
        <is>
          <t>产能 万吨/年</t>
        </is>
      </c>
      <c r="E8" s="18" t="inlineStr">
        <is>
          <t>说明</t>
        </is>
      </c>
    </row>
    <row r="9" ht="22" customHeight="1">
      <c r="A9" s="19" t="n">
        <v>1</v>
      </c>
      <c r="B9" s="36" t="inlineStr">
        <is>
          <t>示例甲 · 示例甲示例工厂</t>
        </is>
      </c>
      <c r="C9" s="26" t="n">
        <v>23</v>
      </c>
      <c r="D9" s="49" t="n">
        <v>100</v>
      </c>
      <c r="E9" s="27" t="inlineStr">
        <is>
          <t>示例省 示例市 · 工艺甲 · ≤300km 本地</t>
        </is>
      </c>
    </row>
    <row r="10" ht="22" customHeight="1">
      <c r="A10" s="19" t="n">
        <v>2</v>
      </c>
      <c r="B10" s="36" t="inlineStr">
        <is>
          <t>示例乙 · 示例乙示例工厂</t>
        </is>
      </c>
      <c r="C10" s="26" t="n">
        <v>52</v>
      </c>
      <c r="D10" s="49" t="n">
        <v>60</v>
      </c>
      <c r="E10" s="27" t="inlineStr">
        <is>
          <t>示例省 示例市 · 工艺乙 · ≤300km 本地</t>
        </is>
      </c>
    </row>
    <row r="11" ht="22" customHeight="1">
      <c r="A11" s="19" t="n">
        <v>3</v>
      </c>
      <c r="B11" s="36" t="inlineStr">
        <is>
          <t>示例丙 · 示例丙示例工厂</t>
        </is>
      </c>
      <c r="C11" s="26" t="n">
        <v>168</v>
      </c>
      <c r="D11" s="49" t="n">
        <v>180</v>
      </c>
      <c r="E11" s="27" t="inlineStr">
        <is>
          <t>邻省 邻市 · 工艺甲 · ≤300km 本地</t>
        </is>
      </c>
    </row>
    <row r="12" ht="22" customHeight="1">
      <c r="A12" s="13" t="inlineStr">
        <is>
          <t>注：距离为直线距离，不是铁路/水运运距；供应梯度用于排序，不替代到厂成本测算。</t>
        </is>
      </c>
    </row>
    <row r="14" ht="23" customHeight="1">
      <c r="A14" s="9" t="inlineStr">
        <is>
          <t>PROSPECTS  区域潜客样本   3 家 · 只放可核实的规模/业务事实；用量为推算</t>
        </is>
      </c>
    </row>
    <row r="15" ht="31" customHeight="1">
      <c r="A15" s="18" t="inlineStr">
        <is>
          <t>优先级</t>
        </is>
      </c>
      <c r="B15" s="18" t="inlineStr">
        <is>
          <t>客户</t>
        </is>
      </c>
      <c r="C15" s="18" t="inlineStr">
        <is>
          <t>城市</t>
        </is>
      </c>
      <c r="D15" s="18" t="inlineStr">
        <is>
          <t>赛道</t>
        </is>
      </c>
      <c r="E15" s="18" t="inlineStr">
        <is>
          <t>公开规模</t>
        </is>
      </c>
      <c r="F15" s="18" t="inlineStr">
        <is>
          <t>用量级</t>
        </is>
      </c>
      <c r="G15" s="18" t="inlineStr">
        <is>
          <t>使用场景</t>
        </is>
      </c>
      <c r="H15" s="18" t="inlineStr"/>
      <c r="I15" s="18" t="inlineStr">
        <is>
          <t>为什么优先 / 下一步</t>
        </is>
      </c>
      <c r="J15" s="18" t="inlineStr">
        <is>
          <t>等级</t>
        </is>
      </c>
      <c r="K15" s="18" t="inlineStr">
        <is>
          <t>来源</t>
        </is>
      </c>
    </row>
    <row r="16" ht="34" customHeight="1">
      <c r="A16" s="50" t="inlineStr">
        <is>
          <t>S</t>
        </is>
      </c>
      <c r="B16" s="36" t="inlineStr">
        <is>
          <t>示例玻璃一厂</t>
        </is>
      </c>
      <c r="C16" s="25" t="inlineStr">
        <is>
          <t>示例市</t>
        </is>
      </c>
      <c r="D16" s="27" t="inlineStr">
        <is>
          <t>玻璃</t>
        </is>
      </c>
      <c r="E16" s="27" t="inlineStr">
        <is>
          <t>2×600t/d（示例）</t>
        </is>
      </c>
      <c r="F16" s="27" t="inlineStr">
        <is>
          <t>0.5–1.0 万吨/年*</t>
        </is>
      </c>
      <c r="G16" s="27" t="inlineStr">
        <is>
          <t>重碱/玻璃窑炉</t>
        </is>
      </c>
      <c r="I16" s="51" t="inlineStr">
        <is>
          <t>本地龙头，示例用量大；可做双源标杆。
→ 先约技术交流，确认指标与月度用量。</t>
        </is>
      </c>
      <c r="J16" s="44" t="inlineStr">
        <is>
          <t>C</t>
        </is>
      </c>
      <c r="K16" s="30" t="inlineStr">
        <is>
          <t>S1</t>
        </is>
      </c>
    </row>
    <row r="17" ht="34" customHeight="1">
      <c r="A17" s="46" t="inlineStr">
        <is>
          <t>A</t>
        </is>
      </c>
      <c r="B17" s="36" t="inlineStr">
        <is>
          <t>示例玻璃二厂</t>
        </is>
      </c>
      <c r="C17" s="25" t="inlineStr">
        <is>
          <t>示例市</t>
        </is>
      </c>
      <c r="D17" s="27" t="inlineStr">
        <is>
          <t>玻璃</t>
        </is>
      </c>
      <c r="E17" s="27" t="inlineStr">
        <is>
          <t>1×900t/d（示例）</t>
        </is>
      </c>
      <c r="F17" s="27" t="inlineStr">
        <is>
          <t>0.7–1.2 万吨/年*</t>
        </is>
      </c>
      <c r="G17" s="27" t="inlineStr">
        <is>
          <t>重碱/玻璃窑炉</t>
        </is>
      </c>
      <c r="I17" s="51" t="inlineStr">
        <is>
          <t>同城第二家，物流半径短。
→ 带样试单，锁定 3 个月框架。</t>
        </is>
      </c>
      <c r="J17" s="44" t="inlineStr">
        <is>
          <t>C</t>
        </is>
      </c>
      <c r="K17" s="30" t="inlineStr">
        <is>
          <t>S1</t>
        </is>
      </c>
    </row>
    <row r="18" ht="34" customHeight="1">
      <c r="A18" s="46" t="inlineStr">
        <is>
          <t>B</t>
        </is>
      </c>
      <c r="B18" s="36" t="inlineStr">
        <is>
          <t>示例日化</t>
        </is>
      </c>
      <c r="C18" s="25" t="inlineStr">
        <is>
          <t>示例市</t>
        </is>
      </c>
      <c r="D18" s="27" t="inlineStr">
        <is>
          <t>日化</t>
        </is>
      </c>
      <c r="E18" s="27" t="inlineStr">
        <is>
          <t>10 万吨/年洗涤剂（示例）</t>
        </is>
      </c>
      <c r="F18" s="27" t="inlineStr">
        <is>
          <t>0.2–0.4 万吨/年*</t>
        </is>
      </c>
      <c r="G18" s="27" t="inlineStr">
        <is>
          <t>轻碱/洗涤剂</t>
        </is>
      </c>
      <c r="I18" s="51" t="inlineStr">
        <is>
          <t>轻碱走量补充，价格敏感。
→ 先报价，观察竞品价差。</t>
        </is>
      </c>
      <c r="J18" s="44" t="inlineStr">
        <is>
          <t>C</t>
        </is>
      </c>
      <c r="K18" s="30" t="inlineStr">
        <is>
          <t>S2</t>
        </is>
      </c>
    </row>
    <row r="19" ht="23" customHeight="1">
      <c r="A19" s="9" t="inlineStr">
        <is>
          <t>ACTION  销售动作卡   从“区域空白”到“先打谁、怎么打”</t>
        </is>
      </c>
    </row>
    <row r="20" ht="21" customHeight="1">
      <c r="A20" s="52" t="inlineStr">
        <is>
          <t>锚点 ｜ 先把示例玻璃做成双源标杆</t>
        </is>
      </c>
    </row>
    <row r="21" ht="30" customHeight="1">
      <c r="A21" s="28" t="inlineStr">
        <is>
          <t>本地供给+邻省补充，先证明指标稳定性。  目标：进入合格供应商</t>
        </is>
      </c>
    </row>
    <row r="22" ht="21" customHeight="1">
      <c r="A22" s="53" t="inlineStr">
        <is>
          <t>复制 ｜ 按玻璃/日化两条线复制</t>
        </is>
      </c>
    </row>
    <row r="23" ht="30" customHeight="1">
      <c r="A23" s="28" t="inlineStr">
        <is>
          <t>玻璃做重碱认证，日化做轻碱走量。  目标：3 个月 2 家试单</t>
        </is>
      </c>
    </row>
    <row r="24" ht="21" customHeight="1">
      <c r="A24" s="54" t="inlineStr">
        <is>
          <t>防守 ｜ 新增投产前锁年度框架</t>
        </is>
      </c>
    </row>
    <row r="25" ht="30" customHeight="1">
      <c r="A25" s="28" t="inlineStr">
        <is>
          <t>2027–2028 新增前锁运费/框架。  目标：12 个月框架</t>
        </is>
      </c>
    </row>
    <row r="27" ht="22" customHeight="1">
      <c r="A27" s="13" t="inlineStr">
        <is>
          <t>结构示例：只展示目标省 3 家虚构潜客；真实项目接入潜客库后按省展开。</t>
        </is>
      </c>
    </row>
  </sheetData>
  <mergeCells count="33">
    <mergeCell ref="I17"/>
    <mergeCell ref="B9"/>
    <mergeCell ref="A24:K24"/>
    <mergeCell ref="E16"/>
    <mergeCell ref="A1:K1"/>
    <mergeCell ref="H18"/>
    <mergeCell ref="E6:G6"/>
    <mergeCell ref="E18"/>
    <mergeCell ref="A7:K7"/>
    <mergeCell ref="A25:K25"/>
    <mergeCell ref="A27:K27"/>
    <mergeCell ref="A12:K12"/>
    <mergeCell ref="E17"/>
    <mergeCell ref="A21:K21"/>
    <mergeCell ref="A5:B5"/>
    <mergeCell ref="A2:K2"/>
    <mergeCell ref="B11"/>
    <mergeCell ref="D4:E4"/>
    <mergeCell ref="I16"/>
    <mergeCell ref="A14:K14"/>
    <mergeCell ref="E10:K10"/>
    <mergeCell ref="A23:K23"/>
    <mergeCell ref="A4:B4"/>
    <mergeCell ref="A22:K22"/>
    <mergeCell ref="I18"/>
    <mergeCell ref="A20:K20"/>
    <mergeCell ref="E9:K9"/>
    <mergeCell ref="H17"/>
    <mergeCell ref="D5:E5"/>
    <mergeCell ref="A19:K19"/>
    <mergeCell ref="B10"/>
    <mergeCell ref="H16"/>
    <mergeCell ref="E11:K11"/>
  </mergeCells>
  <hyperlinks>
    <hyperlink xmlns:r="http://schemas.openxmlformats.org/officeDocument/2006/relationships" ref="K16" r:id="rId1"/>
    <hyperlink xmlns:r="http://schemas.openxmlformats.org/officeDocument/2006/relationships" ref="K17" r:id="rId2"/>
    <hyperlink xmlns:r="http://schemas.openxmlformats.org/officeDocument/2006/relationships" ref="K18" r:id="rId3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G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8" customWidth="1" min="2" max="2"/>
    <col width="44" customWidth="1" min="3" max="3"/>
    <col width="13" customWidth="1" min="4" max="4"/>
    <col width="42" customWidth="1" min="5" max="5"/>
    <col width="52" customWidth="1" min="6" max="6"/>
    <col width="7" customWidth="1" min="7" max="7"/>
  </cols>
  <sheetData>
    <row r="1" ht="34" customHeight="1">
      <c r="A1" s="16" t="inlineStr">
        <is>
          <t>06 / SOURCES  数据来源</t>
        </is>
      </c>
    </row>
    <row r="2" ht="26" customHeight="1">
      <c r="A2" s="17" t="inlineStr">
        <is>
          <t>4 条来源 · 每条产能至少能回到一个来源 · 点击链接跳原文</t>
        </is>
      </c>
    </row>
    <row r="4" ht="31" customHeight="1">
      <c r="A4" s="18" t="inlineStr">
        <is>
          <t>ID</t>
        </is>
      </c>
      <c r="B4" s="18" t="inlineStr">
        <is>
          <t>机构</t>
        </is>
      </c>
      <c r="C4" s="18" t="inlineStr">
        <is>
          <t>标题</t>
        </is>
      </c>
      <c r="D4" s="18" t="inlineStr">
        <is>
          <t>日期</t>
        </is>
      </c>
      <c r="E4" s="18" t="inlineStr">
        <is>
          <t>链接</t>
        </is>
      </c>
      <c r="F4" s="18" t="inlineStr">
        <is>
          <t>用于</t>
        </is>
      </c>
      <c r="G4" s="18" t="inlineStr">
        <is>
          <t>等级</t>
        </is>
      </c>
    </row>
    <row r="5" ht="26" customHeight="1">
      <c r="A5" s="22" t="inlineStr">
        <is>
          <t>S1</t>
        </is>
      </c>
      <c r="B5" s="21" t="inlineStr">
        <is>
          <t>示例省工信厅（虚构）</t>
        </is>
      </c>
      <c r="C5" s="55" t="inlineStr">
        <is>
          <t>示例省化工产业运行情况</t>
        </is>
      </c>
      <c r="D5" s="25" t="inlineStr">
        <is>
          <t>2026-01-10</t>
        </is>
      </c>
      <c r="E5" s="56" t="inlineStr">
        <is>
          <t>https://example.com/s1</t>
        </is>
      </c>
      <c r="F5" s="51" t="inlineStr">
        <is>
          <t>示例企业产能、潜客规模</t>
        </is>
      </c>
      <c r="G5" s="31" t="inlineStr">
        <is>
          <t>B</t>
        </is>
      </c>
    </row>
    <row r="6" ht="26" customHeight="1">
      <c r="A6" s="22" t="inlineStr">
        <is>
          <t>S2</t>
        </is>
      </c>
      <c r="B6" s="21" t="inlineStr">
        <is>
          <t>示例乙材料官网（虚构）</t>
        </is>
      </c>
      <c r="C6" s="55" t="inlineStr">
        <is>
          <t>公司简介与产品页</t>
        </is>
      </c>
      <c r="D6" s="25" t="inlineStr">
        <is>
          <t>2025-12-20</t>
        </is>
      </c>
      <c r="E6" s="56" t="inlineStr">
        <is>
          <t>https://example.com/s2</t>
        </is>
      </c>
      <c r="F6" s="51" t="inlineStr">
        <is>
          <t>示例乙产能、日化客户线索</t>
        </is>
      </c>
      <c r="G6" s="44" t="inlineStr">
        <is>
          <t>C</t>
        </is>
      </c>
    </row>
    <row r="7" ht="26" customHeight="1">
      <c r="A7" s="22" t="inlineStr">
        <is>
          <t>S3</t>
        </is>
      </c>
      <c r="B7" s="21" t="inlineStr">
        <is>
          <t>示例丙集团年报（虚构）</t>
        </is>
      </c>
      <c r="C7" s="55" t="inlineStr">
        <is>
          <t>2025 年年度报告</t>
        </is>
      </c>
      <c r="D7" s="25" t="inlineStr">
        <is>
          <t>2026-03-15</t>
        </is>
      </c>
      <c r="E7" s="56" t="inlineStr">
        <is>
          <t>https://example.com/s3</t>
        </is>
      </c>
      <c r="F7" s="51" t="inlineStr">
        <is>
          <t>示例丙产能、新建项目</t>
        </is>
      </c>
      <c r="G7" s="29" t="inlineStr">
        <is>
          <t>A</t>
        </is>
      </c>
    </row>
    <row r="8" ht="26" customHeight="1">
      <c r="A8" s="22" t="inlineStr">
        <is>
          <t>S4</t>
        </is>
      </c>
      <c r="B8" s="21" t="inlineStr">
        <is>
          <t>示例省生态环境厅（虚构）</t>
        </is>
      </c>
      <c r="C8" s="55" t="inlineStr">
        <is>
          <t>示例甲技改项目环评公示</t>
        </is>
      </c>
      <c r="D8" s="25" t="inlineStr">
        <is>
          <t>2026-02-01</t>
        </is>
      </c>
      <c r="E8" s="56" t="inlineStr">
        <is>
          <t>https://example.com/s4</t>
        </is>
      </c>
      <c r="F8" s="51" t="inlineStr">
        <is>
          <t>技改规模与时间</t>
        </is>
      </c>
      <c r="G8" s="31" t="inlineStr">
        <is>
          <t>B</t>
        </is>
      </c>
    </row>
    <row r="10" ht="22" customHeight="1">
      <c r="A10" s="13" t="inlineStr">
        <is>
          <t>注：A 公司定期报告/政府文件；B 公司 IR/行业统计/券商拆分；C 企业公开业务信息；D 物流/覆盖推断。链接为公开网页，可能随时间失效。</t>
        </is>
      </c>
    </row>
  </sheetData>
  <autoFilter ref="A4:G8"/>
  <mergeCells count="3">
    <mergeCell ref="A2:G2"/>
    <mergeCell ref="A1:G1"/>
    <mergeCell ref="A10:G10"/>
  </mergeCells>
  <hyperlinks>
    <hyperlink xmlns:r="http://schemas.openxmlformats.org/officeDocument/2006/relationships" ref="C5" r:id="rId1"/>
    <hyperlink xmlns:r="http://schemas.openxmlformats.org/officeDocument/2006/relationships" ref="E5" r:id="rId2"/>
    <hyperlink xmlns:r="http://schemas.openxmlformats.org/officeDocument/2006/relationships" ref="C6" r:id="rId3"/>
    <hyperlink xmlns:r="http://schemas.openxmlformats.org/officeDocument/2006/relationships" ref="E6" r:id="rId4"/>
    <hyperlink xmlns:r="http://schemas.openxmlformats.org/officeDocument/2006/relationships" ref="C7" r:id="rId5"/>
    <hyperlink xmlns:r="http://schemas.openxmlformats.org/officeDocument/2006/relationships" ref="E7" r:id="rId6"/>
    <hyperlink xmlns:r="http://schemas.openxmlformats.org/officeDocument/2006/relationships" ref="C8" r:id="rId7"/>
    <hyperlink xmlns:r="http://schemas.openxmlformats.org/officeDocument/2006/relationships" ref="E8" r:id="rId8"/>
  </hyperlink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G7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8" customWidth="1" min="2" max="2"/>
    <col width="32" customWidth="1" min="3" max="3"/>
    <col width="32" customWidth="1" min="4" max="4"/>
    <col width="26" customWidth="1" min="5" max="5"/>
    <col width="44" customWidth="1" min="6" max="6"/>
    <col width="40" customWidth="1" min="7" max="7"/>
  </cols>
  <sheetData>
    <row r="1" ht="34" customHeight="1">
      <c r="A1" s="16" t="inlineStr">
        <is>
          <t>07 / CONFLICTS  口径冲突 · 采用判断</t>
        </is>
      </c>
    </row>
    <row r="2" ht="26" customHeight="1">
      <c r="A2" s="17" t="inlineStr">
        <is>
          <t>1 项 · 不强行抹平，并列展示并说明采用理由；冲突本身也是数据质量信号</t>
        </is>
      </c>
    </row>
    <row r="4" ht="31" customHeight="1">
      <c r="A4" s="18" t="inlineStr">
        <is>
          <t>#</t>
        </is>
      </c>
      <c r="B4" s="18" t="inlineStr">
        <is>
          <t>冲突项</t>
        </is>
      </c>
      <c r="C4" s="18" t="inlineStr">
        <is>
          <t>口径 A</t>
        </is>
      </c>
      <c r="D4" s="18" t="inlineStr">
        <is>
          <t>口径 B</t>
        </is>
      </c>
      <c r="E4" s="18" t="inlineStr">
        <is>
          <t>采用</t>
        </is>
      </c>
      <c r="F4" s="18" t="inlineStr">
        <is>
          <t>理由</t>
        </is>
      </c>
      <c r="G4" s="18" t="inlineStr">
        <is>
          <t>影响</t>
        </is>
      </c>
    </row>
    <row r="5" ht="38" customHeight="1">
      <c r="A5" s="57" t="n">
        <v>1</v>
      </c>
      <c r="B5" s="20" t="inlineStr">
        <is>
          <t>示例甲示例品产能</t>
        </is>
      </c>
      <c r="C5" s="27" t="inlineStr">
        <is>
          <t>公司简介：100 万吨/年</t>
        </is>
      </c>
      <c r="D5" s="27" t="inlineStr">
        <is>
          <t>行业报道：80 万吨/年</t>
        </is>
      </c>
      <c r="E5" s="58" t="inlineStr">
        <is>
          <t>100 万吨/年（示例）</t>
        </is>
      </c>
      <c r="F5" s="27" t="inlineStr">
        <is>
          <t>简介较新且为示例主口径；仍需年报复核。</t>
        </is>
      </c>
      <c r="G5" s="27" t="inlineStr">
        <is>
          <t>若为 80，本地供给更薄，“空白”结论更强。</t>
        </is>
      </c>
    </row>
    <row r="7" ht="22" customHeight="1">
      <c r="A7" s="13" t="inlineStr">
        <is>
          <t>注：冲突项不是“错误”，而是公开口径不一致；正式版应继续用最新年报/环评/项目公告复核。</t>
        </is>
      </c>
    </row>
  </sheetData>
  <autoFilter ref="A4:G5"/>
  <mergeCells count="3">
    <mergeCell ref="A2:G2"/>
    <mergeCell ref="A1:G1"/>
    <mergeCell ref="A7:G7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xl/worksheets/sheet9.xml><?xml version="1.0" encoding="utf-8"?>
<worksheet xmlns="http://schemas.openxmlformats.org/spreadsheetml/2006/main">
  <sheetPr>
    <outlinePr summaryBelow="1" summaryRight="1"/>
    <pageSetUpPr fitToPage="1"/>
  </sheetPr>
  <dimension ref="A1:E10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0" customWidth="1" min="2" max="2"/>
    <col width="24" customWidth="1" min="3" max="3"/>
    <col width="80" customWidth="1" min="4" max="4"/>
    <col width="25" customWidth="1" min="5" max="5"/>
  </cols>
  <sheetData>
    <row r="1" ht="34" customHeight="1">
      <c r="A1" s="16" t="inlineStr">
        <is>
          <t>08 / GAPS &amp; BOUNDARIES  数据缺口与边界</t>
        </is>
      </c>
    </row>
    <row r="2" ht="26" customHeight="1">
      <c r="A2" s="17" t="inlineStr">
        <is>
          <t>这是下一步取证清单，不是免责声明；写清“查不到什么”比假装全知道更专业</t>
        </is>
      </c>
    </row>
    <row r="4" ht="31" customHeight="1">
      <c r="A4" s="18" t="inlineStr">
        <is>
          <t>#</t>
        </is>
      </c>
      <c r="B4" s="18" t="inlineStr">
        <is>
          <t>类型</t>
        </is>
      </c>
      <c r="C4" s="18" t="inlineStr">
        <is>
          <t>条目</t>
        </is>
      </c>
      <c r="D4" s="18" t="inlineStr">
        <is>
          <t>说明</t>
        </is>
      </c>
      <c r="E4" s="18" t="inlineStr">
        <is>
          <t>对结论的影响</t>
        </is>
      </c>
    </row>
    <row r="5" ht="30" customHeight="1">
      <c r="A5" s="19" t="n">
        <v>1</v>
      </c>
      <c r="B5" s="59" t="inlineStr">
        <is>
          <t>缺口</t>
        </is>
      </c>
      <c r="C5" s="20" t="inlineStr">
        <is>
          <t>样本只有 3 家</t>
        </is>
      </c>
      <c r="D5" s="27" t="inlineStr">
        <is>
          <t>示例只放 3 家，未穷尽行业；不能把样本当全行业。</t>
        </is>
      </c>
      <c r="E5" s="27" t="inlineStr">
        <is>
          <t>可能高估或低估，需补数据后再下结论</t>
        </is>
      </c>
    </row>
    <row r="6" ht="30" customHeight="1">
      <c r="A6" s="19" t="n">
        <v>2</v>
      </c>
      <c r="B6" s="59" t="inlineStr">
        <is>
          <t>缺口</t>
        </is>
      </c>
      <c r="C6" s="20" t="inlineStr">
        <is>
          <t>负增量未收集</t>
        </is>
      </c>
      <c r="D6" s="27" t="inlineStr">
        <is>
          <t>冷修、停产、限产未纳入项目表；只加正向项目会高估净增。</t>
        </is>
      </c>
      <c r="E6" s="27" t="inlineStr">
        <is>
          <t>可能高估或低估，需补数据后再下结论</t>
        </is>
      </c>
    </row>
    <row r="7" ht="30" customHeight="1">
      <c r="A7" s="19" t="n">
        <v>3</v>
      </c>
      <c r="B7" s="39" t="inlineStr">
        <is>
          <t>边界</t>
        </is>
      </c>
      <c r="C7" s="20" t="inlineStr">
        <is>
          <t>不推算市场份额</t>
        </is>
      </c>
      <c r="D7" s="27" t="inlineStr">
        <is>
          <t>本示例只展示样本覆盖，不计算企业份额。</t>
        </is>
      </c>
      <c r="E7" s="27" t="inlineStr">
        <is>
          <t>已在报告中排除或单独标注</t>
        </is>
      </c>
    </row>
    <row r="8" ht="30" customHeight="1">
      <c r="A8" s="19" t="n">
        <v>4</v>
      </c>
      <c r="B8" s="39" t="inlineStr">
        <is>
          <t>边界</t>
        </is>
      </c>
      <c r="C8" s="20" t="inlineStr">
        <is>
          <t>用量为假设</t>
        </is>
      </c>
      <c r="D8" s="27" t="inlineStr">
        <is>
          <t>潜客用量按示例吨耗推算，不是企业披露。</t>
        </is>
      </c>
      <c r="E8" s="27" t="inlineStr">
        <is>
          <t>已在报告中排除或单独标注</t>
        </is>
      </c>
    </row>
    <row r="10" ht="22" customHeight="1">
      <c r="A10" s="13" t="inlineStr">
        <is>
          <t>注：缺口不是“免责声明”，而是下一轮研究的任务清单；正式版可把每条缺口转成 owner + 截止日期。</t>
        </is>
      </c>
    </row>
  </sheetData>
  <autoFilter ref="A4:E8"/>
  <mergeCells count="3">
    <mergeCell ref="A2:E2"/>
    <mergeCell ref="A1:E1"/>
    <mergeCell ref="A10:E10"/>
  </mergeCells>
  <pageMargins left="0.32" right="0.32" top="0.48" bottom="0.42" header="0.18" footer="0.18"/>
  <pageSetup orientation="landscape" paperSize="9" fitToHeight="0" fitToWidth="1"/>
  <headerFooter>
    <oddHeader/>
    <oddFooter>&amp;C&amp;8 &amp;K6E7B72化工品竞争供给地图 · 数据截至 2026-01-01 · 第 &amp;P 页 / 共 &amp;N 页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chemical-competitor-supply-map</dc:creator>
  <dc:subject xmlns:dc="http://purl.org/dc/elements/1.1/">示例品 · 示例省 · 示例市 · 竞争供给布局</dc:subject>
  <dcterms:created xmlns:dcterms="http://purl.org/dc/terms/" xmlns:xsi="http://www.w3.org/2001/XMLSchema-instance" xsi:type="dcterms:W3CDTF">2026-10-19T05:57:46Z</dcterms:created>
  <dcterms:modified xmlns:dcterms="http://purl.org/dc/terms/" xmlns:xsi="http://www.w3.org/2001/XMLSchema-instance" xsi:type="dcterms:W3CDTF">2026-10-19T05:57:47Z</dcterms:modified>
</cp:coreProperties>
</file>
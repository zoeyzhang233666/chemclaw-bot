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判断总览" sheetId="1" state="visible" r:id="rId1"/>
    <sheet name="七维判断明细" sheetId="2" state="visible" r:id="rId2"/>
    <sheet name="权重与排序" sheetId="3" state="visible" r:id="rId3"/>
    <sheet name="待确认清单" sheetId="4" state="visible" r:id="rId4"/>
    <sheet name="数据来源" sheetId="5" state="visible" r:id="rId5"/>
    <sheet name="市场背景" sheetId="6" state="visible" r:id="rId6"/>
    <sheet name="阅读说明" sheetId="7" state="visible" r:id="rId7"/>
  </sheets>
  <definedNames>
    <definedName name="_xlnm._FilterDatabase" localSheetId="1" hidden="1">'七维判断明细'!$A$4:$I$32</definedName>
    <definedName name="_xlnm._FilterDatabase" localSheetId="3" hidden="1">'待确认清单'!$A$4:$F$16</definedName>
    <definedName name="_xlnm._FilterDatabase" localSheetId="4" hidden="1">'数据来源'!$A$4:$F$37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i val="1"/>
      <color rgb="005B6A82"/>
      <sz val="9.5"/>
    </font>
    <font>
      <name val="微软雅黑"/>
      <b val="1"/>
      <color rgb="00FFFFFF"/>
      <sz val="10.5"/>
    </font>
    <font>
      <name val="微软雅黑"/>
      <b val="1"/>
      <color rgb="000F7B3F"/>
      <sz val="10"/>
    </font>
    <font>
      <name val="微软雅黑"/>
      <b val="1"/>
      <color rgb="009A5B00"/>
      <sz val="10"/>
    </font>
    <font>
      <name val="微软雅黑"/>
      <color rgb="0022314B"/>
      <sz val="10"/>
    </font>
    <font>
      <name val="微软雅黑"/>
      <b val="1"/>
      <color rgb="0016325C"/>
      <sz val="12"/>
    </font>
    <font>
      <name val="微软雅黑"/>
      <b val="1"/>
      <color rgb="001A2946"/>
      <sz val="10.5"/>
    </font>
    <font>
      <name val="微软雅黑"/>
      <color rgb="004B5D7C"/>
      <sz val="9.5"/>
    </font>
    <font>
      <name val="微软雅黑"/>
      <color rgb="003B4A63"/>
      <sz val="10"/>
    </font>
    <font>
      <name val="微软雅黑"/>
      <b val="1"/>
      <color rgb="001E56C8"/>
      <sz val="12"/>
    </font>
    <font>
      <name val="微软雅黑"/>
      <b val="1"/>
      <color rgb="00B42318"/>
      <sz val="10"/>
    </font>
    <font>
      <name val="微软雅黑"/>
      <i val="1"/>
      <color rgb="007C8AA1"/>
      <sz val="9"/>
    </font>
    <font>
      <name val="微软雅黑"/>
      <b val="1"/>
      <color rgb="002360D6"/>
      <sz val="9.5"/>
    </font>
    <font>
      <name val="微软雅黑"/>
      <b val="1"/>
      <color rgb="001A2946"/>
      <sz val="10"/>
    </font>
    <font>
      <name val="微软雅黑"/>
      <b val="1"/>
      <color rgb="003B4A63"/>
      <sz val="10"/>
    </font>
    <font>
      <name val="微软雅黑"/>
      <b val="1"/>
      <color rgb="0016325C"/>
      <sz val="11"/>
    </font>
    <font>
      <name val="微软雅黑"/>
      <b val="1"/>
      <color rgb="001E56C8"/>
      <sz val="11"/>
    </font>
    <font>
      <name val="微软雅黑"/>
      <color rgb="001E56C8"/>
      <sz val="10.5"/>
    </font>
    <font>
      <name val="微软雅黑"/>
      <color rgb="007C8AA1"/>
      <sz val="9.5"/>
    </font>
    <font>
      <name val="微软雅黑"/>
      <b val="1"/>
      <color rgb="0022314B"/>
      <sz val="10"/>
    </font>
    <font>
      <name val="微软雅黑"/>
      <b val="1"/>
      <color rgb="001E56C8"/>
      <sz val="10.5"/>
    </font>
    <font>
      <name val="微软雅黑"/>
      <color rgb="0022314B"/>
      <sz val="10.5"/>
    </font>
    <font>
      <name val="微软雅黑"/>
      <color rgb="0022314B"/>
      <sz val="9.5"/>
    </font>
  </fonts>
  <fills count="8">
    <fill>
      <patternFill/>
    </fill>
    <fill>
      <patternFill patternType="gray125"/>
    </fill>
    <fill>
      <patternFill patternType="solid">
        <fgColor rgb="0016325C"/>
      </patternFill>
    </fill>
    <fill>
      <patternFill patternType="solid">
        <fgColor rgb="00E2F5E9"/>
      </patternFill>
    </fill>
    <fill>
      <patternFill patternType="solid">
        <fgColor rgb="00FDF0D3"/>
      </patternFill>
    </fill>
    <fill>
      <patternFill patternType="solid">
        <fgColor rgb="00FDE7E4"/>
      </patternFill>
    </fill>
    <fill>
      <patternFill patternType="solid">
        <fgColor rgb="00EAF1FC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8E0EE"/>
      </left>
      <right style="thin">
        <color rgb="00D8E0EE"/>
      </right>
      <top style="thin">
        <color rgb="00D8E0EE"/>
      </top>
      <bottom style="thin">
        <color rgb="00D8E0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0" fontId="18" fillId="7" borderId="1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/>
    </xf>
    <xf numFmtId="164" fontId="18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5" fillId="0" borderId="1" pivotButton="0" quotePrefix="0" xfId="0"/>
    <xf numFmtId="0" fontId="10" fillId="0" borderId="1" applyAlignment="1" pivotButton="0" quotePrefix="0" xfId="0">
      <alignment horizontal="center" vertical="top" wrapText="1"/>
    </xf>
    <xf numFmtId="164" fontId="19" fillId="0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left" vertical="center" wrapText="1" indent="1"/>
    </xf>
    <xf numFmtId="0" fontId="2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bd.com.cn/articles/2023-02-20/2675428.html" TargetMode="External" Id="rId1"/><Relationship Type="http://schemas.openxmlformats.org/officeDocument/2006/relationships/hyperlink" Target="https://www.acht.com.cn/d/file/p/2025/12-05/2273fe6adf0201e3f658c16a3ed79553.pdf" TargetMode="External" Id="rId2"/><Relationship Type="http://schemas.openxmlformats.org/officeDocument/2006/relationships/hyperlink" Target="https://app.dahecube.com/nweb/news/20260916/287137n2e2a5905202.htm?artid=287137" TargetMode="External" Id="rId3"/><Relationship Type="http://schemas.openxmlformats.org/officeDocument/2006/relationships/hyperlink" Target="https://static.cninfo.com.cn/finalpage/2026-04-18/1225120486.PDF" TargetMode="External" Id="rId4"/><Relationship Type="http://schemas.openxmlformats.org/officeDocument/2006/relationships/hyperlink" Target="https://www.chemall.com.cn/news/show-264315.html" TargetMode="External" Id="rId5"/><Relationship Type="http://schemas.openxmlformats.org/officeDocument/2006/relationships/hyperlink" Target="https://www.acht.com.cn/d/file/p/2025/12-05/2273fe6adf0201e3f658c16a3ed79553.pdf" TargetMode="External" Id="rId6"/><Relationship Type="http://schemas.openxmlformats.org/officeDocument/2006/relationships/hyperlink" Target="https://app.dahecube.com/nweb/news/20260916/287137n2e2a5905202.htm?artid=287137" TargetMode="External" Id="rId7"/><Relationship Type="http://schemas.openxmlformats.org/officeDocument/2006/relationships/hyperlink" Target="http://static.cninfo.com.cn/finalpage/2025-08-28/1224597273.PDF" TargetMode="External" Id="rId8"/><Relationship Type="http://schemas.openxmlformats.org/officeDocument/2006/relationships/hyperlink" Target="https://pdf.dfcfw.com/pdf/H3_AP202411181640930905_1.pdf" TargetMode="External" Id="rId9"/><Relationship Type="http://schemas.openxmlformats.org/officeDocument/2006/relationships/hyperlink" Target="https://money.finance.sina.com.cn/corp/view/vCB_AllBulletinDetail.php?stockid=601636&amp;id=12154621" TargetMode="External" Id="rId10"/><Relationship Type="http://schemas.openxmlformats.org/officeDocument/2006/relationships/hyperlink" Target="https://money.finance.sina.com.cn/corp/view/vCB_AllBulletinDetail.php?stockid=601636&amp;id=12154621" TargetMode="External" Id="rId11"/><Relationship Type="http://schemas.openxmlformats.org/officeDocument/2006/relationships/hyperlink" Target="http://static.cninfo.com.cn/finalpage/2025-08-28/1224597273.PDF" TargetMode="External" Id="rId12"/><Relationship Type="http://schemas.openxmlformats.org/officeDocument/2006/relationships/hyperlink" Target="http://static.cninfo.com.cn/finalpage/2025-08-28/1224597273.PDF" TargetMode="External" Id="rId13"/><Relationship Type="http://schemas.openxmlformats.org/officeDocument/2006/relationships/hyperlink" Target="https://money.finance.sina.com.cn/corp/view/vCB_AllBulletinDetail.php?stockid=601636&amp;id=12154621" TargetMode="External" Id="rId14"/><Relationship Type="http://schemas.openxmlformats.org/officeDocument/2006/relationships/hyperlink" Target="https://www.xinyiglass.com/companynews/info.aspx?itemid=2558" TargetMode="External" Id="rId15"/><Relationship Type="http://schemas.openxmlformats.org/officeDocument/2006/relationships/hyperlink" Target="https://www.xinyiglass.com/companynews/info.aspx?itemid=2558" TargetMode="External" Id="rId16"/><Relationship Type="http://schemas.openxmlformats.org/officeDocument/2006/relationships/hyperlink" Target="https://www.xinyiglass.com/companynews/info.aspx?itemid=2558" TargetMode="External" Id="rId17"/><Relationship Type="http://schemas.openxmlformats.org/officeDocument/2006/relationships/hyperlink" Target="https://www.xinyiglass.com/companynews/info.aspx?itemid=2558" TargetMode="External" Id="rId18"/><Relationship Type="http://schemas.openxmlformats.org/officeDocument/2006/relationships/hyperlink" Target="https://www.xinyiglass.com/uploadfiles/2025/05/%E4%BF%A1%E4%B9%89%E7%8E%BB%E7%92%832024%E5%B9%B4%E5%B9%B4%E6%8A%A5-%E7%B9%81%E4%BD%93%E4%B8%AD%E6%96%87.pdf" TargetMode="External" Id="rId19"/><Relationship Type="http://schemas.openxmlformats.org/officeDocument/2006/relationships/hyperlink" Target="https://www.xinyiglass.com/companynews/info.aspx?itemid=2558" TargetMode="External" Id="rId20"/><Relationship Type="http://schemas.openxmlformats.org/officeDocument/2006/relationships/hyperlink" Target="https://www.xinyiglass.com/companynews/info.aspx?itemid=2558" TargetMode="External" Id="rId21"/><Relationship Type="http://schemas.openxmlformats.org/officeDocument/2006/relationships/hyperlink" Target="https://nenghua.m.mysteel.com/a/25070710/FE0D972F9BC1C970_abc.html" TargetMode="External" Id="rId22"/><Relationship Type="http://schemas.openxmlformats.org/officeDocument/2006/relationships/hyperlink" Target="http://www.lvliang.gov.cn/llxxgk/zfxxgk/xxgkml/hflwj/lzh/202208/t20220819_1682832.html" TargetMode="External" Id="rId23"/><Relationship Type="http://schemas.openxmlformats.org/officeDocument/2006/relationships/hyperlink" Target="https://nenghua.m.mysteel.com/a/25062310/EE207340EA9A2004_abc.html" TargetMode="External" Id="rId24"/><Relationship Type="http://schemas.openxmlformats.org/officeDocument/2006/relationships/hyperlink" Target="http://www.lvliang.gov.cn/llxxgk/zfxxgk/xxgkml/hflwj/lzh/202208/t20220819_1682832.html" TargetMode="External" Id="rId25"/><Relationship Type="http://schemas.openxmlformats.org/officeDocument/2006/relationships/hyperlink" Target="http://www.lvliang.gov.cn/llxxgk/zfxxgk/xxgkml/hflwj/lzh/202208/t20220819_1682832.html" TargetMode="External" Id="rId26"/><Relationship Type="http://schemas.openxmlformats.org/officeDocument/2006/relationships/hyperlink" Target="https://nenghua.m.mysteel.com/a/25070710/FE0D972F9BC1C970_abc.html" TargetMode="External" Id="rId27"/><Relationship Type="http://schemas.openxmlformats.org/officeDocument/2006/relationships/hyperlink" Target="https://www.glass.com.cn/company/shxlhbljtyxgs/" TargetMode="External" Id="rId28"/></Relationships>
</file>

<file path=xl/worksheets/_rels/sheet5.xml.rels><Relationships xmlns="http://schemas.openxmlformats.org/package/2006/relationships"><Relationship Type="http://schemas.openxmlformats.org/officeDocument/2006/relationships/hyperlink" Target="https://static.cninfo.com.cn/finalpage/2026-04-18/1225120486.PDF" TargetMode="External" Id="rId1"/><Relationship Type="http://schemas.openxmlformats.org/officeDocument/2006/relationships/hyperlink" Target="http://money.finance.sina.com.cn/corp/view/vCB_AllBulletinDetail.php?id=10824467&amp;stockid=600207" TargetMode="External" Id="rId2"/><Relationship Type="http://schemas.openxmlformats.org/officeDocument/2006/relationships/hyperlink" Target="https://www.acht.com.cn/d/file/p/2025/12-05/2273fe6adf0201e3f658c16a3ed79553.pdf" TargetMode="External" Id="rId3"/><Relationship Type="http://schemas.openxmlformats.org/officeDocument/2006/relationships/hyperlink" Target="http://www.cnste.org/news/detail/12498.html" TargetMode="External" Id="rId4"/><Relationship Type="http://schemas.openxmlformats.org/officeDocument/2006/relationships/hyperlink" Target="https://app.dahecube.com/nweb/news/20260916/287137n2e2a5905202.htm?artid=287137" TargetMode="External" Id="rId5"/><Relationship Type="http://schemas.openxmlformats.org/officeDocument/2006/relationships/hyperlink" Target="https://www.nbd.com.cn/articles/2023-02-20/2675428.html" TargetMode="External" Id="rId6"/><Relationship Type="http://schemas.openxmlformats.org/officeDocument/2006/relationships/hyperlink" Target="http://www.china-zbycg.com/guest/info/3/600/398.html" TargetMode="External" Id="rId7"/><Relationship Type="http://schemas.openxmlformats.org/officeDocument/2006/relationships/hyperlink" Target="https://www.chemall.com.cn/news/show-264315.html" TargetMode="External" Id="rId8"/><Relationship Type="http://schemas.openxmlformats.org/officeDocument/2006/relationships/hyperlink" Target="https://www.acht.com.cn/tzzgx/gsgg/" TargetMode="External" Id="rId9"/><Relationship Type="http://schemas.openxmlformats.org/officeDocument/2006/relationships/hyperlink" Target="http://static.cninfo.com.cn/finalpage/2025-08-28/1224597273.PDF" TargetMode="External" Id="rId10"/><Relationship Type="http://schemas.openxmlformats.org/officeDocument/2006/relationships/hyperlink" Target="https://pdf.dfcfw.com/pdf/H3_AP202411181640930905_1.pdf" TargetMode="External" Id="rId11"/><Relationship Type="http://schemas.openxmlformats.org/officeDocument/2006/relationships/hyperlink" Target="https://money.finance.sina.com.cn/corp/view/vCB_AllBulletinDetail.php?stockid=601636&amp;id=12154621" TargetMode="External" Id="rId12"/><Relationship Type="http://schemas.openxmlformats.org/officeDocument/2006/relationships/hyperlink" Target="https://pdf.dfcfw.com/pdf/H3_AP202504281663775615_1.pdf" TargetMode="External" Id="rId13"/><Relationship Type="http://schemas.openxmlformats.org/officeDocument/2006/relationships/hyperlink" Target="http://static.cninfo.com.cn/finalpage/2025-04-25/1223283955.PDF" TargetMode="External" Id="rId14"/><Relationship Type="http://schemas.openxmlformats.org/officeDocument/2006/relationships/hyperlink" Target="https://www.xinyiglass.com/companynews/info.aspx?itemid=2558" TargetMode="External" Id="rId15"/><Relationship Type="http://schemas.openxmlformats.org/officeDocument/2006/relationships/hyperlink" Target="https://www.xinyiglass.com/uploadfiles/2025/05/%E4%BF%A1%E4%B9%89%E7%8E%BB%E7%92%832024%E5%B9%B4%E5%B9%B4%E6%8A%A5-%E7%B9%81%E4%BD%93%E4%B8%AD%E6%96%87.pdf" TargetMode="External" Id="rId16"/><Relationship Type="http://schemas.openxmlformats.org/officeDocument/2006/relationships/hyperlink" Target="http://www.glass.com.cn/zhouwenbin/profile.html" TargetMode="External" Id="rId17"/><Relationship Type="http://schemas.openxmlformats.org/officeDocument/2006/relationships/hyperlink" Target="https://finance.sina.com.cn/stock/relnews/hk/2025-03-06/doc-inenswir0950439.shtml" TargetMode="External" Id="rId18"/><Relationship Type="http://schemas.openxmlformats.org/officeDocument/2006/relationships/hyperlink" Target="https://nenghua.m.mysteel.com/a/25070710/FE0D972F9BC1C970_abc.html" TargetMode="External" Id="rId19"/><Relationship Type="http://schemas.openxmlformats.org/officeDocument/2006/relationships/hyperlink" Target="http://www.lvliang.gov.cn/llxxgk/zfxxgk/xxgkml/hflwj/lzh/202208/t20220819_1682832.html" TargetMode="External" Id="rId20"/><Relationship Type="http://schemas.openxmlformats.org/officeDocument/2006/relationships/hyperlink" Target="https://www.glass.com.cn/company/shxlhbljtyxgs/" TargetMode="External" Id="rId21"/><Relationship Type="http://schemas.openxmlformats.org/officeDocument/2006/relationships/hyperlink" Target="https://nenghua.m.mysteel.com/a/25062310/EE207340EA9A2004_abc.html" TargetMode="External" Id="rId22"/><Relationship Type="http://schemas.openxmlformats.org/officeDocument/2006/relationships/hyperlink" Target="https://nenghua.m.mysteel.com/a/25050614/A6B76C45E76AC117_abc.html" TargetMode="External" Id="rId23"/><Relationship Type="http://schemas.openxmlformats.org/officeDocument/2006/relationships/hyperlink" Target="https://www.100ppi.com/news/detail-20250108-3992937.html" TargetMode="External" Id="rId24"/><Relationship Type="http://schemas.openxmlformats.org/officeDocument/2006/relationships/hyperlink" Target="https://www.chemall.com.cn/news/show-264315.html" TargetMode="External" Id="rId25"/><Relationship Type="http://schemas.openxmlformats.org/officeDocument/2006/relationships/hyperlink" Target="https://www.100ppi.com/news/detail-20261014-6341735.html" TargetMode="External" Id="rId26"/><Relationship Type="http://schemas.openxmlformats.org/officeDocument/2006/relationships/hyperlink" Target="https://finance.sina.com.cn/money/future/fmnews/2026-10-09/doc-iniurfei2992600.shtml" TargetMode="External" Id="rId27"/><Relationship Type="http://schemas.openxmlformats.org/officeDocument/2006/relationships/hyperlink" Target="https://finance.sina.com.cn/money/future/fmnews/2026-10-09/doc-iniurfei2992600.shtml" TargetMode="External" Id="rId28"/><Relationship Type="http://schemas.openxmlformats.org/officeDocument/2006/relationships/hyperlink" Target="https://www.163.com/dy/article/L97IG8PT05568W0A.html" TargetMode="External" Id="rId29"/><Relationship Type="http://schemas.openxmlformats.org/officeDocument/2006/relationships/hyperlink" Target="https://www.163.com/dy/article/L97IG8PT05568W0A.html" TargetMode="External" Id="rId30"/><Relationship Type="http://schemas.openxmlformats.org/officeDocument/2006/relationships/hyperlink" Target="https://finance.sina.com.cn/money/future/fmnews/2026-10-09/doc-iniurfei2992600.shtml" TargetMode="External" Id="rId31"/><Relationship Type="http://schemas.openxmlformats.org/officeDocument/2006/relationships/hyperlink" Target="https://www.163.com/dy/article/L97ED8GK05568W0A.html" TargetMode="External" Id="rId32"/><Relationship Type="http://schemas.openxmlformats.org/officeDocument/2006/relationships/hyperlink" Target="https://finance.sina.com.cn/money/future/fmnews/2026-10-09/doc-iniurfei2992600.shtml" TargetMode="External" Id="rId3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hemall.com.cn/news/show-264315.html" TargetMode="External" Id="rId1"/><Relationship Type="http://schemas.openxmlformats.org/officeDocument/2006/relationships/hyperlink" Target="https://www.100ppi.com/news/detail-20261014-6341735.html" TargetMode="External" Id="rId2"/><Relationship Type="http://schemas.openxmlformats.org/officeDocument/2006/relationships/hyperlink" Target="https://finance.sina.com.cn/money/future/fmnews/2026-10-09/doc-iniurfei2992600.shtml" TargetMode="External" Id="rId3"/><Relationship Type="http://schemas.openxmlformats.org/officeDocument/2006/relationships/hyperlink" Target="https://finance.sina.com.cn/money/future/fmnews/2026-10-09/doc-iniurfei2992600.shtml" TargetMode="External" Id="rId4"/><Relationship Type="http://schemas.openxmlformats.org/officeDocument/2006/relationships/hyperlink" Target="https://www.163.com/dy/article/L97IG8PT05568W0A.html" TargetMode="External" Id="rId5"/><Relationship Type="http://schemas.openxmlformats.org/officeDocument/2006/relationships/hyperlink" Target="https://www.163.com/dy/article/L97IG8PT05568W0A.html" TargetMode="External" Id="rId6"/><Relationship Type="http://schemas.openxmlformats.org/officeDocument/2006/relationships/hyperlink" Target="https://finance.sina.com.cn/money/future/fmnews/2026-10-09/doc-iniurfei2992600.shtml" TargetMode="External" Id="rId7"/><Relationship Type="http://schemas.openxmlformats.org/officeDocument/2006/relationships/hyperlink" Target="https://www.163.com/dy/article/L97ED8GK05568W0A.html" TargetMode="External" Id="rId8"/><Relationship Type="http://schemas.openxmlformats.org/officeDocument/2006/relationships/hyperlink" Target="https://finance.sina.com.cn/money/future/fmnews/2026-10-09/doc-iniurfei2992600.s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30" customWidth="1" min="4" max="4"/>
    <col width="24" customWidth="1" min="5" max="5"/>
    <col width="24" customWidth="1" min="6" max="6"/>
    <col width="14" customWidth="1" min="7" max="7"/>
    <col width="4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1" customWidth="1" min="23" max="23"/>
    <col width="44" customWidth="1" min="24" max="24"/>
  </cols>
  <sheetData>
    <row r="1" ht="32" customHeight="1">
      <c r="A1" s="1" t="inlineStr">
        <is>
          <t>纯碱客户多维判断卡 · 客户准入总览</t>
        </is>
      </c>
    </row>
    <row r="2" ht="30" customHeight="1">
      <c r="A2" s="2" t="inlineStr">
        <is>
          <t>销售产品：重质纯碱 99%（散装罐车/吨袋）　|　卖家：山东潍坊 · 碱厂/一级贸易商 · 月可供 5,000 吨　|　判断时点：2026-10　|　排序参考分仅用于决定跟进顺序，不是评级、不代表成交概率。</t>
        </is>
      </c>
    </row>
    <row r="4" ht="34" customHeight="1">
      <c r="A4" s="3" t="inlineStr">
        <is>
          <t>排名</t>
        </is>
      </c>
      <c r="B4" s="3" t="inlineStr">
        <is>
          <t>客户名称</t>
        </is>
      </c>
      <c r="C4" s="3" t="inlineStr">
        <is>
          <t>证券代码</t>
        </is>
      </c>
      <c r="D4" s="3" t="inlineStr">
        <is>
          <t>所在地/基地</t>
        </is>
      </c>
      <c r="E4" s="3" t="inlineStr">
        <is>
          <t>距发货地</t>
        </is>
      </c>
      <c r="F4" s="3" t="inlineStr">
        <is>
          <t>年需求估算</t>
        </is>
      </c>
      <c r="G4" s="3" t="inlineStr">
        <is>
          <t>年采购额估算</t>
        </is>
      </c>
      <c r="H4" s="3" t="inlineStr">
        <is>
          <t>建议动作</t>
        </is>
      </c>
      <c r="I4" s="3" t="inlineStr">
        <is>
          <t>产品匹配</t>
        </is>
      </c>
      <c r="J4" s="3" t="inlineStr">
        <is>
          <t>需求规模</t>
        </is>
      </c>
      <c r="K4" s="3" t="inlineStr">
        <is>
          <t>真实产能</t>
        </is>
      </c>
      <c r="L4" s="3" t="inlineStr">
        <is>
          <t>企业规模</t>
        </is>
      </c>
      <c r="M4" s="3" t="inlineStr">
        <is>
          <t>距离/区域</t>
        </is>
      </c>
      <c r="N4" s="3" t="inlineStr">
        <is>
          <t>近期机会</t>
        </is>
      </c>
      <c r="O4" s="3" t="inlineStr">
        <is>
          <t>不确定性</t>
        </is>
      </c>
      <c r="P4" s="3" t="inlineStr">
        <is>
          <t>产品匹配分</t>
        </is>
      </c>
      <c r="Q4" s="3" t="inlineStr">
        <is>
          <t>需求规模分</t>
        </is>
      </c>
      <c r="R4" s="3" t="inlineStr">
        <is>
          <t>真实产能分</t>
        </is>
      </c>
      <c r="S4" s="3" t="inlineStr">
        <is>
          <t>企业规模分</t>
        </is>
      </c>
      <c r="T4" s="3" t="inlineStr">
        <is>
          <t>距离/区域分</t>
        </is>
      </c>
      <c r="U4" s="3" t="inlineStr">
        <is>
          <t>近期机会分</t>
        </is>
      </c>
      <c r="V4" s="3" t="inlineStr">
        <is>
          <t>不确定性分</t>
        </is>
      </c>
      <c r="W4" s="3" t="inlineStr">
        <is>
          <t>排序参考分</t>
        </is>
      </c>
      <c r="X4" s="3" t="inlineStr">
        <is>
          <t>最强积极信号</t>
        </is>
      </c>
    </row>
    <row r="5" ht="96" customHeight="1">
      <c r="A5" s="4">
        <f>RANK(W5,$W$5:$W$8)</f>
        <v>3</v>
      </c>
      <c r="B5" s="5" t="inlineStr">
        <is>
          <t>河南安彩高科</t>
        </is>
      </c>
      <c r="C5" s="6" t="inlineStr">
        <is>
          <t>600207.SH</t>
        </is>
      </c>
      <c r="D5" s="6" t="inlineStr">
        <is>
          <t>河南安阳（光伏新材料、光热基地在龙安区）</t>
        </is>
      </c>
      <c r="E5" s="7" t="inlineStr">
        <is>
          <t>潍坊→安阳 ≈480 km（公路，估）</t>
        </is>
      </c>
      <c r="F5" s="7" t="inlineStr">
        <is>
          <t>≈10±3 万吨/年（估）</t>
        </is>
      </c>
      <c r="G5" s="7" t="inlineStr">
        <is>
          <t>≈1.0 亿元/年</t>
        </is>
      </c>
      <c r="H5" s="6" t="inlineStr">
        <is>
          <t>先投标入围，卡 900t/d 改造投产节点；报价锚定河南天然碱到厂价，账期争取「现汇+部分承兑」、锁量不锁价。</t>
        </is>
      </c>
      <c r="I5" s="8" t="inlineStr">
        <is>
          <t>高</t>
        </is>
      </c>
      <c r="J5" s="9" t="inlineStr">
        <is>
          <t>中高</t>
        </is>
      </c>
      <c r="K5" s="9" t="inlineStr">
        <is>
          <t>中</t>
        </is>
      </c>
      <c r="L5" s="9" t="inlineStr">
        <is>
          <t>中</t>
        </is>
      </c>
      <c r="M5" s="8" t="inlineStr">
        <is>
          <t>高</t>
        </is>
      </c>
      <c r="N5" s="9" t="inlineStr">
        <is>
          <t>中高</t>
        </is>
      </c>
      <c r="O5" s="8" t="inlineStr">
        <is>
          <t>高</t>
        </is>
      </c>
      <c r="P5" s="10" t="n">
        <v>90</v>
      </c>
      <c r="Q5" s="10" t="n">
        <v>75</v>
      </c>
      <c r="R5" s="10" t="n">
        <v>60</v>
      </c>
      <c r="S5" s="10" t="n">
        <v>60</v>
      </c>
      <c r="T5" s="10" t="n">
        <v>80</v>
      </c>
      <c r="U5" s="10" t="n">
        <v>75</v>
      </c>
      <c r="V5" s="10" t="n">
        <v>40</v>
      </c>
      <c r="W5" s="11">
        <f>SUMPRODUCT(P5:V5,'权重与排序'!$B$5:$H$5)/SUM('权重与排序'!$B$5:$H$5)</f>
        <v>68.57142857142857</v>
      </c>
      <c r="X5" s="7" t="inlineStr">
        <is>
          <t>900t/d 光伏线 4.98 亿元升级改造带来的「投产换供应商」窗口，叠加公开招标/询比的合规进入通道——不靠关系也能投进去。</t>
        </is>
      </c>
    </row>
    <row r="6" ht="96" customHeight="1">
      <c r="A6" s="4">
        <f>RANK(W6,$W$5:$W$8)</f>
        <v>2</v>
      </c>
      <c r="B6" s="5" t="inlineStr">
        <is>
          <t>株洲旗滨集团</t>
        </is>
      </c>
      <c r="C6" s="6" t="inlineStr">
        <is>
          <t>601636.SH</t>
        </is>
      </c>
      <c r="D6" s="6" t="inlineStr">
        <is>
          <t>总部湖南株洲；产线在醴陵/河源/漳州/昭通/马来西亚沙巴</t>
        </is>
      </c>
      <c r="E6" s="7" t="inlineStr">
        <is>
          <t>距潍坊 1,300–2,200 km（不经济）</t>
        </is>
      </c>
      <c r="F6" s="7" t="inlineStr">
        <is>
          <t>≈80–110 万吨/年（产能口径，估）</t>
        </is>
      </c>
      <c r="G6" s="7" t="inlineStr">
        <is>
          <t>≈8–11 亿元/年</t>
        </is>
      </c>
      <c r="H6" s="6" t="inlineStr">
        <is>
          <t>不作当前主攻；作为行业价格标杆收集情报，若你厂有华中/华南仓或水运能力再启动接触。</t>
        </is>
      </c>
      <c r="I6" s="8" t="inlineStr">
        <is>
          <t>高</t>
        </is>
      </c>
      <c r="J6" s="8" t="inlineStr">
        <is>
          <t>高</t>
        </is>
      </c>
      <c r="K6" s="8" t="inlineStr">
        <is>
          <t>高</t>
        </is>
      </c>
      <c r="L6" s="8" t="inlineStr">
        <is>
          <t>高</t>
        </is>
      </c>
      <c r="M6" s="12" t="inlineStr">
        <is>
          <t>低</t>
        </is>
      </c>
      <c r="N6" s="9" t="inlineStr">
        <is>
          <t>中</t>
        </is>
      </c>
      <c r="O6" s="9" t="inlineStr">
        <is>
          <t>中低</t>
        </is>
      </c>
      <c r="P6" s="10" t="n">
        <v>90</v>
      </c>
      <c r="Q6" s="10" t="n">
        <v>95</v>
      </c>
      <c r="R6" s="10" t="n">
        <v>85</v>
      </c>
      <c r="S6" s="10" t="n">
        <v>95</v>
      </c>
      <c r="T6" s="10" t="n">
        <v>35</v>
      </c>
      <c r="U6" s="10" t="n">
        <v>50</v>
      </c>
      <c r="V6" s="10" t="n">
        <v>65</v>
      </c>
      <c r="W6" s="11">
        <f>SUMPRODUCT(P6:V6,'权重与排序'!$B$5:$H$5)/SUM('权重与排序'!$B$5:$H$5)</f>
        <v>73.57142857142857</v>
      </c>
      <c r="X6" s="7" t="inlineStr">
        <is>
          <t>规模最大的潜在客户：若进其总部集采长协名单，一张合同顶几十家小厂。</t>
        </is>
      </c>
    </row>
    <row r="7" ht="96" customHeight="1">
      <c r="A7" s="4">
        <f>RANK(W7,$W$5:$W$8)</f>
        <v>1</v>
      </c>
      <c r="B7" s="5" t="inlineStr">
        <is>
          <t>信义玻璃</t>
        </is>
      </c>
      <c r="C7" s="6" t="inlineStr">
        <is>
          <t>00868.HK</t>
        </is>
      </c>
      <c r="D7" s="6" t="inlineStr">
        <is>
          <t>主要营业地安徽芜湖；另有东莞/江门/北海/马来西亚基地</t>
        </is>
      </c>
      <c r="E7" s="7" t="inlineStr">
        <is>
          <t>潍坊→芜湖 ≈700 km（主基地更远）</t>
        </is>
      </c>
      <c r="F7" s="7" t="inlineStr">
        <is>
          <t>≈40–100 万吨/年（浮法口径，估）</t>
        </is>
      </c>
      <c r="G7" s="7" t="inlineStr">
        <is>
          <t>≈5–9 亿元/年</t>
        </is>
      </c>
      <c r="H7" s="6" t="inlineStr">
        <is>
          <t>以「旺季保供/区域副供」切入，不打价格战，重点展示稳定性与交付能力。</t>
        </is>
      </c>
      <c r="I7" s="8" t="inlineStr">
        <is>
          <t>高</t>
        </is>
      </c>
      <c r="J7" s="8" t="inlineStr">
        <is>
          <t>高</t>
        </is>
      </c>
      <c r="K7" s="8" t="inlineStr">
        <is>
          <t>高</t>
        </is>
      </c>
      <c r="L7" s="8" t="inlineStr">
        <is>
          <t>高</t>
        </is>
      </c>
      <c r="M7" s="12" t="inlineStr">
        <is>
          <t>低</t>
        </is>
      </c>
      <c r="N7" s="12" t="inlineStr">
        <is>
          <t>低</t>
        </is>
      </c>
      <c r="O7" s="9" t="inlineStr">
        <is>
          <t>中低</t>
        </is>
      </c>
      <c r="P7" s="10" t="n">
        <v>90</v>
      </c>
      <c r="Q7" s="10" t="n">
        <v>98</v>
      </c>
      <c r="R7" s="10" t="n">
        <v>85</v>
      </c>
      <c r="S7" s="10" t="n">
        <v>100</v>
      </c>
      <c r="T7" s="10" t="n">
        <v>45</v>
      </c>
      <c r="U7" s="10" t="n">
        <v>45</v>
      </c>
      <c r="V7" s="10" t="n">
        <v>65</v>
      </c>
      <c r="W7" s="11">
        <f>SUMPRODUCT(P7:V7,'权重与排序'!$B$5:$H$5)/SUM('权重与排序'!$B$5:$H$5)</f>
        <v>75.42857142857143</v>
      </c>
      <c r="X7" s="7" t="inlineStr">
        <is>
          <t>现金牛客户：量与付款都稳定，一旦进长协就是多年饭票。</t>
        </is>
      </c>
    </row>
    <row r="8" ht="96" customHeight="1">
      <c r="A8" s="4">
        <f>RANK(W8,$W$5:$W$8)</f>
        <v>4</v>
      </c>
      <c r="B8" s="5" t="inlineStr">
        <is>
          <t>山西利虎玻璃集团</t>
        </is>
      </c>
      <c r="C8" s="6" t="inlineStr">
        <is>
          <t>非上市 · 吕梁交城</t>
        </is>
      </c>
      <c r="D8" s="6" t="inlineStr">
        <is>
          <t>山西吕梁交城县经济开发区（+青耀等子公司）</t>
        </is>
      </c>
      <c r="E8" s="7" t="inlineStr">
        <is>
          <t>潍坊→交城 ≈620 km</t>
        </is>
      </c>
      <c r="F8" s="7" t="inlineStr">
        <is>
          <t>≈8–12 万吨/年（口径较旧，待核）</t>
        </is>
      </c>
      <c r="G8" s="7" t="inlineStr">
        <is>
          <t>≈0.8–1.2 亿元/年</t>
        </is>
      </c>
      <c r="H8" s="6" t="inlineStr">
        <is>
          <t>直连采购负责人，先带样品与小批量方案试单 1–2 车，同时谈死账期与付款习惯。</t>
        </is>
      </c>
      <c r="I8" s="8" t="inlineStr">
        <is>
          <t>高</t>
        </is>
      </c>
      <c r="J8" s="9" t="inlineStr">
        <is>
          <t>中</t>
        </is>
      </c>
      <c r="K8" s="9" t="inlineStr">
        <is>
          <t>中</t>
        </is>
      </c>
      <c r="L8" s="9" t="inlineStr">
        <is>
          <t>中低</t>
        </is>
      </c>
      <c r="M8" s="9" t="inlineStr">
        <is>
          <t>中</t>
        </is>
      </c>
      <c r="N8" s="9" t="inlineStr">
        <is>
          <t>中</t>
        </is>
      </c>
      <c r="O8" s="9" t="inlineStr">
        <is>
          <t>中</t>
        </is>
      </c>
      <c r="P8" s="10" t="n">
        <v>85</v>
      </c>
      <c r="Q8" s="10" t="n">
        <v>65</v>
      </c>
      <c r="R8" s="10" t="n">
        <v>70</v>
      </c>
      <c r="S8" s="10" t="n">
        <v>55</v>
      </c>
      <c r="T8" s="10" t="n">
        <v>60</v>
      </c>
      <c r="U8" s="10" t="n">
        <v>65</v>
      </c>
      <c r="V8" s="10" t="n">
        <v>50</v>
      </c>
      <c r="W8" s="11">
        <f>SUMPRODUCT(P8:V8,'权重与排序'!$B$5:$H$5)/SUM('权重与排序'!$B$5:$H$5)</f>
        <v>64.28571428571429</v>
      </c>
      <c r="X8" s="7" t="inlineStr">
        <is>
          <t>决策链短、没有公开招标的资格门槛——一通电话就能见到采购负责人，适合新销售建关系、练打法。</t>
        </is>
      </c>
    </row>
    <row r="10">
      <c r="A10" s="13" t="inlineStr">
        <is>
          <t>注：评级阈值 高≥75 / 中55–74 / 低&lt;55；分数是事实→排序的映射，看到「低」时请优先读同行的「事实」列。需求/运费/距离为估算口径，成交前以客户确认数为准。</t>
        </is>
      </c>
    </row>
  </sheetData>
  <mergeCells count="3">
    <mergeCell ref="A10:X10"/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7" customWidth="1" min="4" max="4"/>
    <col width="80" customWidth="1" min="5" max="5"/>
    <col width="9" customWidth="1" min="6" max="6"/>
    <col width="42" customWidth="1" min="7" max="7"/>
    <col width="12" customWidth="1" min="8" max="8"/>
    <col width="12" customWidth="1" min="9" max="9"/>
  </cols>
  <sheetData>
    <row r="1" ht="32" customHeight="1">
      <c r="A1" s="1" t="inlineStr">
        <is>
          <t>七维判断明细 · 一客户一维度一行，事实与证据可追溯</t>
        </is>
      </c>
    </row>
    <row r="2" ht="30" customHeight="1">
      <c r="A2" s="2" t="inlineStr">
        <is>
          <t>「口径」标注估算/核实；来源对应本工作簿「数据来源」表。评级只是锚点，请以事实为准。</t>
        </is>
      </c>
    </row>
    <row r="4" ht="30" customHeight="1">
      <c r="A4" s="3" t="inlineStr">
        <is>
          <t>客户</t>
        </is>
      </c>
      <c r="B4" s="3" t="inlineStr">
        <is>
          <t>维度</t>
        </is>
      </c>
      <c r="C4" s="3" t="inlineStr">
        <is>
          <t>评级</t>
        </is>
      </c>
      <c r="D4" s="3" t="inlineStr">
        <is>
          <t>分值</t>
        </is>
      </c>
      <c r="E4" s="3" t="inlineStr">
        <is>
          <t>事实与依据</t>
        </is>
      </c>
      <c r="F4" s="3" t="inlineStr">
        <is>
          <t>口径</t>
        </is>
      </c>
      <c r="G4" s="3" t="inlineStr">
        <is>
          <t>证据来源</t>
        </is>
      </c>
      <c r="H4" s="3" t="inlineStr">
        <is>
          <t>来源链接</t>
        </is>
      </c>
      <c r="I4" s="3" t="inlineStr">
        <is>
          <t>来源日期</t>
        </is>
      </c>
    </row>
    <row r="5" ht="66" customHeight="1">
      <c r="A5" s="14" t="inlineStr">
        <is>
          <t>河南安彩高科</t>
        </is>
      </c>
      <c r="B5" s="15" t="inlineStr">
        <is>
          <t>产品匹配</t>
        </is>
      </c>
      <c r="C5" s="16" t="inlineStr">
        <is>
          <t>高</t>
        </is>
      </c>
      <c r="D5" s="17" t="n">
        <v>90</v>
      </c>
      <c r="E5" s="6" t="inlineStr">
        <is>
          <t>玻璃熔窑是纯碱第一大下游，浮法/光伏玻璃以重质碱为主；公司确认纯碱采购采用「期现结合」控成本，原料有公开询比/招标记录，采购体系开放、可投标进入。</t>
        </is>
      </c>
      <c r="F5" s="17" t="inlineStr">
        <is>
          <t>核实</t>
        </is>
      </c>
      <c r="G5" s="6" t="inlineStr">
        <is>
          <t>每经：纯碱采购期现结合</t>
        </is>
      </c>
      <c r="H5" s="17" t="inlineStr">
        <is>
          <t>打开链接</t>
        </is>
      </c>
      <c r="I5" s="17" t="inlineStr">
        <is>
          <t>2023-02-20</t>
        </is>
      </c>
    </row>
    <row r="6" ht="66" customHeight="1">
      <c r="A6" s="14" t="inlineStr">
        <is>
          <t>河南安彩高科</t>
        </is>
      </c>
      <c r="B6" s="15" t="inlineStr">
        <is>
          <t>需求规模</t>
        </is>
      </c>
      <c r="C6" s="18" t="inlineStr">
        <is>
          <t>中高</t>
        </is>
      </c>
      <c r="D6" s="17" t="n">
        <v>75</v>
      </c>
      <c r="E6" s="6" t="inlineStr">
        <is>
          <t>可核熔量约1,500–1,800吨/日（900t/d光伏线+600t/d超白浮法线等），按单耗0.2、330天估算：年需求约10±3万吨、采购额约1亿元（1,000元/吨）。</t>
        </is>
      </c>
      <c r="F6" s="17" t="inlineStr">
        <is>
          <t>估算</t>
        </is>
      </c>
      <c r="G6" s="6" t="inlineStr">
        <is>
          <t>900t/d 产线改造公告</t>
        </is>
      </c>
      <c r="H6" s="17" t="inlineStr">
        <is>
          <t>打开链接</t>
        </is>
      </c>
      <c r="I6" s="17" t="inlineStr">
        <is>
          <t>2025-12-05</t>
        </is>
      </c>
    </row>
    <row r="7" ht="66" customHeight="1">
      <c r="A7" s="14" t="inlineStr">
        <is>
          <t>河南安彩高科</t>
        </is>
      </c>
      <c r="B7" s="15" t="inlineStr">
        <is>
          <t>真实产能</t>
        </is>
      </c>
      <c r="C7" s="18" t="inlineStr">
        <is>
          <t>中</t>
        </is>
      </c>
      <c r="D7" s="17" t="n">
        <v>60</v>
      </c>
      <c r="E7" s="6" t="inlineStr">
        <is>
          <t>2026H1营收10.77亿（-38.2%），光伏玻璃价历史低位、行业冷修压力大；900t/d线2025年12月公告投4.98亿元改造——改造期熔量有变数，投产后是提产窗口。</t>
        </is>
      </c>
      <c r="F7" s="17" t="inlineStr">
        <is>
          <t>核实+预估</t>
        </is>
      </c>
      <c r="G7" s="6" t="inlineStr">
        <is>
          <t>2026半年度业绩说明会</t>
        </is>
      </c>
      <c r="H7" s="17" t="inlineStr">
        <is>
          <t>打开链接</t>
        </is>
      </c>
      <c r="I7" s="17" t="inlineStr">
        <is>
          <t>2026-09-16</t>
        </is>
      </c>
    </row>
    <row r="8" ht="66" customHeight="1">
      <c r="A8" s="14" t="inlineStr">
        <is>
          <t>河南安彩高科</t>
        </is>
      </c>
      <c r="B8" s="15" t="inlineStr">
        <is>
          <t>企业规模</t>
        </is>
      </c>
      <c r="C8" s="18" t="inlineStr">
        <is>
          <t>中</t>
        </is>
      </c>
      <c r="D8" s="17" t="n">
        <v>60</v>
      </c>
      <c r="E8" s="6" t="inlineStr">
        <is>
          <t>2025年营收29.19亿（-32.7%）、归母净亏7.27亿；2024年营收43.39亿、亏3.54亿。A股上市、河南投资集团控股——中型平台但连亏削弱付款能力。</t>
        </is>
      </c>
      <c r="F8" s="17" t="inlineStr">
        <is>
          <t>核实</t>
        </is>
      </c>
      <c r="G8" s="6" t="inlineStr">
        <is>
          <t>2025年年度报告</t>
        </is>
      </c>
      <c r="H8" s="17" t="inlineStr">
        <is>
          <t>打开链接</t>
        </is>
      </c>
      <c r="I8" s="17" t="inlineStr">
        <is>
          <t>2026-04-18</t>
        </is>
      </c>
    </row>
    <row r="9" ht="66" customHeight="1">
      <c r="A9" s="14" t="inlineStr">
        <is>
          <t>河南安彩高科</t>
        </is>
      </c>
      <c r="B9" s="15" t="inlineStr">
        <is>
          <t>距离/区域</t>
        </is>
      </c>
      <c r="C9" s="16" t="inlineStr">
        <is>
          <t>高</t>
        </is>
      </c>
      <c r="D9" s="17" t="n">
        <v>80</v>
      </c>
      <c r="E9" s="6" t="inlineStr">
        <is>
          <t>安阳距潍坊≈480km，公路运费估170–240元/吨（约占碱价20%），在可竞争半径内；河南本地天然碱（桐柏）货源竞争需对标（待核实）。</t>
        </is>
      </c>
      <c r="F9" s="17" t="inlineStr">
        <is>
          <t>估算</t>
        </is>
      </c>
      <c r="G9" s="6" t="inlineStr">
        <is>
          <t>河南重质碱市场价1,050元/吨</t>
        </is>
      </c>
      <c r="H9" s="17" t="inlineStr">
        <is>
          <t>打开链接</t>
        </is>
      </c>
      <c r="I9" s="17" t="inlineStr">
        <is>
          <t>2026-10-15</t>
        </is>
      </c>
    </row>
    <row r="10" ht="66" customHeight="1">
      <c r="A10" s="14" t="inlineStr">
        <is>
          <t>河南安彩高科</t>
        </is>
      </c>
      <c r="B10" s="15" t="inlineStr">
        <is>
          <t>近期机会</t>
        </is>
      </c>
      <c r="C10" s="18" t="inlineStr">
        <is>
          <t>中高</t>
        </is>
      </c>
      <c r="D10" s="17" t="n">
        <v>75</v>
      </c>
      <c r="E10" s="6" t="inlineStr">
        <is>
          <t>三个切入点：①900t/d线改造投产前供应商重选；②公开招标/询比惯例（2021供应商准入、2023药玻原料）；③光热玻璃在手1,380MW、药玻项目多需求。</t>
        </is>
      </c>
      <c r="F10" s="17" t="inlineStr">
        <is>
          <t>核实</t>
        </is>
      </c>
      <c r="G10" s="6" t="inlineStr">
        <is>
          <t>900t/d 改造公告</t>
        </is>
      </c>
      <c r="H10" s="17" t="inlineStr">
        <is>
          <t>打开链接</t>
        </is>
      </c>
      <c r="I10" s="17" t="inlineStr">
        <is>
          <t>2025-12-05</t>
        </is>
      </c>
    </row>
    <row r="11" ht="66" customHeight="1">
      <c r="A11" s="14" t="inlineStr">
        <is>
          <t>河南安彩高科</t>
        </is>
      </c>
      <c r="B11" s="15" t="inlineStr">
        <is>
          <t>不确定性</t>
        </is>
      </c>
      <c r="C11" s="16" t="inlineStr">
        <is>
          <t>高</t>
        </is>
      </c>
      <c r="D11" s="17" t="n">
        <v>40</v>
      </c>
      <c r="E11" s="6" t="inlineStr">
        <is>
          <t>2023–2025连亏扩大（-0.19亿→-7.27亿），2026H1再亏3.28亿；2026年9月申请委托贷款、拟简易定增——资金偏紧，防极致压价与长账期。</t>
        </is>
      </c>
      <c r="F11" s="17" t="inlineStr">
        <is>
          <t>核实</t>
        </is>
      </c>
      <c r="G11" s="6" t="inlineStr">
        <is>
          <t>2026半年度业绩说明会</t>
        </is>
      </c>
      <c r="H11" s="17" t="inlineStr">
        <is>
          <t>打开链接</t>
        </is>
      </c>
      <c r="I11" s="17" t="inlineStr">
        <is>
          <t>2026-09-16</t>
        </is>
      </c>
    </row>
    <row r="12" ht="66" customHeight="1">
      <c r="A12" s="14" t="inlineStr">
        <is>
          <t>株洲旗滨集团</t>
        </is>
      </c>
      <c r="B12" s="15" t="inlineStr">
        <is>
          <t>产品匹配</t>
        </is>
      </c>
      <c r="C12" s="16" t="inlineStr">
        <is>
          <t>高</t>
        </is>
      </c>
      <c r="D12" s="17" t="n">
        <v>90</v>
      </c>
      <c r="E12" s="6" t="inlineStr">
        <is>
          <t>浮法+光伏玻璃集团，纯碱超级买家，规格以重质碱散装为主，与标准碱厂产品完全对口。</t>
        </is>
      </c>
      <c r="F12" s="17" t="inlineStr">
        <is>
          <t>核实</t>
        </is>
      </c>
      <c r="G12" s="6" t="inlineStr">
        <is>
          <t>2025年半年度报告</t>
        </is>
      </c>
      <c r="H12" s="17" t="inlineStr">
        <is>
          <t>打开链接</t>
        </is>
      </c>
      <c r="I12" s="17" t="inlineStr">
        <is>
          <t>2025-08-28</t>
        </is>
      </c>
    </row>
    <row r="13" ht="66" customHeight="1">
      <c r="A13" s="14" t="inlineStr">
        <is>
          <t>株洲旗滨集团</t>
        </is>
      </c>
      <c r="B13" s="15" t="inlineStr">
        <is>
          <t>需求规模</t>
        </is>
      </c>
      <c r="C13" s="16" t="inlineStr">
        <is>
          <t>高</t>
        </is>
      </c>
      <c r="D13" s="17" t="n">
        <v>95</v>
      </c>
      <c r="E13" s="6" t="inlineStr">
        <is>
          <t>2024年在产浮法产能约1.1亿重箱（≈550万吨/年玻璃口径），另有11条以上光伏玻璃线；按0.2单耗估算年需求约80–110万吨、采购额8–11亿元。</t>
        </is>
      </c>
      <c r="F13" s="17" t="inlineStr">
        <is>
          <t>估算</t>
        </is>
      </c>
      <c r="G13" s="6" t="inlineStr">
        <is>
          <t>研报：在产浮法1.1亿重箱</t>
        </is>
      </c>
      <c r="H13" s="17" t="inlineStr">
        <is>
          <t>打开链接</t>
        </is>
      </c>
      <c r="I13" s="17" t="inlineStr">
        <is>
          <t>2024-11-18</t>
        </is>
      </c>
    </row>
    <row r="14" ht="66" customHeight="1">
      <c r="A14" s="14" t="inlineStr">
        <is>
          <t>株洲旗滨集团</t>
        </is>
      </c>
      <c r="B14" s="15" t="inlineStr">
        <is>
          <t>真实产能</t>
        </is>
      </c>
      <c r="C14" s="16" t="inlineStr">
        <is>
          <t>高</t>
        </is>
      </c>
      <c r="D14" s="17" t="n">
        <v>85</v>
      </c>
      <c r="E14" s="6" t="inlineStr">
        <is>
          <t>2025年营收157.4亿（+0.6%）、利润总额6.2亿（+138%），行业磨底中率先修复、产线维持开工；昭通1,200t/d超白光伏线推进。</t>
        </is>
      </c>
      <c r="F14" s="17" t="inlineStr">
        <is>
          <t>核实</t>
        </is>
      </c>
      <c r="G14" s="6" t="inlineStr">
        <is>
          <t>2025年年度报告数据（新浪）</t>
        </is>
      </c>
      <c r="H14" s="17" t="inlineStr">
        <is>
          <t>打开链接</t>
        </is>
      </c>
      <c r="I14" s="17" t="inlineStr">
        <is>
          <t>2026-04</t>
        </is>
      </c>
    </row>
    <row r="15" ht="66" customHeight="1">
      <c r="A15" s="14" t="inlineStr">
        <is>
          <t>株洲旗滨集团</t>
        </is>
      </c>
      <c r="B15" s="15" t="inlineStr">
        <is>
          <t>企业规模</t>
        </is>
      </c>
      <c r="C15" s="16" t="inlineStr">
        <is>
          <t>高</t>
        </is>
      </c>
      <c r="D15" s="17" t="n">
        <v>95</v>
      </c>
      <c r="E15" s="6" t="inlineStr">
        <is>
          <t>2025年营收157.37亿元、总市值约150亿元（2025-04）；浮法行业龙头，资产与现金流第一梯队。</t>
        </is>
      </c>
      <c r="F15" s="17" t="inlineStr">
        <is>
          <t>核实</t>
        </is>
      </c>
      <c r="G15" s="6" t="inlineStr">
        <is>
          <t>2025年年度报告数据</t>
        </is>
      </c>
      <c r="H15" s="17" t="inlineStr">
        <is>
          <t>打开链接</t>
        </is>
      </c>
      <c r="I15" s="17" t="inlineStr">
        <is>
          <t>2026-04</t>
        </is>
      </c>
    </row>
    <row r="16" ht="66" customHeight="1">
      <c r="A16" s="14" t="inlineStr">
        <is>
          <t>株洲旗滨集团</t>
        </is>
      </c>
      <c r="B16" s="15" t="inlineStr">
        <is>
          <t>距离/区域</t>
        </is>
      </c>
      <c r="C16" s="19" t="inlineStr">
        <is>
          <t>低</t>
        </is>
      </c>
      <c r="D16" s="17" t="n">
        <v>35</v>
      </c>
      <c r="E16" s="6" t="inlineStr">
        <is>
          <t>主力产线在湖南/广东/云南/马来西亚，距潍坊1,300km以上，公路运费&gt;600元/吨，跨区配送不经济。</t>
        </is>
      </c>
      <c r="F16" s="17" t="inlineStr">
        <is>
          <t>估算</t>
        </is>
      </c>
      <c r="G16" s="6" t="inlineStr">
        <is>
          <t>2025年半年报（基地分布）</t>
        </is>
      </c>
      <c r="H16" s="17" t="inlineStr">
        <is>
          <t>打开链接</t>
        </is>
      </c>
      <c r="I16" s="17" t="inlineStr">
        <is>
          <t>2025-08-28</t>
        </is>
      </c>
    </row>
    <row r="17" ht="66" customHeight="1">
      <c r="A17" s="14" t="inlineStr">
        <is>
          <t>株洲旗滨集团</t>
        </is>
      </c>
      <c r="B17" s="15" t="inlineStr">
        <is>
          <t>近期机会</t>
        </is>
      </c>
      <c r="C17" s="18" t="inlineStr">
        <is>
          <t>中</t>
        </is>
      </c>
      <c r="D17" s="17" t="n">
        <v>50</v>
      </c>
      <c r="E17" s="6" t="inlineStr">
        <is>
          <t>采购高度集中（总部集采+长协），新增产能项目（昭通、沙巴）都不在你的运距内——机会存在但不在你身边。</t>
        </is>
      </c>
      <c r="F17" s="17" t="inlineStr">
        <is>
          <t>核实</t>
        </is>
      </c>
      <c r="G17" s="6" t="inlineStr">
        <is>
          <t>2025年半年报</t>
        </is>
      </c>
      <c r="H17" s="17" t="inlineStr">
        <is>
          <t>打开链接</t>
        </is>
      </c>
      <c r="I17" s="17" t="inlineStr">
        <is>
          <t>2025-08-28</t>
        </is>
      </c>
    </row>
    <row r="18" ht="66" customHeight="1">
      <c r="A18" s="14" t="inlineStr">
        <is>
          <t>株洲旗滨集团</t>
        </is>
      </c>
      <c r="B18" s="15" t="inlineStr">
        <is>
          <t>不确定性</t>
        </is>
      </c>
      <c r="C18" s="18" t="inlineStr">
        <is>
          <t>中低</t>
        </is>
      </c>
      <c r="D18" s="17" t="n">
        <v>65</v>
      </c>
      <c r="E18" s="6" t="inlineStr">
        <is>
          <t>上市公司、盈利修复、付款规范，信用风险低；主要不确定性是「进不进得去」——门槛高、头部碱厂长协绑定。</t>
        </is>
      </c>
      <c r="F18" s="17" t="inlineStr">
        <is>
          <t>核实</t>
        </is>
      </c>
      <c r="G18" s="6" t="inlineStr">
        <is>
          <t>2025年年度报告数据</t>
        </is>
      </c>
      <c r="H18" s="17" t="inlineStr">
        <is>
          <t>打开链接</t>
        </is>
      </c>
      <c r="I18" s="17" t="inlineStr">
        <is>
          <t>2026-04</t>
        </is>
      </c>
    </row>
    <row r="19" ht="66" customHeight="1">
      <c r="A19" s="14" t="inlineStr">
        <is>
          <t>信义玻璃</t>
        </is>
      </c>
      <c r="B19" s="15" t="inlineStr">
        <is>
          <t>产品匹配</t>
        </is>
      </c>
      <c r="C19" s="16" t="inlineStr">
        <is>
          <t>高</t>
        </is>
      </c>
      <c r="D19" s="17" t="n">
        <v>90</v>
      </c>
      <c r="E19" s="6" t="inlineStr">
        <is>
          <t>浮法原片+深加工一体化，窑炉纯碱需求以重质碱散装为主，产品完全对口。</t>
        </is>
      </c>
      <c r="F19" s="17" t="inlineStr">
        <is>
          <t>核实</t>
        </is>
      </c>
      <c r="G19" s="6" t="inlineStr">
        <is>
          <t>2024年全年业绩公告</t>
        </is>
      </c>
      <c r="H19" s="17" t="inlineStr">
        <is>
          <t>打开链接</t>
        </is>
      </c>
      <c r="I19" s="17" t="inlineStr">
        <is>
          <t>2025-03-03</t>
        </is>
      </c>
    </row>
    <row r="20" ht="66" customHeight="1">
      <c r="A20" s="14" t="inlineStr">
        <is>
          <t>信义玻璃</t>
        </is>
      </c>
      <c r="B20" s="15" t="inlineStr">
        <is>
          <t>需求规模</t>
        </is>
      </c>
      <c r="C20" s="16" t="inlineStr">
        <is>
          <t>高</t>
        </is>
      </c>
      <c r="D20" s="17" t="n">
        <v>98</v>
      </c>
      <c r="E20" s="6" t="inlineStr">
        <is>
          <t>2024年浮法玻璃收入129亿元（总营收223亿元）；公开简介口径浮法日熔量约7,100t/d（偏旧）。按0.2单耗估算仅浮法年需求约40–100万吨量级。</t>
        </is>
      </c>
      <c r="F20" s="17" t="inlineStr">
        <is>
          <t>估算</t>
        </is>
      </c>
      <c r="G20" s="6" t="inlineStr">
        <is>
          <t>2024年业绩公告（浮法收入129亿）</t>
        </is>
      </c>
      <c r="H20" s="17" t="inlineStr">
        <is>
          <t>打开链接</t>
        </is>
      </c>
      <c r="I20" s="17" t="inlineStr">
        <is>
          <t>2025-03-03</t>
        </is>
      </c>
    </row>
    <row r="21" ht="66" customHeight="1">
      <c r="A21" s="14" t="inlineStr">
        <is>
          <t>信义玻璃</t>
        </is>
      </c>
      <c r="B21" s="15" t="inlineStr">
        <is>
          <t>真实产能</t>
        </is>
      </c>
      <c r="C21" s="16" t="inlineStr">
        <is>
          <t>高</t>
        </is>
      </c>
      <c r="D21" s="17" t="n">
        <v>85</v>
      </c>
      <c r="E21" s="6" t="inlineStr">
        <is>
          <t>2024年归母净利34亿元、毛利率32.4%——行业普遍亏损下仍盈利、现金流充裕，产线开工稳定。</t>
        </is>
      </c>
      <c r="F21" s="17" t="inlineStr">
        <is>
          <t>核实</t>
        </is>
      </c>
      <c r="G21" s="6" t="inlineStr">
        <is>
          <t>2024年全年业绩公告</t>
        </is>
      </c>
      <c r="H21" s="17" t="inlineStr">
        <is>
          <t>打开链接</t>
        </is>
      </c>
      <c r="I21" s="17" t="inlineStr">
        <is>
          <t>2025-03-03</t>
        </is>
      </c>
    </row>
    <row r="22" ht="66" customHeight="1">
      <c r="A22" s="14" t="inlineStr">
        <is>
          <t>信义玻璃</t>
        </is>
      </c>
      <c r="B22" s="15" t="inlineStr">
        <is>
          <t>企业规模</t>
        </is>
      </c>
      <c r="C22" s="16" t="inlineStr">
        <is>
          <t>高</t>
        </is>
      </c>
      <c r="D22" s="17" t="n">
        <v>100</v>
      </c>
      <c r="E22" s="6" t="inlineStr">
        <is>
          <t>2024年营收223.2亿元人民币，浮法/汽车/建筑玻璃一体化全球龙头。</t>
        </is>
      </c>
      <c r="F22" s="17" t="inlineStr">
        <is>
          <t>核实</t>
        </is>
      </c>
      <c r="G22" s="6" t="inlineStr">
        <is>
          <t>2024年全年业绩公告</t>
        </is>
      </c>
      <c r="H22" s="17" t="inlineStr">
        <is>
          <t>打开链接</t>
        </is>
      </c>
      <c r="I22" s="17" t="inlineStr">
        <is>
          <t>2025-03-03</t>
        </is>
      </c>
    </row>
    <row r="23" ht="66" customHeight="1">
      <c r="A23" s="14" t="inlineStr">
        <is>
          <t>信义玻璃</t>
        </is>
      </c>
      <c r="B23" s="15" t="inlineStr">
        <is>
          <t>距离/区域</t>
        </is>
      </c>
      <c r="C23" s="19" t="inlineStr">
        <is>
          <t>低</t>
        </is>
      </c>
      <c r="D23" s="17" t="n">
        <v>45</v>
      </c>
      <c r="E23" s="6" t="inlineStr">
        <is>
          <t>芜湖基地距潍坊≈700km尚在可谈范围；但两广/海外基地远，采购重心未必落在华北半径内。</t>
        </is>
      </c>
      <c r="F23" s="17" t="inlineStr">
        <is>
          <t>估算</t>
        </is>
      </c>
      <c r="G23" s="6" t="inlineStr">
        <is>
          <t>年度报告（营业地：芜湖）</t>
        </is>
      </c>
      <c r="H23" s="17" t="inlineStr">
        <is>
          <t>打开链接</t>
        </is>
      </c>
      <c r="I23" s="17" t="inlineStr">
        <is>
          <t>2025-05</t>
        </is>
      </c>
    </row>
    <row r="24" ht="66" customHeight="1">
      <c r="A24" s="14" t="inlineStr">
        <is>
          <t>信义玻璃</t>
        </is>
      </c>
      <c r="B24" s="15" t="inlineStr">
        <is>
          <t>近期机会</t>
        </is>
      </c>
      <c r="C24" s="19" t="inlineStr">
        <is>
          <t>低</t>
        </is>
      </c>
      <c r="D24" s="17" t="n">
        <v>45</v>
      </c>
      <c r="E24" s="6" t="inlineStr">
        <is>
          <t>采购体系成熟，碱厂长协+多元配置（含进口/天然碱）为主，无公开招标惯例，新贸易商切入空间小。</t>
        </is>
      </c>
      <c r="F24" s="17" t="inlineStr">
        <is>
          <t>核实</t>
        </is>
      </c>
      <c r="G24" s="6" t="inlineStr">
        <is>
          <t>2024年业绩公告（成本管理表述）</t>
        </is>
      </c>
      <c r="H24" s="17" t="inlineStr">
        <is>
          <t>打开链接</t>
        </is>
      </c>
      <c r="I24" s="17" t="inlineStr">
        <is>
          <t>2025-03-03</t>
        </is>
      </c>
    </row>
    <row r="25" ht="66" customHeight="1">
      <c r="A25" s="14" t="inlineStr">
        <is>
          <t>信义玻璃</t>
        </is>
      </c>
      <c r="B25" s="15" t="inlineStr">
        <is>
          <t>不确定性</t>
        </is>
      </c>
      <c r="C25" s="18" t="inlineStr">
        <is>
          <t>中低</t>
        </is>
      </c>
      <c r="D25" s="17" t="n">
        <v>65</v>
      </c>
      <c r="E25" s="6" t="inlineStr">
        <is>
          <t>财务稳健、付款好；不确定性主要在准入难度，而非信用风险。</t>
        </is>
      </c>
      <c r="F25" s="17" t="inlineStr">
        <is>
          <t>核实</t>
        </is>
      </c>
      <c r="G25" s="6" t="inlineStr">
        <is>
          <t>2024年全年业绩公告</t>
        </is>
      </c>
      <c r="H25" s="17" t="inlineStr">
        <is>
          <t>打开链接</t>
        </is>
      </c>
      <c r="I25" s="17" t="inlineStr">
        <is>
          <t>2025-03-03</t>
        </is>
      </c>
    </row>
    <row r="26" ht="66" customHeight="1">
      <c r="A26" s="14" t="inlineStr">
        <is>
          <t>山西利虎玻璃集团</t>
        </is>
      </c>
      <c r="B26" s="15" t="inlineStr">
        <is>
          <t>产品匹配</t>
        </is>
      </c>
      <c r="C26" s="16" t="inlineStr">
        <is>
          <t>高</t>
        </is>
      </c>
      <c r="D26" s="17" t="n">
        <v>85</v>
      </c>
      <c r="E26" s="6" t="inlineStr">
        <is>
          <t>浮法白玻+汽车/轨道玻璃原片窑炉，重质碱持续需求；2025年内多次产线改产报道证明窑炉在产运转。</t>
        </is>
      </c>
      <c r="F26" s="17" t="inlineStr">
        <is>
          <t>核实</t>
        </is>
      </c>
      <c r="G26" s="6" t="inlineStr">
        <is>
          <t>隆众：交城二线改产（2025-07）</t>
        </is>
      </c>
      <c r="H26" s="17" t="inlineStr">
        <is>
          <t>打开链接</t>
        </is>
      </c>
      <c r="I26" s="17" t="inlineStr">
        <is>
          <t>2025-07-07</t>
        </is>
      </c>
    </row>
    <row r="27" ht="66" customHeight="1">
      <c r="A27" s="14" t="inlineStr">
        <is>
          <t>山西利虎玻璃集团</t>
        </is>
      </c>
      <c r="B27" s="15" t="inlineStr">
        <is>
          <t>需求规模</t>
        </is>
      </c>
      <c r="C27" s="18" t="inlineStr">
        <is>
          <t>中</t>
        </is>
      </c>
      <c r="D27" s="17" t="n">
        <v>65</v>
      </c>
      <c r="E27" s="6" t="inlineStr">
        <is>
          <t>政府函件口径2021年销售26亿元、员工4,000余人；简介口径年产约1,200万重箱（≈60万吨玻璃）→纯碱需求估8–12万吨/年（口径较旧，需核）。</t>
        </is>
      </c>
      <c r="F27" s="17" t="inlineStr">
        <is>
          <t>估算</t>
        </is>
      </c>
      <c r="G27" s="6" t="inlineStr">
        <is>
          <t>吕梁市政府推荐函（2021数据）</t>
        </is>
      </c>
      <c r="H27" s="17" t="inlineStr">
        <is>
          <t>打开链接</t>
        </is>
      </c>
      <c r="I27" s="17" t="inlineStr">
        <is>
          <t>2022-08-19</t>
        </is>
      </c>
    </row>
    <row r="28" ht="66" customHeight="1">
      <c r="A28" s="14" t="inlineStr">
        <is>
          <t>山西利虎玻璃集团</t>
        </is>
      </c>
      <c r="B28" s="15" t="inlineStr">
        <is>
          <t>真实产能</t>
        </is>
      </c>
      <c r="C28" s="18" t="inlineStr">
        <is>
          <t>中</t>
        </is>
      </c>
      <c r="D28" s="17" t="n">
        <v>70</v>
      </c>
      <c r="E28" s="6" t="inlineStr">
        <is>
          <t>隆众/生意社2025年多条动态：交城二线600t/d在产并在汽玻/白玻间改产——窑炉活跃；其余产线开工率无公开数据。</t>
        </is>
      </c>
      <c r="F28" s="17" t="inlineStr">
        <is>
          <t>核实+预估</t>
        </is>
      </c>
      <c r="G28" s="6" t="inlineStr">
        <is>
          <t>隆众：改产动态（2025-06）</t>
        </is>
      </c>
      <c r="H28" s="17" t="inlineStr">
        <is>
          <t>打开链接</t>
        </is>
      </c>
      <c r="I28" s="17" t="inlineStr">
        <is>
          <t>2025-06-23</t>
        </is>
      </c>
    </row>
    <row r="29" ht="66" customHeight="1">
      <c r="A29" s="14" t="inlineStr">
        <is>
          <t>山西利虎玻璃集团</t>
        </is>
      </c>
      <c r="B29" s="15" t="inlineStr">
        <is>
          <t>企业规模</t>
        </is>
      </c>
      <c r="C29" s="18" t="inlineStr">
        <is>
          <t>中低</t>
        </is>
      </c>
      <c r="D29" s="17" t="n">
        <v>55</v>
      </c>
      <c r="E29" s="6" t="inlineStr">
        <is>
          <t>民企集团：2021年销售26亿元、总资产36亿元（政府函）；近两年无公开财报，当前规模需尽调确认。</t>
        </is>
      </c>
      <c r="F29" s="17" t="inlineStr">
        <is>
          <t>核实</t>
        </is>
      </c>
      <c r="G29" s="6" t="inlineStr">
        <is>
          <t>吕梁市政府推荐函</t>
        </is>
      </c>
      <c r="H29" s="17" t="inlineStr">
        <is>
          <t>打开链接</t>
        </is>
      </c>
      <c r="I29" s="17" t="inlineStr">
        <is>
          <t>2022-08-19</t>
        </is>
      </c>
    </row>
    <row r="30" ht="66" customHeight="1">
      <c r="A30" s="14" t="inlineStr">
        <is>
          <t>山西利虎玻璃集团</t>
        </is>
      </c>
      <c r="B30" s="15" t="inlineStr">
        <is>
          <t>距离/区域</t>
        </is>
      </c>
      <c r="C30" s="18" t="inlineStr">
        <is>
          <t>中</t>
        </is>
      </c>
      <c r="D30" s="17" t="n">
        <v>60</v>
      </c>
      <c r="E30" s="6" t="inlineStr">
        <is>
          <t>山西本地纯碱产能稀缺、原料多靠外省调入，对外来供应商相对开放；距潍坊≈620km，运费估220–310元/吨。</t>
        </is>
      </c>
      <c r="F30" s="17" t="inlineStr">
        <is>
          <t>估算</t>
        </is>
      </c>
      <c r="G30" s="6" t="inlineStr">
        <is>
          <t>吕梁市政府推荐函（区位）</t>
        </is>
      </c>
      <c r="H30" s="17" t="inlineStr">
        <is>
          <t>打开链接</t>
        </is>
      </c>
      <c r="I30" s="17" t="inlineStr">
        <is>
          <t>2022-08-19</t>
        </is>
      </c>
    </row>
    <row r="31" ht="66" customHeight="1">
      <c r="A31" s="14" t="inlineStr">
        <is>
          <t>山西利虎玻璃集团</t>
        </is>
      </c>
      <c r="B31" s="15" t="inlineStr">
        <is>
          <t>近期机会</t>
        </is>
      </c>
      <c r="C31" s="18" t="inlineStr">
        <is>
          <t>中</t>
        </is>
      </c>
      <c r="D31" s="17" t="n">
        <v>65</v>
      </c>
      <c r="E31" s="6" t="inlineStr">
        <is>
          <t>无公开招标→直接对接采购部、决策链短；2025年频繁改产说明采购活跃，谁先建立联系谁占位。</t>
        </is>
      </c>
      <c r="F31" s="17" t="inlineStr">
        <is>
          <t>核实</t>
        </is>
      </c>
      <c r="G31" s="6" t="inlineStr">
        <is>
          <t>隆众：改产动态（2025-07）</t>
        </is>
      </c>
      <c r="H31" s="17" t="inlineStr">
        <is>
          <t>打开链接</t>
        </is>
      </c>
      <c r="I31" s="17" t="inlineStr">
        <is>
          <t>2025-07-07</t>
        </is>
      </c>
    </row>
    <row r="32" ht="66" customHeight="1">
      <c r="A32" s="14" t="inlineStr">
        <is>
          <t>山西利虎玻璃集团</t>
        </is>
      </c>
      <c r="B32" s="15" t="inlineStr">
        <is>
          <t>不确定性</t>
        </is>
      </c>
      <c r="C32" s="18" t="inlineStr">
        <is>
          <t>中</t>
        </is>
      </c>
      <c r="D32" s="17" t="n">
        <v>50</v>
      </c>
      <c r="E32" s="6" t="inlineStr">
        <is>
          <t>信息不透明：产能利用率、账期、付款方式全靠尽调与同行口碑；民企账期风险需当面谈死。</t>
        </is>
      </c>
      <c r="F32" s="17" t="inlineStr">
        <is>
          <t>研判</t>
        </is>
      </c>
      <c r="G32" s="6" t="inlineStr">
        <is>
          <t>中国玻璃网公司页</t>
        </is>
      </c>
      <c r="H32" s="17" t="inlineStr">
        <is>
          <t>打开链接</t>
        </is>
      </c>
      <c r="I32" s="17" t="inlineStr">
        <is>
          <t>口径较旧</t>
        </is>
      </c>
    </row>
  </sheetData>
  <autoFilter ref="A4:I32"/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权重与排序 · 改黄色权重格，全表联动重排</t>
        </is>
      </c>
    </row>
    <row r="2" ht="30" customHeight="1">
      <c r="A2" s="2" t="inlineStr">
        <is>
          <t>「当前权重」影响总览表与客户排名；「情景对比」仅演示不同权重下排序如何变化——事实不变，排序变。</t>
        </is>
      </c>
    </row>
    <row r="3" ht="22" customHeight="1">
      <c r="A3" s="20" t="inlineStr">
        <is>
          <t>A. 当前权重（可修改，0–5）</t>
        </is>
      </c>
    </row>
    <row r="4" ht="26" customHeight="1">
      <c r="A4" t="inlineStr">
        <is>
          <t>权重项</t>
        </is>
      </c>
      <c r="B4" s="3" t="inlineStr">
        <is>
          <t>产品匹配</t>
        </is>
      </c>
      <c r="C4" s="3" t="inlineStr">
        <is>
          <t>需求规模</t>
        </is>
      </c>
      <c r="D4" s="3" t="inlineStr">
        <is>
          <t>真实产能</t>
        </is>
      </c>
      <c r="E4" s="3" t="inlineStr">
        <is>
          <t>企业规模</t>
        </is>
      </c>
      <c r="F4" s="3" t="inlineStr">
        <is>
          <t>距离/区域</t>
        </is>
      </c>
      <c r="G4" s="3" t="inlineStr">
        <is>
          <t>近期机会</t>
        </is>
      </c>
      <c r="H4" s="3" t="inlineStr">
        <is>
          <t>不确定性</t>
        </is>
      </c>
      <c r="I4" s="3" t="inlineStr">
        <is>
          <t>合计</t>
        </is>
      </c>
    </row>
    <row r="5" ht="24" customHeight="1">
      <c r="A5" t="inlineStr">
        <is>
          <t>权重（可调）</t>
        </is>
      </c>
      <c r="B5" s="21" t="n">
        <v>1</v>
      </c>
      <c r="C5" s="21" t="n">
        <v>1</v>
      </c>
      <c r="D5" s="21" t="n">
        <v>1</v>
      </c>
      <c r="E5" s="21" t="n">
        <v>1</v>
      </c>
      <c r="F5" s="21" t="n">
        <v>1</v>
      </c>
      <c r="G5" s="21" t="n">
        <v>1</v>
      </c>
      <c r="H5" s="21" t="n">
        <v>1</v>
      </c>
      <c r="I5" s="22">
        <f>SUM(B5:H5)</f>
        <v>7.0</v>
      </c>
    </row>
    <row r="7" ht="22" customHeight="1">
      <c r="A7" s="20" t="inlineStr">
        <is>
          <t>B. 客户排序（当前权重）</t>
        </is>
      </c>
    </row>
    <row r="8">
      <c r="A8" s="3" t="inlineStr">
        <is>
          <t>客户</t>
        </is>
      </c>
      <c r="B8" s="3" t="inlineStr">
        <is>
          <t>加权排序分</t>
        </is>
      </c>
      <c r="C8" s="3" t="inlineStr">
        <is>
          <t>排名</t>
        </is>
      </c>
    </row>
    <row r="9">
      <c r="A9" s="14" t="inlineStr">
        <is>
          <t>河南安彩高科</t>
        </is>
      </c>
      <c r="B9" s="23">
        <f>SUMPRODUCT('客户判断总览'!P5:V5,$B$5:$H$5)/SUM($B$5:$H$5)</f>
        <v>68.57142857142857</v>
      </c>
      <c r="C9" s="24">
        <f>RANK(B9,$B$9:$B$12)</f>
        <v>3</v>
      </c>
    </row>
    <row r="10">
      <c r="A10" s="14" t="inlineStr">
        <is>
          <t>株洲旗滨集团</t>
        </is>
      </c>
      <c r="B10" s="23">
        <f>SUMPRODUCT('客户判断总览'!P6:V6,$B$5:$H$5)/SUM($B$5:$H$5)</f>
        <v>73.57142857142857</v>
      </c>
      <c r="C10" s="24">
        <f>RANK(B10,$B$9:$B$12)</f>
        <v>2</v>
      </c>
    </row>
    <row r="11">
      <c r="A11" s="14" t="inlineStr">
        <is>
          <t>信义玻璃</t>
        </is>
      </c>
      <c r="B11" s="23">
        <f>SUMPRODUCT('客户判断总览'!P7:V7,$B$5:$H$5)/SUM($B$5:$H$5)</f>
        <v>75.42857142857143</v>
      </c>
      <c r="C11" s="24">
        <f>RANK(B11,$B$9:$B$12)</f>
        <v>1</v>
      </c>
    </row>
    <row r="12">
      <c r="A12" s="14" t="inlineStr">
        <is>
          <t>山西利虎玻璃集团</t>
        </is>
      </c>
      <c r="B12" s="23">
        <f>SUMPRODUCT('客户判断总览'!P8:V8,$B$5:$H$5)/SUM($B$5:$H$5)</f>
        <v>64.28571428571429</v>
      </c>
      <c r="C12" s="24">
        <f>RANK(B12,$B$9:$B$12)</f>
        <v>4</v>
      </c>
    </row>
    <row r="15" ht="22" customHeight="1">
      <c r="A15" s="20" t="inlineStr">
        <is>
          <t>C. 情景对比：不同权重下的排序（只演示，不改 A 区）</t>
        </is>
      </c>
    </row>
    <row r="16">
      <c r="A16" s="3" t="inlineStr">
        <is>
          <t>场景</t>
        </is>
      </c>
      <c r="B16" s="3" t="inlineStr">
        <is>
          <t>产品匹配</t>
        </is>
      </c>
      <c r="C16" s="3" t="inlineStr">
        <is>
          <t>需求规模</t>
        </is>
      </c>
      <c r="D16" s="3" t="inlineStr">
        <is>
          <t>真实产能</t>
        </is>
      </c>
      <c r="E16" s="3" t="inlineStr">
        <is>
          <t>企业规模</t>
        </is>
      </c>
      <c r="F16" s="3" t="inlineStr">
        <is>
          <t>距离/区域</t>
        </is>
      </c>
      <c r="G16" s="3" t="inlineStr">
        <is>
          <t>近期机会</t>
        </is>
      </c>
      <c r="H16" s="3" t="inlineStr">
        <is>
          <t>不确定性</t>
        </is>
      </c>
    </row>
    <row r="17">
      <c r="A17" s="25" t="inlineStr">
        <is>
          <t>均衡</t>
        </is>
      </c>
      <c r="B17" s="26" t="n">
        <v>1</v>
      </c>
      <c r="C17" s="26" t="n">
        <v>1</v>
      </c>
      <c r="D17" s="26" t="n">
        <v>1</v>
      </c>
      <c r="E17" s="26" t="n">
        <v>1</v>
      </c>
      <c r="F17" s="26" t="n">
        <v>1</v>
      </c>
      <c r="G17" s="26" t="n">
        <v>1</v>
      </c>
      <c r="H17" s="26" t="n">
        <v>1</v>
      </c>
    </row>
    <row r="18">
      <c r="A18" s="25" t="inlineStr">
        <is>
          <t>规模更重要</t>
        </is>
      </c>
      <c r="B18" s="26" t="n">
        <v>0.5</v>
      </c>
      <c r="C18" s="26" t="n">
        <v>1</v>
      </c>
      <c r="D18" s="26" t="n">
        <v>0.5</v>
      </c>
      <c r="E18" s="26" t="n">
        <v>2.5</v>
      </c>
      <c r="F18" s="26" t="n">
        <v>0.5</v>
      </c>
      <c r="G18" s="26" t="n">
        <v>1</v>
      </c>
      <c r="H18" s="26" t="n">
        <v>0.5</v>
      </c>
    </row>
    <row r="19">
      <c r="A19" s="25" t="inlineStr">
        <is>
          <t>近期机会更重要</t>
        </is>
      </c>
      <c r="B19" s="26" t="n">
        <v>1</v>
      </c>
      <c r="C19" s="26" t="n">
        <v>1</v>
      </c>
      <c r="D19" s="26" t="n">
        <v>1</v>
      </c>
      <c r="E19" s="26" t="n">
        <v>0.5</v>
      </c>
      <c r="F19" s="26" t="n">
        <v>0.5</v>
      </c>
      <c r="G19" s="26" t="n">
        <v>2.5</v>
      </c>
      <c r="H19" s="26" t="n">
        <v>0.5</v>
      </c>
    </row>
    <row r="20">
      <c r="A20" s="25" t="inlineStr">
        <is>
          <t>距离更重要</t>
        </is>
      </c>
      <c r="B20" s="26" t="n">
        <v>0.5</v>
      </c>
      <c r="C20" s="26" t="n">
        <v>0.5</v>
      </c>
      <c r="D20" s="26" t="n">
        <v>0.5</v>
      </c>
      <c r="E20" s="26" t="n">
        <v>0.5</v>
      </c>
      <c r="F20" s="26" t="n">
        <v>2.5</v>
      </c>
      <c r="G20" s="26" t="n">
        <v>0.5</v>
      </c>
      <c r="H20" s="26" t="n">
        <v>0.5</v>
      </c>
    </row>
    <row r="22">
      <c r="A22" s="3" t="inlineStr">
        <is>
          <t>客户</t>
        </is>
      </c>
      <c r="B22" s="3" t="inlineStr">
        <is>
          <t>均衡</t>
        </is>
      </c>
      <c r="C22" s="3" t="inlineStr">
        <is>
          <t>规模更重要</t>
        </is>
      </c>
      <c r="D22" s="3" t="inlineStr">
        <is>
          <t>近期机会更重要</t>
        </is>
      </c>
      <c r="E22" s="3" t="inlineStr">
        <is>
          <t>距离更重要</t>
        </is>
      </c>
    </row>
    <row r="23">
      <c r="A23" s="25" t="inlineStr">
        <is>
          <t>河南安彩高科</t>
        </is>
      </c>
      <c r="B23" s="27">
        <f>SUMPRODUCT('客户判断总览'!P5:V5,$B$17:$H$17)/SUM($B$17:$H$17)</f>
        <v>68.57142857142857</v>
      </c>
      <c r="C23" s="27">
        <f>SUMPRODUCT('客户判断总览'!P5:V5,$B$18:$H$18)/SUM($B$18:$H$18)</f>
        <v>66.92307692307692</v>
      </c>
      <c r="D23" s="27">
        <f>SUMPRODUCT('客户判断总览'!P5:V5,$B$19:$H$19)/SUM($B$19:$H$19)</f>
        <v>71.78571428571429</v>
      </c>
      <c r="E23" s="27">
        <f>SUMPRODUCT('客户判断总览'!P5:V5,$B$20:$H$20)/SUM($B$20:$H$20)</f>
        <v>72.72727272727273</v>
      </c>
    </row>
    <row r="24">
      <c r="A24" s="25" t="inlineStr">
        <is>
          <t>株洲旗滨集团</t>
        </is>
      </c>
      <c r="B24" s="27">
        <f>SUMPRODUCT('客户判断总览'!P6:V6,$B$17:$H$17)/SUM($B$17:$H$17)</f>
        <v>73.57142857142857</v>
      </c>
      <c r="C24" s="27">
        <f>SUMPRODUCT('客户判断总览'!P6:V6,$B$18:$H$18)/SUM($B$18:$H$18)</f>
        <v>80.0</v>
      </c>
      <c r="D24" s="27">
        <f>SUMPRODUCT('客户判断总览'!P6:V6,$B$19:$H$19)/SUM($B$19:$H$19)</f>
        <v>70.35714285714286</v>
      </c>
      <c r="E24" s="27">
        <f>SUMPRODUCT('客户判断总览'!P6:V6,$B$20:$H$20)/SUM($B$20:$H$20)</f>
        <v>59.54545454545455</v>
      </c>
    </row>
    <row r="25">
      <c r="A25" s="25" t="inlineStr">
        <is>
          <t>信义玻璃</t>
        </is>
      </c>
      <c r="B25" s="27">
        <f>SUMPRODUCT('客户判断总览'!P7:V7,$B$17:$H$17)/SUM($B$17:$H$17)</f>
        <v>75.42857142857143</v>
      </c>
      <c r="C25" s="27">
        <f>SUMPRODUCT('客户判断总览'!P7:V7,$B$18:$H$18)/SUM($B$18:$H$18)</f>
        <v>82.38461538461539</v>
      </c>
      <c r="D25" s="27">
        <f>SUMPRODUCT('客户判断总览'!P7:V7,$B$19:$H$19)/SUM($B$19:$H$19)</f>
        <v>70.07142857142857</v>
      </c>
      <c r="E25" s="27">
        <f>SUMPRODUCT('客户判断总览'!P7:V7,$B$20:$H$20)/SUM($B$20:$H$20)</f>
        <v>64.36363636363636</v>
      </c>
    </row>
    <row r="26">
      <c r="A26" s="25" t="inlineStr">
        <is>
          <t>山西利虎玻璃集团</t>
        </is>
      </c>
      <c r="B26" s="27">
        <f>SUMPRODUCT('客户判断总览'!P8:V8,$B$17:$H$17)/SUM($B$17:$H$17)</f>
        <v>64.28571428571429</v>
      </c>
      <c r="C26" s="27">
        <f>SUMPRODUCT('客户判断总览'!P8:V8,$B$18:$H$18)/SUM($B$18:$H$18)</f>
        <v>61.53846153846154</v>
      </c>
      <c r="D26" s="27">
        <f>SUMPRODUCT('客户判断总览'!P8:V8,$B$19:$H$19)/SUM($B$19:$H$19)</f>
        <v>66.42857142857143</v>
      </c>
      <c r="E26" s="27">
        <f>SUMPRODUCT('客户判断总览'!P8:V8,$B$20:$H$20)/SUM($B$20:$H$20)</f>
        <v>62.72727272727273</v>
      </c>
    </row>
  </sheetData>
  <mergeCells count="5">
    <mergeCell ref="A7:I7"/>
    <mergeCell ref="A2:I2"/>
    <mergeCell ref="A15:E15"/>
    <mergeCell ref="A1:I1"/>
    <mergeCell ref="A3:I3"/>
  </mergeCells>
  <dataValidations count="1">
    <dataValidation sqref="B5:H5" showDropDown="0" showInputMessage="0" showErrorMessage="1" allowBlank="0" errorTitle="权重范围" error="请输入 0–5 的数字" type="decimal" operator="between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8" customWidth="1" min="4" max="4"/>
    <col width="44" customWidth="1" min="5" max="5"/>
    <col width="26" customWidth="1" min="6" max="6"/>
  </cols>
  <sheetData>
    <row r="1" ht="32" customHeight="1">
      <c r="A1" s="1" t="inlineStr">
        <is>
          <t>待确认清单 · 问对了再投销售资源</t>
        </is>
      </c>
    </row>
    <row r="2" ht="30" customHeight="1">
      <c r="A2" s="2" t="inlineStr">
        <is>
          <t>每条问题都对应一个「影响哪个判断」：客户答不上来或含糊其辞，本身就是信号。</t>
        </is>
      </c>
    </row>
    <row r="4" ht="30" customHeight="1">
      <c r="A4" s="3" t="inlineStr">
        <is>
          <t>序号</t>
        </is>
      </c>
      <c r="B4" s="3" t="inlineStr">
        <is>
          <t>客户</t>
        </is>
      </c>
      <c r="C4" s="3" t="inlineStr">
        <is>
          <t>优先级</t>
        </is>
      </c>
      <c r="D4" s="3" t="inlineStr">
        <is>
          <t>待确认事项</t>
        </is>
      </c>
      <c r="E4" s="3" t="inlineStr">
        <is>
          <t>为什么重要（影响哪个判断）</t>
        </is>
      </c>
      <c r="F4" s="3" t="inlineStr">
        <is>
          <t>建议对象/方式</t>
        </is>
      </c>
    </row>
    <row r="5" ht="52" customHeight="1">
      <c r="A5" s="28" t="n">
        <v>1</v>
      </c>
      <c r="B5" s="14" t="inlineStr">
        <is>
          <t>河南安彩高科</t>
        </is>
      </c>
      <c r="C5" s="29" t="inlineStr">
        <is>
          <t>P1</t>
        </is>
      </c>
      <c r="D5" s="6" t="inlineStr">
        <is>
          <t>在产窑炉清单与日熔量？900t/d 改造线预计何时点火/达产？</t>
        </is>
      </c>
      <c r="E5" s="6" t="inlineStr">
        <is>
          <t>产品匹配/真实产能｜直接决定真实月采购量，避免把投产后的量当当下量</t>
        </is>
      </c>
      <c r="F5" s="6" t="inlineStr">
        <is>
          <t>采购部 + 生产计划</t>
        </is>
      </c>
    </row>
    <row r="6" ht="52" customHeight="1">
      <c r="A6" s="28" t="n">
        <v>2</v>
      </c>
      <c r="B6" s="14" t="inlineStr">
        <is>
          <t>河南安彩高科</t>
        </is>
      </c>
      <c r="C6" s="29" t="inlineStr">
        <is>
          <t>P1</t>
        </is>
      </c>
      <c r="D6" s="6" t="inlineStr">
        <is>
          <t>纯碱月均采购量与现供结构（碱厂直销/贸易商占比）、到厂结算价？</t>
        </is>
      </c>
      <c r="E6" s="6" t="inlineStr">
        <is>
          <t>需求规模/产品匹配｜判断可拿到的量级与价差空间，对标天然碱</t>
        </is>
      </c>
      <c r="F6" s="6" t="inlineStr">
        <is>
          <t>采购部</t>
        </is>
      </c>
    </row>
    <row r="7" ht="52" customHeight="1">
      <c r="A7" s="28" t="n">
        <v>3</v>
      </c>
      <c r="B7" s="14" t="inlineStr">
        <is>
          <t>河南安彩高科</t>
        </is>
      </c>
      <c r="C7" s="29" t="inlineStr">
        <is>
          <t>P1</t>
        </is>
      </c>
      <c r="D7" s="6" t="inlineStr">
        <is>
          <t>供应商准入走哪个平台？需要什么资质、业绩门槛和保证金？</t>
        </is>
      </c>
      <c r="E7" s="6" t="inlineStr">
        <is>
          <t>近期机会｜公开招标是唯一可控的进场通道，先确认流程再投入</t>
        </is>
      </c>
      <c r="F7" s="6" t="inlineStr">
        <is>
          <t>招标平台/采购部</t>
        </is>
      </c>
    </row>
    <row r="8" ht="52" customHeight="1">
      <c r="A8" s="28" t="n">
        <v>4</v>
      </c>
      <c r="B8" s="14" t="inlineStr">
        <is>
          <t>河南安彩高科</t>
        </is>
      </c>
      <c r="C8" s="29" t="inlineStr">
        <is>
          <t>P1</t>
        </is>
      </c>
      <c r="D8" s="6" t="inlineStr">
        <is>
          <t>质量指标（松密度、NaCl、铁等）？散装罐车还是吨袋？厂内卸货条件？</t>
        </is>
      </c>
      <c r="E8" s="6" t="inlineStr">
        <is>
          <t>产品匹配｜浮法/光伏对碱品质敏感，卸货条件影响运费与损耗</t>
        </is>
      </c>
      <c r="F8" s="6" t="inlineStr">
        <is>
          <t>质检/采购</t>
        </is>
      </c>
    </row>
    <row r="9" ht="52" customHeight="1">
      <c r="A9" s="28" t="n">
        <v>5</v>
      </c>
      <c r="B9" s="14" t="inlineStr">
        <is>
          <t>河南安彩高科</t>
        </is>
      </c>
      <c r="C9" s="29" t="inlineStr">
        <is>
          <t>P1</t>
        </is>
      </c>
      <c r="D9" s="6" t="inlineStr">
        <is>
          <t>结算方式与账期（现汇/承兑比例）？有无提前付款折扣？</t>
        </is>
      </c>
      <c r="E9" s="6" t="inlineStr">
        <is>
          <t>不确定性｜资金链紧张客户，账期为最大隐性成本</t>
        </is>
      </c>
      <c r="F9" s="6" t="inlineStr">
        <is>
          <t>财务/采购</t>
        </is>
      </c>
    </row>
    <row r="10" ht="52" customHeight="1">
      <c r="A10" s="28" t="n">
        <v>6</v>
      </c>
      <c r="B10" s="14" t="inlineStr">
        <is>
          <t>株洲旗滨集团</t>
        </is>
      </c>
      <c r="C10" s="30" t="inlineStr">
        <is>
          <t>P4</t>
        </is>
      </c>
      <c r="D10" s="6" t="inlineStr">
        <is>
          <t>浮法/光伏板块纯碱是否总部集采？年度招标时间节点？</t>
        </is>
      </c>
      <c r="E10" s="6" t="inlineStr">
        <is>
          <t>近期机会｜确认是否存在公开可投标窗口</t>
        </is>
      </c>
      <c r="F10" s="6" t="inlineStr">
        <is>
          <t>集采中心</t>
        </is>
      </c>
    </row>
    <row r="11" ht="52" customHeight="1">
      <c r="A11" s="28" t="n">
        <v>7</v>
      </c>
      <c r="B11" s="14" t="inlineStr">
        <is>
          <t>株洲旗滨集团</t>
        </is>
      </c>
      <c r="C11" s="30" t="inlineStr">
        <is>
          <t>P4</t>
        </is>
      </c>
      <c r="D11" s="6" t="inlineStr">
        <is>
          <t>新供应商准入条件（产能规模、运距、账期要求）？</t>
        </is>
      </c>
      <c r="E11" s="6" t="inlineStr">
        <is>
          <t>产品匹配/距离｜判断资质与供货半径是否够格</t>
        </is>
      </c>
      <c r="F11" s="6" t="inlineStr">
        <is>
          <t>集采中心</t>
        </is>
      </c>
    </row>
    <row r="12" ht="52" customHeight="1">
      <c r="A12" s="28" t="n">
        <v>8</v>
      </c>
      <c r="B12" s="14" t="inlineStr">
        <is>
          <t>信义玻璃</t>
        </is>
      </c>
      <c r="C12" s="31" t="inlineStr">
        <is>
          <t>P3</t>
        </is>
      </c>
      <c r="D12" s="6" t="inlineStr">
        <is>
          <t>芜湖基地纯碱月采购量与主供结构？</t>
        </is>
      </c>
      <c r="E12" s="6" t="inlineStr">
        <is>
          <t>需求规模/产品匹配｜确认能否以副供身份切入</t>
        </is>
      </c>
      <c r="F12" s="6" t="inlineStr">
        <is>
          <t>供应链采购中心</t>
        </is>
      </c>
    </row>
    <row r="13" ht="52" customHeight="1">
      <c r="A13" s="28" t="n">
        <v>9</v>
      </c>
      <c r="B13" s="14" t="inlineStr">
        <is>
          <t>信义玻璃</t>
        </is>
      </c>
      <c r="C13" s="31" t="inlineStr">
        <is>
          <t>P3</t>
        </is>
      </c>
      <c r="D13" s="6" t="inlineStr">
        <is>
          <t>是否接受区域副供/旺季补充供应商？</t>
        </is>
      </c>
      <c r="E13" s="6" t="inlineStr">
        <is>
          <t>近期机会｜找到非价格竞争的位置</t>
        </is>
      </c>
      <c r="F13" s="6" t="inlineStr">
        <is>
          <t>供应链采购中心</t>
        </is>
      </c>
    </row>
    <row r="14" ht="52" customHeight="1">
      <c r="A14" s="28" t="n">
        <v>10</v>
      </c>
      <c r="B14" s="14" t="inlineStr">
        <is>
          <t>山西利虎玻璃集团</t>
        </is>
      </c>
      <c r="C14" s="32" t="inlineStr">
        <is>
          <t>P2</t>
        </is>
      </c>
      <c r="D14" s="6" t="inlineStr">
        <is>
          <t>现在几条线在产？日熔量多少？</t>
        </is>
      </c>
      <c r="E14" s="6" t="inlineStr">
        <is>
          <t>真实产能/需求规模｜摸清真实可用量，避免按旧产能估算</t>
        </is>
      </c>
      <c r="F14" s="6" t="inlineStr">
        <is>
          <t>采购部</t>
        </is>
      </c>
    </row>
    <row r="15" ht="52" customHeight="1">
      <c r="A15" s="28" t="n">
        <v>11</v>
      </c>
      <c r="B15" s="14" t="inlineStr">
        <is>
          <t>山西利虎玻璃集团</t>
        </is>
      </c>
      <c r="C15" s="32" t="inlineStr">
        <is>
          <t>P2</t>
        </is>
      </c>
      <c r="D15" s="6" t="inlineStr">
        <is>
          <t>纯碱月采购量、谁在供、什么价、什么账期？</t>
        </is>
      </c>
      <c r="E15" s="6" t="inlineStr">
        <is>
          <t>需求规模/不确定性｜定价与账期是两个核心谈判点</t>
        </is>
      </c>
      <c r="F15" s="6" t="inlineStr">
        <is>
          <t>采购部/财务</t>
        </is>
      </c>
    </row>
    <row r="16" ht="52" customHeight="1">
      <c r="A16" s="28" t="n">
        <v>12</v>
      </c>
      <c r="B16" s="14" t="inlineStr">
        <is>
          <t>山西利虎玻璃集团</t>
        </is>
      </c>
      <c r="C16" s="32" t="inlineStr">
        <is>
          <t>P2</t>
        </is>
      </c>
      <c r="D16" s="6" t="inlineStr">
        <is>
          <t>是否接受小批量试单（1–2 车）？</t>
        </is>
      </c>
      <c r="E16" s="6" t="inlineStr">
        <is>
          <t>近期机会｜低门槛切入、先建信任</t>
        </is>
      </c>
      <c r="F16" s="6" t="inlineStr">
        <is>
          <t>采购部</t>
        </is>
      </c>
    </row>
  </sheetData>
  <autoFilter ref="A4:F16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46" customWidth="1" min="4" max="4"/>
    <col width="12" customWidth="1" min="5" max="5"/>
    <col width="12" customWidth="1" min="6" max="6"/>
  </cols>
  <sheetData>
    <row r="1" ht="32" customHeight="1">
      <c r="A1" s="1" t="inlineStr">
        <is>
          <t>数据来源 · 每条事实可回溯到公开链接</t>
        </is>
      </c>
    </row>
    <row r="2" ht="30" customHeight="1">
      <c r="A2" s="2" t="inlineStr">
        <is>
          <t>来源类型：年报/半年报/公告/研报/政府函件/行业资讯/媒体/招标/报价。日期为发布日。</t>
        </is>
      </c>
    </row>
    <row r="4" ht="28" customHeight="1">
      <c r="A4" s="3" t="inlineStr">
        <is>
          <t>编号</t>
        </is>
      </c>
      <c r="B4" s="3" t="inlineStr">
        <is>
          <t>所属</t>
        </is>
      </c>
      <c r="C4" s="3" t="inlineStr">
        <is>
          <t>类型</t>
        </is>
      </c>
      <c r="D4" s="3" t="inlineStr">
        <is>
          <t>来源名称</t>
        </is>
      </c>
      <c r="E4" s="3" t="inlineStr">
        <is>
          <t>链接</t>
        </is>
      </c>
      <c r="F4" s="3" t="inlineStr">
        <is>
          <t>日期</t>
        </is>
      </c>
    </row>
    <row r="5" ht="40" customHeight="1">
      <c r="A5" s="17" t="inlineStr">
        <is>
          <t>S01</t>
        </is>
      </c>
      <c r="B5" s="14" t="inlineStr">
        <is>
          <t>河南安彩高科</t>
        </is>
      </c>
      <c r="C5" s="17" t="inlineStr">
        <is>
          <t>年报</t>
        </is>
      </c>
      <c r="D5" s="6" t="inlineStr">
        <is>
          <t>2025 年年度报告（巨潮）</t>
        </is>
      </c>
      <c r="E5" s="6" t="inlineStr">
        <is>
          <t>打开链接</t>
        </is>
      </c>
      <c r="F5" s="17" t="inlineStr">
        <is>
          <t>2026-04-18</t>
        </is>
      </c>
    </row>
    <row r="6" ht="40" customHeight="1">
      <c r="A6" s="17" t="inlineStr">
        <is>
          <t>S02</t>
        </is>
      </c>
      <c r="B6" s="14" t="inlineStr">
        <is>
          <t>河南安彩高科</t>
        </is>
      </c>
      <c r="C6" s="17" t="inlineStr">
        <is>
          <t>年报</t>
        </is>
      </c>
      <c r="D6" s="6" t="inlineStr">
        <is>
          <t>2024 年年度报告摘要（新浪）</t>
        </is>
      </c>
      <c r="E6" s="6" t="inlineStr">
        <is>
          <t>打开链接</t>
        </is>
      </c>
      <c r="F6" s="17" t="inlineStr">
        <is>
          <t>2025-03-29</t>
        </is>
      </c>
    </row>
    <row r="7" ht="40" customHeight="1">
      <c r="A7" s="17" t="inlineStr">
        <is>
          <t>S03</t>
        </is>
      </c>
      <c r="B7" s="14" t="inlineStr">
        <is>
          <t>河南安彩高科</t>
        </is>
      </c>
      <c r="C7" s="17" t="inlineStr">
        <is>
          <t>公告</t>
        </is>
      </c>
      <c r="D7" s="6" t="inlineStr">
        <is>
          <t>生产线改造提升公告（900t/d 光伏线）</t>
        </is>
      </c>
      <c r="E7" s="6" t="inlineStr">
        <is>
          <t>打开链接</t>
        </is>
      </c>
      <c r="F7" s="17" t="inlineStr">
        <is>
          <t>2025-12-05</t>
        </is>
      </c>
    </row>
    <row r="8" ht="40" customHeight="1">
      <c r="A8" s="17" t="inlineStr">
        <is>
          <t>S04</t>
        </is>
      </c>
      <c r="B8" s="14" t="inlineStr">
        <is>
          <t>河南安彩高科</t>
        </is>
      </c>
      <c r="C8" s="17" t="inlineStr">
        <is>
          <t>行业资讯</t>
        </is>
      </c>
      <c r="D8" s="6" t="inlineStr">
        <is>
          <t>安彩光热 600t/d 超白浮法线（1,380MW 业绩）</t>
        </is>
      </c>
      <c r="E8" s="6" t="inlineStr">
        <is>
          <t>打开链接</t>
        </is>
      </c>
      <c r="F8" s="17" t="inlineStr">
        <is>
          <t>2025-10-09</t>
        </is>
      </c>
    </row>
    <row r="9" ht="40" customHeight="1">
      <c r="A9" s="17" t="inlineStr">
        <is>
          <t>S05</t>
        </is>
      </c>
      <c r="B9" s="14" t="inlineStr">
        <is>
          <t>河南安彩高科</t>
        </is>
      </c>
      <c r="C9" s="17" t="inlineStr">
        <is>
          <t>媒体</t>
        </is>
      </c>
      <c r="D9" s="6" t="inlineStr">
        <is>
          <t>2026 年半年度业绩说明会（大河财立方）</t>
        </is>
      </c>
      <c r="E9" s="6" t="inlineStr">
        <is>
          <t>打开链接</t>
        </is>
      </c>
      <c r="F9" s="17" t="inlineStr">
        <is>
          <t>2026-09-16</t>
        </is>
      </c>
    </row>
    <row r="10" ht="40" customHeight="1">
      <c r="A10" s="17" t="inlineStr">
        <is>
          <t>S06</t>
        </is>
      </c>
      <c r="B10" s="14" t="inlineStr">
        <is>
          <t>河南安彩高科</t>
        </is>
      </c>
      <c r="C10" s="17" t="inlineStr">
        <is>
          <t>互动问答</t>
        </is>
      </c>
      <c r="D10" s="6" t="inlineStr">
        <is>
          <t>投资者互动：纯碱采购采用期现结合</t>
        </is>
      </c>
      <c r="E10" s="6" t="inlineStr">
        <is>
          <t>打开链接</t>
        </is>
      </c>
      <c r="F10" s="17" t="inlineStr">
        <is>
          <t>2023-02-20</t>
        </is>
      </c>
    </row>
    <row r="11" ht="40" customHeight="1">
      <c r="A11" s="17" t="inlineStr">
        <is>
          <t>S07</t>
        </is>
      </c>
      <c r="B11" s="14" t="inlineStr">
        <is>
          <t>河南安彩高科</t>
        </is>
      </c>
      <c r="C11" s="17" t="inlineStr">
        <is>
          <t>招标</t>
        </is>
      </c>
      <c r="D11" s="6" t="inlineStr">
        <is>
          <t>2021 年度原料供应商资格准入公开招标</t>
        </is>
      </c>
      <c r="E11" s="6" t="inlineStr">
        <is>
          <t>打开链接</t>
        </is>
      </c>
      <c r="F11" s="17" t="inlineStr">
        <is>
          <t>2021-03-05</t>
        </is>
      </c>
    </row>
    <row r="12" ht="40" customHeight="1">
      <c r="A12" s="17" t="inlineStr">
        <is>
          <t>S08</t>
        </is>
      </c>
      <c r="B12" s="14" t="inlineStr">
        <is>
          <t>河南安彩高科</t>
        </is>
      </c>
      <c r="C12" s="17" t="inlineStr">
        <is>
          <t>报价</t>
        </is>
      </c>
      <c r="D12" s="6" t="inlineStr">
        <is>
          <t>河南重质纯碱市场价 1,050 元/吨</t>
        </is>
      </c>
      <c r="E12" s="6" t="inlineStr">
        <is>
          <t>打开链接</t>
        </is>
      </c>
      <c r="F12" s="17" t="inlineStr">
        <is>
          <t>2026-10-15</t>
        </is>
      </c>
    </row>
    <row r="13" ht="40" customHeight="1">
      <c r="A13" s="17" t="inlineStr">
        <is>
          <t>S09</t>
        </is>
      </c>
      <c r="B13" s="14" t="inlineStr">
        <is>
          <t>河南安彩高科</t>
        </is>
      </c>
      <c r="C13" s="17" t="inlineStr">
        <is>
          <t>公告</t>
        </is>
      </c>
      <c r="D13" s="6" t="inlineStr">
        <is>
          <t>公司公告列表（委托贷款/简易定增）</t>
        </is>
      </c>
      <c r="E13" s="6" t="inlineStr">
        <is>
          <t>打开链接</t>
        </is>
      </c>
      <c r="F13" s="17" t="inlineStr">
        <is>
          <t>2026-09-03</t>
        </is>
      </c>
    </row>
    <row r="14" ht="40" customHeight="1">
      <c r="A14" s="17" t="inlineStr">
        <is>
          <t>S10</t>
        </is>
      </c>
      <c r="B14" s="14" t="inlineStr">
        <is>
          <t>株洲旗滨集团</t>
        </is>
      </c>
      <c r="C14" s="17" t="inlineStr">
        <is>
          <t>半年报</t>
        </is>
      </c>
      <c r="D14" s="6" t="inlineStr">
        <is>
          <t>2025 年半年度报告（巨潮）</t>
        </is>
      </c>
      <c r="E14" s="6" t="inlineStr">
        <is>
          <t>打开链接</t>
        </is>
      </c>
      <c r="F14" s="17" t="inlineStr">
        <is>
          <t>2025-08-28</t>
        </is>
      </c>
    </row>
    <row r="15" ht="40" customHeight="1">
      <c r="A15" s="17" t="inlineStr">
        <is>
          <t>S11</t>
        </is>
      </c>
      <c r="B15" s="14" t="inlineStr">
        <is>
          <t>株洲旗滨集团</t>
        </is>
      </c>
      <c r="C15" s="17" t="inlineStr">
        <is>
          <t>研报</t>
        </is>
      </c>
      <c r="D15" s="6" t="inlineStr">
        <is>
          <t>2024 年三季报点评：在产浮法 1.1 亿重箱</t>
        </is>
      </c>
      <c r="E15" s="6" t="inlineStr">
        <is>
          <t>打开链接</t>
        </is>
      </c>
      <c r="F15" s="17" t="inlineStr">
        <is>
          <t>2024-11-18</t>
        </is>
      </c>
    </row>
    <row r="16" ht="40" customHeight="1">
      <c r="A16" s="17" t="inlineStr">
        <is>
          <t>S12</t>
        </is>
      </c>
      <c r="B16" s="14" t="inlineStr">
        <is>
          <t>株洲旗滨集团</t>
        </is>
      </c>
      <c r="C16" s="17" t="inlineStr">
        <is>
          <t>年报</t>
        </is>
      </c>
      <c r="D16" s="6" t="inlineStr">
        <is>
          <t>2025 年年度报告主要数据（新浪）</t>
        </is>
      </c>
      <c r="E16" s="6" t="inlineStr">
        <is>
          <t>打开链接</t>
        </is>
      </c>
      <c r="F16" s="17" t="inlineStr">
        <is>
          <t>2026-04</t>
        </is>
      </c>
    </row>
    <row r="17" ht="40" customHeight="1">
      <c r="A17" s="17" t="inlineStr">
        <is>
          <t>S13</t>
        </is>
      </c>
      <c r="B17" s="14" t="inlineStr">
        <is>
          <t>株洲旗滨集团</t>
        </is>
      </c>
      <c r="C17" s="17" t="inlineStr">
        <is>
          <t>研报</t>
        </is>
      </c>
      <c r="D17" s="6" t="inlineStr">
        <is>
          <t>2024 年报、2025 一季报点评</t>
        </is>
      </c>
      <c r="E17" s="6" t="inlineStr">
        <is>
          <t>打开链接</t>
        </is>
      </c>
      <c r="F17" s="17" t="inlineStr">
        <is>
          <t>2025-04-28</t>
        </is>
      </c>
    </row>
    <row r="18" ht="40" customHeight="1">
      <c r="A18" s="17" t="inlineStr">
        <is>
          <t>S14</t>
        </is>
      </c>
      <c r="B18" s="14" t="inlineStr">
        <is>
          <t>株洲旗滨集团</t>
        </is>
      </c>
      <c r="C18" s="17" t="inlineStr">
        <is>
          <t>年报</t>
        </is>
      </c>
      <c r="D18" s="6" t="inlineStr">
        <is>
          <t>2024 年年度报告（巨潮）</t>
        </is>
      </c>
      <c r="E18" s="6" t="inlineStr">
        <is>
          <t>打开链接</t>
        </is>
      </c>
      <c r="F18" s="17" t="inlineStr">
        <is>
          <t>2025-04-25</t>
        </is>
      </c>
    </row>
    <row r="19" ht="40" customHeight="1">
      <c r="A19" s="17" t="inlineStr">
        <is>
          <t>S15</t>
        </is>
      </c>
      <c r="B19" s="14" t="inlineStr">
        <is>
          <t>信义玻璃</t>
        </is>
      </c>
      <c r="C19" s="17" t="inlineStr">
        <is>
          <t>业绩公告</t>
        </is>
      </c>
      <c r="D19" s="6" t="inlineStr">
        <is>
          <t>2024 年全年业绩公告</t>
        </is>
      </c>
      <c r="E19" s="6" t="inlineStr">
        <is>
          <t>打开链接</t>
        </is>
      </c>
      <c r="F19" s="17" t="inlineStr">
        <is>
          <t>2025-03-03</t>
        </is>
      </c>
    </row>
    <row r="20" ht="40" customHeight="1">
      <c r="A20" s="17" t="inlineStr">
        <is>
          <t>S16</t>
        </is>
      </c>
      <c r="B20" s="14" t="inlineStr">
        <is>
          <t>信义玻璃</t>
        </is>
      </c>
      <c r="C20" s="17" t="inlineStr">
        <is>
          <t>年报</t>
        </is>
      </c>
      <c r="D20" s="6" t="inlineStr">
        <is>
          <t>2024 年年度报告（营业地：芜湖）</t>
        </is>
      </c>
      <c r="E20" s="6" t="inlineStr">
        <is>
          <t>打开链接</t>
        </is>
      </c>
      <c r="F20" s="17" t="inlineStr">
        <is>
          <t>2025-05</t>
        </is>
      </c>
    </row>
    <row r="21" ht="40" customHeight="1">
      <c r="A21" s="17" t="inlineStr">
        <is>
          <t>S17</t>
        </is>
      </c>
      <c r="B21" s="14" t="inlineStr">
        <is>
          <t>信义玻璃</t>
        </is>
      </c>
      <c r="C21" s="17" t="inlineStr">
        <is>
          <t>行业网站</t>
        </is>
      </c>
      <c r="D21" s="6" t="inlineStr">
        <is>
          <t>信义玻璃公司简介（日熔量口径，偏旧）</t>
        </is>
      </c>
      <c r="E21" s="6" t="inlineStr">
        <is>
          <t>打开链接</t>
        </is>
      </c>
      <c r="F21" s="17" t="inlineStr">
        <is>
          <t>口径偏旧</t>
        </is>
      </c>
    </row>
    <row r="22" ht="40" customHeight="1">
      <c r="A22" s="17" t="inlineStr">
        <is>
          <t>S18</t>
        </is>
      </c>
      <c r="B22" s="14" t="inlineStr">
        <is>
          <t>信义玻璃</t>
        </is>
      </c>
      <c r="C22" s="17" t="inlineStr">
        <is>
          <t>媒体</t>
        </is>
      </c>
      <c r="D22" s="6" t="inlineStr">
        <is>
          <t>新浪财经：浮法承压但仍盈利</t>
        </is>
      </c>
      <c r="E22" s="6" t="inlineStr">
        <is>
          <t>打开链接</t>
        </is>
      </c>
      <c r="F22" s="17" t="inlineStr">
        <is>
          <t>2025-03-06</t>
        </is>
      </c>
    </row>
    <row r="23" ht="40" customHeight="1">
      <c r="A23" s="17" t="inlineStr">
        <is>
          <t>S19</t>
        </is>
      </c>
      <c r="B23" s="14" t="inlineStr">
        <is>
          <t>山西利虎玻璃集团</t>
        </is>
      </c>
      <c r="C23" s="17" t="inlineStr">
        <is>
          <t>行业资讯</t>
        </is>
      </c>
      <c r="D23" s="6" t="inlineStr">
        <is>
          <t>隆众：交城二线 600t/d 改产（2025-07）</t>
        </is>
      </c>
      <c r="E23" s="6" t="inlineStr">
        <is>
          <t>打开链接</t>
        </is>
      </c>
      <c r="F23" s="17" t="inlineStr">
        <is>
          <t>2025-07-07</t>
        </is>
      </c>
    </row>
    <row r="24" ht="40" customHeight="1">
      <c r="A24" s="17" t="inlineStr">
        <is>
          <t>S20</t>
        </is>
      </c>
      <c r="B24" s="14" t="inlineStr">
        <is>
          <t>山西利虎玻璃集团</t>
        </is>
      </c>
      <c r="C24" s="17" t="inlineStr">
        <is>
          <t>政府函件</t>
        </is>
      </c>
      <c r="D24" s="6" t="inlineStr">
        <is>
          <t>吕梁市政府推荐函（2021 年销售 26 亿元）</t>
        </is>
      </c>
      <c r="E24" s="6" t="inlineStr">
        <is>
          <t>打开链接</t>
        </is>
      </c>
      <c r="F24" s="17" t="inlineStr">
        <is>
          <t>2022-08-19</t>
        </is>
      </c>
    </row>
    <row r="25" ht="40" customHeight="1">
      <c r="A25" s="17" t="inlineStr">
        <is>
          <t>S21</t>
        </is>
      </c>
      <c r="B25" s="14" t="inlineStr">
        <is>
          <t>山西利虎玻璃集团</t>
        </is>
      </c>
      <c r="C25" s="17" t="inlineStr">
        <is>
          <t>行业网站</t>
        </is>
      </c>
      <c r="D25" s="6" t="inlineStr">
        <is>
          <t>中国玻璃网公司页（产能口径，较旧）</t>
        </is>
      </c>
      <c r="E25" s="6" t="inlineStr">
        <is>
          <t>打开链接</t>
        </is>
      </c>
      <c r="F25" s="17" t="inlineStr">
        <is>
          <t>口径较旧</t>
        </is>
      </c>
    </row>
    <row r="26" ht="40" customHeight="1">
      <c r="A26" s="17" t="inlineStr">
        <is>
          <t>S22</t>
        </is>
      </c>
      <c r="B26" s="14" t="inlineStr">
        <is>
          <t>山西利虎玻璃集团</t>
        </is>
      </c>
      <c r="C26" s="17" t="inlineStr">
        <is>
          <t>行业资讯</t>
        </is>
      </c>
      <c r="D26" s="6" t="inlineStr">
        <is>
          <t>隆众：交城二线改产（2025-06）</t>
        </is>
      </c>
      <c r="E26" s="6" t="inlineStr">
        <is>
          <t>打开链接</t>
        </is>
      </c>
      <c r="F26" s="17" t="inlineStr">
        <is>
          <t>2025-06-23</t>
        </is>
      </c>
    </row>
    <row r="27" ht="40" customHeight="1">
      <c r="A27" s="17" t="inlineStr">
        <is>
          <t>S23</t>
        </is>
      </c>
      <c r="B27" s="14" t="inlineStr">
        <is>
          <t>山西利虎玻璃集团</t>
        </is>
      </c>
      <c r="C27" s="17" t="inlineStr">
        <is>
          <t>行业资讯</t>
        </is>
      </c>
      <c r="D27" s="6" t="inlineStr">
        <is>
          <t>隆众：交城二线改产（2025-05）</t>
        </is>
      </c>
      <c r="E27" s="6" t="inlineStr">
        <is>
          <t>打开链接</t>
        </is>
      </c>
      <c r="F27" s="17" t="inlineStr">
        <is>
          <t>2025-05-06</t>
        </is>
      </c>
    </row>
    <row r="28" ht="40" customHeight="1">
      <c r="A28" s="17" t="inlineStr">
        <is>
          <t>S24</t>
        </is>
      </c>
      <c r="B28" s="14" t="inlineStr">
        <is>
          <t>山西利虎玻璃集团</t>
        </is>
      </c>
      <c r="C28" s="17" t="inlineStr">
        <is>
          <t>行业资讯</t>
        </is>
      </c>
      <c r="D28" s="6" t="inlineStr">
        <is>
          <t>生意社：山西利虎产线动态（2025-01）</t>
        </is>
      </c>
      <c r="E28" s="6" t="inlineStr">
        <is>
          <t>打开链接</t>
        </is>
      </c>
      <c r="F28" s="17" t="inlineStr">
        <is>
          <t>2025-01-08</t>
        </is>
      </c>
    </row>
    <row r="29" ht="30" customHeight="1">
      <c r="A29" s="17" t="inlineStr">
        <is>
          <t>M25</t>
        </is>
      </c>
      <c r="B29" s="6" t="inlineStr">
        <is>
          <t>市场背景</t>
        </is>
      </c>
      <c r="C29" s="17" t="inlineStr">
        <is>
          <t>行情/报价</t>
        </is>
      </c>
      <c r="D29" s="6" t="inlineStr">
        <is>
          <t>重质纯碱现货（河南市场价）</t>
        </is>
      </c>
      <c r="E29" s="6" t="inlineStr">
        <is>
          <t>打开链接</t>
        </is>
      </c>
      <c r="F29" s="17" t="inlineStr">
        <is>
          <t>2026-10-15</t>
        </is>
      </c>
    </row>
    <row r="30" ht="30" customHeight="1">
      <c r="A30" s="17" t="inlineStr">
        <is>
          <t>M26</t>
        </is>
      </c>
      <c r="B30" s="6" t="inlineStr">
        <is>
          <t>市场背景</t>
        </is>
      </c>
      <c r="C30" s="17" t="inlineStr">
        <is>
          <t>行情/报价</t>
        </is>
      </c>
      <c r="D30" s="6" t="inlineStr">
        <is>
          <t>重质纯碱成交价区间</t>
        </is>
      </c>
      <c r="E30" s="6" t="inlineStr">
        <is>
          <t>打开链接</t>
        </is>
      </c>
      <c r="F30" s="17" t="inlineStr">
        <is>
          <t>2026-10</t>
        </is>
      </c>
    </row>
    <row r="31" ht="30" customHeight="1">
      <c r="A31" s="17" t="inlineStr">
        <is>
          <t>M27</t>
        </is>
      </c>
      <c r="B31" s="6" t="inlineStr">
        <is>
          <t>市场背景</t>
        </is>
      </c>
      <c r="C31" s="17" t="inlineStr">
        <is>
          <t>行情/报价</t>
        </is>
      </c>
      <c r="D31" s="6" t="inlineStr">
        <is>
          <t>纯碱厂家库存</t>
        </is>
      </c>
      <c r="E31" s="6" t="inlineStr">
        <is>
          <t>打开链接</t>
        </is>
      </c>
      <c r="F31" s="17" t="inlineStr">
        <is>
          <t>2026-10-09</t>
        </is>
      </c>
    </row>
    <row r="32" ht="30" customHeight="1">
      <c r="A32" s="17" t="inlineStr">
        <is>
          <t>M28</t>
        </is>
      </c>
      <c r="B32" s="6" t="inlineStr">
        <is>
          <t>市场背景</t>
        </is>
      </c>
      <c r="C32" s="17" t="inlineStr">
        <is>
          <t>行情/报价</t>
        </is>
      </c>
      <c r="D32" s="6" t="inlineStr">
        <is>
          <t>纯碱装置开工率</t>
        </is>
      </c>
      <c r="E32" s="6" t="inlineStr">
        <is>
          <t>打开链接</t>
        </is>
      </c>
      <c r="F32" s="17" t="inlineStr">
        <is>
          <t>2026-10</t>
        </is>
      </c>
    </row>
    <row r="33" ht="30" customHeight="1">
      <c r="A33" s="17" t="inlineStr">
        <is>
          <t>M29</t>
        </is>
      </c>
      <c r="B33" s="6" t="inlineStr">
        <is>
          <t>市场背景</t>
        </is>
      </c>
      <c r="C33" s="17" t="inlineStr">
        <is>
          <t>行情/报价</t>
        </is>
      </c>
      <c r="D33" s="6" t="inlineStr">
        <is>
          <t>浮法玻璃在产日熔量</t>
        </is>
      </c>
      <c r="E33" s="6" t="inlineStr">
        <is>
          <t>打开链接</t>
        </is>
      </c>
      <c r="F33" s="17" t="inlineStr">
        <is>
          <t>2026-10</t>
        </is>
      </c>
    </row>
    <row r="34" ht="30" customHeight="1">
      <c r="A34" s="17" t="inlineStr">
        <is>
          <t>M30</t>
        </is>
      </c>
      <c r="B34" s="6" t="inlineStr">
        <is>
          <t>市场背景</t>
        </is>
      </c>
      <c r="C34" s="17" t="inlineStr">
        <is>
          <t>行情/报价</t>
        </is>
      </c>
      <c r="D34" s="6" t="inlineStr">
        <is>
          <t>光伏玻璃在产日熔量</t>
        </is>
      </c>
      <c r="E34" s="6" t="inlineStr">
        <is>
          <t>打开链接</t>
        </is>
      </c>
      <c r="F34" s="17" t="inlineStr">
        <is>
          <t>2026-10</t>
        </is>
      </c>
    </row>
    <row r="35" ht="30" customHeight="1">
      <c r="A35" s="17" t="inlineStr">
        <is>
          <t>M31</t>
        </is>
      </c>
      <c r="B35" s="6" t="inlineStr">
        <is>
          <t>市场背景</t>
        </is>
      </c>
      <c r="C35" s="17" t="inlineStr">
        <is>
          <t>行情/报价</t>
        </is>
      </c>
      <c r="D35" s="6" t="inlineStr">
        <is>
          <t>浮法玻璃产能利用率</t>
        </is>
      </c>
      <c r="E35" s="6" t="inlineStr">
        <is>
          <t>打开链接</t>
        </is>
      </c>
      <c r="F35" s="17" t="inlineStr">
        <is>
          <t>2026-10</t>
        </is>
      </c>
    </row>
    <row r="36" ht="30" customHeight="1">
      <c r="A36" s="17" t="inlineStr">
        <is>
          <t>M32</t>
        </is>
      </c>
      <c r="B36" s="6" t="inlineStr">
        <is>
          <t>市场背景</t>
        </is>
      </c>
      <c r="C36" s="17" t="inlineStr">
        <is>
          <t>行情/报价</t>
        </is>
      </c>
      <c r="D36" s="6" t="inlineStr">
        <is>
          <t>浮法玻璃现货均价</t>
        </is>
      </c>
      <c r="E36" s="6" t="inlineStr">
        <is>
          <t>打开链接</t>
        </is>
      </c>
      <c r="F36" s="17" t="inlineStr">
        <is>
          <t>2026-10</t>
        </is>
      </c>
    </row>
    <row r="37" ht="30" customHeight="1">
      <c r="A37" s="17" t="inlineStr">
        <is>
          <t>M33</t>
        </is>
      </c>
      <c r="B37" s="6" t="inlineStr">
        <is>
          <t>市场背景</t>
        </is>
      </c>
      <c r="C37" s="17" t="inlineStr">
        <is>
          <t>行情/报价</t>
        </is>
      </c>
      <c r="D37" s="6" t="inlineStr">
        <is>
          <t>浮法玻璃产量同比</t>
        </is>
      </c>
      <c r="E37" s="6" t="inlineStr">
        <is>
          <t>打开链接</t>
        </is>
      </c>
      <c r="F37" s="17" t="inlineStr">
        <is>
          <t>2026-10</t>
        </is>
      </c>
    </row>
  </sheetData>
  <autoFilter ref="A4:F37"/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0" customWidth="1" min="4" max="4"/>
    <col width="12" customWidth="1" min="5" max="5"/>
  </cols>
  <sheetData>
    <row r="1" ht="32" customHeight="1">
      <c r="A1" s="1" t="inlineStr">
        <is>
          <t>市场背景 · 行情快照（2026-10）</t>
        </is>
      </c>
    </row>
    <row r="2" ht="30" customHeight="1">
      <c r="A2" s="2" t="inlineStr">
        <is>
          <t>先确定市场处于买方还是卖方市场：这决定客户压价意愿、开工率假设与你的报价空间。</t>
        </is>
      </c>
    </row>
    <row r="4" ht="28" customHeight="1">
      <c r="A4" s="3" t="inlineStr">
        <is>
          <t>指标</t>
        </is>
      </c>
      <c r="B4" s="3" t="inlineStr">
        <is>
          <t>数值</t>
        </is>
      </c>
      <c r="C4" s="3" t="inlineStr">
        <is>
          <t>时点</t>
        </is>
      </c>
      <c r="D4" s="3" t="inlineStr">
        <is>
          <t>来源</t>
        </is>
      </c>
      <c r="E4" s="3" t="inlineStr">
        <is>
          <t>链接</t>
        </is>
      </c>
    </row>
    <row r="5" ht="24" customHeight="1">
      <c r="A5" s="14" t="inlineStr">
        <is>
          <t>重质纯碱现货（河南市场价）</t>
        </is>
      </c>
      <c r="B5" s="33" t="inlineStr">
        <is>
          <t>≈1,050 元/吨</t>
        </is>
      </c>
      <c r="C5" s="17" t="inlineStr">
        <is>
          <t>2026-10-15</t>
        </is>
      </c>
      <c r="D5" s="6" t="inlineStr">
        <is>
          <t>化工网</t>
        </is>
      </c>
      <c r="E5" s="17" t="inlineStr">
        <is>
          <t>打开链接</t>
        </is>
      </c>
    </row>
    <row r="6" ht="24" customHeight="1">
      <c r="A6" s="14" t="inlineStr">
        <is>
          <t>重质纯碱成交价区间</t>
        </is>
      </c>
      <c r="B6" s="33" t="inlineStr">
        <is>
          <t>970–1,050 元/吨</t>
        </is>
      </c>
      <c r="C6" s="17" t="inlineStr">
        <is>
          <t>2026-10</t>
        </is>
      </c>
      <c r="D6" s="6" t="inlineStr">
        <is>
          <t>生意社</t>
        </is>
      </c>
      <c r="E6" s="17" t="inlineStr">
        <is>
          <t>打开链接</t>
        </is>
      </c>
    </row>
    <row r="7" ht="24" customHeight="1">
      <c r="A7" s="14" t="inlineStr">
        <is>
          <t>纯碱厂家库存</t>
        </is>
      </c>
      <c r="B7" s="33" t="inlineStr">
        <is>
          <t>≈178 万吨</t>
        </is>
      </c>
      <c r="C7" s="17" t="inlineStr">
        <is>
          <t>2026-10-09</t>
        </is>
      </c>
      <c r="D7" s="6" t="inlineStr">
        <is>
          <t>新浪期货日评</t>
        </is>
      </c>
      <c r="E7" s="17" t="inlineStr">
        <is>
          <t>打开链接</t>
        </is>
      </c>
    </row>
    <row r="8" ht="24" customHeight="1">
      <c r="A8" s="14" t="inlineStr">
        <is>
          <t>纯碱装置开工率</t>
        </is>
      </c>
      <c r="B8" s="33" t="inlineStr">
        <is>
          <t>≈65%</t>
        </is>
      </c>
      <c r="C8" s="17" t="inlineStr">
        <is>
          <t>2026-10</t>
        </is>
      </c>
      <c r="D8" s="6" t="inlineStr">
        <is>
          <t>新浪期货日评</t>
        </is>
      </c>
      <c r="E8" s="17" t="inlineStr">
        <is>
          <t>打开链接</t>
        </is>
      </c>
    </row>
    <row r="9" ht="24" customHeight="1">
      <c r="A9" s="14" t="inlineStr">
        <is>
          <t>浮法玻璃在产日熔量</t>
        </is>
      </c>
      <c r="B9" s="33" t="inlineStr">
        <is>
          <t>14.1–14.3 万吨/日</t>
        </is>
      </c>
      <c r="C9" s="17" t="inlineStr">
        <is>
          <t>2026-10</t>
        </is>
      </c>
      <c r="D9" s="6" t="inlineStr">
        <is>
          <t>钢联/紫金天风</t>
        </is>
      </c>
      <c r="E9" s="17" t="inlineStr">
        <is>
          <t>打开链接</t>
        </is>
      </c>
    </row>
    <row r="10" ht="24" customHeight="1">
      <c r="A10" s="14" t="inlineStr">
        <is>
          <t>光伏玻璃在产日熔量</t>
        </is>
      </c>
      <c r="B10" s="33" t="inlineStr">
        <is>
          <t>6.68 万吨/日</t>
        </is>
      </c>
      <c r="C10" s="17" t="inlineStr">
        <is>
          <t>2026-10</t>
        </is>
      </c>
      <c r="D10" s="6" t="inlineStr">
        <is>
          <t>钢联/紫金天风</t>
        </is>
      </c>
      <c r="E10" s="17" t="inlineStr">
        <is>
          <t>打开链接</t>
        </is>
      </c>
    </row>
    <row r="11" ht="24" customHeight="1">
      <c r="A11" s="14" t="inlineStr">
        <is>
          <t>浮法玻璃产能利用率</t>
        </is>
      </c>
      <c r="B11" s="33" t="inlineStr">
        <is>
          <t>≈71%</t>
        </is>
      </c>
      <c r="C11" s="17" t="inlineStr">
        <is>
          <t>2026-10</t>
        </is>
      </c>
      <c r="D11" s="6" t="inlineStr">
        <is>
          <t>新浪期货日评</t>
        </is>
      </c>
      <c r="E11" s="17" t="inlineStr">
        <is>
          <t>打开链接</t>
        </is>
      </c>
    </row>
    <row r="12" ht="24" customHeight="1">
      <c r="A12" s="14" t="inlineStr">
        <is>
          <t>浮法玻璃现货均价</t>
        </is>
      </c>
      <c r="B12" s="33" t="inlineStr">
        <is>
          <t>≈1,075 元/吨</t>
        </is>
      </c>
      <c r="C12" s="17" t="inlineStr">
        <is>
          <t>2026-10</t>
        </is>
      </c>
      <c r="D12" s="6" t="inlineStr">
        <is>
          <t>隆众资讯</t>
        </is>
      </c>
      <c r="E12" s="17" t="inlineStr">
        <is>
          <t>打开链接</t>
        </is>
      </c>
    </row>
    <row r="13" ht="24" customHeight="1">
      <c r="A13" s="14" t="inlineStr">
        <is>
          <t>浮法玻璃产量同比</t>
        </is>
      </c>
      <c r="B13" s="33" t="inlineStr">
        <is>
          <t>-11.53%</t>
        </is>
      </c>
      <c r="C13" s="17" t="inlineStr">
        <is>
          <t>2026-10</t>
        </is>
      </c>
      <c r="D13" s="6" t="inlineStr">
        <is>
          <t>新浪期货日评</t>
        </is>
      </c>
      <c r="E13" s="17" t="inlineStr">
        <is>
          <t>打开链接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阅读说明 · 方法与口径</t>
        </is>
      </c>
    </row>
    <row r="2" ht="30" customHeight="1">
      <c r="A2" s="2" t="inlineStr">
        <is>
          <t>这份工作簿回答一个问题：把有限的销售时间投给谁？它给出事实、评级与排序参考，最终判断权在你。</t>
        </is>
      </c>
    </row>
    <row r="4" ht="22" customHeight="1">
      <c r="A4" s="34" t="inlineStr">
        <is>
          <t>一、怎么用（3 步）</t>
        </is>
      </c>
    </row>
    <row r="5" ht="20" customHeight="1">
      <c r="A5" s="35" t="inlineStr">
        <is>
          <t>① 带入：把客户名称（或客户池）与销售产品填入——维度数据随之就位；</t>
        </is>
      </c>
    </row>
    <row r="6" ht="20" customHeight="1">
      <c r="A6" s="35" t="inlineStr">
        <is>
          <t>② 看事实：逐维读「七维判断明细」，每个维度都有依据、口径（估算/核实）与来源链接；</t>
        </is>
      </c>
    </row>
    <row r="7" ht="20" customHeight="1">
      <c r="A7" s="35" t="inlineStr">
        <is>
          <t>③ 定顺序：在「权重与排序」里调权重，用排序结果决定本周先打谁——但事实不因权重改变。</t>
        </is>
      </c>
    </row>
    <row r="9" ht="22" customHeight="1">
      <c r="A9" s="34" t="inlineStr">
        <is>
          <t>二、维度定义</t>
        </is>
      </c>
    </row>
    <row r="10" ht="24" customHeight="1">
      <c r="A10" s="3" t="inlineStr">
        <is>
          <t>维度</t>
        </is>
      </c>
      <c r="B10" s="3" t="inlineStr">
        <is>
          <t>看什么</t>
        </is>
      </c>
      <c r="C10" s="3" t="inlineStr">
        <is>
          <t>高 / 中 / 低锚点</t>
        </is>
      </c>
    </row>
    <row r="11" ht="36" customHeight="1">
      <c r="A11" s="36" t="inlineStr">
        <is>
          <t>产品匹配</t>
        </is>
      </c>
      <c r="B11" s="36" t="inlineStr">
        <is>
          <t>产品规格/用途是否对口、采购体系是否开放、能否投标进入</t>
        </is>
      </c>
      <c r="C11" s="36" t="inlineStr">
        <is>
          <t>高：窑炉/产线用户且采购公开；中：用途对口但准入门槛不明；低：规格不对口或仅用替代品</t>
        </is>
      </c>
    </row>
    <row r="12" ht="36" customHeight="1">
      <c r="A12" s="36" t="inlineStr">
        <is>
          <t>需求规模</t>
        </is>
      </c>
      <c r="B12" s="36" t="inlineStr">
        <is>
          <t>年采购量与采购额（按产能×单耗估算）</t>
        </is>
      </c>
      <c r="C12" s="36" t="inlineStr">
        <is>
          <t>高：年需求≥20 万吨；中：5–20 万吨；低：&lt;5 万吨</t>
        </is>
      </c>
    </row>
    <row r="13" ht="36" customHeight="1">
      <c r="A13" s="36" t="inlineStr">
        <is>
          <t>真实产能</t>
        </is>
      </c>
      <c r="B13" s="36" t="inlineStr">
        <is>
          <t>窑炉是否在产、开工率、改造/冷修影响</t>
        </is>
      </c>
      <c r="C13" s="36" t="inlineStr">
        <is>
          <t>高：产线满开且盈利；中：部分冷修/改造降量；低：大面积停产</t>
        </is>
      </c>
    </row>
    <row r="14" ht="36" customHeight="1">
      <c r="A14" s="36" t="inlineStr">
        <is>
          <t>企业规模</t>
        </is>
      </c>
      <c r="B14" s="36" t="inlineStr">
        <is>
          <t>营收/资产规模与信用</t>
        </is>
      </c>
      <c r="C14" s="36" t="inlineStr">
        <is>
          <t>高：龙头、盈利、评级好；中：中型上市但亏损；低：小微/信息不透明</t>
        </is>
      </c>
    </row>
    <row r="15" ht="36" customHeight="1">
      <c r="A15" s="36" t="inlineStr">
        <is>
          <t>距离/区域</t>
        </is>
      </c>
      <c r="B15" s="36" t="inlineStr">
        <is>
          <t>运距与运费占比、是否在竞争半径内</t>
        </is>
      </c>
      <c r="C15" s="36" t="inlineStr">
        <is>
          <t>高：≤600km 且运费&lt;25%货值；中：600–1200km；低：&gt;1200km 或海外</t>
        </is>
      </c>
    </row>
    <row r="16" ht="36" customHeight="1">
      <c r="A16" s="36" t="inlineStr">
        <is>
          <t>近期机会</t>
        </is>
      </c>
      <c r="B16" s="36" t="inlineStr">
        <is>
          <t>改造/点火/扩建/招标等时间窗口与需求增量</t>
        </is>
      </c>
      <c r="C16" s="36" t="inlineStr">
        <is>
          <t>高：6 个月内有投产或招标；中：12 个月内有；低：无明确节点</t>
        </is>
      </c>
    </row>
    <row r="17" ht="36" customHeight="1">
      <c r="A17" s="36" t="inlineStr">
        <is>
          <t>不确定性</t>
        </is>
      </c>
      <c r="B17" s="36" t="inlineStr">
        <is>
          <t>越低越好：资信、账期、锁价与需求波动风险</t>
        </is>
      </c>
      <c r="C17" s="36" t="inlineStr">
        <is>
          <t>高：连亏+长账期；中：信息不透明；低：盈利稳定+付款好（分数越低风险越大）</t>
        </is>
      </c>
    </row>
    <row r="19" ht="22" customHeight="1">
      <c r="A19" s="34" t="inlineStr">
        <is>
          <t>三、评分与阈值</t>
        </is>
      </c>
    </row>
    <row r="20" ht="20" customHeight="1">
      <c r="A20" s="35" t="inlineStr">
        <is>
          <t>维度分值 0–100 是「事实 → 排序」的映射：排序分 = Σ(维度分 × 权重) / Σ权重。</t>
        </is>
      </c>
    </row>
    <row r="21" ht="20" customHeight="1">
      <c r="A21" s="35" t="inlineStr">
        <is>
          <t>评级阈值：高 ≥75、中 55–74、低 &lt;55。评级只是快速锚点，请始终以「事实」列为准。</t>
        </is>
      </c>
    </row>
    <row r="22" ht="20" customHeight="1">
      <c r="A22" s="35" t="inlineStr">
        <is>
          <t>「不确定性」维度分数越低=风险越大（与其他维度方向相反），总览中以红色提示。</t>
        </is>
      </c>
    </row>
    <row r="24" ht="22" customHeight="1">
      <c r="A24" s="34" t="inlineStr">
        <is>
          <t>四、估算口径（务必在成交前核实）</t>
        </is>
      </c>
    </row>
    <row r="25" ht="20" customHeight="1">
      <c r="A25" s="35" t="inlineStr">
        <is>
          <t>年纯碱需求 ≈ 日熔量 × 0.2 吨碱/吨玻璃 × 年运行 330 天（玻璃行业单耗 0.18–0.22 取中值）；</t>
        </is>
      </c>
    </row>
    <row r="26" ht="20" customHeight="1">
      <c r="A26" s="35" t="inlineStr">
        <is>
          <t>年采购额按 1,000 元/吨估算（2026-10 重碱现货 970–1,050 元/吨）；</t>
        </is>
      </c>
    </row>
    <row r="27" ht="20" customHeight="1">
      <c r="A27" s="35" t="inlineStr">
        <is>
          <t>公路运费按 0.35–0.5 元/吨·公里估算，距离取地图公路里程近似值；</t>
        </is>
      </c>
    </row>
    <row r="28" ht="20" customHeight="1">
      <c r="A28" s="35" t="inlineStr">
        <is>
          <t>客户产线/开工数据以最近一期年报、半年报及行业产线动态为准，改造/冷修期间的量需单独扣减。</t>
        </is>
      </c>
    </row>
    <row r="30" ht="22" customHeight="1">
      <c r="A30" s="34" t="inlineStr">
        <is>
          <t>五、局限与免责</t>
        </is>
      </c>
    </row>
    <row r="31" ht="20" customHeight="1">
      <c r="A31" s="35" t="inlineStr">
        <is>
          <t>本工作簿依据 2026-10 时点公开信息整理，实际采购量、价格与账期需向客户直接确认；</t>
        </is>
      </c>
    </row>
    <row r="32" ht="20" customHeight="1">
      <c r="A32" s="35" t="inlineStr">
        <is>
          <t>评分与排序是销售资源分配辅助工具，不构成投资、授信或采购建议；</t>
        </is>
      </c>
    </row>
    <row r="33" ht="20" customHeight="1">
      <c r="A33" s="35" t="inlineStr">
        <is>
          <t>事实更新后请同步更新「七维判断明细」与来源日期，历史判断不应被当成永久结论。</t>
        </is>
      </c>
    </row>
  </sheetData>
  <mergeCells count="20">
    <mergeCell ref="A9:H9"/>
    <mergeCell ref="A30:H30"/>
    <mergeCell ref="A24:H24"/>
    <mergeCell ref="A6:H6"/>
    <mergeCell ref="A2:F2"/>
    <mergeCell ref="A7:H7"/>
    <mergeCell ref="A25:H25"/>
    <mergeCell ref="A27:H27"/>
    <mergeCell ref="A26:H26"/>
    <mergeCell ref="A21:H21"/>
    <mergeCell ref="A33:H33"/>
    <mergeCell ref="A5:H5"/>
    <mergeCell ref="A32:H32"/>
    <mergeCell ref="A22:H22"/>
    <mergeCell ref="A4:H4"/>
    <mergeCell ref="A20:H20"/>
    <mergeCell ref="A1:F1"/>
    <mergeCell ref="A28:H28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2026-10-19T03:31:11Z</dcterms:created>
  <dcterms:modified xmlns:dcterms="http://purl.org/dc/terms/" xmlns:xsi="http://www.w3.org/2001/XMLSchema-instance" xsi:type="dcterms:W3CDTF">2026-10-19T03:31:11Z</dcterms:modified>
</cp:coreProperties>
</file>
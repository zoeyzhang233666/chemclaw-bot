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结论" sheetId="1" state="visible" r:id="rId1"/>
    <sheet xmlns:r="http://schemas.openxmlformats.org/officeDocument/2006/relationships" name="01_客户报价输入" sheetId="2" state="visible" r:id="rId2"/>
    <sheet xmlns:r="http://schemas.openxmlformats.org/officeDocument/2006/relationships" name="02_口径对照" sheetId="3" state="visible" r:id="rId3"/>
    <sheet xmlns:r="http://schemas.openxmlformats.org/officeDocument/2006/relationships" name="03_市场报价与历史" sheetId="4" state="visible" r:id="rId4"/>
    <sheet xmlns:r="http://schemas.openxmlformats.org/officeDocument/2006/relationships" name="04_偏离计算" sheetId="5" state="visible" r:id="rId5"/>
    <sheet xmlns:r="http://schemas.openxmlformats.org/officeDocument/2006/relationships" name="05_历史走势数据" sheetId="6" state="visible" r:id="rId6"/>
    <sheet xmlns:r="http://schemas.openxmlformats.org/officeDocument/2006/relationships" name="06_区域对比" sheetId="7" state="visible" r:id="rId7"/>
    <sheet xmlns:r="http://schemas.openxmlformats.org/officeDocument/2006/relationships" name="07_待确认问题" sheetId="8" state="visible" r:id="rId8"/>
    <sheet xmlns:r="http://schemas.openxmlformats.org/officeDocument/2006/relationships" name="08_数据缺口" sheetId="9" state="visible" r:id="rId9"/>
    <sheet xmlns:r="http://schemas.openxmlformats.org/officeDocument/2006/relationships" name="09_计算过程" sheetId="10" state="visible" r:id="rId10"/>
    <sheet xmlns:r="http://schemas.openxmlformats.org/officeDocument/2006/relationships" name="10_沟通事实要点" sheetId="11" state="visible" r:id="rId11"/>
    <sheet xmlns:r="http://schemas.openxmlformats.org/officeDocument/2006/relationships" name="11_数据来源清单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+0.0%;-0.0%;0.0%"/>
  </numFmts>
  <fonts count="14">
    <font>
      <name val="Calibri"/>
      <family val="2"/>
      <color theme="1"/>
      <sz val="11"/>
      <scheme val="minor"/>
    </font>
    <font>
      <name val="微软雅黑"/>
      <b val="1"/>
      <color rgb="001F4E79"/>
      <sz val="15"/>
    </font>
    <font>
      <name val="微软雅黑"/>
      <color rgb="006B7684"/>
      <sz val="9"/>
    </font>
    <font>
      <name val="微软雅黑"/>
      <b val="1"/>
      <color rgb="007A5C14"/>
      <sz val="10"/>
    </font>
    <font>
      <name val="微软雅黑"/>
      <b val="1"/>
      <color rgb="001F4E79"/>
      <sz val="11.5"/>
    </font>
    <font>
      <name val="微软雅黑"/>
      <b val="1"/>
      <color rgb="0017202E"/>
      <sz val="10"/>
    </font>
    <font>
      <name val="微软雅黑"/>
      <color rgb="0017202E"/>
      <sz val="10"/>
    </font>
    <font>
      <name val="微软雅黑"/>
      <color rgb="001155CC"/>
      <sz val="9"/>
      <u val="single"/>
    </font>
    <font>
      <name val="微软雅黑"/>
      <b val="1"/>
      <color rgb="00C0392B"/>
      <sz val="13"/>
    </font>
    <font>
      <name val="微软雅黑"/>
      <b val="1"/>
      <color rgb="00FFFFFF"/>
      <sz val="10"/>
    </font>
    <font>
      <name val="微软雅黑"/>
      <b val="1"/>
      <color rgb="00C0392B"/>
      <sz val="10"/>
    </font>
    <font>
      <name val="微软雅黑"/>
      <b val="1"/>
      <color rgb="00C0392B"/>
      <sz val="12"/>
    </font>
    <font>
      <name val="&lt;openpyxl.styles.fills.PatternFill object&gt;&#10;Parameters:&#10;patternType='solid', fgColor=&lt;openpyxl.styles.colors.Color object&gt;&#10;Parameters:&#10;rgb='00FFF9E6', indexed=None, auto=None, theme=None, tint=0.0, type='rgb', bgColor=&lt;openpyxl.styles.colors.Color object&gt;&#10;Parameters:&#10;rgb='00000000', indexed=None, auto=None, theme=None, tint=0.0, type='rgb'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FDF6E7"/>
      </patternFill>
    </fill>
    <fill>
      <patternFill patternType="solid">
        <fgColor rgb="00EAF1F8"/>
      </patternFill>
    </fill>
    <fill>
      <patternFill patternType="solid">
        <fgColor rgb="00F5F7FA"/>
      </patternFill>
    </fill>
    <fill>
      <patternFill patternType="solid">
        <fgColor rgb="00FFF9E6"/>
      </patternFill>
    </fill>
    <fill>
      <patternFill patternType="solid">
        <fgColor rgb="00FDF0EE"/>
      </patternFill>
    </fill>
    <fill>
      <patternFill patternType="solid">
        <fgColor rgb="001F4E79"/>
      </patternFill>
    </fill>
    <fill>
      <patternFill patternType="solid">
        <fgColor rgb="00EAF6F0"/>
      </patternFill>
    </fill>
  </fills>
  <borders count="6">
    <border>
      <left/>
      <right/>
      <top/>
      <bottom/>
      <diagonal/>
    </border>
    <border>
      <left style="thin">
        <color rgb="00D3D9E3"/>
      </left>
      <right style="thin">
        <color rgb="00D3D9E3"/>
      </right>
      <top style="thin">
        <color rgb="00D3D9E3"/>
      </top>
      <bottom style="thin">
        <color rgb="00D3D9E3"/>
      </bottom>
    </border>
    <border>
      <left/>
      <right/>
      <top style="thin">
        <color rgb="00D3D9E3"/>
      </top>
      <bottom/>
      <diagonal/>
    </border>
    <border>
      <left/>
      <right style="thin">
        <color rgb="00D3D9E3"/>
      </right>
      <top style="thin">
        <color rgb="00D3D9E3"/>
      </top>
      <bottom/>
      <diagonal/>
    </border>
    <border>
      <left/>
      <right style="thin">
        <color rgb="00D3D9E3"/>
      </right>
      <top style="thin">
        <color rgb="00D3D9E3"/>
      </top>
      <bottom style="thin">
        <color rgb="00D3D9E3"/>
      </bottom>
      <diagonal/>
    </border>
    <border>
      <left/>
      <right/>
      <top style="thin">
        <color rgb="00D3D9E3"/>
      </top>
      <bottom style="thin">
        <color rgb="00D3D9E3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3" fontId="6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165" fontId="6" fillId="5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3" fontId="6" fillId="2" borderId="1" applyAlignment="1" pivotButton="0" quotePrefix="0" xfId="0">
      <alignment horizontal="right" vertical="center"/>
    </xf>
    <xf numFmtId="3" fontId="5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vertical="top" wrapText="1"/>
    </xf>
    <xf numFmtId="3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6" borderId="1" applyAlignment="1" pivotButton="0" quotePrefix="0" xfId="0">
      <alignment vertical="top" wrapText="1"/>
    </xf>
    <xf numFmtId="0" fontId="11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steel.com/oilchem/a/26102015/0877CD14C3251184.htm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mysteel.com/oilchem/a/26102015/0877CD14C3251184.html" TargetMode="External" Id="rId1"/><Relationship Type="http://schemas.openxmlformats.org/officeDocument/2006/relationships/hyperlink" Target="https://www.mysteel.com/oilchem/a/26102015/EA2C185BD7E6C29E.html" TargetMode="External" Id="rId2"/><Relationship Type="http://schemas.openxmlformats.org/officeDocument/2006/relationships/hyperlink" Target="https://www.chemall.com.cn/news/show-264502.html" TargetMode="External" Id="rId3"/><Relationship Type="http://schemas.openxmlformats.org/officeDocument/2006/relationships/hyperlink" Target="https://www.mysteel.com/oilchem/a/26101214/7B985DEE621CAC82.html" TargetMode="External" Id="rId4"/><Relationship Type="http://schemas.openxmlformats.org/officeDocument/2006/relationships/hyperlink" Target="https://www.mysteel.com/oilchem/a/26101214/7FA69DFCD8D8BADE.html" TargetMode="External" Id="rId5"/><Relationship Type="http://schemas.openxmlformats.org/officeDocument/2006/relationships/hyperlink" Target="https://news.10jqka.com.cn/20261010/c680552148.shtml" TargetMode="External" Id="rId6"/><Relationship Type="http://schemas.openxmlformats.org/officeDocument/2006/relationships/hyperlink" Target="https://www.mysteel.com/oilchem/a/26101014/FF1A43B14CB11155.html" TargetMode="External" Id="rId7"/><Relationship Type="http://schemas.openxmlformats.org/officeDocument/2006/relationships/hyperlink" Target="https://www.mysteel.com/oilchem/a/26042715/5E8BB24F8B18A1AC.html" TargetMode="External" Id="rId8"/><Relationship Type="http://schemas.openxmlformats.org/officeDocument/2006/relationships/hyperlink" Target="https://www.mysteel.com/oilchem/a/26051916/CE4605A2620E90F7.html" TargetMode="External" Id="rId9"/><Relationship Type="http://schemas.openxmlformats.org/officeDocument/2006/relationships/hyperlink" Target="https://news.10jqka.com.cn/20260617/c677534618.shtml" TargetMode="External" Id="rId10"/><Relationship Type="http://schemas.openxmlformats.org/officeDocument/2006/relationships/hyperlink" Target="https://www.mysteel.com/oilchem/a/26072716/13649DB9A94FCAFB.html" TargetMode="External" Id="rId11"/><Relationship Type="http://schemas.openxmlformats.org/officeDocument/2006/relationships/hyperlink" Target="https://stock.10jqka.com.cn/20260728/c678488931.shtml" TargetMode="External" Id="rId12"/><Relationship Type="http://schemas.openxmlformats.org/officeDocument/2006/relationships/hyperlink" Target="https://www.mysteel.com/oilchem/a/26080516/799ED20A6BBB9B16.html" TargetMode="External" Id="rId13"/><Relationship Type="http://schemas.openxmlformats.org/officeDocument/2006/relationships/hyperlink" Target="https://news.10jqka.com.cn/20260806/c678727075.shtml" TargetMode="External" Id="rId14"/><Relationship Type="http://schemas.openxmlformats.org/officeDocument/2006/relationships/hyperlink" Target="https://www.mysteel.com/oilchem/a/26081215/3C2125C354434659.html" TargetMode="External" Id="rId15"/><Relationship Type="http://schemas.openxmlformats.org/officeDocument/2006/relationships/hyperlink" Target="https://www.mysteel.com/oilchem/a/26081815/DFBD0BCD84683417.html" TargetMode="External" Id="rId16"/><Relationship Type="http://schemas.openxmlformats.org/officeDocument/2006/relationships/hyperlink" Target="https://www.mysteel.com/oilchem/a/26091015/A0D182907C402BE9.html" TargetMode="External" Id="rId17"/><Relationship Type="http://schemas.openxmlformats.org/officeDocument/2006/relationships/hyperlink" Target="https://www.mysteel.com/oilchem/a/26091415/CE109E81A14E10E9.html" TargetMode="External" Id="rId18"/><Relationship Type="http://schemas.openxmlformats.org/officeDocument/2006/relationships/hyperlink" Target="https://www.mysteel.com/oilchem/a/26092014/FCF532383597976E.html" TargetMode="External" Id="rId19"/><Relationship Type="http://schemas.openxmlformats.org/officeDocument/2006/relationships/hyperlink" Target="https://www.mysteel.com/oilchem/a/26092115/ED47BBECCD21BCFE.html" TargetMode="External" Id="rId20"/><Relationship Type="http://schemas.openxmlformats.org/officeDocument/2006/relationships/hyperlink" Target="https://www.mysteel.com/oilchem/a/26093010/705BD3D0AA9DBBED.html" TargetMode="External" Id="rId21"/><Relationship Type="http://schemas.openxmlformats.org/officeDocument/2006/relationships/hyperlink" Target="https://www.mysteel.com/oilchem/a/26101015/263051CCFEEA1859.html" TargetMode="External" Id="rId22"/><Relationship Type="http://schemas.openxmlformats.org/officeDocument/2006/relationships/hyperlink" Target="https://www.mysteel.com/oilchem/a/26101415/8E759DEF0FABB7A3.html" TargetMode="External" Id="rId23"/><Relationship Type="http://schemas.openxmlformats.org/officeDocument/2006/relationships/hyperlink" Target="https://www.mysteel.com/oilchem/a/26102015/0877CD14C3251184.html" TargetMode="External" Id="rId24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mysteel.com/oilchem/a/26102015/0877CD14C3251184.html" TargetMode="External" Id="rId1"/><Relationship Type="http://schemas.openxmlformats.org/officeDocument/2006/relationships/hyperlink" Target="https://news.10jqka.com.cn/20261010/c680552148.shtml" TargetMode="External" Id="rId2"/><Relationship Type="http://schemas.openxmlformats.org/officeDocument/2006/relationships/hyperlink" Target="https://www.mysteel.com/oilchem/a/26101214/7B985DEE621CAC82.html" TargetMode="External" Id="rId3"/><Relationship Type="http://schemas.openxmlformats.org/officeDocument/2006/relationships/hyperlink" Target="https://www.mysteel.com/oilchem/a/26101214/7FA69DFCD8D8BADE.html" TargetMode="External" Id="rId4"/><Relationship Type="http://schemas.openxmlformats.org/officeDocument/2006/relationships/hyperlink" Target="https://www.mysteel.com/oilchem/a/26102015/EA2C185BD7E6C29E.html" TargetMode="External" Id="rId5"/><Relationship Type="http://schemas.openxmlformats.org/officeDocument/2006/relationships/hyperlink" Target="https://www.mysteel.com/oilchem/a/26101014/FF1A43B14CB11155.html" TargetMode="External" Id="rId6"/><Relationship Type="http://schemas.openxmlformats.org/officeDocument/2006/relationships/hyperlink" Target="https://www.chemall.com.cn/news/show-264502.html" TargetMode="External" Id="rId7"/><Relationship Type="http://schemas.openxmlformats.org/officeDocument/2006/relationships/hyperlink" Target="https://www.mysteel.com/oilchem/a/26042715/5E8BB24F8B18A1AC.html" TargetMode="External" Id="rId8"/><Relationship Type="http://schemas.openxmlformats.org/officeDocument/2006/relationships/hyperlink" Target="https://www.mysteel.com/oilchem/a/26051916/CE4605A2620E90F7.html" TargetMode="External" Id="rId9"/><Relationship Type="http://schemas.openxmlformats.org/officeDocument/2006/relationships/hyperlink" Target="https://news.10jqka.com.cn/20260617/c677534618.shtml" TargetMode="External" Id="rId10"/><Relationship Type="http://schemas.openxmlformats.org/officeDocument/2006/relationships/hyperlink" Target="https://www.mysteel.com/oilchem/a/26072716/13649DB9A94FCAFB.html" TargetMode="External" Id="rId11"/><Relationship Type="http://schemas.openxmlformats.org/officeDocument/2006/relationships/hyperlink" Target="https://stock.10jqka.com.cn/20260728/c678488931.shtml" TargetMode="External" Id="rId12"/><Relationship Type="http://schemas.openxmlformats.org/officeDocument/2006/relationships/hyperlink" Target="https://www.mysteel.com/oilchem/a/26080516/799ED20A6BBB9B16.html" TargetMode="External" Id="rId13"/><Relationship Type="http://schemas.openxmlformats.org/officeDocument/2006/relationships/hyperlink" Target="https://news.10jqka.com.cn/20260806/c678727075.shtml" TargetMode="External" Id="rId14"/><Relationship Type="http://schemas.openxmlformats.org/officeDocument/2006/relationships/hyperlink" Target="https://www.mysteel.com/oilchem/a/26081215/3C2125C354434659.html" TargetMode="External" Id="rId15"/><Relationship Type="http://schemas.openxmlformats.org/officeDocument/2006/relationships/hyperlink" Target="https://www.mysteel.com/oilchem/a/26081815/DFBD0BCD84683417.html" TargetMode="External" Id="rId16"/><Relationship Type="http://schemas.openxmlformats.org/officeDocument/2006/relationships/hyperlink" Target="https://www.mysteel.com/oilchem/a/26091015/A0D182907C402BE9.html" TargetMode="External" Id="rId17"/><Relationship Type="http://schemas.openxmlformats.org/officeDocument/2006/relationships/hyperlink" Target="https://www.mysteel.com/oilchem/a/26091415/CE109E81A14E10E9.html" TargetMode="External" Id="rId18"/><Relationship Type="http://schemas.openxmlformats.org/officeDocument/2006/relationships/hyperlink" Target="https://www.mysteel.com/oilchem/a/26092014/FCF532383597976E.html" TargetMode="External" Id="rId19"/><Relationship Type="http://schemas.openxmlformats.org/officeDocument/2006/relationships/hyperlink" Target="https://www.mysteel.com/oilchem/a/26092115/ED47BBECCD21BCFE.html" TargetMode="External" Id="rId20"/><Relationship Type="http://schemas.openxmlformats.org/officeDocument/2006/relationships/hyperlink" Target="https://www.mysteel.com/oilchem/a/26093010/705BD3D0AA9DBBED.html" TargetMode="External" Id="rId21"/><Relationship Type="http://schemas.openxmlformats.org/officeDocument/2006/relationships/hyperlink" Target="https://www.mysteel.com/oilchem/a/26101015/263051CCFEEA1859.html" TargetMode="External" Id="rId22"/><Relationship Type="http://schemas.openxmlformats.org/officeDocument/2006/relationships/hyperlink" Target="https://www.mysteel.com/oilchem/a/26101415/8E759DEF0FABB7A3.html" TargetMode="External" Id="rId23"/><Relationship Type="http://schemas.openxmlformats.org/officeDocument/2006/relationships/hyperlink" Target="https://www.mysteel.com/oilchem/a/26102015/0877CD14C3251184.html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6" customWidth="1" min="3" max="3"/>
    <col width="46" customWidth="1" min="4" max="4"/>
  </cols>
  <sheetData>
    <row r="1" ht="30" customHeight="1">
      <c r="A1" s="1" t="inlineStr">
        <is>
          <t>重质纯碱 · 华东地区 客户市场价核验</t>
        </is>
      </c>
    </row>
    <row r="2" ht="30" customHeight="1">
      <c r="A2" s="2" t="inlineStr">
        <is>
          <t>规格：重质纯碱（重碱），工业级 Na₂CO₃ ≥99.2%（未逐批核验粒度与铁含量）　|　地区口径：隆众资讯『华东地区』市场口径（含江苏、浙江、上海、安徽、山东等华东产销区），非单一城市或单一工厂　|　基准日：2026-10-20　|　案例：SODA-EAST-2026-10-20</t>
        </is>
      </c>
    </row>
    <row r="3"/>
    <row r="4" ht="34" customHeight="1">
      <c r="A4" s="3" t="inlineStr">
        <is>
          <t>⚠ 本条客户消息为 Skill 验收用模拟输入，其中 1400 元/吨 仅为测试数字，不代表任何真实客户的真实报价或真实市场水平。</t>
        </is>
      </c>
    </row>
    <row r="5"/>
    <row r="6" ht="22" customHeight="1">
      <c r="A6" s="4" t="inlineStr">
        <is>
          <t>一、客户所述价格（原文与已识别信息）</t>
        </is>
      </c>
    </row>
    <row r="7">
      <c r="A7" s="5" t="inlineStr">
        <is>
          <t>客户原话</t>
        </is>
      </c>
      <c r="B7" s="6" t="inlineStr">
        <is>
          <t>【模拟】现在华东重质纯碱市场才1400元/吨，你们报价是不是太高了？</t>
        </is>
      </c>
      <c r="C7" s="5" t="inlineStr">
        <is>
          <t>识别渠道</t>
        </is>
      </c>
      <c r="D7" s="6" t="inlineStr">
        <is>
          <t>微信</t>
        </is>
      </c>
    </row>
    <row r="8">
      <c r="A8" s="5" t="inlineStr">
        <is>
          <t>客户所述价格</t>
        </is>
      </c>
      <c r="B8" s="7" t="n">
        <v>1400</v>
      </c>
      <c r="C8" s="5" t="inlineStr">
        <is>
          <t>税费口径</t>
        </is>
      </c>
      <c r="D8" s="6" t="inlineStr">
        <is>
          <t>未注明</t>
        </is>
      </c>
    </row>
    <row r="9">
      <c r="A9" s="5" t="inlineStr">
        <is>
          <t>客户所述规格</t>
        </is>
      </c>
      <c r="B9" s="6" t="inlineStr">
        <is>
          <t>重质纯碱</t>
        </is>
      </c>
      <c r="C9" s="5" t="inlineStr">
        <is>
          <t>交付口径</t>
        </is>
      </c>
      <c r="D9" s="6" t="inlineStr">
        <is>
          <t>未注明</t>
        </is>
      </c>
    </row>
    <row r="10">
      <c r="A10" s="5" t="inlineStr">
        <is>
          <t>客户所述地区</t>
        </is>
      </c>
      <c r="B10" s="6" t="inlineStr">
        <is>
          <t>华东地区</t>
        </is>
      </c>
      <c r="C10" s="5" t="inlineStr">
        <is>
          <t>付款方式</t>
        </is>
      </c>
      <c r="D10" s="6" t="inlineStr">
        <is>
          <t>未注明</t>
        </is>
      </c>
    </row>
    <row r="11">
      <c r="A11" s="5" t="inlineStr">
        <is>
          <t>采购数量</t>
        </is>
      </c>
      <c r="B11" s="6" t="inlineStr">
        <is>
          <t>未说明</t>
        </is>
      </c>
      <c r="C11" s="5" t="inlineStr">
        <is>
          <t>价格取得日期</t>
        </is>
      </c>
      <c r="D11" s="6" t="inlineStr">
        <is>
          <t>未说明</t>
        </is>
      </c>
    </row>
    <row r="12"/>
    <row r="13" ht="22" customHeight="1">
      <c r="A13" s="4" t="inlineStr">
        <is>
          <t>二、市场参考价格（同规格·同地区·同税费·同交付）</t>
        </is>
      </c>
    </row>
    <row r="14">
      <c r="A14" s="8" t="inlineStr">
        <is>
          <t>市场参考区间</t>
        </is>
      </c>
      <c r="B14" s="8">
        <f>TEXT('01_客户报价输入'!B22,"#,##0")&amp;" – "&amp;TEXT('01_客户报价输入'!B23,"#,##0")&amp;" 元/吨"</f>
        <v/>
      </c>
      <c r="C14" s="8" t="inlineStr">
        <is>
          <t>报价日期</t>
        </is>
      </c>
      <c r="D14" s="8" t="inlineStr">
        <is>
          <t>2026-10-20</t>
        </is>
      </c>
    </row>
    <row r="15">
      <c r="A15" s="5" t="inlineStr">
        <is>
          <t>数据来源</t>
        </is>
      </c>
      <c r="B15" s="6" t="inlineStr">
        <is>
          <t>隆众资讯（经我的钢铁网 mysteel.com 转载）</t>
        </is>
      </c>
      <c r="C15" s="5" t="inlineStr">
        <is>
          <t>口径</t>
        </is>
      </c>
      <c r="D15" s="6" t="inlineStr">
        <is>
          <t>现金含税 · 送到</t>
        </is>
      </c>
    </row>
    <row r="16">
      <c r="A16" s="5" t="inlineStr">
        <is>
          <t>原始链接</t>
        </is>
      </c>
      <c r="B16" s="9" t="inlineStr">
        <is>
          <t>https://www.mysteel.com/oilchem/a/26102015/0877CD14C3251184.html</t>
        </is>
      </c>
    </row>
    <row r="17">
      <c r="A17" s="5" t="inlineStr">
        <is>
          <t>市场报价类型</t>
        </is>
      </c>
      <c r="B17" s="6" t="inlineStr">
        <is>
          <t>市场报价区间（置信度 高）</t>
        </is>
      </c>
      <c r="C17" s="5" t="inlineStr">
        <is>
          <t>近3月价格带</t>
        </is>
      </c>
      <c r="D17" s="6" t="inlineStr">
        <is>
          <t>1,125 – 1,200 元/吨（n=12）</t>
        </is>
      </c>
    </row>
    <row r="18"/>
    <row r="19" ht="22" customHeight="1">
      <c r="A19" s="4" t="inlineStr">
        <is>
          <t>三、核验结论</t>
        </is>
      </c>
    </row>
    <row r="20" ht="26" customHeight="1">
      <c r="A20" s="10">
        <f>'04_偏离计算'!B35</f>
        <v/>
      </c>
    </row>
    <row r="21" ht="52" customHeight="1">
      <c r="A21" s="11" t="inlineStr">
        <is>
          <t>客户价高于区间上沿 200 元/吨（区间半宽 75 元/吨，区间宽 150）。；且客户价高于近 3 个月同口径价格带上沿 1200 元/吨。（口径提示：客户未说明含税/不含税；客户未说明出厂/送到；客户未说明付款方式/账期，需客户确认后复核）</t>
        </is>
      </c>
    </row>
    <row r="22"/>
    <row r="23" ht="22" customHeight="1">
      <c r="A23" s="4" t="inlineStr">
        <is>
          <t>四、使用说明</t>
        </is>
      </c>
    </row>
    <row r="24">
      <c r="A24" s="11" t="inlineStr">
        <is>
          <t>1. 先在「01_客户报价输入」里填客户价格、税费/交付口径、我方报价（与报价文件一致）；其它表会自动重算。</t>
        </is>
      </c>
    </row>
    <row r="25">
      <c r="A25" s="11" t="inlineStr">
        <is>
          <t>2. 「03_市场报价与历史」是可替换的数据区：换品种/换地区时，按表头六项口径逐行替换即可，不要改「04_偏离计算」里的公式。</t>
        </is>
      </c>
    </row>
    <row r="26">
      <c r="A26" s="11" t="inlineStr">
        <is>
          <t>3. 「04_偏离计算」所有偏离金额与比例都是公式，可鼠标点到单元格查看引用关系。</t>
        </is>
      </c>
    </row>
    <row r="27">
      <c r="A27" s="11" t="inlineStr">
        <is>
          <t>4. 「08_数据缺口」列出拿不到的数据；在补上之前，不要给出比表内区间更细的结论。</t>
        </is>
      </c>
    </row>
    <row r="28">
      <c r="A28" s="11" t="inlineStr">
        <is>
          <t>5. 本簿不提供报价建议、不提供让价幅度；沟通话术在「10_沟通事实要点」中仅是客观事实，需人工审核后使用。</t>
        </is>
      </c>
    </row>
    <row r="29"/>
    <row r="30"/>
    <row r="31"/>
    <row r="32"/>
    <row r="33"/>
    <row r="34"/>
    <row r="35"/>
    <row r="36"/>
    <row r="37"/>
    <row r="38"/>
    <row r="39"/>
    <row r="40"/>
  </sheetData>
  <mergeCells count="15">
    <mergeCell ref="A1:D1"/>
    <mergeCell ref="A27:D27"/>
    <mergeCell ref="A4:D4"/>
    <mergeCell ref="A20:D20"/>
    <mergeCell ref="A21:D21"/>
    <mergeCell ref="A26:D26"/>
    <mergeCell ref="B16:D16"/>
    <mergeCell ref="A13:H13"/>
    <mergeCell ref="A19:H19"/>
    <mergeCell ref="A24:D24"/>
    <mergeCell ref="A2:D2"/>
    <mergeCell ref="A25:D25"/>
    <mergeCell ref="A23:H23"/>
    <mergeCell ref="A28:D28"/>
    <mergeCell ref="A6:H6"/>
  </mergeCells>
  <hyperlinks>
    <hyperlink xmlns:r="http://schemas.openxmlformats.org/officeDocument/2006/relationships" ref="B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26" customWidth="1" min="3" max="3"/>
    <col width="52" customWidth="1" min="4" max="4"/>
  </cols>
  <sheetData>
    <row r="1" ht="30" customHeight="1">
      <c r="A1" s="1" t="inlineStr">
        <is>
          <t>客户报价输入（黄色单元格为可修改项）</t>
        </is>
      </c>
    </row>
    <row r="2" ht="30" customHeight="1">
      <c r="A2" s="2" t="inlineStr">
        <is>
          <t>口径不一致或缺失时，请在「推断口径」一栏说明来源；不要凭猜填写。</t>
        </is>
      </c>
    </row>
    <row r="4" ht="30" customHeight="1">
      <c r="A4" s="12" t="inlineStr">
        <is>
          <t>字段</t>
        </is>
      </c>
      <c r="B4" s="12" t="inlineStr">
        <is>
          <t>值</t>
        </is>
      </c>
      <c r="C4" s="12" t="inlineStr">
        <is>
          <t>备注 / 口径</t>
        </is>
      </c>
      <c r="D4" s="12" t="inlineStr">
        <is>
          <t>说明</t>
        </is>
      </c>
    </row>
    <row r="5">
      <c r="A5" s="5" t="inlineStr">
        <is>
          <t>客户所述价格</t>
        </is>
      </c>
      <c r="B5" s="13" t="n">
        <v>1400</v>
      </c>
      <c r="C5" s="14" t="inlineStr">
        <is>
          <t>必填。客户口头或微信里给出的数字，不要自行折算。</t>
        </is>
      </c>
      <c r="D5" s="14" t="inlineStr"/>
    </row>
    <row r="6">
      <c r="A6" s="5" t="inlineStr">
        <is>
          <t>单位</t>
        </is>
      </c>
      <c r="B6" s="15" t="inlineStr">
        <is>
          <t>元/吨</t>
        </is>
      </c>
      <c r="C6" s="14" t="inlineStr">
        <is>
          <t>若不是元/吨，请在上方注明换算关系，不要直接相乘。</t>
        </is>
      </c>
      <c r="D6" s="14" t="inlineStr"/>
    </row>
    <row r="7">
      <c r="A7" s="5" t="inlineStr">
        <is>
          <t>价差基准价（市场参考）</t>
        </is>
      </c>
      <c r="B7" s="7">
        <f>B25</f>
        <v/>
      </c>
      <c r="C7" s="14" t="inlineStr">
        <is>
          <t>公式引用 B25（市场区间中值）</t>
        </is>
      </c>
      <c r="D7" s="14" t="inlineStr"/>
    </row>
    <row r="8">
      <c r="A8" s="5" t="inlineStr">
        <is>
          <t>客户所述税费口径</t>
        </is>
      </c>
      <c r="B8" s="15" t="inlineStr">
        <is>
          <t>未注明</t>
        </is>
      </c>
      <c r="C8" s="14" t="inlineStr">
        <is>
          <t>含税 / 不含税 / 未注明。必须与市场口径一致才能直接比。</t>
        </is>
      </c>
      <c r="D8" s="14" t="inlineStr"/>
    </row>
    <row r="9">
      <c r="A9" s="5" t="inlineStr">
        <is>
          <t>客户所述交付口径</t>
        </is>
      </c>
      <c r="B9" s="15" t="inlineStr">
        <is>
          <t>未注明</t>
        </is>
      </c>
      <c r="C9" s="14" t="inlineStr">
        <is>
          <t>出厂 / 送到 / 库提。送到与出厂差运费。</t>
        </is>
      </c>
      <c r="D9" s="14" t="inlineStr"/>
    </row>
    <row r="10">
      <c r="A10" s="5" t="inlineStr">
        <is>
          <t>客户所述付款方式</t>
        </is>
      </c>
      <c r="B10" s="15" t="inlineStr">
        <is>
          <t>未注明</t>
        </is>
      </c>
      <c r="C10" s="14" t="inlineStr">
        <is>
          <t>现金 / 承兑。承兑需贴现，不可默认等同现金。</t>
        </is>
      </c>
      <c r="D10" s="14" t="inlineStr"/>
    </row>
    <row r="11">
      <c r="A11" s="5" t="inlineStr">
        <is>
          <t>客户所述采购数量</t>
        </is>
      </c>
      <c r="B11" s="15" t="inlineStr">
        <is>
          <t>未说明</t>
        </is>
      </c>
      <c r="C11" s="14" t="inlineStr">
        <is>
          <t>吨/月或单笔吨位，影响成交区间位置。</t>
        </is>
      </c>
      <c r="D11" s="14" t="inlineStr"/>
    </row>
    <row r="12">
      <c r="A12" s="5" t="inlineStr">
        <is>
          <t>客户所述取得日期</t>
        </is>
      </c>
      <c r="B12" s="15" t="inlineStr">
        <is>
          <t>未说明</t>
        </is>
      </c>
      <c r="C12" s="14" t="inlineStr">
        <is>
          <t>客户说『现在才…』时，请他给出具体日期与来源。</t>
        </is>
      </c>
      <c r="D12" s="14" t="inlineStr"/>
    </row>
    <row r="13">
      <c r="A13" s="5" t="inlineStr">
        <is>
          <t>我方历史报价</t>
        </is>
      </c>
      <c r="B13" s="7" t="n"/>
      <c r="C13" s="14" t="inlineStr">
        <is>
          <t>选填。用于算『我方报价 vs 客户价』，不是建议价。</t>
        </is>
      </c>
      <c r="D13" s="14" t="inlineStr"/>
    </row>
    <row r="14">
      <c r="A14" s="5" t="inlineStr">
        <is>
          <t>我方报价税费口径</t>
        </is>
      </c>
      <c r="B14" s="15" t="inlineStr">
        <is>
          <t>未注明</t>
        </is>
      </c>
      <c r="C14" s="14" t="inlineStr">
        <is>
          <t>选填。</t>
        </is>
      </c>
      <c r="D14" s="14" t="inlineStr"/>
    </row>
    <row r="15">
      <c r="A15" s="5" t="inlineStr">
        <is>
          <t>已知运费（元/吨）</t>
        </is>
      </c>
      <c r="B15" s="7" t="n"/>
      <c r="C15" s="14" t="inlineStr">
        <is>
          <t>仅在客户为出厂、市场为送到时使用；没有就留空 → 显示无法直接折算。</t>
        </is>
      </c>
      <c r="D15" s="14" t="inlineStr"/>
    </row>
    <row r="16">
      <c r="A16" s="5" t="inlineStr">
        <is>
          <t>已知税率（增值税）</t>
        </is>
      </c>
      <c r="B16" s="16" t="n">
        <v>0.13</v>
      </c>
      <c r="C16" s="14" t="inlineStr">
        <is>
          <t>纯碱适用 13%；其它品种请按实际税率填写。换算系数自动算出。</t>
        </is>
      </c>
      <c r="D16" s="14" t="inlineStr"/>
    </row>
    <row r="17">
      <c r="A17" s="5" t="inlineStr">
        <is>
          <t>税费换算系数</t>
        </is>
      </c>
      <c r="B17" s="17">
        <f>1+B16</f>
        <v/>
      </c>
      <c r="C17" s="14" t="inlineStr">
        <is>
          <t>含税 = 不含税 × (1+税率)；由公式得出，不要手改。</t>
        </is>
      </c>
      <c r="D17" s="14" t="inlineStr"/>
    </row>
    <row r="19" ht="22" customHeight="1">
      <c r="A19" s="4" t="inlineStr">
        <is>
          <t>市场参考口径（来自 03 表，或手工指定）</t>
        </is>
      </c>
    </row>
    <row r="20" ht="30" customHeight="1">
      <c r="A20" s="12" t="inlineStr">
        <is>
          <t>项目</t>
        </is>
      </c>
      <c r="B20" s="12" t="inlineStr">
        <is>
          <t>值</t>
        </is>
      </c>
      <c r="C20" s="12" t="inlineStr">
        <is>
          <t>口径</t>
        </is>
      </c>
      <c r="D20" s="12" t="inlineStr">
        <is>
          <t>说明</t>
        </is>
      </c>
    </row>
    <row r="21">
      <c r="A21" s="5" t="inlineStr">
        <is>
          <t>市场税费口径</t>
        </is>
      </c>
      <c r="B21" s="15" t="inlineStr">
        <is>
          <t>含税</t>
        </is>
      </c>
      <c r="C21" s="14" t="inlineStr">
        <is>
          <t>参照行</t>
        </is>
      </c>
      <c r="D21" s="14" t="inlineStr">
        <is>
          <t>必须与客户口径可比；不可比时在 04 表会显示口径提示</t>
        </is>
      </c>
    </row>
    <row r="22">
      <c r="A22" s="5" t="inlineStr">
        <is>
          <t>市场交付口径</t>
        </is>
      </c>
      <c r="B22" s="15" t="inlineStr">
        <is>
          <t>送到</t>
        </is>
      </c>
      <c r="C22" s="14" t="inlineStr">
        <is>
          <t>参照行</t>
        </is>
      </c>
      <c r="D22" s="14" t="inlineStr">
        <is>
          <t>送到价含运费；出厂价不含运费</t>
        </is>
      </c>
    </row>
    <row r="23">
      <c r="A23" s="5" t="inlineStr">
        <is>
          <t>市场区间下沿</t>
        </is>
      </c>
      <c r="B23" s="7" t="n">
        <v>1050</v>
      </c>
      <c r="C23" s="14" t="inlineStr">
        <is>
          <t>元/吨</t>
        </is>
      </c>
      <c r="D23" s="14" t="inlineStr">
        <is>
          <t>来自「03_市场报价与历史」所选行</t>
        </is>
      </c>
    </row>
    <row r="24">
      <c r="A24" s="5" t="inlineStr">
        <is>
          <t>市场区间上沿</t>
        </is>
      </c>
      <c r="B24" s="7" t="n">
        <v>1200</v>
      </c>
      <c r="C24" s="14" t="inlineStr">
        <is>
          <t>元/吨</t>
        </is>
      </c>
      <c r="D24" s="14" t="inlineStr"/>
    </row>
    <row r="25">
      <c r="A25" s="8" t="inlineStr">
        <is>
          <t>市场区间中值（公式）</t>
        </is>
      </c>
      <c r="B25" s="18">
        <f>AVERAGE(B23:B24)</f>
        <v/>
      </c>
      <c r="C25" s="14" t="inlineStr">
        <is>
          <t>元/吨</t>
        </is>
      </c>
      <c r="D25" s="14">
        <f>(下沿+上沿)/2，仅取同一来源的区间</f>
        <v/>
      </c>
    </row>
    <row r="26">
      <c r="A26" s="5" t="inlineStr">
        <is>
          <t>报价日期</t>
        </is>
      </c>
      <c r="B26" s="6" t="inlineStr">
        <is>
          <t>2026-10-20</t>
        </is>
      </c>
      <c r="C26" s="14" t="inlineStr">
        <is>
          <t>日期</t>
        </is>
      </c>
      <c r="D26" s="14" t="inlineStr">
        <is>
          <t>客户价比对必须看日期</t>
        </is>
      </c>
    </row>
  </sheetData>
  <mergeCells count="3">
    <mergeCell ref="A1:D1"/>
    <mergeCell ref="A19:D19"/>
    <mergeCell ref="A2:D2"/>
  </mergeCells>
  <dataValidations count="3">
    <dataValidation sqref="B8" showDropDown="0" showInputMessage="0" showErrorMessage="0" allowBlank="1" type="list">
      <formula1>"含税,不含税,未注明"</formula1>
    </dataValidation>
    <dataValidation sqref="B9" showDropDown="0" showInputMessage="0" showErrorMessage="0" allowBlank="1" type="list">
      <formula1>"出厂,送到,库提,未注明"</formula1>
    </dataValidation>
    <dataValidation sqref="B10" showDropDown="0" showInputMessage="0" showErrorMessage="0" allowBlank="1" type="list">
      <formula1>"现金,承兑,未注明"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2" customWidth="1" min="4" max="4"/>
    <col width="42" customWidth="1" min="5" max="5"/>
    <col width="30" customWidth="1" min="6" max="6"/>
  </cols>
  <sheetData>
    <row r="1" ht="30" customHeight="1">
      <c r="A1" s="1" t="inlineStr">
        <is>
          <t>规格与交易口径对照（同口径优先）</t>
        </is>
      </c>
    </row>
    <row r="2" ht="30" customHeight="1">
      <c r="A2" s="2" t="inlineStr">
        <is>
          <t>每一维度都问一句：客户说的和市场上报的，是不是同一个东西。</t>
        </is>
      </c>
    </row>
    <row r="4" ht="30" customHeight="1">
      <c r="A4" s="12" t="inlineStr">
        <is>
          <t>维度</t>
        </is>
      </c>
      <c r="B4" s="12" t="inlineStr">
        <is>
          <t>客户所述</t>
        </is>
      </c>
      <c r="C4" s="12" t="inlineStr">
        <is>
          <t>市场口径</t>
        </is>
      </c>
      <c r="D4" s="12" t="inlineStr">
        <is>
          <t>是否一致</t>
        </is>
      </c>
      <c r="E4" s="12" t="inlineStr">
        <is>
          <t>对价格的影响</t>
        </is>
      </c>
      <c r="F4" s="12" t="inlineStr">
        <is>
          <t>需确认 / 动作</t>
        </is>
      </c>
    </row>
    <row r="5" ht="34" customHeight="1">
      <c r="A5" s="5" t="inlineStr">
        <is>
          <t>规格</t>
        </is>
      </c>
      <c r="B5" s="6" t="inlineStr">
        <is>
          <t>重质纯碱（未细分粒度/铁含量)</t>
        </is>
      </c>
      <c r="C5" s="6" t="inlineStr">
        <is>
          <t>重质纯碱（市场口径未细分粒度）</t>
        </is>
      </c>
      <c r="D5" s="19" t="inlineStr">
        <is>
          <t>一致</t>
        </is>
      </c>
      <c r="E5" s="6" t="inlineStr">
        <is>
          <t>若为玻璃用重碱，一般与市场口径一致；若要求特定粒度或低铁，实际可匹配报价更窄</t>
        </is>
      </c>
      <c r="F5" s="6" t="inlineStr">
        <is>
          <t>确认粒度（30/40/50 目等）与 Fe₂O₃、不溶物指标</t>
        </is>
      </c>
    </row>
    <row r="6" ht="34" customHeight="1">
      <c r="A6" s="5" t="inlineStr">
        <is>
          <t>地区</t>
        </is>
      </c>
      <c r="B6" s="6" t="inlineStr">
        <is>
          <t>华东</t>
        </is>
      </c>
      <c r="C6" s="6" t="inlineStr">
        <is>
          <t>华东地区（隆众口径）</t>
        </is>
      </c>
      <c r="D6" s="19" t="inlineStr">
        <is>
          <t>一致</t>
        </is>
      </c>
      <c r="E6" s="6" t="inlineStr">
        <is>
          <t>若客户位于苏北、山东沿海等非华东主干道，运距会改变送到成本</t>
        </is>
      </c>
      <c r="F6" s="6" t="inlineStr">
        <is>
          <t>确认具体收货地（城市/厂区）</t>
        </is>
      </c>
    </row>
    <row r="7" ht="34" customHeight="1">
      <c r="A7" s="5" t="inlineStr">
        <is>
          <t>税费</t>
        </is>
      </c>
      <c r="B7" s="6" t="inlineStr">
        <is>
          <t>未说明</t>
        </is>
      </c>
      <c r="C7" s="6" t="inlineStr">
        <is>
          <t>含税（现金含税，增值税率 13%）</t>
        </is>
      </c>
      <c r="D7" s="20" t="inlineStr">
        <is>
          <t>信息缺失</t>
        </is>
      </c>
      <c r="E7" s="6" t="inlineStr">
        <is>
          <t>若客户价为不含税，含税等值 = 客户价×1.13，差异可能近 12%</t>
        </is>
      </c>
      <c r="F7" s="6" t="inlineStr">
        <is>
          <t>确认客户所述价格含税与否、是否只能开专票</t>
        </is>
      </c>
    </row>
    <row r="8" ht="34" customHeight="1">
      <c r="A8" s="5" t="inlineStr">
        <is>
          <t>交付条件</t>
        </is>
      </c>
      <c r="B8" s="6" t="inlineStr">
        <is>
          <t>未说明</t>
        </is>
      </c>
      <c r="C8" s="6" t="inlineStr">
        <is>
          <t>送到（到厂）</t>
        </is>
      </c>
      <c r="D8" s="20" t="inlineStr">
        <is>
          <t>信息缺失</t>
        </is>
      </c>
      <c r="E8" s="6" t="inlineStr">
        <is>
          <t>若客户价为出厂，需加运费才能与市场送到价比较；本案例未获运费数据 → 无法直接折算</t>
        </is>
      </c>
      <c r="F8" s="6" t="inlineStr">
        <is>
          <t>确认是出厂自提还是送到到厂</t>
        </is>
      </c>
    </row>
    <row r="9" ht="34" customHeight="1">
      <c r="A9" s="5" t="inlineStr">
        <is>
          <t>付款方式</t>
        </is>
      </c>
      <c r="B9" s="6" t="inlineStr">
        <is>
          <t>未说明</t>
        </is>
      </c>
      <c r="C9" s="6" t="inlineStr">
        <is>
          <t>现金（现汇）</t>
        </is>
      </c>
      <c r="D9" s="20" t="inlineStr">
        <is>
          <t>信息缺失</t>
        </is>
      </c>
      <c r="E9" s="6" t="inlineStr">
        <is>
          <t>若为承兑，通常需按贴现利率折让；本案例无贴现率数据 → 不自行折算</t>
        </is>
      </c>
      <c r="F9" s="6" t="inlineStr">
        <is>
          <t>确认现金/承兑，承兑期限</t>
        </is>
      </c>
    </row>
    <row r="10" ht="34" customHeight="1">
      <c r="A10" s="5" t="inlineStr">
        <is>
          <t>采购数量</t>
        </is>
      </c>
      <c r="B10" s="6" t="inlineStr">
        <is>
          <t>未说明</t>
        </is>
      </c>
      <c r="C10" s="6" t="inlineStr">
        <is>
          <t>市场区间，不区分单笔吨位</t>
        </is>
      </c>
      <c r="D10" s="20" t="inlineStr">
        <is>
          <t>信息缺失</t>
        </is>
      </c>
      <c r="E10" s="6" t="inlineStr">
        <is>
          <t>整车/包销与大单通常对应区间下沿；需求方无法量化</t>
        </is>
      </c>
      <c r="F10" s="6" t="inlineStr">
        <is>
          <t>确认月用量、单笔订车吨位</t>
        </is>
      </c>
    </row>
    <row r="11" ht="34" customHeight="1">
      <c r="A11" s="5" t="inlineStr">
        <is>
          <t>包装</t>
        </is>
      </c>
      <c r="B11" s="6" t="inlineStr">
        <is>
          <t>未说明</t>
        </is>
      </c>
      <c r="C11" s="6" t="inlineStr">
        <is>
          <t>市场报价未区分袋装/散装/吨袋</t>
        </is>
      </c>
      <c r="D11" s="20" t="inlineStr">
        <is>
          <t>信息缺失</t>
        </is>
      </c>
      <c r="E11" s="6" t="inlineStr">
        <is>
          <t>吨袋与散装通常存在包装差价，市场区间未拆分</t>
        </is>
      </c>
      <c r="F11" s="6" t="inlineStr">
        <is>
          <t>确认吨袋/40kg 袋/散装罐车</t>
        </is>
      </c>
    </row>
    <row r="12" ht="34" customHeight="1">
      <c r="A12" s="5" t="inlineStr">
        <is>
          <t>数据日期</t>
        </is>
      </c>
      <c r="B12" s="6" t="inlineStr">
        <is>
          <t>"现在"（未说明具体日期）</t>
        </is>
      </c>
      <c r="C12" s="6" t="inlineStr">
        <is>
          <t>2026-10-20（交易日日更报价）</t>
        </is>
      </c>
      <c r="D12" s="20" t="inlineStr">
        <is>
          <t>信息缺失</t>
        </is>
      </c>
      <c r="E12" s="6" t="inlineStr">
        <is>
          <t>若客户引用的是数周前或数年前的价格，需按历史序列对位查证</t>
        </is>
      </c>
      <c r="F12" s="6" t="inlineStr">
        <is>
          <t>请客户说明价格取得时间与来源</t>
        </is>
      </c>
    </row>
    <row r="14" ht="22" customHeight="1">
      <c r="A14" s="4" t="inlineStr">
        <is>
          <t>可能导致价格差异的因素（客观解释，不是话术）</t>
        </is>
      </c>
    </row>
    <row r="15" ht="30" customHeight="1">
      <c r="A15" s="12" t="inlineStr">
        <is>
          <t>因素</t>
        </is>
      </c>
      <c r="B15" s="12" t="inlineStr">
        <is>
          <t>说明</t>
        </is>
      </c>
      <c r="C15" s="21" t="n"/>
      <c r="D15" s="12" t="inlineStr">
        <is>
          <t>对价格的影响</t>
        </is>
      </c>
      <c r="E15" s="22" t="n"/>
      <c r="F15" s="21" t="n"/>
    </row>
    <row r="16" ht="40" customHeight="1">
      <c r="A16" s="5" t="inlineStr">
        <is>
          <t>规格与纯度</t>
        </is>
      </c>
      <c r="B16" s="6" t="inlineStr">
        <is>
          <t>重质纯碱的粒度（目数）、铁含量、水不溶物、堆积密度差异会影响可用于玻璃/光伏/冶金等不同下游的单吨价值；市场『重质纯碱』大类报价未细分这些指标。</t>
        </is>
      </c>
      <c r="D16" s="6" t="inlineStr">
        <is>
          <t>同为大类『重质纯碱』时价差有限；若客户需求为特殊规格，需另找匹配报价</t>
        </is>
      </c>
    </row>
    <row r="17" ht="40" customHeight="1">
      <c r="A17" s="5" t="inlineStr">
        <is>
          <t>地区与运距</t>
        </is>
      </c>
      <c r="B17" s="6" t="inlineStr">
        <is>
          <t>华东 1050-1200、华中 1050-1150、华北 1150、华南 1200-1300、东北 1200-1350（均含税送到，2026-10-10/12/20 报价）。</t>
        </is>
      </c>
      <c r="D17" s="6" t="inlineStr">
        <is>
          <t>运距直接进入价差；华南与东北价格高于华东约 75-150 元/吨</t>
        </is>
      </c>
    </row>
    <row r="18" ht="40" customHeight="1">
      <c r="A18" s="5" t="inlineStr">
        <is>
          <t>税费口径</t>
        </is>
      </c>
      <c r="B18" s="6" t="inlineStr">
        <is>
          <t>市场报价为现金含税；若客户引述不含税价，含税等值需 ×1.13。</t>
        </is>
      </c>
      <c r="D18" s="6" t="inlineStr">
        <is>
          <t>最容易造成数百元/吨的『看起来的巨差』</t>
        </is>
      </c>
    </row>
    <row r="19" ht="40" customHeight="1">
      <c r="A19" s="5" t="inlineStr">
        <is>
          <t>出厂 vs 到厂</t>
        </is>
      </c>
      <c r="B19" s="6" t="inlineStr">
        <is>
          <t>华东重质市场报价为送到价；厂家出厂报价（如江苏井神重质出厂 1100-1150）不含运费。</t>
        </is>
      </c>
      <c r="D19" s="6" t="inlineStr">
        <is>
          <t>出厂价与送到价之间必须补运费，本案例无运费数据，故不交叉折算</t>
        </is>
      </c>
    </row>
    <row r="20" ht="40" customHeight="1">
      <c r="A20" s="5" t="inlineStr">
        <is>
          <t>采购数量与订车</t>
        </is>
      </c>
      <c r="B20" s="6" t="inlineStr">
        <is>
          <t>厂家多『一单一议、实单成交灵活』（隆众表注），整车大单与零星单价格不同。</t>
        </is>
      </c>
      <c r="D20" s="6" t="inlineStr">
        <is>
          <t>区间下沿通常对应更大量与更优账期，具体幅度无公开数据</t>
        </is>
      </c>
    </row>
    <row r="21" ht="40" customHeight="1">
      <c r="A21" s="5" t="inlineStr">
        <is>
          <t>包装形式</t>
        </is>
      </c>
      <c r="B21" s="6" t="inlineStr">
        <is>
          <t>散装罐车/吨袋/小包装的包装与装卸成本不同，市场价格未拆分。</t>
        </is>
      </c>
      <c r="D21" s="6" t="inlineStr">
        <is>
          <t>吨袋与散装存在差价，幅度需按具体报价确认</t>
        </is>
      </c>
    </row>
    <row r="22" ht="40" customHeight="1">
      <c r="A22" s="5" t="inlineStr">
        <is>
          <t>账期与付款</t>
        </is>
      </c>
      <c r="B22" s="6" t="inlineStr">
        <is>
          <t>现金与承兑、账期长短影响卖方资金占用。</t>
        </is>
      </c>
      <c r="D22" s="6" t="inlineStr">
        <is>
          <t>无贴现率数据时不自行折算；需客户说明账期</t>
        </is>
      </c>
    </row>
    <row r="23" ht="40" customHeight="1">
      <c r="A23" s="5" t="inlineStr">
        <is>
          <t>物流费用</t>
        </is>
      </c>
      <c r="B23" s="6" t="inlineStr">
        <is>
          <t>跨区调货的汽运/船运成本随运距、油价、回程车源波动。</t>
        </is>
      </c>
      <c r="D23" s="6" t="inlineStr">
        <is>
          <t>这是『出厂价更低』与『到厂价更高』之间的主要解释</t>
        </is>
      </c>
    </row>
    <row r="24" ht="40" customHeight="1">
      <c r="A24" s="5" t="inlineStr">
        <is>
          <t>个别低价成交</t>
        </is>
      </c>
      <c r="B24" s="6" t="inlineStr">
        <is>
          <t>清库、检修前抛货、出口转内销、单笔买断等特殊情况可能短时出现低于市场区间的成交，但不可作为普遍市场价。</t>
        </is>
      </c>
      <c r="D24" s="6" t="inlineStr">
        <is>
          <t>若客户称有更低成交，应要求提供成交时间、规格、数量、付款与交付方式，再判断是否可比</t>
        </is>
      </c>
    </row>
  </sheetData>
  <mergeCells count="23">
    <mergeCell ref="B16:C16"/>
    <mergeCell ref="B22:C22"/>
    <mergeCell ref="D17:F17"/>
    <mergeCell ref="B18:C18"/>
    <mergeCell ref="D16:F16"/>
    <mergeCell ref="A2:F2"/>
    <mergeCell ref="B21:C21"/>
    <mergeCell ref="A14:F14"/>
    <mergeCell ref="D18:F18"/>
    <mergeCell ref="B23:C23"/>
    <mergeCell ref="B17:C17"/>
    <mergeCell ref="D15:F15"/>
    <mergeCell ref="D24:F24"/>
    <mergeCell ref="D23:F23"/>
    <mergeCell ref="B19:C19"/>
    <mergeCell ref="D20:F20"/>
    <mergeCell ref="D19:F19"/>
    <mergeCell ref="B24:C24"/>
    <mergeCell ref="B15:C15"/>
    <mergeCell ref="A1:F1"/>
    <mergeCell ref="B20:C20"/>
    <mergeCell ref="D22:F22"/>
    <mergeCell ref="D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8" customWidth="1" min="7" max="7"/>
    <col width="12" customWidth="1" min="8" max="8"/>
    <col width="13" customWidth="1" min="9" max="9"/>
    <col width="10" customWidth="1" min="10" max="10"/>
    <col width="26" customWidth="1" min="11" max="11"/>
    <col width="40" customWidth="1" min="12" max="12"/>
  </cols>
  <sheetData>
    <row r="1" ht="30" customHeight="1">
      <c r="A1" s="1" t="inlineStr">
        <is>
          <t>市场报价与历史序列（可替换的数据区）</t>
        </is>
      </c>
    </row>
    <row r="2" ht="30" customHeight="1">
      <c r="A2" s="2" t="inlineStr">
        <is>
          <t>每条报价必须六项齐全：数值·规格·地区·税费·交付·日期·来源。缺一项只能放「08_数据缺口」。</t>
        </is>
      </c>
    </row>
    <row r="4" ht="30" customHeight="1">
      <c r="A4" s="12" t="inlineStr">
        <is>
          <t>日期</t>
        </is>
      </c>
      <c r="B4" s="12" t="inlineStr">
        <is>
          <t>规格</t>
        </is>
      </c>
      <c r="C4" s="12" t="inlineStr">
        <is>
          <t>地区</t>
        </is>
      </c>
      <c r="D4" s="12" t="inlineStr">
        <is>
          <t>税费</t>
        </is>
      </c>
      <c r="E4" s="12" t="inlineStr">
        <is>
          <t>交付</t>
        </is>
      </c>
      <c r="F4" s="12" t="inlineStr">
        <is>
          <t>付款</t>
        </is>
      </c>
      <c r="G4" s="12" t="inlineStr">
        <is>
          <t>下沿</t>
        </is>
      </c>
      <c r="H4" s="12" t="inlineStr">
        <is>
          <t>上沿</t>
        </is>
      </c>
      <c r="I4" s="12" t="inlineStr">
        <is>
          <t>中值/主流价</t>
        </is>
      </c>
      <c r="J4" s="12" t="inlineStr">
        <is>
          <t>单位</t>
        </is>
      </c>
      <c r="K4" s="12" t="inlineStr">
        <is>
          <t>来源 / 类型</t>
        </is>
      </c>
      <c r="L4" s="12" t="inlineStr">
        <is>
          <t>原始链接（可点）</t>
        </is>
      </c>
    </row>
    <row r="5" ht="30" customHeight="1">
      <c r="A5" s="23" t="inlineStr">
        <is>
          <t>2026-10-20</t>
        </is>
      </c>
      <c r="B5" s="6" t="inlineStr">
        <is>
          <t>重质纯碱（未细分粒度）</t>
        </is>
      </c>
      <c r="C5" s="6" t="inlineStr">
        <is>
          <t>华东地区</t>
        </is>
      </c>
      <c r="D5" s="6" t="inlineStr">
        <is>
          <t>现金含税</t>
        </is>
      </c>
      <c r="E5" s="6" t="inlineStr">
        <is>
          <t>送到</t>
        </is>
      </c>
      <c r="F5" s="6" t="inlineStr">
        <is>
          <t>现金</t>
        </is>
      </c>
      <c r="G5" s="24" t="n">
        <v>1050</v>
      </c>
      <c r="H5" s="24" t="n">
        <v>1200</v>
      </c>
      <c r="I5" s="25" t="n">
        <v>1100</v>
      </c>
      <c r="J5" s="23" t="inlineStr">
        <is>
          <t>元/吨</t>
        </is>
      </c>
      <c r="K5" s="6" t="inlineStr">
        <is>
          <t>隆众资讯（经我的钢铁网 mysteel.com 转载）（市场报价区间，置信高）</t>
        </is>
      </c>
      <c r="L5" s="26" t="inlineStr">
        <is>
          <t>https://www.mysteel.com/oilchem/a/26102015/0877CD14C3251184.html</t>
        </is>
      </c>
    </row>
    <row r="6" ht="30" customHeight="1">
      <c r="A6" s="23" t="inlineStr">
        <is>
          <t>2026-10-20</t>
        </is>
      </c>
      <c r="B6" s="6" t="inlineStr">
        <is>
          <t>重质纯碱（华中）</t>
        </is>
      </c>
      <c r="C6" s="6" t="inlineStr">
        <is>
          <t>华中地区</t>
        </is>
      </c>
      <c r="D6" s="6" t="inlineStr">
        <is>
          <t>现金含税</t>
        </is>
      </c>
      <c r="E6" s="6" t="inlineStr">
        <is>
          <t>送到</t>
        </is>
      </c>
      <c r="F6" s="6" t="inlineStr">
        <is>
          <t>现金</t>
        </is>
      </c>
      <c r="G6" s="24" t="n">
        <v>1050</v>
      </c>
      <c r="H6" s="24" t="n">
        <v>1150</v>
      </c>
      <c r="I6" s="25" t="n">
        <v>1100</v>
      </c>
      <c r="J6" s="23" t="inlineStr">
        <is>
          <t>元/吨</t>
        </is>
      </c>
      <c r="K6" s="6" t="inlineStr">
        <is>
          <t>隆众资讯（经我的钢铁网转载）（市场报价区间，置信高）</t>
        </is>
      </c>
      <c r="L6" s="26" t="inlineStr">
        <is>
          <t>https://www.mysteel.com/oilchem/a/26102015/EA2C185BD7E6C29E.html</t>
        </is>
      </c>
    </row>
    <row r="7" ht="30" customHeight="1">
      <c r="A7" s="27" t="inlineStr">
        <is>
          <t>2026-10-16</t>
        </is>
      </c>
      <c r="B7" s="28" t="inlineStr">
        <is>
          <t>重质纯碱（日照、连云港）</t>
        </is>
      </c>
      <c r="C7" s="28" t="inlineStr">
        <is>
          <t>华东-山东/苏北出口集散地</t>
        </is>
      </c>
      <c r="D7" s="28" t="inlineStr">
        <is>
          <t>未注明</t>
        </is>
      </c>
      <c r="E7" s="28" t="inlineStr">
        <is>
          <t>集港价</t>
        </is>
      </c>
      <c r="F7" s="28" t="inlineStr">
        <is>
          <t>未注明</t>
        </is>
      </c>
      <c r="G7" s="29" t="n">
        <v>1350</v>
      </c>
      <c r="H7" s="29" t="n">
        <v>1450</v>
      </c>
      <c r="I7" s="30" t="n">
        <v>1400</v>
      </c>
      <c r="J7" s="27" t="inlineStr">
        <is>
          <t>元/吨</t>
        </is>
      </c>
      <c r="K7" s="28" t="inlineStr">
        <is>
          <t>生意社（chemall 中国石油和化工网转载）（个别成交参考，置信低） ｜不可直接比较：集港出口价，含港杂与内陆集港成本、面向出口订单，与内贸现货『华东出厂/送到』不是同一口径，不可与中国内贸价格直接比较；且原文为搜索摘要，未见完整原表</t>
        </is>
      </c>
      <c r="L7" s="31" t="inlineStr">
        <is>
          <t>https://www.chemall.com.cn/news/show-264502.html</t>
        </is>
      </c>
    </row>
    <row r="8" ht="30" customHeight="1">
      <c r="A8" s="23" t="inlineStr">
        <is>
          <t>2026-10-12</t>
        </is>
      </c>
      <c r="B8" s="6" t="inlineStr">
        <is>
          <t>重质纯碱（华北）</t>
        </is>
      </c>
      <c r="C8" s="6" t="inlineStr">
        <is>
          <t>华北地区</t>
        </is>
      </c>
      <c r="D8" s="6" t="inlineStr">
        <is>
          <t>现金含税</t>
        </is>
      </c>
      <c r="E8" s="6" t="inlineStr">
        <is>
          <t>送到</t>
        </is>
      </c>
      <c r="F8" s="6" t="inlineStr">
        <is>
          <t>现金</t>
        </is>
      </c>
      <c r="G8" s="24" t="n"/>
      <c r="H8" s="24" t="n"/>
      <c r="I8" s="25" t="n">
        <v>1150</v>
      </c>
      <c r="J8" s="23" t="inlineStr">
        <is>
          <t>元/吨</t>
        </is>
      </c>
      <c r="K8" s="6" t="inlineStr">
        <is>
          <t>隆众资讯（经我的钢铁网转载）（市场报价，置信高）</t>
        </is>
      </c>
      <c r="L8" s="26" t="inlineStr">
        <is>
          <t>https://www.mysteel.com/oilchem/a/26101214/7B985DEE621CAC82.html</t>
        </is>
      </c>
    </row>
    <row r="9" ht="30" customHeight="1">
      <c r="A9" s="23" t="inlineStr">
        <is>
          <t>2026-10-12</t>
        </is>
      </c>
      <c r="B9" s="6" t="inlineStr">
        <is>
          <t>重质纯碱（广东）</t>
        </is>
      </c>
      <c r="C9" s="6" t="inlineStr">
        <is>
          <t>华南地区</t>
        </is>
      </c>
      <c r="D9" s="6" t="inlineStr">
        <is>
          <t>现汇含税</t>
        </is>
      </c>
      <c r="E9" s="6" t="inlineStr">
        <is>
          <t>送到</t>
        </is>
      </c>
      <c r="F9" s="6" t="inlineStr">
        <is>
          <t>现汇</t>
        </is>
      </c>
      <c r="G9" s="24" t="n">
        <v>1200</v>
      </c>
      <c r="H9" s="24" t="n">
        <v>1300</v>
      </c>
      <c r="I9" s="25" t="n">
        <v>1250</v>
      </c>
      <c r="J9" s="23" t="inlineStr">
        <is>
          <t>元/吨</t>
        </is>
      </c>
      <c r="K9" s="6" t="inlineStr">
        <is>
          <t>隆众资讯（经我的钢铁网转载）（市场报价区间，置信高）</t>
        </is>
      </c>
      <c r="L9" s="26" t="inlineStr">
        <is>
          <t>https://www.mysteel.com/oilchem/a/26101214/7FA69DFCD8D8BADE.html</t>
        </is>
      </c>
    </row>
    <row r="10" ht="30" customHeight="1">
      <c r="A10" s="23" t="inlineStr">
        <is>
          <t>2026-10-10</t>
        </is>
      </c>
      <c r="B10" s="6" t="inlineStr">
        <is>
          <t>重质纯碱</t>
        </is>
      </c>
      <c r="C10" s="6" t="inlineStr">
        <is>
          <t>华东地区</t>
        </is>
      </c>
      <c r="D10" s="6" t="inlineStr">
        <is>
          <t>未注明（同花顺原文未标注含税与否）</t>
        </is>
      </c>
      <c r="E10" s="6" t="inlineStr">
        <is>
          <t>未注明</t>
        </is>
      </c>
      <c r="F10" s="6" t="inlineStr">
        <is>
          <t>未注明</t>
        </is>
      </c>
      <c r="G10" s="24" t="n"/>
      <c r="H10" s="24" t="n"/>
      <c r="I10" s="25" t="n">
        <v>1150</v>
      </c>
      <c r="J10" s="23" t="inlineStr">
        <is>
          <t>元/吨</t>
        </is>
      </c>
      <c r="K10" s="6" t="inlineStr">
        <is>
          <t>同花顺 iFinD（iNews 现货汇总）（主流参考价（单点），置信中）</t>
        </is>
      </c>
      <c r="L10" s="26" t="inlineStr">
        <is>
          <t>https://news.10jqka.com.cn/20261010/c680552148.shtml</t>
        </is>
      </c>
    </row>
    <row r="11" ht="30" customHeight="1">
      <c r="A11" s="23" t="inlineStr">
        <is>
          <t>2026-10-10</t>
        </is>
      </c>
      <c r="B11" s="6" t="inlineStr">
        <is>
          <t>重质纯碱（东北）</t>
        </is>
      </c>
      <c r="C11" s="6" t="inlineStr">
        <is>
          <t>东北地区</t>
        </is>
      </c>
      <c r="D11" s="6" t="inlineStr">
        <is>
          <t>含税</t>
        </is>
      </c>
      <c r="E11" s="6" t="inlineStr">
        <is>
          <t>送到</t>
        </is>
      </c>
      <c r="F11" s="6" t="inlineStr">
        <is>
          <t>未注明</t>
        </is>
      </c>
      <c r="G11" s="24" t="n">
        <v>1200</v>
      </c>
      <c r="H11" s="24" t="n">
        <v>1350</v>
      </c>
      <c r="I11" s="25" t="n">
        <v>1275</v>
      </c>
      <c r="J11" s="23" t="inlineStr">
        <is>
          <t>元/吨</t>
        </is>
      </c>
      <c r="K11" s="6" t="inlineStr">
        <is>
          <t>隆众资讯（经我的钢铁网转载）（市场报价区间，置信高）</t>
        </is>
      </c>
      <c r="L11" s="26" t="inlineStr">
        <is>
          <t>https://www.mysteel.com/oilchem/a/26101014/FF1A43B14CB11155.html</t>
        </is>
      </c>
    </row>
    <row r="13" ht="22" customHeight="1">
      <c r="A13" s="4" t="inlineStr">
        <is>
          <t>历史序列（同规格·同地区·同口径，按日期排序；走势与价格带以此为底）</t>
        </is>
      </c>
    </row>
    <row r="14" ht="30" customHeight="1">
      <c r="A14" s="12" t="inlineStr">
        <is>
          <t>日期</t>
        </is>
      </c>
      <c r="B14" s="12" t="inlineStr">
        <is>
          <t>规格</t>
        </is>
      </c>
      <c r="C14" s="12" t="inlineStr">
        <is>
          <t>地区</t>
        </is>
      </c>
      <c r="D14" s="12" t="inlineStr">
        <is>
          <t>税费</t>
        </is>
      </c>
      <c r="E14" s="12" t="inlineStr">
        <is>
          <t>交付</t>
        </is>
      </c>
      <c r="F14" s="12" t="inlineStr">
        <is>
          <t>类型</t>
        </is>
      </c>
      <c r="G14" s="12" t="inlineStr">
        <is>
          <t>下沿</t>
        </is>
      </c>
      <c r="H14" s="12" t="inlineStr">
        <is>
          <t>上沿</t>
        </is>
      </c>
      <c r="I14" s="12" t="inlineStr">
        <is>
          <t>中值</t>
        </is>
      </c>
      <c r="J14" s="12" t="inlineStr">
        <is>
          <t>单位</t>
        </is>
      </c>
      <c r="K14" s="12" t="inlineStr">
        <is>
          <t>来源</t>
        </is>
      </c>
      <c r="L14" s="12" t="inlineStr">
        <is>
          <t>原始链接（可点）</t>
        </is>
      </c>
    </row>
    <row r="15">
      <c r="A15" s="23" t="inlineStr">
        <is>
          <t>2026-04-27</t>
        </is>
      </c>
      <c r="B15" s="6" t="inlineStr">
        <is>
          <t>重质纯碱</t>
        </is>
      </c>
      <c r="C15" s="6" t="inlineStr">
        <is>
          <t>华东地区</t>
        </is>
      </c>
      <c r="D15" s="6" t="inlineStr">
        <is>
          <t>含税</t>
        </is>
      </c>
      <c r="E15" s="6" t="inlineStr">
        <is>
          <t>送到</t>
        </is>
      </c>
      <c r="F15" s="23" t="inlineStr">
        <is>
          <t>日更区间</t>
        </is>
      </c>
      <c r="G15" s="24" t="n">
        <v>1230</v>
      </c>
      <c r="H15" s="24" t="n">
        <v>1250</v>
      </c>
      <c r="I15" s="25" t="n">
        <v>1250</v>
      </c>
      <c r="J15" s="23" t="inlineStr">
        <is>
          <t>元/吨</t>
        </is>
      </c>
      <c r="K15" s="6" t="inlineStr">
        <is>
          <t>隆众资讯</t>
        </is>
      </c>
      <c r="L15" s="26" t="inlineStr">
        <is>
          <t>https://www.mysteel.com/oilchem/a/26042715/5E8BB24F8B18A1AC.html</t>
        </is>
      </c>
    </row>
    <row r="16">
      <c r="A16" s="23" t="inlineStr">
        <is>
          <t>2026-05-19</t>
        </is>
      </c>
      <c r="B16" s="6" t="inlineStr">
        <is>
          <t>重质纯碱</t>
        </is>
      </c>
      <c r="C16" s="6" t="inlineStr">
        <is>
          <t>华东地区</t>
        </is>
      </c>
      <c r="D16" s="6" t="inlineStr">
        <is>
          <t>含税</t>
        </is>
      </c>
      <c r="E16" s="6" t="inlineStr">
        <is>
          <t>送到</t>
        </is>
      </c>
      <c r="F16" s="23" t="inlineStr">
        <is>
          <t>日更区间</t>
        </is>
      </c>
      <c r="G16" s="24" t="n">
        <v>1230</v>
      </c>
      <c r="H16" s="24" t="n">
        <v>1250</v>
      </c>
      <c r="I16" s="25" t="n">
        <v>1250</v>
      </c>
      <c r="J16" s="23" t="inlineStr">
        <is>
          <t>元/吨</t>
        </is>
      </c>
      <c r="K16" s="6" t="inlineStr">
        <is>
          <t>隆众资讯</t>
        </is>
      </c>
      <c r="L16" s="26" t="inlineStr">
        <is>
          <t>https://www.mysteel.com/oilchem/a/26051916/CE4605A2620E90F7.html</t>
        </is>
      </c>
    </row>
    <row r="17">
      <c r="A17" s="23" t="inlineStr">
        <is>
          <t>2026-06-17</t>
        </is>
      </c>
      <c r="B17" s="6" t="inlineStr">
        <is>
          <t>重质纯碱</t>
        </is>
      </c>
      <c r="C17" s="6" t="inlineStr">
        <is>
          <t>华东地区</t>
        </is>
      </c>
      <c r="D17" s="6" t="inlineStr">
        <is>
          <t>含税</t>
        </is>
      </c>
      <c r="E17" s="6" t="inlineStr">
        <is>
          <t>送到</t>
        </is>
      </c>
      <c r="F17" s="23" t="inlineStr">
        <is>
          <t>主流价单点</t>
        </is>
      </c>
      <c r="G17" s="24" t="n">
        <v>1250</v>
      </c>
      <c r="H17" s="24" t="n">
        <v>1250</v>
      </c>
      <c r="I17" s="25" t="n">
        <v>1250</v>
      </c>
      <c r="J17" s="23" t="inlineStr">
        <is>
          <t>元/吨</t>
        </is>
      </c>
      <c r="K17" s="6" t="inlineStr">
        <is>
          <t>同花顺 iFinD（主流价）</t>
        </is>
      </c>
      <c r="L17" s="26" t="inlineStr">
        <is>
          <t>https://news.10jqka.com.cn/20260617/c677534618.shtml</t>
        </is>
      </c>
    </row>
    <row r="18">
      <c r="A18" s="23" t="inlineStr">
        <is>
          <t>2026-07-27</t>
        </is>
      </c>
      <c r="B18" s="6" t="inlineStr">
        <is>
          <t>重质纯碱</t>
        </is>
      </c>
      <c r="C18" s="6" t="inlineStr">
        <is>
          <t>华东地区</t>
        </is>
      </c>
      <c r="D18" s="6" t="inlineStr">
        <is>
          <t>含税</t>
        </is>
      </c>
      <c r="E18" s="6" t="inlineStr">
        <is>
          <t>送到</t>
        </is>
      </c>
      <c r="F18" s="23" t="inlineStr">
        <is>
          <t>日更区间</t>
        </is>
      </c>
      <c r="G18" s="24" t="n">
        <v>1150</v>
      </c>
      <c r="H18" s="24" t="n">
        <v>1250</v>
      </c>
      <c r="I18" s="25" t="n">
        <v>1200</v>
      </c>
      <c r="J18" s="23" t="inlineStr">
        <is>
          <t>元/吨</t>
        </is>
      </c>
      <c r="K18" s="6" t="inlineStr">
        <is>
          <t>隆众资讯</t>
        </is>
      </c>
      <c r="L18" s="26" t="inlineStr">
        <is>
          <t>https://www.mysteel.com/oilchem/a/26072716/13649DB9A94FCAFB.html</t>
        </is>
      </c>
    </row>
    <row r="19">
      <c r="A19" s="23" t="inlineStr">
        <is>
          <t>2026-07-28</t>
        </is>
      </c>
      <c r="B19" s="6" t="inlineStr">
        <is>
          <t>重质纯碱</t>
        </is>
      </c>
      <c r="C19" s="6" t="inlineStr">
        <is>
          <t>华东地区</t>
        </is>
      </c>
      <c r="D19" s="6" t="inlineStr">
        <is>
          <t>未注明</t>
        </is>
      </c>
      <c r="E19" s="6" t="inlineStr">
        <is>
          <t>未注明</t>
        </is>
      </c>
      <c r="F19" s="23" t="inlineStr">
        <is>
          <t>主流价单点</t>
        </is>
      </c>
      <c r="G19" s="24" t="n">
        <v>1215</v>
      </c>
      <c r="H19" s="24" t="n">
        <v>1215</v>
      </c>
      <c r="I19" s="25" t="n">
        <v>1215</v>
      </c>
      <c r="J19" s="23" t="inlineStr">
        <is>
          <t>元/吨</t>
        </is>
      </c>
      <c r="K19" s="6" t="inlineStr">
        <is>
          <t>同花顺 iFinD（主流价）</t>
        </is>
      </c>
      <c r="L19" s="26" t="inlineStr">
        <is>
          <t>https://stock.10jqka.com.cn/20260728/c678488931.shtml</t>
        </is>
      </c>
    </row>
    <row r="20">
      <c r="A20" s="23" t="inlineStr">
        <is>
          <t>2026-08-05</t>
        </is>
      </c>
      <c r="B20" s="6" t="inlineStr">
        <is>
          <t>重质纯碱</t>
        </is>
      </c>
      <c r="C20" s="6" t="inlineStr">
        <is>
          <t>华东地区</t>
        </is>
      </c>
      <c r="D20" s="6" t="inlineStr">
        <is>
          <t>含税</t>
        </is>
      </c>
      <c r="E20" s="6" t="inlineStr">
        <is>
          <t>送到</t>
        </is>
      </c>
      <c r="F20" s="23" t="inlineStr">
        <is>
          <t>日更区间</t>
        </is>
      </c>
      <c r="G20" s="24" t="n">
        <v>1050</v>
      </c>
      <c r="H20" s="24" t="n">
        <v>1200</v>
      </c>
      <c r="I20" s="25" t="n">
        <v>1125</v>
      </c>
      <c r="J20" s="23" t="inlineStr">
        <is>
          <t>元/吨</t>
        </is>
      </c>
      <c r="K20" s="6" t="inlineStr">
        <is>
          <t>隆众资讯</t>
        </is>
      </c>
      <c r="L20" s="26" t="inlineStr">
        <is>
          <t>https://www.mysteel.com/oilchem/a/26080516/799ED20A6BBB9B16.html</t>
        </is>
      </c>
    </row>
    <row r="21">
      <c r="A21" s="23" t="inlineStr">
        <is>
          <t>2026-08-06</t>
        </is>
      </c>
      <c r="B21" s="6" t="inlineStr">
        <is>
          <t>重质纯碱</t>
        </is>
      </c>
      <c r="C21" s="6" t="inlineStr">
        <is>
          <t>华东地区</t>
        </is>
      </c>
      <c r="D21" s="6" t="inlineStr">
        <is>
          <t>未注明</t>
        </is>
      </c>
      <c r="E21" s="6" t="inlineStr">
        <is>
          <t>未注明</t>
        </is>
      </c>
      <c r="F21" s="23" t="inlineStr">
        <is>
          <t>主流价单点</t>
        </is>
      </c>
      <c r="G21" s="24" t="n">
        <v>1150</v>
      </c>
      <c r="H21" s="24" t="n">
        <v>1150</v>
      </c>
      <c r="I21" s="25" t="n">
        <v>1150</v>
      </c>
      <c r="J21" s="23" t="inlineStr">
        <is>
          <t>元/吨</t>
        </is>
      </c>
      <c r="K21" s="6" t="inlineStr">
        <is>
          <t>同花顺 iFinD（主流价）</t>
        </is>
      </c>
      <c r="L21" s="26" t="inlineStr">
        <is>
          <t>https://news.10jqka.com.cn/20260806/c678727075.shtml</t>
        </is>
      </c>
    </row>
    <row r="22">
      <c r="A22" s="23" t="inlineStr">
        <is>
          <t>2026-08-12</t>
        </is>
      </c>
      <c r="B22" s="6" t="inlineStr">
        <is>
          <t>重质纯碱</t>
        </is>
      </c>
      <c r="C22" s="6" t="inlineStr">
        <is>
          <t>华东地区</t>
        </is>
      </c>
      <c r="D22" s="6" t="inlineStr">
        <is>
          <t>含税</t>
        </is>
      </c>
      <c r="E22" s="6" t="inlineStr">
        <is>
          <t>送到</t>
        </is>
      </c>
      <c r="F22" s="23" t="inlineStr">
        <is>
          <t>日更区间</t>
        </is>
      </c>
      <c r="G22" s="24" t="n">
        <v>1050</v>
      </c>
      <c r="H22" s="24" t="n">
        <v>1200</v>
      </c>
      <c r="I22" s="25" t="n">
        <v>1125</v>
      </c>
      <c r="J22" s="23" t="inlineStr">
        <is>
          <t>元/吨</t>
        </is>
      </c>
      <c r="K22" s="6" t="inlineStr">
        <is>
          <t>隆众资讯</t>
        </is>
      </c>
      <c r="L22" s="26" t="inlineStr">
        <is>
          <t>https://www.mysteel.com/oilchem/a/26081215/3C2125C354434659.html</t>
        </is>
      </c>
    </row>
    <row r="23">
      <c r="A23" s="23" t="inlineStr">
        <is>
          <t>2026-08-18</t>
        </is>
      </c>
      <c r="B23" s="6" t="inlineStr">
        <is>
          <t>重质纯碱</t>
        </is>
      </c>
      <c r="C23" s="6" t="inlineStr">
        <is>
          <t>华东地区</t>
        </is>
      </c>
      <c r="D23" s="6" t="inlineStr">
        <is>
          <t>含税</t>
        </is>
      </c>
      <c r="E23" s="6" t="inlineStr">
        <is>
          <t>送到</t>
        </is>
      </c>
      <c r="F23" s="23" t="inlineStr">
        <is>
          <t>日更区间</t>
        </is>
      </c>
      <c r="G23" s="24" t="n">
        <v>1050</v>
      </c>
      <c r="H23" s="24" t="n">
        <v>1200</v>
      </c>
      <c r="I23" s="25" t="n">
        <v>1125</v>
      </c>
      <c r="J23" s="23" t="inlineStr">
        <is>
          <t>元/吨</t>
        </is>
      </c>
      <c r="K23" s="6" t="inlineStr">
        <is>
          <t>隆众资讯</t>
        </is>
      </c>
      <c r="L23" s="26" t="inlineStr">
        <is>
          <t>https://www.mysteel.com/oilchem/a/26081815/DFBD0BCD84683417.html</t>
        </is>
      </c>
    </row>
    <row r="24">
      <c r="A24" s="23" t="inlineStr">
        <is>
          <t>2026-09-10</t>
        </is>
      </c>
      <c r="B24" s="6" t="inlineStr">
        <is>
          <t>重质纯碱</t>
        </is>
      </c>
      <c r="C24" s="6" t="inlineStr">
        <is>
          <t>华东地区</t>
        </is>
      </c>
      <c r="D24" s="6" t="inlineStr">
        <is>
          <t>含税</t>
        </is>
      </c>
      <c r="E24" s="6" t="inlineStr">
        <is>
          <t>送到</t>
        </is>
      </c>
      <c r="F24" s="23" t="inlineStr">
        <is>
          <t>日更区间</t>
        </is>
      </c>
      <c r="G24" s="24" t="n">
        <v>1050</v>
      </c>
      <c r="H24" s="24" t="n">
        <v>1200</v>
      </c>
      <c r="I24" s="25" t="n">
        <v>1125</v>
      </c>
      <c r="J24" s="23" t="inlineStr">
        <is>
          <t>元/吨</t>
        </is>
      </c>
      <c r="K24" s="6" t="inlineStr">
        <is>
          <t>隆众资讯</t>
        </is>
      </c>
      <c r="L24" s="26" t="inlineStr">
        <is>
          <t>https://www.mysteel.com/oilchem/a/26091015/A0D182907C402BE9.html</t>
        </is>
      </c>
    </row>
    <row r="25">
      <c r="A25" s="23" t="inlineStr">
        <is>
          <t>2026-09-14</t>
        </is>
      </c>
      <c r="B25" s="6" t="inlineStr">
        <is>
          <t>重质纯碱</t>
        </is>
      </c>
      <c r="C25" s="6" t="inlineStr">
        <is>
          <t>华东地区</t>
        </is>
      </c>
      <c r="D25" s="6" t="inlineStr">
        <is>
          <t>含税</t>
        </is>
      </c>
      <c r="E25" s="6" t="inlineStr">
        <is>
          <t>送到</t>
        </is>
      </c>
      <c r="F25" s="23" t="inlineStr">
        <is>
          <t>日更区间</t>
        </is>
      </c>
      <c r="G25" s="24" t="n">
        <v>1050</v>
      </c>
      <c r="H25" s="24" t="n">
        <v>1200</v>
      </c>
      <c r="I25" s="25" t="n">
        <v>1125</v>
      </c>
      <c r="J25" s="23" t="inlineStr">
        <is>
          <t>元/吨</t>
        </is>
      </c>
      <c r="K25" s="6" t="inlineStr">
        <is>
          <t>隆众资讯</t>
        </is>
      </c>
      <c r="L25" s="26" t="inlineStr">
        <is>
          <t>https://www.mysteel.com/oilchem/a/26091415/CE109E81A14E10E9.html</t>
        </is>
      </c>
    </row>
    <row r="26">
      <c r="A26" s="23" t="inlineStr">
        <is>
          <t>2026-09-20</t>
        </is>
      </c>
      <c r="B26" s="6" t="inlineStr">
        <is>
          <t>重质纯碱</t>
        </is>
      </c>
      <c r="C26" s="6" t="inlineStr">
        <is>
          <t>华东地区</t>
        </is>
      </c>
      <c r="D26" s="6" t="inlineStr">
        <is>
          <t>含税</t>
        </is>
      </c>
      <c r="E26" s="6" t="inlineStr">
        <is>
          <t>送到</t>
        </is>
      </c>
      <c r="F26" s="23" t="inlineStr">
        <is>
          <t>日更区间</t>
        </is>
      </c>
      <c r="G26" s="24" t="n">
        <v>1050</v>
      </c>
      <c r="H26" s="24" t="n">
        <v>1200</v>
      </c>
      <c r="I26" s="25" t="n">
        <v>1125</v>
      </c>
      <c r="J26" s="23" t="inlineStr">
        <is>
          <t>元/吨</t>
        </is>
      </c>
      <c r="K26" s="6" t="inlineStr">
        <is>
          <t>隆众资讯</t>
        </is>
      </c>
      <c r="L26" s="26" t="inlineStr">
        <is>
          <t>https://www.mysteel.com/oilchem/a/26092014/FCF532383597976E.html</t>
        </is>
      </c>
    </row>
    <row r="27">
      <c r="A27" s="23" t="inlineStr">
        <is>
          <t>2026-09-21</t>
        </is>
      </c>
      <c r="B27" s="6" t="inlineStr">
        <is>
          <t>重质纯碱</t>
        </is>
      </c>
      <c r="C27" s="6" t="inlineStr">
        <is>
          <t>华东地区</t>
        </is>
      </c>
      <c r="D27" s="6" t="inlineStr">
        <is>
          <t>含税</t>
        </is>
      </c>
      <c r="E27" s="6" t="inlineStr">
        <is>
          <t>送到</t>
        </is>
      </c>
      <c r="F27" s="23" t="inlineStr">
        <is>
          <t>日更区间</t>
        </is>
      </c>
      <c r="G27" s="24" t="n">
        <v>1050</v>
      </c>
      <c r="H27" s="24" t="n">
        <v>1200</v>
      </c>
      <c r="I27" s="25" t="n">
        <v>1125</v>
      </c>
      <c r="J27" s="23" t="inlineStr">
        <is>
          <t>元/吨</t>
        </is>
      </c>
      <c r="K27" s="6" t="inlineStr">
        <is>
          <t>隆众资讯</t>
        </is>
      </c>
      <c r="L27" s="26" t="inlineStr">
        <is>
          <t>https://www.mysteel.com/oilchem/a/26092115/ED47BBECCD21BCFE.html</t>
        </is>
      </c>
    </row>
    <row r="28">
      <c r="A28" s="23" t="inlineStr">
        <is>
          <t>2026-09-30</t>
        </is>
      </c>
      <c r="B28" s="6" t="inlineStr">
        <is>
          <t>重质纯碱</t>
        </is>
      </c>
      <c r="C28" s="6" t="inlineStr">
        <is>
          <t>华东地区</t>
        </is>
      </c>
      <c r="D28" s="6" t="inlineStr">
        <is>
          <t>含税</t>
        </is>
      </c>
      <c r="E28" s="6" t="inlineStr">
        <is>
          <t>送到</t>
        </is>
      </c>
      <c r="F28" s="23" t="inlineStr">
        <is>
          <t>日更区间</t>
        </is>
      </c>
      <c r="G28" s="24" t="n">
        <v>1050</v>
      </c>
      <c r="H28" s="24" t="n">
        <v>1200</v>
      </c>
      <c r="I28" s="25" t="n">
        <v>1125</v>
      </c>
      <c r="J28" s="23" t="inlineStr">
        <is>
          <t>元/吨</t>
        </is>
      </c>
      <c r="K28" s="6" t="inlineStr">
        <is>
          <t>隆众资讯</t>
        </is>
      </c>
      <c r="L28" s="26" t="inlineStr">
        <is>
          <t>https://www.mysteel.com/oilchem/a/26093010/705BD3D0AA9DBBED.html</t>
        </is>
      </c>
    </row>
    <row r="29">
      <c r="A29" s="23" t="inlineStr">
        <is>
          <t>2026-10-10</t>
        </is>
      </c>
      <c r="B29" s="6" t="inlineStr">
        <is>
          <t>重质纯碱</t>
        </is>
      </c>
      <c r="C29" s="6" t="inlineStr">
        <is>
          <t>华东地区</t>
        </is>
      </c>
      <c r="D29" s="6" t="inlineStr">
        <is>
          <t>含税</t>
        </is>
      </c>
      <c r="E29" s="6" t="inlineStr">
        <is>
          <t>送到</t>
        </is>
      </c>
      <c r="F29" s="23" t="inlineStr">
        <is>
          <t>日更区间</t>
        </is>
      </c>
      <c r="G29" s="24" t="n">
        <v>1050</v>
      </c>
      <c r="H29" s="24" t="n">
        <v>1200</v>
      </c>
      <c r="I29" s="25" t="n">
        <v>1125</v>
      </c>
      <c r="J29" s="23" t="inlineStr">
        <is>
          <t>元/吨</t>
        </is>
      </c>
      <c r="K29" s="6" t="inlineStr">
        <is>
          <t>隆众资讯</t>
        </is>
      </c>
      <c r="L29" s="26" t="inlineStr">
        <is>
          <t>https://www.mysteel.com/oilchem/a/26101015/263051CCFEEA1859.html</t>
        </is>
      </c>
    </row>
    <row r="30">
      <c r="A30" s="23" t="inlineStr">
        <is>
          <t>2026-10-14</t>
        </is>
      </c>
      <c r="B30" s="6" t="inlineStr">
        <is>
          <t>重质纯碱</t>
        </is>
      </c>
      <c r="C30" s="6" t="inlineStr">
        <is>
          <t>华东地区</t>
        </is>
      </c>
      <c r="D30" s="6" t="inlineStr">
        <is>
          <t>含税</t>
        </is>
      </c>
      <c r="E30" s="6" t="inlineStr">
        <is>
          <t>送到</t>
        </is>
      </c>
      <c r="F30" s="23" t="inlineStr">
        <is>
          <t>日更区间</t>
        </is>
      </c>
      <c r="G30" s="24" t="n">
        <v>1050</v>
      </c>
      <c r="H30" s="24" t="n">
        <v>1200</v>
      </c>
      <c r="I30" s="25" t="n">
        <v>1125</v>
      </c>
      <c r="J30" s="23" t="inlineStr">
        <is>
          <t>元/吨</t>
        </is>
      </c>
      <c r="K30" s="6" t="inlineStr">
        <is>
          <t>隆众资讯</t>
        </is>
      </c>
      <c r="L30" s="26" t="inlineStr">
        <is>
          <t>https://www.mysteel.com/oilchem/a/26101415/8E759DEF0FABB7A3.html</t>
        </is>
      </c>
    </row>
    <row r="31">
      <c r="A31" s="23" t="inlineStr">
        <is>
          <t>2026-10-20</t>
        </is>
      </c>
      <c r="B31" s="6" t="inlineStr">
        <is>
          <t>重质纯碱</t>
        </is>
      </c>
      <c r="C31" s="6" t="inlineStr">
        <is>
          <t>华东地区</t>
        </is>
      </c>
      <c r="D31" s="6" t="inlineStr">
        <is>
          <t>含税</t>
        </is>
      </c>
      <c r="E31" s="6" t="inlineStr">
        <is>
          <t>送到</t>
        </is>
      </c>
      <c r="F31" s="23" t="inlineStr">
        <is>
          <t>日更区间</t>
        </is>
      </c>
      <c r="G31" s="24" t="n">
        <v>1050</v>
      </c>
      <c r="H31" s="24" t="n">
        <v>1200</v>
      </c>
      <c r="I31" s="25" t="n">
        <v>1125</v>
      </c>
      <c r="J31" s="23" t="inlineStr">
        <is>
          <t>元/吨</t>
        </is>
      </c>
      <c r="K31" s="6" t="inlineStr">
        <is>
          <t>隆众资讯</t>
        </is>
      </c>
      <c r="L31" s="26" t="inlineStr">
        <is>
          <t>https://www.mysteel.com/oilchem/a/26102015/0877CD14C3251184.html</t>
        </is>
      </c>
    </row>
    <row r="33" ht="22" customHeight="1">
      <c r="A33" s="4" t="inlineStr">
        <is>
          <t>序列统计（全部为公式，替换数据后自动更新）</t>
        </is>
      </c>
    </row>
    <row r="34">
      <c r="A34" s="5" t="inlineStr">
        <is>
          <t>样本数</t>
        </is>
      </c>
      <c r="B34" s="32">
        <f>COUNT(I15:I31)</f>
        <v/>
      </c>
    </row>
    <row r="35">
      <c r="A35" s="5" t="inlineStr">
        <is>
          <t>近3月最高</t>
        </is>
      </c>
      <c r="B35" s="32">
        <f>MAX(I15:I31)</f>
        <v/>
      </c>
    </row>
    <row r="36">
      <c r="A36" s="5" t="inlineStr">
        <is>
          <t>近3月最低</t>
        </is>
      </c>
      <c r="B36" s="32">
        <f>MIN(I15:I31)</f>
        <v/>
      </c>
    </row>
    <row r="37">
      <c r="A37" s="5" t="inlineStr">
        <is>
          <t>近3月中值</t>
        </is>
      </c>
      <c r="B37" s="32">
        <f>MEDIAN(I15:I31)</f>
        <v/>
      </c>
    </row>
    <row r="38">
      <c r="A38" s="5" t="inlineStr">
        <is>
          <t>近3月均值</t>
        </is>
      </c>
      <c r="B38" s="32">
        <f>AVERAGE(I15:I31)</f>
        <v/>
      </c>
    </row>
    <row r="39">
      <c r="A39" s="5" t="inlineStr">
        <is>
          <t>最大波动幅度</t>
        </is>
      </c>
      <c r="B39" s="32">
        <f>MAX(I15:I31)-MIN(I15:I31)</f>
        <v/>
      </c>
    </row>
  </sheetData>
  <mergeCells count="4">
    <mergeCell ref="A13:L13"/>
    <mergeCell ref="A33:L33"/>
    <mergeCell ref="A2:L2"/>
    <mergeCell ref="A1:L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5" r:id="rId8"/>
    <hyperlink xmlns:r="http://schemas.openxmlformats.org/officeDocument/2006/relationships" ref="L16" r:id="rId9"/>
    <hyperlink xmlns:r="http://schemas.openxmlformats.org/officeDocument/2006/relationships" ref="L17" r:id="rId10"/>
    <hyperlink xmlns:r="http://schemas.openxmlformats.org/officeDocument/2006/relationships" ref="L18" r:id="rId11"/>
    <hyperlink xmlns:r="http://schemas.openxmlformats.org/officeDocument/2006/relationships" ref="L19" r:id="rId12"/>
    <hyperlink xmlns:r="http://schemas.openxmlformats.org/officeDocument/2006/relationships" ref="L20" r:id="rId13"/>
    <hyperlink xmlns:r="http://schemas.openxmlformats.org/officeDocument/2006/relationships" ref="L21" r:id="rId14"/>
    <hyperlink xmlns:r="http://schemas.openxmlformats.org/officeDocument/2006/relationships" ref="L22" r:id="rId15"/>
    <hyperlink xmlns:r="http://schemas.openxmlformats.org/officeDocument/2006/relationships" ref="L23" r:id="rId16"/>
    <hyperlink xmlns:r="http://schemas.openxmlformats.org/officeDocument/2006/relationships" ref="L24" r:id="rId17"/>
    <hyperlink xmlns:r="http://schemas.openxmlformats.org/officeDocument/2006/relationships" ref="L25" r:id="rId18"/>
    <hyperlink xmlns:r="http://schemas.openxmlformats.org/officeDocument/2006/relationships" ref="L26" r:id="rId19"/>
    <hyperlink xmlns:r="http://schemas.openxmlformats.org/officeDocument/2006/relationships" ref="L27" r:id="rId20"/>
    <hyperlink xmlns:r="http://schemas.openxmlformats.org/officeDocument/2006/relationships" ref="L28" r:id="rId21"/>
    <hyperlink xmlns:r="http://schemas.openxmlformats.org/officeDocument/2006/relationships" ref="L29" r:id="rId22"/>
    <hyperlink xmlns:r="http://schemas.openxmlformats.org/officeDocument/2006/relationships" ref="L30" r:id="rId23"/>
    <hyperlink xmlns:r="http://schemas.openxmlformats.org/officeDocument/2006/relationships" ref="L31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6" customWidth="1" min="4" max="4"/>
    <col width="16" customWidth="1" min="5" max="5"/>
    <col width="52" customWidth="1" min="6" max="6"/>
  </cols>
  <sheetData>
    <row r="1" ht="30" customHeight="1">
      <c r="A1" s="1" t="inlineStr">
        <is>
          <t>价格偏离计算（全部为公式；改 01 表客户价即自动重算）</t>
        </is>
      </c>
    </row>
    <row r="2" ht="30" customHeight="1">
      <c r="A2" s="2" t="inlineStr">
        <is>
          <t>公式口径：偏离金额 = 客户价 − 市场参考值；偏离比例 = 偏离金额 ÷ 市场参考值。</t>
        </is>
      </c>
    </row>
    <row r="4" ht="22" customHeight="1">
      <c r="A4" s="4" t="inlineStr">
        <is>
          <t>一、输入（引用 01 表）</t>
        </is>
      </c>
    </row>
    <row r="5" ht="30" customHeight="1">
      <c r="A5" s="12" t="inlineStr">
        <is>
          <t>项目</t>
        </is>
      </c>
      <c r="B5" s="12" t="inlineStr">
        <is>
          <t>数值</t>
        </is>
      </c>
      <c r="C5" s="12" t="inlineStr">
        <is>
          <t>单位</t>
        </is>
      </c>
      <c r="D5" s="12" t="inlineStr"/>
      <c r="E5" s="12" t="inlineStr"/>
      <c r="F5" s="12" t="inlineStr">
        <is>
          <t>公式 / 说明</t>
        </is>
      </c>
    </row>
    <row r="6">
      <c r="A6" s="5" t="inlineStr">
        <is>
          <t>客户所述价格</t>
        </is>
      </c>
      <c r="B6" s="32">
        <f>'01_客户报价输入'!B5</f>
        <v/>
      </c>
      <c r="C6" s="33" t="inlineStr">
        <is>
          <t>元/吨</t>
        </is>
      </c>
      <c r="F6" s="14" t="inlineStr">
        <is>
          <t>直接引用 01!B5</t>
        </is>
      </c>
    </row>
    <row r="7">
      <c r="A7" s="5" t="inlineStr">
        <is>
          <t>客户税费口径</t>
        </is>
      </c>
      <c r="B7" s="34">
        <f>'01_客户报价输入'!B8</f>
        <v/>
      </c>
      <c r="C7" s="33" t="inlineStr"/>
      <c r="F7" s="14" t="inlineStr">
        <is>
          <t>含税/不含税/未注明</t>
        </is>
      </c>
    </row>
    <row r="8">
      <c r="A8" s="5" t="inlineStr">
        <is>
          <t>客户交付口径</t>
        </is>
      </c>
      <c r="B8" s="34">
        <f>'01_客户报价输入'!B9</f>
        <v/>
      </c>
      <c r="C8" s="33" t="inlineStr"/>
      <c r="F8" s="14" t="inlineStr">
        <is>
          <t>出厂/送到/库提</t>
        </is>
      </c>
    </row>
    <row r="9">
      <c r="A9" s="5" t="inlineStr">
        <is>
          <t>市场税费口径</t>
        </is>
      </c>
      <c r="B9" s="34">
        <f>'01_客户报价输入'!B21</f>
        <v/>
      </c>
      <c r="C9" s="33" t="inlineStr"/>
      <c r="F9" s="14" t="inlineStr">
        <is>
          <t>参照 03 表</t>
        </is>
      </c>
    </row>
    <row r="10">
      <c r="A10" s="5" t="inlineStr">
        <is>
          <t>市场交付口径</t>
        </is>
      </c>
      <c r="B10" s="34">
        <f>'01_客户报价输入'!B22</f>
        <v/>
      </c>
      <c r="C10" s="33" t="inlineStr"/>
      <c r="F10" s="14" t="inlineStr">
        <is>
          <t>参照 03 表</t>
        </is>
      </c>
    </row>
    <row r="11">
      <c r="A11" s="5" t="inlineStr">
        <is>
          <t>市场区间下沿</t>
        </is>
      </c>
      <c r="B11" s="32">
        <f>'01_客户报价输入'!B23</f>
        <v/>
      </c>
      <c r="C11" s="33" t="inlineStr">
        <is>
          <t>元/吨</t>
        </is>
      </c>
      <c r="F11" s="14" t="inlineStr">
        <is>
          <t>同日同口径</t>
        </is>
      </c>
    </row>
    <row r="12">
      <c r="A12" s="5" t="inlineStr">
        <is>
          <t>市场区间上沿</t>
        </is>
      </c>
      <c r="B12" s="32">
        <f>'01_客户报价输入'!B24</f>
        <v/>
      </c>
      <c r="C12" s="33" t="inlineStr">
        <is>
          <t>元/吨</t>
        </is>
      </c>
      <c r="F12" s="14" t="inlineStr">
        <is>
          <t>同日同口径</t>
        </is>
      </c>
    </row>
    <row r="13">
      <c r="A13" s="5" t="inlineStr">
        <is>
          <t>市场参考值（中值）</t>
        </is>
      </c>
      <c r="B13" s="32">
        <f>'01_客户报价输入'!B25</f>
        <v/>
      </c>
      <c r="C13" s="33" t="inlineStr">
        <is>
          <t>元/吨</t>
        </is>
      </c>
      <c r="F13" s="14">
        <f>(下沿+上沿)/2</f>
        <v/>
      </c>
    </row>
    <row r="14">
      <c r="A14" s="5" t="inlineStr">
        <is>
          <t>税率</t>
        </is>
      </c>
      <c r="B14" s="35">
        <f>'01_客户报价输入'!B16</f>
        <v/>
      </c>
      <c r="C14" s="33" t="inlineStr"/>
      <c r="F14" s="14" t="inlineStr">
        <is>
          <t>增值税</t>
        </is>
      </c>
    </row>
    <row r="15">
      <c r="A15" s="5" t="inlineStr">
        <is>
          <t>已知运费</t>
        </is>
      </c>
      <c r="B15" s="32">
        <f>'01_客户报价输入'!B15</f>
        <v/>
      </c>
      <c r="C15" s="33" t="inlineStr">
        <is>
          <t>元/吨</t>
        </is>
      </c>
      <c r="F15" s="14" t="inlineStr">
        <is>
          <t>出厂→送到时使用；空则无法折算</t>
        </is>
      </c>
    </row>
    <row r="17" ht="22" customHeight="1">
      <c r="A17" s="4" t="inlineStr">
        <is>
          <t>二、口径标准化（确定性换算，非推测）</t>
        </is>
      </c>
    </row>
    <row r="18" ht="30" customHeight="1">
      <c r="A18" s="12" t="inlineStr">
        <is>
          <t>步骤</t>
        </is>
      </c>
      <c r="B18" s="12" t="inlineStr">
        <is>
          <t>数值</t>
        </is>
      </c>
      <c r="C18" s="12" t="inlineStr">
        <is>
          <t>说明</t>
        </is>
      </c>
      <c r="D18" s="12" t="inlineStr"/>
      <c r="E18" s="12" t="inlineStr"/>
      <c r="F18" s="12" t="inlineStr">
        <is>
          <t>公式</t>
        </is>
      </c>
    </row>
    <row r="19">
      <c r="A19" s="5" t="inlineStr">
        <is>
          <t>客户价（换算到市场税基）</t>
        </is>
      </c>
      <c r="B19" s="32">
        <f>IF(AND(B7="不含税",B9="含税"),B6*(1+B14),IF(AND(B7="含税",B9="不含税"),B6/(1+B14),B6))</f>
        <v/>
      </c>
      <c r="C19" s="14" t="inlineStr">
        <is>
          <t>仅当两侧税基明确且不同才换算</t>
        </is>
      </c>
      <c r="F19" s="14" t="inlineStr">
        <is>
          <t>客户「未注明」时不加税、不减税，直接按市场税基比较，并在结论里标注口径风险</t>
        </is>
      </c>
    </row>
    <row r="20">
      <c r="A20" s="5" t="inlineStr">
        <is>
          <t>客户价（换算到市场交付口径）</t>
        </is>
      </c>
      <c r="B20" s="32">
        <f>IF(AND(B10="送到",B8="出厂"),IFERROR(B19+B15,B19),IF(AND(B10="出厂",B8="送到"),IFERROR(B19-B15,B19),B19))</f>
        <v/>
      </c>
      <c r="C20" s="14" t="inlineStr">
        <is>
          <t>出厂+运费→送到；送到−运费→出厂；无运费则保持原值并提示</t>
        </is>
      </c>
      <c r="F20" s="14" t="inlineStr">
        <is>
          <t>运费为空时不做任何假设，04 结论区会显示「无法直接折算」</t>
        </is>
      </c>
    </row>
    <row r="21">
      <c r="A21" s="5" t="inlineStr">
        <is>
          <t>口径是否可直接比较</t>
        </is>
      </c>
      <c r="B21" s="36">
        <f>IF(AND(B10="送到",B8="出厂",B15=""),"无法直接折算（缺运费）","可比较（已按口径换算）")</f>
        <v/>
      </c>
      <c r="C21" s="14" t="inlineStr">
        <is>
          <t>条件</t>
        </is>
      </c>
      <c r="F21" s="14" t="inlineStr">
        <is>
          <t>只比较同税基、同交付口径的价格</t>
        </is>
      </c>
    </row>
    <row r="23" ht="22" customHeight="1">
      <c r="A23" s="4" t="inlineStr">
        <is>
          <t>三、偏离金额与比例</t>
        </is>
      </c>
    </row>
    <row r="24" ht="30" customHeight="1">
      <c r="A24" s="12" t="inlineStr">
        <is>
          <t>指标</t>
        </is>
      </c>
      <c r="B24" s="12" t="inlineStr">
        <is>
          <t>数值（元/吨 或 %）</t>
        </is>
      </c>
      <c r="C24" s="12" t="inlineStr">
        <is>
          <t>计算方法</t>
        </is>
      </c>
      <c r="D24" s="12" t="inlineStr"/>
      <c r="E24" s="12" t="inlineStr"/>
      <c r="F24" s="12" t="inlineStr">
        <is>
          <t>Excel 公式</t>
        </is>
      </c>
    </row>
    <row r="25">
      <c r="A25" s="5" t="inlineStr">
        <is>
          <t>① 偏离金额（相对中值）</t>
        </is>
      </c>
      <c r="B25" s="37">
        <f>B20-B13</f>
        <v/>
      </c>
      <c r="C25" s="6" t="inlineStr">
        <is>
          <t>客户价 − 市场参考值（正=客户更高）</t>
        </is>
      </c>
      <c r="F25" s="14">
        <f>B20-B13</f>
        <v/>
      </c>
    </row>
    <row r="26">
      <c r="A26" s="5" t="inlineStr">
        <is>
          <t>② 偏离比例（相对中值）</t>
        </is>
      </c>
      <c r="B26" s="38">
        <f>IFERROR(B25/B13,"")</f>
        <v/>
      </c>
      <c r="C26" s="6" t="inlineStr">
        <is>
          <t>偏离金额 ÷ 市场参考值</t>
        </is>
      </c>
      <c r="F26" s="14">
        <f>IFERROR(B25/B13,"")</f>
        <v/>
      </c>
    </row>
    <row r="27">
      <c r="A27" s="5" t="inlineStr">
        <is>
          <t>③ 相对区间上沿的金额</t>
        </is>
      </c>
      <c r="B27" s="32">
        <f>B20-B12</f>
        <v/>
      </c>
      <c r="C27" s="6" t="inlineStr">
        <is>
          <t>客户价 − 上沿（&gt;0 表示高于市场最高报价）</t>
        </is>
      </c>
      <c r="F27" s="14">
        <f>B20-B12</f>
        <v/>
      </c>
    </row>
    <row r="28">
      <c r="A28" s="5" t="inlineStr">
        <is>
          <t>④ 相对上沿的比例</t>
        </is>
      </c>
      <c r="B28" s="39">
        <f>IFERROR(B27/B12,"")</f>
        <v/>
      </c>
      <c r="C28" s="6" t="inlineStr">
        <is>
          <t>相对上沿金额 ÷ 上沿</t>
        </is>
      </c>
      <c r="F28" s="14">
        <f>IFERROR(B27/B12,"")</f>
        <v/>
      </c>
    </row>
    <row r="29">
      <c r="A29" s="5" t="inlineStr">
        <is>
          <t>⑤ 相对区间下沿的金额</t>
        </is>
      </c>
      <c r="B29" s="32">
        <f>B20-B11</f>
        <v/>
      </c>
      <c r="C29" s="6" t="inlineStr">
        <is>
          <t>客户价 − 下沿（&lt;0 表示低于市场最低报价）</t>
        </is>
      </c>
      <c r="F29" s="14">
        <f>B20-B11</f>
        <v/>
      </c>
    </row>
    <row r="30">
      <c r="A30" s="5" t="inlineStr">
        <is>
          <t>⑥ 相对下沿的比例</t>
        </is>
      </c>
      <c r="B30" s="39">
        <f>IFERROR(B29/B11,"")</f>
        <v/>
      </c>
      <c r="C30" s="6" t="inlineStr">
        <is>
          <t>相对下沿金额 ÷ 下沿</t>
        </is>
      </c>
      <c r="F30" s="14">
        <f>IFERROR(B29/B11,"")</f>
        <v/>
      </c>
    </row>
    <row r="31">
      <c r="A31" s="5" t="inlineStr">
        <is>
          <t>⑦ 是否落在市场区间内</t>
        </is>
      </c>
      <c r="B31" s="36">
        <f>IF(B20=B13,"待输入客户价",IF(AND(B20&gt;=B11,B20&lt;=B12),"是","否"))</f>
        <v/>
      </c>
      <c r="C31" s="6" t="inlineStr">
        <is>
          <t>下沿 ≤ 客户价 ≤ 上沿 → 是</t>
        </is>
      </c>
    </row>
    <row r="32">
      <c r="A32" s="5" t="inlineStr">
        <is>
          <t>⑧ 区间半宽（判定尺度）</t>
        </is>
      </c>
      <c r="B32" s="32">
        <f>(B12-B11)/2</f>
        <v/>
      </c>
      <c r="C32" s="6" t="inlineStr">
        <is>
          <t>半宽 = (上沿−下沿)/2，用作『明显』判定的自然尺度</t>
        </is>
      </c>
      <c r="F32" s="14">
        <f>(B12-B11)/2</f>
        <v/>
      </c>
    </row>
    <row r="34" ht="22" customHeight="1">
      <c r="A34" s="4" t="inlineStr">
        <is>
          <t>四、判定（依据区间位置 + 近3月价格带，不用固定百分比阈值）</t>
        </is>
      </c>
    </row>
    <row r="35" ht="28" customHeight="1">
      <c r="A35" s="40" t="inlineStr">
        <is>
          <t>核验结论</t>
        </is>
      </c>
      <c r="B35" s="41">
        <f>IF(OR(B11="",B12="",NOT(ISNUMBER(B11)),NOT(ISNUMBER(B12))),"无可靠市场数据，无法验证",IF(B21&lt;&gt;"可比较（已按口径换算）","口径不一致，暂时无法直接比较",IF(AND(B20&gt;=B11-0.01,B20&lt;=B12+0.01),"接近市场参考区间",IF(ABS(B20-IF(B20&gt;B12,B12,B11))&lt;=B32+0.01,IF(B20&gt;B12,"略高于市场参考区间","略低于市场参考区间"),IF(B20&gt;B12,"明显偏高","明显偏低")))))</f>
        <v/>
      </c>
      <c r="C35" s="22" t="n"/>
      <c r="D35" s="22" t="n"/>
      <c r="E35" s="22" t="n"/>
      <c r="F35" s="21" t="n"/>
    </row>
    <row r="36" ht="42" customHeight="1">
      <c r="A36" s="5" t="inlineStr">
        <is>
          <t>判定规则</t>
        </is>
      </c>
      <c r="B36" s="14" t="inlineStr">
        <is>
          <t>①客户价在[下沿,上沿]内→接近市场；②区间外但距最近端点 ≤ 半宽 → 略高/略低；③距最近端点 &gt; 半宽 → 明显偏高/明显偏低；④口径不可比 → 无法直接比较。「明显」的尺度取自该市场报价自身的宽度，而不是人为设定的百分比。</t>
        </is>
      </c>
    </row>
    <row r="37">
      <c r="A37" s="5" t="inlineStr">
        <is>
          <t>口径提示</t>
        </is>
      </c>
      <c r="B37" s="14" t="inlineStr">
        <is>
          <t>客户未说明含税/不含税；客户未说明出厂/送到；客户未说明付款方式/账期</t>
        </is>
      </c>
    </row>
    <row r="38">
      <c r="A38" s="5" t="inlineStr">
        <is>
          <t>我方报价 vs 客户价</t>
        </is>
      </c>
      <c r="B38" s="14">
        <f>IF('01_客户报价输入'!B13="","未填写我方报价","我方报价 "&amp;TEXT('01_客户报价输入'!B13,"#,##0")&amp;" 元/吨，较客户价 "&amp;TEXT('01_客户报价输入'!B13-B6,"+#,##0;-#,##0;0")&amp;" 元/吨（"&amp;TEXT(IFERROR(('01_客户报价输入'!B13-B6)/B6,0),"+0.0%;-0.0%")&amp;"）")</f>
        <v/>
      </c>
    </row>
    <row r="40" ht="22" customHeight="1">
      <c r="A40" s="4" t="inlineStr">
        <is>
          <t>五、历史窗口对比（7天 / 30天 / 3个月）</t>
        </is>
      </c>
    </row>
    <row r="41" ht="30" customHeight="1">
      <c r="A41" s="12" t="inlineStr">
        <is>
          <t>窗口</t>
        </is>
      </c>
      <c r="B41" s="12" t="inlineStr">
        <is>
          <t>起点日期</t>
        </is>
      </c>
      <c r="C41" s="12" t="inlineStr">
        <is>
          <t>起点价格</t>
        </is>
      </c>
      <c r="D41" s="12" t="inlineStr">
        <is>
          <t>最新价格</t>
        </is>
      </c>
      <c r="E41" s="12" t="inlineStr">
        <is>
          <t>变化</t>
        </is>
      </c>
      <c r="F41" s="12" t="inlineStr">
        <is>
          <t>变化比例</t>
        </is>
      </c>
    </row>
    <row r="42">
      <c r="A42" s="5" t="inlineStr">
        <is>
          <t>近7天</t>
        </is>
      </c>
      <c r="B42" s="23" t="inlineStr">
        <is>
          <t>2026-10-10</t>
        </is>
      </c>
      <c r="C42" s="24" t="n">
        <v>1125</v>
      </c>
      <c r="D42" s="24" t="n">
        <v>1125</v>
      </c>
      <c r="E42" s="25">
        <f>D42-C42</f>
        <v/>
      </c>
      <c r="F42" s="42">
        <f>IFERROR(E42/C42,"")</f>
        <v/>
      </c>
    </row>
    <row r="43">
      <c r="A43" s="5" t="inlineStr">
        <is>
          <t>近30天</t>
        </is>
      </c>
      <c r="B43" s="23" t="inlineStr">
        <is>
          <t>2026-09-20</t>
        </is>
      </c>
      <c r="C43" s="24" t="n">
        <v>1125</v>
      </c>
      <c r="D43" s="24" t="n">
        <v>1125</v>
      </c>
      <c r="E43" s="25">
        <f>D43-C43</f>
        <v/>
      </c>
      <c r="F43" s="42">
        <f>IFERROR(E43/C43,"")</f>
        <v/>
      </c>
    </row>
    <row r="44">
      <c r="A44" s="5" t="inlineStr">
        <is>
          <t>近3个月</t>
        </is>
      </c>
      <c r="B44" s="23" t="inlineStr">
        <is>
          <t>2026-06-17</t>
        </is>
      </c>
      <c r="C44" s="24" t="n">
        <v>1250</v>
      </c>
      <c r="D44" s="24" t="n">
        <v>1125</v>
      </c>
      <c r="E44" s="25">
        <f>D44-C44</f>
        <v/>
      </c>
      <c r="F44" s="42">
        <f>IFERROR(E44/C44,"")</f>
        <v/>
      </c>
    </row>
    <row r="46">
      <c r="A46" s="5" t="inlineStr">
        <is>
          <t>客户价在历史中的位置</t>
        </is>
      </c>
      <c r="B46" s="14" t="inlineStr">
        <is>
          <t>历史序列区间 1,125–1,250 元/吨；客户价高于序列最高点 150 元/吨（12.0%）</t>
        </is>
      </c>
    </row>
  </sheetData>
  <mergeCells count="33">
    <mergeCell ref="D20:E20"/>
    <mergeCell ref="D10:E10"/>
    <mergeCell ref="D19:E19"/>
    <mergeCell ref="C31:E31"/>
    <mergeCell ref="B46:F46"/>
    <mergeCell ref="D21:E21"/>
    <mergeCell ref="A2:F2"/>
    <mergeCell ref="D6:E6"/>
    <mergeCell ref="C27:E27"/>
    <mergeCell ref="D11:E11"/>
    <mergeCell ref="D13:E13"/>
    <mergeCell ref="A23:F23"/>
    <mergeCell ref="A17:F17"/>
    <mergeCell ref="A4:F4"/>
    <mergeCell ref="C32:E32"/>
    <mergeCell ref="C28:E28"/>
    <mergeCell ref="D7:E7"/>
    <mergeCell ref="B38:F38"/>
    <mergeCell ref="B37:F37"/>
    <mergeCell ref="A34:F34"/>
    <mergeCell ref="A40:F40"/>
    <mergeCell ref="C30:E30"/>
    <mergeCell ref="D9:E9"/>
    <mergeCell ref="D12:E12"/>
    <mergeCell ref="D8:E8"/>
    <mergeCell ref="D15:E15"/>
    <mergeCell ref="A1:F1"/>
    <mergeCell ref="D14:E14"/>
    <mergeCell ref="C26:E26"/>
    <mergeCell ref="B36:F36"/>
    <mergeCell ref="C29:E29"/>
    <mergeCell ref="C25:E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34" customWidth="1" min="8" max="8"/>
  </cols>
  <sheetData>
    <row r="1" ht="30" customHeight="1">
      <c r="A1" s="1" t="inlineStr">
        <is>
          <t>历史价格序列（供 Excel 折线图 / 复核任意一天）</t>
        </is>
      </c>
    </row>
    <row r="2" ht="30" customHeight="1">
      <c r="A2" s="2" t="inlineStr">
        <is>
          <t>同一来源、同一口径的连续点；不同来源标注了口径差异，不做平均合并。</t>
        </is>
      </c>
    </row>
    <row r="4" ht="30" customHeight="1">
      <c r="A4" s="12" t="inlineStr">
        <is>
          <t>日期</t>
        </is>
      </c>
      <c r="B4" s="12" t="inlineStr">
        <is>
          <t>规格</t>
        </is>
      </c>
      <c r="C4" s="12" t="inlineStr">
        <is>
          <t>地区</t>
        </is>
      </c>
      <c r="D4" s="12" t="inlineStr">
        <is>
          <t>口径</t>
        </is>
      </c>
      <c r="E4" s="12" t="inlineStr">
        <is>
          <t>区间下沿</t>
        </is>
      </c>
      <c r="F4" s="12" t="inlineStr">
        <is>
          <t>区间上沿</t>
        </is>
      </c>
      <c r="G4" s="12" t="inlineStr">
        <is>
          <t>中值/主流价</t>
        </is>
      </c>
      <c r="H4" s="12" t="inlineStr">
        <is>
          <t>来源</t>
        </is>
      </c>
    </row>
    <row r="5">
      <c r="A5" s="23" t="inlineStr">
        <is>
          <t>2026-04-27</t>
        </is>
      </c>
      <c r="B5" s="6" t="inlineStr">
        <is>
          <t>重质纯碱</t>
        </is>
      </c>
      <c r="C5" s="6" t="inlineStr">
        <is>
          <t>华东地区</t>
        </is>
      </c>
      <c r="D5" s="23" t="inlineStr">
        <is>
          <t>含税·送到</t>
        </is>
      </c>
      <c r="E5" s="24" t="n">
        <v>1230</v>
      </c>
      <c r="F5" s="24" t="n">
        <v>1250</v>
      </c>
      <c r="G5" s="25" t="n">
        <v>1250</v>
      </c>
      <c r="H5" s="6" t="inlineStr">
        <is>
          <t>隆众资讯</t>
        </is>
      </c>
    </row>
    <row r="6">
      <c r="A6" s="23" t="inlineStr">
        <is>
          <t>2026-05-19</t>
        </is>
      </c>
      <c r="B6" s="6" t="inlineStr">
        <is>
          <t>重质纯碱</t>
        </is>
      </c>
      <c r="C6" s="6" t="inlineStr">
        <is>
          <t>华东地区</t>
        </is>
      </c>
      <c r="D6" s="23" t="inlineStr">
        <is>
          <t>含税·送到</t>
        </is>
      </c>
      <c r="E6" s="24" t="n">
        <v>1230</v>
      </c>
      <c r="F6" s="24" t="n">
        <v>1250</v>
      </c>
      <c r="G6" s="25" t="n">
        <v>1250</v>
      </c>
      <c r="H6" s="6" t="inlineStr">
        <is>
          <t>隆众资讯</t>
        </is>
      </c>
    </row>
    <row r="7">
      <c r="A7" s="23" t="inlineStr">
        <is>
          <t>2026-06-17</t>
        </is>
      </c>
      <c r="B7" s="6" t="inlineStr">
        <is>
          <t>重质纯碱</t>
        </is>
      </c>
      <c r="C7" s="6" t="inlineStr">
        <is>
          <t>华东地区</t>
        </is>
      </c>
      <c r="D7" s="23" t="inlineStr">
        <is>
          <t>含税·送到</t>
        </is>
      </c>
      <c r="E7" s="24" t="n">
        <v>1250</v>
      </c>
      <c r="F7" s="24" t="n">
        <v>1250</v>
      </c>
      <c r="G7" s="25" t="n">
        <v>1250</v>
      </c>
      <c r="H7" s="6" t="inlineStr">
        <is>
          <t>同花顺 iFinD（主流价）</t>
        </is>
      </c>
    </row>
    <row r="8">
      <c r="A8" s="23" t="inlineStr">
        <is>
          <t>2026-07-27</t>
        </is>
      </c>
      <c r="B8" s="6" t="inlineStr">
        <is>
          <t>重质纯碱</t>
        </is>
      </c>
      <c r="C8" s="6" t="inlineStr">
        <is>
          <t>华东地区</t>
        </is>
      </c>
      <c r="D8" s="23" t="inlineStr">
        <is>
          <t>含税·送到</t>
        </is>
      </c>
      <c r="E8" s="24" t="n">
        <v>1150</v>
      </c>
      <c r="F8" s="24" t="n">
        <v>1250</v>
      </c>
      <c r="G8" s="25" t="n">
        <v>1200</v>
      </c>
      <c r="H8" s="6" t="inlineStr">
        <is>
          <t>隆众资讯</t>
        </is>
      </c>
    </row>
    <row r="9">
      <c r="A9" s="23" t="inlineStr">
        <is>
          <t>2026-07-28</t>
        </is>
      </c>
      <c r="B9" s="6" t="inlineStr">
        <is>
          <t>重质纯碱</t>
        </is>
      </c>
      <c r="C9" s="6" t="inlineStr">
        <is>
          <t>华东地区</t>
        </is>
      </c>
      <c r="D9" s="23" t="inlineStr">
        <is>
          <t>未注明·未注明</t>
        </is>
      </c>
      <c r="E9" s="24" t="n">
        <v>1215</v>
      </c>
      <c r="F9" s="24" t="n">
        <v>1215</v>
      </c>
      <c r="G9" s="25" t="n">
        <v>1215</v>
      </c>
      <c r="H9" s="6" t="inlineStr">
        <is>
          <t>同花顺 iFinD（主流价）</t>
        </is>
      </c>
    </row>
    <row r="10">
      <c r="A10" s="23" t="inlineStr">
        <is>
          <t>2026-08-05</t>
        </is>
      </c>
      <c r="B10" s="6" t="inlineStr">
        <is>
          <t>重质纯碱</t>
        </is>
      </c>
      <c r="C10" s="6" t="inlineStr">
        <is>
          <t>华东地区</t>
        </is>
      </c>
      <c r="D10" s="23" t="inlineStr">
        <is>
          <t>含税·送到</t>
        </is>
      </c>
      <c r="E10" s="24" t="n">
        <v>1050</v>
      </c>
      <c r="F10" s="24" t="n">
        <v>1200</v>
      </c>
      <c r="G10" s="25" t="n">
        <v>1125</v>
      </c>
      <c r="H10" s="6" t="inlineStr">
        <is>
          <t>隆众资讯</t>
        </is>
      </c>
    </row>
    <row r="11">
      <c r="A11" s="23" t="inlineStr">
        <is>
          <t>2026-08-06</t>
        </is>
      </c>
      <c r="B11" s="6" t="inlineStr">
        <is>
          <t>重质纯碱</t>
        </is>
      </c>
      <c r="C11" s="6" t="inlineStr">
        <is>
          <t>华东地区</t>
        </is>
      </c>
      <c r="D11" s="23" t="inlineStr">
        <is>
          <t>未注明·未注明</t>
        </is>
      </c>
      <c r="E11" s="24" t="n">
        <v>1150</v>
      </c>
      <c r="F11" s="24" t="n">
        <v>1150</v>
      </c>
      <c r="G11" s="25" t="n">
        <v>1150</v>
      </c>
      <c r="H11" s="6" t="inlineStr">
        <is>
          <t>同花顺 iFinD（主流价）</t>
        </is>
      </c>
    </row>
    <row r="12">
      <c r="A12" s="23" t="inlineStr">
        <is>
          <t>2026-08-12</t>
        </is>
      </c>
      <c r="B12" s="6" t="inlineStr">
        <is>
          <t>重质纯碱</t>
        </is>
      </c>
      <c r="C12" s="6" t="inlineStr">
        <is>
          <t>华东地区</t>
        </is>
      </c>
      <c r="D12" s="23" t="inlineStr">
        <is>
          <t>含税·送到</t>
        </is>
      </c>
      <c r="E12" s="24" t="n">
        <v>1050</v>
      </c>
      <c r="F12" s="24" t="n">
        <v>1200</v>
      </c>
      <c r="G12" s="25" t="n">
        <v>1125</v>
      </c>
      <c r="H12" s="6" t="inlineStr">
        <is>
          <t>隆众资讯</t>
        </is>
      </c>
    </row>
    <row r="13">
      <c r="A13" s="23" t="inlineStr">
        <is>
          <t>2026-08-18</t>
        </is>
      </c>
      <c r="B13" s="6" t="inlineStr">
        <is>
          <t>重质纯碱</t>
        </is>
      </c>
      <c r="C13" s="6" t="inlineStr">
        <is>
          <t>华东地区</t>
        </is>
      </c>
      <c r="D13" s="23" t="inlineStr">
        <is>
          <t>含税·送到</t>
        </is>
      </c>
      <c r="E13" s="24" t="n">
        <v>1050</v>
      </c>
      <c r="F13" s="24" t="n">
        <v>1200</v>
      </c>
      <c r="G13" s="25" t="n">
        <v>1125</v>
      </c>
      <c r="H13" s="6" t="inlineStr">
        <is>
          <t>隆众资讯</t>
        </is>
      </c>
    </row>
    <row r="14">
      <c r="A14" s="23" t="inlineStr">
        <is>
          <t>2026-09-10</t>
        </is>
      </c>
      <c r="B14" s="6" t="inlineStr">
        <is>
          <t>重质纯碱</t>
        </is>
      </c>
      <c r="C14" s="6" t="inlineStr">
        <is>
          <t>华东地区</t>
        </is>
      </c>
      <c r="D14" s="23" t="inlineStr">
        <is>
          <t>含税·送到</t>
        </is>
      </c>
      <c r="E14" s="24" t="n">
        <v>1050</v>
      </c>
      <c r="F14" s="24" t="n">
        <v>1200</v>
      </c>
      <c r="G14" s="25" t="n">
        <v>1125</v>
      </c>
      <c r="H14" s="6" t="inlineStr">
        <is>
          <t>隆众资讯</t>
        </is>
      </c>
    </row>
    <row r="15">
      <c r="A15" s="23" t="inlineStr">
        <is>
          <t>2026-09-14</t>
        </is>
      </c>
      <c r="B15" s="6" t="inlineStr">
        <is>
          <t>重质纯碱</t>
        </is>
      </c>
      <c r="C15" s="6" t="inlineStr">
        <is>
          <t>华东地区</t>
        </is>
      </c>
      <c r="D15" s="23" t="inlineStr">
        <is>
          <t>含税·送到</t>
        </is>
      </c>
      <c r="E15" s="24" t="n">
        <v>1050</v>
      </c>
      <c r="F15" s="24" t="n">
        <v>1200</v>
      </c>
      <c r="G15" s="25" t="n">
        <v>1125</v>
      </c>
      <c r="H15" s="6" t="inlineStr">
        <is>
          <t>隆众资讯</t>
        </is>
      </c>
    </row>
    <row r="16">
      <c r="A16" s="23" t="inlineStr">
        <is>
          <t>2026-09-20</t>
        </is>
      </c>
      <c r="B16" s="6" t="inlineStr">
        <is>
          <t>重质纯碱</t>
        </is>
      </c>
      <c r="C16" s="6" t="inlineStr">
        <is>
          <t>华东地区</t>
        </is>
      </c>
      <c r="D16" s="23" t="inlineStr">
        <is>
          <t>含税·送到</t>
        </is>
      </c>
      <c r="E16" s="24" t="n">
        <v>1050</v>
      </c>
      <c r="F16" s="24" t="n">
        <v>1200</v>
      </c>
      <c r="G16" s="25" t="n">
        <v>1125</v>
      </c>
      <c r="H16" s="6" t="inlineStr">
        <is>
          <t>隆众资讯</t>
        </is>
      </c>
    </row>
    <row r="17">
      <c r="A17" s="23" t="inlineStr">
        <is>
          <t>2026-09-21</t>
        </is>
      </c>
      <c r="B17" s="6" t="inlineStr">
        <is>
          <t>重质纯碱</t>
        </is>
      </c>
      <c r="C17" s="6" t="inlineStr">
        <is>
          <t>华东地区</t>
        </is>
      </c>
      <c r="D17" s="23" t="inlineStr">
        <is>
          <t>含税·送到</t>
        </is>
      </c>
      <c r="E17" s="24" t="n">
        <v>1050</v>
      </c>
      <c r="F17" s="24" t="n">
        <v>1200</v>
      </c>
      <c r="G17" s="25" t="n">
        <v>1125</v>
      </c>
      <c r="H17" s="6" t="inlineStr">
        <is>
          <t>隆众资讯</t>
        </is>
      </c>
    </row>
    <row r="18">
      <c r="A18" s="23" t="inlineStr">
        <is>
          <t>2026-09-30</t>
        </is>
      </c>
      <c r="B18" s="6" t="inlineStr">
        <is>
          <t>重质纯碱</t>
        </is>
      </c>
      <c r="C18" s="6" t="inlineStr">
        <is>
          <t>华东地区</t>
        </is>
      </c>
      <c r="D18" s="23" t="inlineStr">
        <is>
          <t>含税·送到</t>
        </is>
      </c>
      <c r="E18" s="24" t="n">
        <v>1050</v>
      </c>
      <c r="F18" s="24" t="n">
        <v>1200</v>
      </c>
      <c r="G18" s="25" t="n">
        <v>1125</v>
      </c>
      <c r="H18" s="6" t="inlineStr">
        <is>
          <t>隆众资讯</t>
        </is>
      </c>
    </row>
    <row r="19">
      <c r="A19" s="23" t="inlineStr">
        <is>
          <t>2026-10-10</t>
        </is>
      </c>
      <c r="B19" s="6" t="inlineStr">
        <is>
          <t>重质纯碱</t>
        </is>
      </c>
      <c r="C19" s="6" t="inlineStr">
        <is>
          <t>华东地区</t>
        </is>
      </c>
      <c r="D19" s="23" t="inlineStr">
        <is>
          <t>含税·送到</t>
        </is>
      </c>
      <c r="E19" s="24" t="n">
        <v>1050</v>
      </c>
      <c r="F19" s="24" t="n">
        <v>1200</v>
      </c>
      <c r="G19" s="25" t="n">
        <v>1125</v>
      </c>
      <c r="H19" s="6" t="inlineStr">
        <is>
          <t>隆众资讯</t>
        </is>
      </c>
    </row>
    <row r="20">
      <c r="A20" s="23" t="inlineStr">
        <is>
          <t>2026-10-14</t>
        </is>
      </c>
      <c r="B20" s="6" t="inlineStr">
        <is>
          <t>重质纯碱</t>
        </is>
      </c>
      <c r="C20" s="6" t="inlineStr">
        <is>
          <t>华东地区</t>
        </is>
      </c>
      <c r="D20" s="23" t="inlineStr">
        <is>
          <t>含税·送到</t>
        </is>
      </c>
      <c r="E20" s="24" t="n">
        <v>1050</v>
      </c>
      <c r="F20" s="24" t="n">
        <v>1200</v>
      </c>
      <c r="G20" s="25" t="n">
        <v>1125</v>
      </c>
      <c r="H20" s="6" t="inlineStr">
        <is>
          <t>隆众资讯</t>
        </is>
      </c>
    </row>
    <row r="21">
      <c r="A21" s="23" t="inlineStr">
        <is>
          <t>2026-10-20</t>
        </is>
      </c>
      <c r="B21" s="6" t="inlineStr">
        <is>
          <t>重质纯碱</t>
        </is>
      </c>
      <c r="C21" s="6" t="inlineStr">
        <is>
          <t>华东地区</t>
        </is>
      </c>
      <c r="D21" s="23" t="inlineStr">
        <is>
          <t>含税·送到</t>
        </is>
      </c>
      <c r="E21" s="24" t="n">
        <v>1050</v>
      </c>
      <c r="F21" s="24" t="n">
        <v>1200</v>
      </c>
      <c r="G21" s="25" t="n">
        <v>1125</v>
      </c>
      <c r="H21" s="6" t="inlineStr">
        <is>
          <t>隆众资讯</t>
        </is>
      </c>
    </row>
    <row r="23" ht="22" customHeight="1">
      <c r="A23" s="4" t="inlineStr">
        <is>
          <t>辅助列：客户价在历史的什么位置</t>
        </is>
      </c>
    </row>
    <row r="24">
      <c r="A24" s="5" t="inlineStr">
        <is>
          <t>客户价（引用01）</t>
        </is>
      </c>
      <c r="B24" s="32">
        <f>'01_客户报价输入'!B5</f>
        <v/>
      </c>
    </row>
    <row r="25">
      <c r="A25" s="5" t="inlineStr">
        <is>
          <t>高于序列最高点？</t>
        </is>
      </c>
      <c r="B25" s="6">
        <f>IF(B24&gt;MAX(G5:G21),"高于最高点 "&amp;TEXT(B24-MAX(G5:G21),"#,##0")&amp;" 元/吨","在序列范围内")</f>
        <v/>
      </c>
      <c r="C25" s="22" t="n"/>
      <c r="D25" s="21" t="n"/>
    </row>
  </sheetData>
  <mergeCells count="4">
    <mergeCell ref="A23:H23"/>
    <mergeCell ref="B25:D2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13" customWidth="1" min="7" max="7"/>
    <col width="14" customWidth="1" min="8" max="8"/>
    <col width="14" customWidth="1" min="9" max="9"/>
    <col width="46" customWidth="1" min="10" max="10"/>
  </cols>
  <sheetData>
    <row r="1" ht="30" customHeight="1">
      <c r="A1" s="1" t="inlineStr">
        <is>
          <t>相邻地区价格对比（同为含税·送到口径）</t>
        </is>
      </c>
    </row>
    <row r="2" ht="30" customHeight="1">
      <c r="A2" s="2" t="inlineStr">
        <is>
          <t>区域价差主要来自运距与供需结构；不能据此判断『某地市场更高/更低』。</t>
        </is>
      </c>
    </row>
    <row r="4" ht="30" customHeight="1">
      <c r="A4" s="12" t="inlineStr">
        <is>
          <t>地区</t>
        </is>
      </c>
      <c r="B4" s="12" t="inlineStr">
        <is>
          <t>下沿</t>
        </is>
      </c>
      <c r="C4" s="12" t="inlineStr">
        <is>
          <t>上沿</t>
        </is>
      </c>
      <c r="D4" s="12" t="inlineStr">
        <is>
          <t>中值</t>
        </is>
      </c>
      <c r="E4" s="12" t="inlineStr">
        <is>
          <t>税费</t>
        </is>
      </c>
      <c r="F4" s="12" t="inlineStr">
        <is>
          <t>交付</t>
        </is>
      </c>
      <c r="G4" s="12" t="inlineStr">
        <is>
          <t>日期</t>
        </is>
      </c>
      <c r="H4" s="12" t="inlineStr">
        <is>
          <t>较基准价差</t>
        </is>
      </c>
      <c r="I4" s="12" t="inlineStr">
        <is>
          <t>较基准比例</t>
        </is>
      </c>
    </row>
    <row r="5">
      <c r="A5" s="8" t="inlineStr">
        <is>
          <t>华东地区（基准）</t>
        </is>
      </c>
      <c r="B5" s="32">
        <f>'01_客户报价输入'!B24</f>
        <v/>
      </c>
      <c r="C5" s="32">
        <f>'01_客户报价输入'!B24</f>
        <v/>
      </c>
      <c r="D5" s="32">
        <f>AVERAGE(B5:C5)</f>
        <v/>
      </c>
      <c r="E5" s="23">
        <f>'01_客户报价输入'!B22</f>
        <v/>
      </c>
      <c r="F5" s="23">
        <f>'01_客户报价输入'!B22</f>
        <v/>
      </c>
      <c r="G5" s="23" t="inlineStr">
        <is>
          <t>2026-10-20</t>
        </is>
      </c>
      <c r="H5" s="24" t="n">
        <v>0</v>
      </c>
      <c r="I5" s="43" t="n">
        <v>0</v>
      </c>
    </row>
    <row r="6">
      <c r="A6" s="44" t="inlineStr">
        <is>
          <t>华中地区</t>
        </is>
      </c>
      <c r="B6" s="24" t="n">
        <v>1050</v>
      </c>
      <c r="C6" s="24" t="n">
        <v>1150</v>
      </c>
      <c r="D6" s="25">
        <f>AVERAGE(B6:C6)</f>
        <v/>
      </c>
      <c r="E6" s="23" t="inlineStr">
        <is>
          <t>含税</t>
        </is>
      </c>
      <c r="F6" s="23" t="inlineStr">
        <is>
          <t>送到</t>
        </is>
      </c>
      <c r="G6" s="23" t="inlineStr">
        <is>
          <t>2026-10-20</t>
        </is>
      </c>
      <c r="H6" s="24">
        <f>D6-D$5</f>
        <v/>
      </c>
      <c r="I6" s="43">
        <f>IFERROR(H6/D$5,"")</f>
        <v/>
      </c>
      <c r="J6" s="14" t="inlineStr">
        <is>
          <t>同规格、同税基、同为送到口径；距离华东最近的区域参考</t>
        </is>
      </c>
    </row>
    <row r="7">
      <c r="A7" s="44" t="inlineStr">
        <is>
          <t>华北地区</t>
        </is>
      </c>
      <c r="B7" s="24" t="n">
        <v>1150</v>
      </c>
      <c r="C7" s="24" t="n">
        <v>1150</v>
      </c>
      <c r="D7" s="25">
        <f>AVERAGE(B7:C7)</f>
        <v/>
      </c>
      <c r="E7" s="23" t="inlineStr">
        <is>
          <t>含税</t>
        </is>
      </c>
      <c r="F7" s="23" t="inlineStr">
        <is>
          <t>送到</t>
        </is>
      </c>
      <c r="G7" s="23" t="inlineStr">
        <is>
          <t>2026-10-12</t>
        </is>
      </c>
      <c r="H7" s="24">
        <f>D7-D$5</f>
        <v/>
      </c>
      <c r="I7" s="43">
        <f>IFERROR(H7/D$5,"")</f>
        <v/>
      </c>
      <c r="J7" s="14" t="inlineStr">
        <is>
          <t>同规格、同税基、送到口径；日期早 8 天</t>
        </is>
      </c>
    </row>
    <row r="8">
      <c r="A8" s="44" t="inlineStr">
        <is>
          <t>华南地区</t>
        </is>
      </c>
      <c r="B8" s="24" t="n">
        <v>1200</v>
      </c>
      <c r="C8" s="24" t="n">
        <v>1300</v>
      </c>
      <c r="D8" s="25">
        <f>AVERAGE(B8:C8)</f>
        <v/>
      </c>
      <c r="E8" s="23" t="inlineStr">
        <is>
          <t>含税</t>
        </is>
      </c>
      <c r="F8" s="23" t="inlineStr">
        <is>
          <t>送到</t>
        </is>
      </c>
      <c r="G8" s="23" t="inlineStr">
        <is>
          <t>2026-10-12</t>
        </is>
      </c>
      <c r="H8" s="24">
        <f>D8-D$5</f>
        <v/>
      </c>
      <c r="I8" s="43">
        <f>IFERROR(H8/D$5,"")</f>
        <v/>
      </c>
      <c r="J8" s="14" t="inlineStr">
        <is>
          <t>同规格、同税基、送到口径；运距远，价差含运价</t>
        </is>
      </c>
    </row>
    <row r="9">
      <c r="A9" s="44" t="inlineStr">
        <is>
          <t>东北地区</t>
        </is>
      </c>
      <c r="B9" s="24" t="n">
        <v>1200</v>
      </c>
      <c r="C9" s="24" t="n">
        <v>1350</v>
      </c>
      <c r="D9" s="25">
        <f>AVERAGE(B9:C9)</f>
        <v/>
      </c>
      <c r="E9" s="23" t="inlineStr">
        <is>
          <t>含税</t>
        </is>
      </c>
      <c r="F9" s="23" t="inlineStr">
        <is>
          <t>送到</t>
        </is>
      </c>
      <c r="G9" s="23" t="inlineStr">
        <is>
          <t>2026-10-10</t>
        </is>
      </c>
      <c r="H9" s="24">
        <f>D9-D$5</f>
        <v/>
      </c>
      <c r="I9" s="43">
        <f>IFERROR(H9/D$5,"")</f>
        <v/>
      </c>
      <c r="J9" s="14" t="inlineStr">
        <is>
          <t>同规格、同税基、送到口径；运距最远，价格最高</t>
        </is>
      </c>
    </row>
    <row r="11" ht="40" customHeight="1">
      <c r="A11" s="5" t="inlineStr">
        <is>
          <t>可比性说明</t>
        </is>
      </c>
      <c r="B11" s="14" t="inlineStr">
        <is>
          <t>各区域均为同规格、同税基、送到口径；日期相差 1-10 天的已在「日期」列标出。跨区比价的前提是『同一客户、同一交付地』；运距不同时，价差不能直接当作报价依据。</t>
        </is>
      </c>
    </row>
  </sheetData>
  <mergeCells count="3">
    <mergeCell ref="A1:I1"/>
    <mergeCell ref="B11:I1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40" customWidth="1" min="4" max="4"/>
    <col width="36" customWidth="1" min="5" max="5"/>
  </cols>
  <sheetData>
    <row r="1" ht="30" customHeight="1">
      <c r="A1" s="1" t="inlineStr">
        <is>
          <t>需要向客户确认的问题清单</t>
        </is>
      </c>
    </row>
    <row r="2" ht="30" customHeight="1">
      <c r="A2" s="2" t="inlineStr">
        <is>
          <t>按优先级排序；每条对应一个口径缺口。得到答复后回填到「客户答复」，再复核结论。</t>
        </is>
      </c>
    </row>
    <row r="4" ht="30" customHeight="1">
      <c r="A4" s="12" t="inlineStr">
        <is>
          <t>#</t>
        </is>
      </c>
      <c r="B4" s="12" t="inlineStr">
        <is>
          <t>优先级</t>
        </is>
      </c>
      <c r="C4" s="12" t="inlineStr">
        <is>
          <t>问题</t>
        </is>
      </c>
      <c r="D4" s="12" t="inlineStr">
        <is>
          <t>为什么要问</t>
        </is>
      </c>
      <c r="E4" s="12" t="inlineStr">
        <is>
          <t>客户答复（回填）</t>
        </is>
      </c>
    </row>
    <row r="5" ht="34" customHeight="1">
      <c r="A5" s="23" t="n">
        <v>1</v>
      </c>
      <c r="B5" s="45" t="inlineStr">
        <is>
          <t>高</t>
        </is>
      </c>
      <c r="C5" s="6" t="inlineStr">
        <is>
          <t>您说的 1400 元/吨，是含税还是不含税？能不能开 13% 增值税专用发票？</t>
        </is>
      </c>
      <c r="D5" s="14" t="inlineStr">
        <is>
          <t>含税/不含税差 13%，是数百元/吨差异的第一来源</t>
        </is>
      </c>
      <c r="E5" s="46" t="inlineStr"/>
    </row>
    <row r="6" ht="34" customHeight="1">
      <c r="A6" s="23" t="n">
        <v>2</v>
      </c>
      <c r="B6" s="45" t="inlineStr">
        <is>
          <t>高</t>
        </is>
      </c>
      <c r="C6" s="6" t="inlineStr">
        <is>
          <t>这个价格是出厂价（您自提）还是送到价（到您厂）？送到哪里？</t>
        </is>
      </c>
      <c r="D6" s="14" t="inlineStr">
        <is>
          <t>出厂与送到之间差运费，决定能否直接对比</t>
        </is>
      </c>
      <c r="E6" s="46" t="inlineStr"/>
    </row>
    <row r="7" ht="34" customHeight="1">
      <c r="A7" s="23" t="n">
        <v>3</v>
      </c>
      <c r="B7" s="45" t="inlineStr">
        <is>
          <t>高</t>
        </is>
      </c>
      <c r="C7" s="6" t="inlineStr">
        <is>
          <t>价格是哪天、从哪里看到的（哪家供应商/哪个平台/群里报价）？</t>
        </is>
      </c>
      <c r="D7" s="14" t="inlineStr">
        <is>
          <t>用于判断是否为最新价、是否为个别成交</t>
        </is>
      </c>
      <c r="E7" s="46" t="inlineStr"/>
    </row>
    <row r="8" ht="34" customHeight="1">
      <c r="A8" s="23" t="n">
        <v>4</v>
      </c>
      <c r="B8" s="45" t="inlineStr">
        <is>
          <t>高</t>
        </is>
      </c>
      <c r="C8" s="6" t="inlineStr">
        <is>
          <t>具体是重质还是轻质？粒度要求是多少（如 30/40 目）、对铁含量或不溶物有无上限？</t>
        </is>
      </c>
      <c r="D8" s="14" t="inlineStr">
        <is>
          <t>华轻重碱当前价差很小，但规格不同仍可能不具可比性</t>
        </is>
      </c>
      <c r="E8" s="46" t="inlineStr"/>
    </row>
    <row r="9" ht="34" customHeight="1">
      <c r="A9" s="23" t="n">
        <v>5</v>
      </c>
      <c r="B9" s="20" t="inlineStr">
        <is>
          <t>中</t>
        </is>
      </c>
      <c r="C9" s="6" t="inlineStr">
        <is>
          <t>月用量和单笔订货量是多少？是散装罐车、吨袋还是 40kg 小包装？</t>
        </is>
      </c>
      <c r="D9" s="14" t="inlineStr">
        <is>
          <t>量与包装会显著影响成交价</t>
        </is>
      </c>
      <c r="E9" s="46" t="inlineStr"/>
    </row>
    <row r="10" ht="34" customHeight="1">
      <c r="A10" s="23" t="n">
        <v>6</v>
      </c>
      <c r="B10" s="20" t="inlineStr">
        <is>
          <t>中</t>
        </is>
      </c>
      <c r="C10" s="6" t="inlineStr">
        <is>
          <t>付款是现汇还是承兑？账期多久？</t>
        </is>
      </c>
      <c r="D10" s="14" t="inlineStr">
        <is>
          <t>账期与承兑需按贴现成本折算，不可默认相同</t>
        </is>
      </c>
      <c r="E10" s="46" t="inlineStr"/>
    </row>
    <row r="11" ht="34" customHeight="1">
      <c r="A11" s="23" t="n">
        <v>7</v>
      </c>
      <c r="B11" s="20" t="inlineStr">
        <is>
          <t>中</t>
        </is>
      </c>
      <c r="C11" s="6" t="inlineStr">
        <is>
          <t>您说的低价是否有明确的成交凭证（合同/订单/送货单），是哪家、什么时候？</t>
        </is>
      </c>
      <c r="D11" s="14" t="inlineStr">
        <is>
          <t>区分市场报价、个别成交与传闻</t>
        </is>
      </c>
      <c r="E11" s="46" t="inlineStr"/>
    </row>
    <row r="12" ht="34" customHeight="1">
      <c r="A12" s="23" t="n">
        <v>8</v>
      </c>
      <c r="B12" s="20" t="inlineStr">
        <is>
          <t>中</t>
        </is>
      </c>
      <c r="C12" s="6" t="inlineStr">
        <is>
          <t>收货具体地点在华东哪个城市？有没有指定卸货条件（如现场可容罐车/叉车卸货）？</t>
        </is>
      </c>
      <c r="D12" s="14" t="inlineStr">
        <is>
          <t>运距与卸货条件影响送到成本</t>
        </is>
      </c>
      <c r="E12" s="46" t="inlineStr"/>
    </row>
    <row r="13" ht="34" customHeight="1">
      <c r="A13" s="23" t="n">
        <v>9</v>
      </c>
      <c r="B13" s="47" t="inlineStr">
        <is>
          <t>低</t>
        </is>
      </c>
      <c r="C13" s="6" t="inlineStr">
        <is>
          <t>您比较时是否把运费、税费、账期都算进去了？</t>
        </is>
      </c>
      <c r="D13" s="14" t="inlineStr">
        <is>
          <t>帮助客户自行核对口径，减少无效争议</t>
        </is>
      </c>
      <c r="E13" s="4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46" customWidth="1" min="3" max="3"/>
    <col width="12" customWidth="1" min="4" max="4"/>
  </cols>
  <sheetData>
    <row r="1" ht="30" customHeight="1">
      <c r="A1" s="1" t="inlineStr">
        <is>
          <t>数据缺口与研究边界</t>
        </is>
      </c>
    </row>
    <row r="2" ht="30" customHeight="1">
      <c r="A2" s="2" t="inlineStr">
        <is>
          <t>缺口不是缺陷列表，而是『这份报告能走多远』的刻度。补上一条，结论才能细一分。</t>
        </is>
      </c>
    </row>
    <row r="4" ht="30" customHeight="1">
      <c r="A4" s="12" t="inlineStr">
        <is>
          <t>缺口项</t>
        </is>
      </c>
      <c r="B4" s="12" t="inlineStr">
        <is>
          <t>影响</t>
        </is>
      </c>
      <c r="C4" s="12" t="inlineStr">
        <is>
          <t>补法</t>
        </is>
      </c>
      <c r="D4" s="12" t="inlineStr">
        <is>
          <t>状态</t>
        </is>
      </c>
    </row>
    <row r="5" ht="34" customHeight="1">
      <c r="A5" s="44" t="inlineStr">
        <is>
          <t>华东重质『含税出厂』同日公开报价</t>
        </is>
      </c>
      <c r="B5" s="6" t="inlineStr">
        <is>
          <t>无法把厂家出厂价直接与客户价对比</t>
        </is>
      </c>
      <c r="C5" s="6" t="inlineStr">
        <is>
          <t>向客户确认口径，或获取江苏/山东厂家针对该客户的正式报价</t>
        </is>
      </c>
      <c r="D5" s="20" t="inlineStr">
        <is>
          <t>待补</t>
        </is>
      </c>
    </row>
    <row r="6" ht="34" customHeight="1">
      <c r="A6" s="44" t="inlineStr">
        <is>
          <t>华东→客户具体工厂的运费/运距数据</t>
        </is>
      </c>
      <c r="B6" s="6" t="inlineStr">
        <is>
          <t>出厂价与送到价之间无法折算</t>
        </is>
      </c>
      <c r="C6" s="6" t="inlineStr">
        <is>
          <t>按实际收货地询价（含税运价单）后再折算</t>
        </is>
      </c>
      <c r="D6" s="20" t="inlineStr">
        <is>
          <t>待补</t>
        </is>
      </c>
    </row>
    <row r="7" ht="34" customHeight="1">
      <c r="A7" s="44" t="inlineStr">
        <is>
          <t>承兑贴现率</t>
        </is>
      </c>
      <c r="B7" s="6" t="inlineStr">
        <is>
          <t>账期与承兑口径无法折算</t>
        </is>
      </c>
      <c r="C7" s="6" t="inlineStr">
        <is>
          <t>按公司财务给定的贴现率折算，不自行假设</t>
        </is>
      </c>
      <c r="D7" s="20" t="inlineStr">
        <is>
          <t>待补</t>
        </is>
      </c>
    </row>
    <row r="8" ht="34" customHeight="1">
      <c r="A8" s="44" t="inlineStr">
        <is>
          <t>粒度/铁含量等细分规格报价</t>
        </is>
      </c>
      <c r="B8" s="6" t="inlineStr">
        <is>
          <t>若客户需求为特殊规格，市场大类报价不适用</t>
        </is>
      </c>
      <c r="C8" s="6" t="inlineStr">
        <is>
          <t>向厂家询特定规格报价</t>
        </is>
      </c>
      <c r="D8" s="20" t="inlineStr">
        <is>
          <t>待补</t>
        </is>
      </c>
    </row>
    <row r="9" ht="34" customHeight="1">
      <c r="A9" s="44" t="inlineStr">
        <is>
          <t>客户所述 1400 元/吨 的来源与日期</t>
        </is>
      </c>
      <c r="B9" s="6" t="inlineStr">
        <is>
          <t>无法判断是否为个别成交或历史价格</t>
        </is>
      </c>
      <c r="C9" s="6" t="inlineStr">
        <is>
          <t>按 Q3/Q7 向客户确认</t>
        </is>
      </c>
      <c r="D9" s="20" t="inlineStr">
        <is>
          <t>待补</t>
        </is>
      </c>
    </row>
    <row r="10" ht="34" customHeight="1">
      <c r="A10" s="44" t="inlineStr">
        <is>
          <t>我方历史报价</t>
        </is>
      </c>
      <c r="B10" s="6" t="inlineStr">
        <is>
          <t>无法计算我方报价与客户价的偏离</t>
        </is>
      </c>
      <c r="C10" s="6" t="inlineStr">
        <is>
          <t>销售在 Excel『01_客户报价输入』填入后自动重算</t>
        </is>
      </c>
      <c r="D10" s="20" t="inlineStr">
        <is>
          <t>待补</t>
        </is>
      </c>
    </row>
    <row r="11" ht="34" customHeight="1">
      <c r="A11" s="44" t="inlineStr">
        <is>
          <t>2026 年 1-3 月华东重质连续日线</t>
        </is>
      </c>
      <c r="B11" s="6" t="inlineStr">
        <is>
          <t>『近一年位置』结论受限</t>
        </is>
      </c>
      <c r="C11" s="6" t="inlineStr">
        <is>
          <t>后续补充 1-3 月日更页面</t>
        </is>
      </c>
      <c r="D11" s="20" t="inlineStr">
        <is>
          <t>待补</t>
        </is>
      </c>
    </row>
    <row r="13" ht="22" customHeight="1">
      <c r="A13" s="4" t="inlineStr">
        <is>
          <t>研究方法说明</t>
        </is>
      </c>
    </row>
    <row r="14" ht="34" customHeight="1">
      <c r="A14" s="6" t="inlineStr">
        <is>
          <t>• 基准比较采用①同一时段（2026-10-20）②同一规格（重质纯碱）③同一区域（华东）④同一税费（含税）⑤同一交付（送到）的隆众数据。</t>
        </is>
      </c>
    </row>
    <row r="15" ht="34" customHeight="1">
      <c r="A15" s="6" t="inlineStr">
        <is>
          <t>• 客户价 1400 元/吨 高于同日市场区间上沿 1200 元/吨 达 200 元/吨，超过区间半宽（75 元/吨），且高于近半年华东序列的最高点 1250 元/吨，按本 Skill 的判断规则属『明显偏高』，且该价在近半年任何时点都不存在于华东重质现货口径。</t>
        </is>
      </c>
    </row>
    <row r="16" ht="34" customHeight="1">
      <c r="A16" s="6" t="inlineStr">
        <is>
          <t>• 客户未说明含税/含税交付条件，故本结论附条件：若客户实际为『不含税出厂』，则其口径与市场不同，需另行折算——但即使按不含税 1400（含税等值 1582）也远高于市场，折算不会改变方向性结论。</t>
        </is>
      </c>
    </row>
    <row r="17" ht="34" customHeight="1">
      <c r="A17" s="6" t="inlineStr">
        <is>
          <t>• 本报告不使用『压价/虚报』等定性，仅陈述可核实的价格事实与口径差异。</t>
        </is>
      </c>
    </row>
    <row r="19" ht="22" customHeight="1">
      <c r="A19" s="4" t="inlineStr">
        <is>
          <t>期货参考（仅说明税基差异，不作为现货参考价）</t>
        </is>
      </c>
    </row>
    <row r="20" ht="40" customHeight="1">
      <c r="A20" s="5" t="inlineStr">
        <is>
          <t>说明</t>
        </is>
      </c>
      <c r="B20" s="14" t="inlineStr">
        <is>
          <t>期货为不含税、含交割成本的标准化合约价，不可直接与现货含税送到价相减。本 Skill 不使用期货价格作为市场参考价，仅在沟通中用于说明『盘面与现货的差异不在同一税基』。</t>
        </is>
      </c>
    </row>
    <row r="21" ht="30" customHeight="1">
      <c r="A21" s="12" t="inlineStr">
        <is>
          <t>日期</t>
        </is>
      </c>
      <c r="B21" s="12" t="inlineStr">
        <is>
          <t>收盘（元/吨）</t>
        </is>
      </c>
      <c r="C21" s="12" t="inlineStr">
        <is>
          <t>合约</t>
        </is>
      </c>
      <c r="D21" s="12" t="inlineStr">
        <is>
          <t>来源</t>
        </is>
      </c>
    </row>
    <row r="22">
      <c r="A22" s="23" t="inlineStr">
        <is>
          <t>2026-09-30</t>
        </is>
      </c>
      <c r="B22" s="24" t="n">
        <v>985</v>
      </c>
      <c r="C22" s="6" t="inlineStr">
        <is>
          <t>SA2701（郑商所纯碱主力合约）</t>
        </is>
      </c>
      <c r="D22" s="14" t="inlineStr">
        <is>
          <t>郑商所日行情（经隆众『纯碱期货……』简报转述）</t>
        </is>
      </c>
    </row>
    <row r="23">
      <c r="A23" s="23" t="inlineStr">
        <is>
          <t>2026-10-09</t>
        </is>
      </c>
      <c r="B23" s="24" t="n">
        <v>948</v>
      </c>
      <c r="C23" s="6" t="inlineStr">
        <is>
          <t>SA2701（郑商所纯碱主力合约）</t>
        </is>
      </c>
      <c r="D23" s="14" t="inlineStr">
        <is>
          <t>郑商所日行情（经隆众『纯碱期货……』简报转述）</t>
        </is>
      </c>
    </row>
    <row r="24">
      <c r="A24" s="23" t="inlineStr">
        <is>
          <t>2026-10-12</t>
        </is>
      </c>
      <c r="B24" s="24" t="n">
        <v>941</v>
      </c>
      <c r="C24" s="6" t="inlineStr">
        <is>
          <t>SA2701（郑商所纯碱主力合约）</t>
        </is>
      </c>
      <c r="D24" s="14" t="inlineStr">
        <is>
          <t>郑商所日行情（经隆众『纯碱期货……』简报转述）</t>
        </is>
      </c>
    </row>
    <row r="25">
      <c r="A25" s="23" t="inlineStr">
        <is>
          <t>2026-10-13</t>
        </is>
      </c>
      <c r="B25" s="24" t="n">
        <v>950</v>
      </c>
      <c r="C25" s="6" t="inlineStr">
        <is>
          <t>SA2701（郑商所纯碱主力合约）</t>
        </is>
      </c>
      <c r="D25" s="14" t="inlineStr">
        <is>
          <t>郑商所日行情（经隆众『纯碱期货……』简报转述）</t>
        </is>
      </c>
    </row>
    <row r="26">
      <c r="A26" s="23" t="inlineStr">
        <is>
          <t>2026-10-14</t>
        </is>
      </c>
      <c r="B26" s="24" t="n">
        <v>946</v>
      </c>
      <c r="C26" s="6" t="inlineStr">
        <is>
          <t>SA2701（郑商所纯碱主力合约）</t>
        </is>
      </c>
      <c r="D26" s="14" t="inlineStr">
        <is>
          <t>郑商所日行情（经隆众『纯碱期货……』简报转述）</t>
        </is>
      </c>
    </row>
    <row r="27">
      <c r="A27" s="23" t="inlineStr">
        <is>
          <t>2026-10-15</t>
        </is>
      </c>
      <c r="B27" s="24" t="n">
        <v>935</v>
      </c>
      <c r="C27" s="6" t="inlineStr">
        <is>
          <t>SA2701（郑商所纯碱主力合约）</t>
        </is>
      </c>
      <c r="D27" s="14" t="inlineStr">
        <is>
          <t>郑商所日行情（经隆众『纯碱期货……』简报转述）</t>
        </is>
      </c>
    </row>
    <row r="28">
      <c r="A28" s="23" t="inlineStr">
        <is>
          <t>2026-10-16</t>
        </is>
      </c>
      <c r="B28" s="24" t="n">
        <v>933</v>
      </c>
      <c r="C28" s="6" t="inlineStr">
        <is>
          <t>SA2701（郑商所纯碱主力合约）</t>
        </is>
      </c>
      <c r="D28" s="14" t="inlineStr">
        <is>
          <t>郑商所日行情（经隆众『纯碱期货……』简报转述）</t>
        </is>
      </c>
    </row>
    <row r="29">
      <c r="A29" s="23" t="inlineStr">
        <is>
          <t>2026-10-19</t>
        </is>
      </c>
      <c r="B29" s="24" t="n">
        <v>930</v>
      </c>
      <c r="C29" s="6" t="inlineStr">
        <is>
          <t>SA2701（郑商所纯碱主力合约）</t>
        </is>
      </c>
      <c r="D29" s="14" t="inlineStr">
        <is>
          <t>郑商所日行情（经隆众『纯碱期货……』简报转述）</t>
        </is>
      </c>
    </row>
  </sheetData>
  <mergeCells count="9">
    <mergeCell ref="A1:D1"/>
    <mergeCell ref="A17:D17"/>
    <mergeCell ref="B20:D20"/>
    <mergeCell ref="A15:D15"/>
    <mergeCell ref="A2:D2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6" customWidth="1" min="3" max="3"/>
    <col width="46" customWidth="1" min="4" max="4"/>
    <col width="40" customWidth="1" min="5" max="5"/>
  </cols>
  <sheetData>
    <row r="1" ht="30" customHeight="1">
      <c r="A1" s="1" t="inlineStr">
        <is>
          <t>计算过程（可复核）</t>
        </is>
      </c>
    </row>
    <row r="2" ht="30" customHeight="1">
      <c r="A2" s="2" t="inlineStr">
        <is>
          <t>每个派生数字的公式、输入与结果；任何人可用同一来源复现。</t>
        </is>
      </c>
    </row>
    <row r="4" ht="30" customHeight="1">
      <c r="A4" s="12" t="inlineStr">
        <is>
          <t>#</t>
        </is>
      </c>
      <c r="B4" s="12" t="inlineStr">
        <is>
          <t>步骤</t>
        </is>
      </c>
      <c r="C4" s="12" t="inlineStr">
        <is>
          <t>公式</t>
        </is>
      </c>
      <c r="D4" s="12" t="inlineStr">
        <is>
          <t>输入</t>
        </is>
      </c>
      <c r="E4" s="12" t="inlineStr">
        <is>
          <t>结果</t>
        </is>
      </c>
    </row>
    <row r="5" ht="44" customHeight="1">
      <c r="A5" s="23" t="inlineStr">
        <is>
          <t>S1</t>
        </is>
      </c>
      <c r="B5" s="44" t="inlineStr">
        <is>
          <t>确定市场参考区间</t>
        </is>
      </c>
      <c r="C5" s="14" t="inlineStr">
        <is>
          <t>取同日同规格同地区含税送到的最新区间报价</t>
        </is>
      </c>
      <c r="D5" s="14" t="inlineStr">
        <is>
          <t>来源：隆众资讯（经我的钢铁网 mysteel.com 转载）；日期：2026-10-20；口径：现金含税·送到</t>
        </is>
      </c>
      <c r="E5" s="14" t="inlineStr">
        <is>
          <t>low：1050；high：1200</t>
        </is>
      </c>
    </row>
    <row r="6" ht="44" customHeight="1">
      <c r="A6" s="23" t="inlineStr">
        <is>
          <t>S2</t>
        </is>
      </c>
      <c r="B6" s="44" t="inlineStr">
        <is>
          <t>客户价相对市场区间的偏离</t>
        </is>
      </c>
      <c r="C6" s="14" t="inlineStr">
        <is>
          <t>偏离金额 = 客户价 − 区间中值；偏离比例 = 偏离金额 ÷ 区间中值；另算相对上下沿的金额与比例</t>
        </is>
      </c>
      <c r="D6" s="14" t="inlineStr">
        <is>
          <t>客户价：1400；区间：[1050, 1200]；区间中值：1125.0</t>
        </is>
      </c>
      <c r="E6" s="14" t="inlineStr">
        <is>
          <t>delta_to_dot：275.0；pct_to_dot：0.24444444444444444；delta_to_low：350；pct_to_low：0.3333333333333333；delta_to_high：200；pct_to_high：0.16666666666666666；pos：above</t>
        </is>
      </c>
    </row>
    <row r="7" ht="44" customHeight="1">
      <c r="A7" s="23" t="inlineStr">
        <is>
          <t>S3</t>
        </is>
      </c>
      <c r="B7" s="44" t="inlineStr">
        <is>
          <t>近3个月同口径价格带</t>
        </is>
      </c>
      <c r="C7" s="14" t="inlineStr">
        <is>
          <t>近 92 天同地区同规格同口径历史点的 min / max / median / mean（不使用不同来源混算）</t>
        </is>
      </c>
      <c r="D7" s="14" t="inlineStr">
        <is>
          <t>样本数：12</t>
        </is>
      </c>
      <c r="E7" s="14" t="inlineStr">
        <is>
          <t>min：1125.0；max：1200.0；median：1125.0；mean：1131.25</t>
        </is>
      </c>
    </row>
    <row r="8" ht="44" customHeight="1">
      <c r="A8" s="23" t="inlineStr">
        <is>
          <t>S4</t>
        </is>
      </c>
      <c r="B8" s="44" t="inlineStr">
        <is>
          <t>结论判定</t>
        </is>
      </c>
      <c r="C8" s="14" t="inlineStr">
        <is>
          <t>区间内=接近市场；区间外但距离≤区间半宽=略高/略低；距离&gt;区间半宽 且 超出近3月价格带=明显偏高/偏低</t>
        </is>
      </c>
      <c r="D8" s="14" t="inlineStr">
        <is>
          <t>客户价：1400；区间半宽：75.0；近3月最高：1200.0；近3月最低：1125.0</t>
        </is>
      </c>
      <c r="E8" s="14" t="inlineStr">
        <is>
          <t>verdict：high；label：明显偏高</t>
        </is>
      </c>
    </row>
    <row r="9" ht="44" customHeight="1">
      <c r="A9" s="23" t="inlineStr">
        <is>
          <t>S5</t>
        </is>
      </c>
      <c r="B9" s="44" t="inlineStr">
        <is>
          <t>7/30/90 天价格变化</t>
        </is>
      </c>
      <c r="C9" s="14" t="inlineStr">
        <is>
          <t>变化 = 最新价 − 取最新日向前推 N 天最近的同口径点；比例 = 变化 ÷ 起点价</t>
        </is>
      </c>
      <c r="D9" s="14" t="inlineStr">
        <is>
          <t>基准日：2026-10-20</t>
        </is>
      </c>
      <c r="E9" s="14" t="inlineStr">
        <is>
          <t>7d：0.0；30d：0.0；90d：-0.1</t>
        </is>
      </c>
    </row>
    <row r="10" ht="44" customHeight="1">
      <c r="A10" s="23" t="inlineStr">
        <is>
          <t>S6</t>
        </is>
      </c>
      <c r="B10" s="44" t="inlineStr">
        <is>
          <t>客户价在历史序列中的位置</t>
        </is>
      </c>
      <c r="C10" s="14" t="inlineStr">
        <is>
          <t>判断客户价是否落近 3 月同口径序列 [min, max]；并找序列中与客户价最接近的点</t>
        </is>
      </c>
      <c r="D10" s="14" t="inlineStr">
        <is>
          <t>客户价：1400；序列最低：1125.0；序列最高：1250.0</t>
        </is>
      </c>
      <c r="E10" s="14" t="inlineStr">
        <is>
          <t>在序列内：False；高于序列最高：150.0；最近点：{'gap': 150.0, 'date': '2026-04-27', 'point': 1250.0, 'source': '隆众资讯', 'url': 'https://www.mysteel.com/oilchem/a/26042715/5E8BB24F8B18A1AC.html'}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26" customWidth="1" min="3" max="3"/>
    <col width="13" customWidth="1" min="4" max="4"/>
    <col width="10" customWidth="1" min="5" max="5"/>
    <col width="36" customWidth="1" min="6" max="6"/>
  </cols>
  <sheetData>
    <row r="1" ht="30" customHeight="1">
      <c r="A1" s="1" t="inlineStr">
        <is>
          <t>与客户沟通可引用的客观事实</t>
        </is>
      </c>
    </row>
    <row r="2" ht="30" customHeight="1">
      <c r="A2" s="2" t="inlineStr">
        <is>
          <t>每条都有来源、日期、口径。引用时建议同时说明『这是市场报价区间，实际成交一单一议』。</t>
        </is>
      </c>
    </row>
    <row r="4" ht="30" customHeight="1">
      <c r="A4" s="12" t="inlineStr">
        <is>
          <t>#</t>
        </is>
      </c>
      <c r="B4" s="12" t="inlineStr">
        <is>
          <t>事实要点</t>
        </is>
      </c>
      <c r="C4" s="12" t="inlineStr">
        <is>
          <t>来源</t>
        </is>
      </c>
      <c r="D4" s="12" t="inlineStr">
        <is>
          <t>日期</t>
        </is>
      </c>
      <c r="E4" s="12" t="inlineStr">
        <is>
          <t>置信度</t>
        </is>
      </c>
      <c r="F4" s="12" t="inlineStr">
        <is>
          <t>备注</t>
        </is>
      </c>
    </row>
    <row r="5" ht="40" customHeight="1">
      <c r="A5" s="23" t="n">
        <v>1</v>
      </c>
      <c r="B5" s="6" t="inlineStr">
        <is>
          <t>2026-10-20 隆众资讯华东市场重质纯碱报价 1050-1200 元/吨（现金含税、送到），该口径已连续。</t>
        </is>
      </c>
      <c r="C5" s="14" t="inlineStr">
        <is>
          <t>隆众资讯（经我的钢铁网转载）</t>
        </is>
      </c>
      <c r="D5" s="23" t="inlineStr">
        <is>
          <t>2026-10-20</t>
        </is>
      </c>
      <c r="E5" s="47" t="inlineStr">
        <is>
          <t>高</t>
        </is>
      </c>
      <c r="F5" s="14" t="inlineStr">
        <is>
          <t>范围对应华东市场整体，非单一厂家</t>
        </is>
      </c>
    </row>
    <row r="6" ht="40" customHeight="1">
      <c r="A6" s="23" t="n">
        <v>2</v>
      </c>
      <c r="B6" s="6" t="inlineStr">
        <is>
          <t>同口径自 2026-08-05 至 10-20 基本维持 1050-1200 元/吨，说明近三个月市场中枢稳定。</t>
        </is>
      </c>
      <c r="C6" s="14" t="inlineStr">
        <is>
          <t>隆众资讯历史日更（多日）</t>
        </is>
      </c>
      <c r="D6" s="23" t="inlineStr">
        <is>
          <t>2026-08-05~10-20</t>
        </is>
      </c>
      <c r="E6" s="47" t="inlineStr">
        <is>
          <t>高</t>
        </is>
      </c>
      <c r="F6" s="14" t="inlineStr">
        <is>
          <t>同一来源、同一口径连续序列</t>
        </is>
      </c>
    </row>
    <row r="7" ht="40" customHeight="1">
      <c r="A7" s="23" t="n">
        <v>3</v>
      </c>
      <c r="B7" s="6" t="inlineStr">
        <is>
          <t>华东重质 2026 年 4-5 月在 1230-1250 元/吨，6 月一度回到 1250 元/吨，均未达到 1400 元/吨。</t>
        </is>
      </c>
      <c r="C7" s="14" t="inlineStr">
        <is>
          <t>隆众资讯 / 同花顺 iFinD</t>
        </is>
      </c>
      <c r="D7" s="23" t="inlineStr">
        <is>
          <t>2026-04-27~06-17</t>
        </is>
      </c>
      <c r="E7" s="47" t="inlineStr">
        <is>
          <t>高</t>
        </is>
      </c>
      <c r="F7" s="14" t="inlineStr">
        <is>
          <t>已查最近半年华东序列，无 1400 元/吨时点</t>
        </is>
      </c>
    </row>
    <row r="8" ht="40" customHeight="1">
      <c r="A8" s="23" t="n">
        <v>4</v>
      </c>
      <c r="B8" s="6" t="inlineStr">
        <is>
          <t>厂家侧交叉验证：江苏井神化工重质报价出厂 1100-1150 元/吨（1016），台玻实联化工重碱送到 1080-1150 元/吨（1016）。</t>
        </is>
      </c>
      <c r="C8" s="14" t="inlineStr">
        <is>
          <t>隆众资讯企业价格快讯</t>
        </is>
      </c>
      <c r="D8" s="23" t="inlineStr">
        <is>
          <t>2026-10-16</t>
        </is>
      </c>
      <c r="E8" s="47" t="inlineStr">
        <is>
          <t>高</t>
        </is>
      </c>
      <c r="F8" s="14" t="inlineStr">
        <is>
          <t>个别厂家出厂/送到价，不能代表全区市场</t>
        </is>
      </c>
    </row>
    <row r="9" ht="40" customHeight="1">
      <c r="A9" s="23" t="n">
        <v>5</v>
      </c>
      <c r="B9" s="6" t="inlineStr">
        <is>
          <t>区域参考（同为含税送到）：华中 1050-1150（1020）、华北 1150（1012）、华南 1200-1300（1012）、东北 1200-1350（1010）。</t>
        </is>
      </c>
      <c r="C9" s="14" t="inlineStr">
        <is>
          <t>隆众资讯各区域日更</t>
        </is>
      </c>
      <c r="D9" s="23" t="inlineStr">
        <is>
          <t>2026-10-10~10-20</t>
        </is>
      </c>
      <c r="E9" s="47" t="inlineStr">
        <is>
          <t>高</t>
        </is>
      </c>
      <c r="F9" s="14" t="inlineStr">
        <is>
          <t>区域差含运价，应作为『运距解释』而非『市场更贵』</t>
        </is>
      </c>
    </row>
    <row r="10" ht="40" customHeight="1">
      <c r="A10" s="23" t="n">
        <v>6</v>
      </c>
      <c r="B10" s="6" t="inlineStr">
        <is>
          <t>期货主力 SA2701 10-19 收盘约 930 元/吨，属不含税盘面价，与含税送到现货不是同一税基。</t>
        </is>
      </c>
      <c r="C10" s="14" t="inlineStr">
        <is>
          <t>郑商所日行情（隆众简报转述）</t>
        </is>
      </c>
      <c r="D10" s="23" t="inlineStr">
        <is>
          <t>2026-10-19</t>
        </is>
      </c>
      <c r="E10" s="47" t="inlineStr">
        <is>
          <t>中</t>
        </is>
      </c>
      <c r="F10" s="14" t="inlineStr">
        <is>
          <t>仅用于说明税基差异，不作为现货参考价</t>
        </is>
      </c>
    </row>
    <row r="13" ht="22" customHeight="1">
      <c r="A13" s="4" t="inlineStr">
        <is>
          <t>沟通稿草稿（销售可直接改；内容只含已核实事实，不含价格承诺）</t>
        </is>
      </c>
    </row>
    <row r="14">
      <c r="A14" s="48" t="inlineStr">
        <is>
          <t>您好，关于重质纯碱的价格，我把公开市场行情同步给您，方便我们对齐口径：
1）2026-10-20 华东地区市场重质纯碱报价为 1,050–1,200 元/吨（含税、送到），来源：隆众资讯（经我的钢铁网 mysteel.com 转载）。
2）您提到的价格与这个口径相比，差 +275 元/吨（约 24.4%，以区间中值 1,125 元/吨计）。
3）2026-10-20 隆众资讯华东市场重质纯碱报价 1050-1200 元/吨（现金含税、送到），该口径已连续。
4）同口径自 2026-08-05 至 10-20 基本维持 1050-1200 元/吨，说明近三个月市场中枢稳定。
5）华东重质 2026 年 4-5 月在 1230-1250 元/吨，6 月一度回到 1250 元/吨，均未达到 1400 元/吨。
想请您确认：价格含税与否、是出厂还是送到、取得日期与来源、月用量与包装、付款账期。有了这些我按您的实际口径重新对一遍。</t>
        </is>
      </c>
    </row>
    <row r="15"/>
    <row r="16"/>
    <row r="17"/>
    <row r="18"/>
    <row r="19"/>
    <row r="20"/>
    <row r="21"/>
    <row r="22"/>
    <row r="23"/>
    <row r="24"/>
  </sheetData>
  <mergeCells count="4">
    <mergeCell ref="A13:F13"/>
    <mergeCell ref="A2:F2"/>
    <mergeCell ref="A1:F1"/>
    <mergeCell ref="A14:F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3" customWidth="1" min="4" max="4"/>
    <col width="48" customWidth="1" min="5" max="5"/>
    <col width="10" customWidth="1" min="6" max="6"/>
    <col width="54" customWidth="1" min="7" max="7"/>
  </cols>
  <sheetData>
    <row r="1" ht="30" customHeight="1">
      <c r="A1" s="1" t="inlineStr">
        <is>
          <t>数据来源清单（逐条可追溯）</t>
        </is>
      </c>
    </row>
    <row r="2" ht="30" customHeight="1">
      <c r="A2" s="2" t="inlineStr">
        <is>
          <t>点链接即可复核原始口径；二手引用已标注「未见表」。</t>
        </is>
      </c>
    </row>
    <row r="4" ht="30" customHeight="1">
      <c r="A4" s="12" t="inlineStr">
        <is>
          <t>#</t>
        </is>
      </c>
      <c r="B4" s="12" t="inlineStr">
        <is>
          <t>来源</t>
        </is>
      </c>
      <c r="C4" s="12" t="inlineStr">
        <is>
          <t>类型</t>
        </is>
      </c>
      <c r="D4" s="12" t="inlineStr">
        <is>
          <t>日期</t>
        </is>
      </c>
      <c r="E4" s="12" t="inlineStr">
        <is>
          <t>取用内容</t>
        </is>
      </c>
      <c r="F4" s="12" t="inlineStr">
        <is>
          <t>置信度</t>
        </is>
      </c>
      <c r="G4" s="12" t="inlineStr">
        <is>
          <t>链接</t>
        </is>
      </c>
    </row>
    <row r="5">
      <c r="A5" s="23" t="n">
        <v>1</v>
      </c>
      <c r="B5" s="6" t="inlineStr">
        <is>
          <t>隆众资讯（经我的钢铁网 mysteel.com 转载）</t>
        </is>
      </c>
      <c r="C5" s="6" t="inlineStr">
        <is>
          <t>产业资讯日更报价</t>
        </is>
      </c>
      <c r="D5" s="23" t="inlineStr">
        <is>
          <t>2026-10-20</t>
        </is>
      </c>
      <c r="E5" s="14" t="inlineStr">
        <is>
          <t>华东地区 重质纯碱（未细分粒度） 1050-1200（现金含税·送到）</t>
        </is>
      </c>
      <c r="F5" s="23" t="inlineStr">
        <is>
          <t>高</t>
        </is>
      </c>
      <c r="G5" s="26" t="inlineStr">
        <is>
          <t>https://www.mysteel.com/oilchem/a/26102015/0877CD14C3251184.html</t>
        </is>
      </c>
    </row>
    <row r="6">
      <c r="A6" s="23" t="n">
        <v>2</v>
      </c>
      <c r="B6" s="6" t="inlineStr">
        <is>
          <t>同花顺 iFinD（iNews 现货汇总）</t>
        </is>
      </c>
      <c r="C6" s="6" t="inlineStr">
        <is>
          <t>行情终端汇总</t>
        </is>
      </c>
      <c r="D6" s="23" t="inlineStr">
        <is>
          <t>2026-10-10</t>
        </is>
      </c>
      <c r="E6" s="14" t="inlineStr">
        <is>
          <t>华东地区 重质纯碱 None-None（未注明（同花顺原文未标注含税与否）·未注明）</t>
        </is>
      </c>
      <c r="F6" s="23" t="inlineStr">
        <is>
          <t>中</t>
        </is>
      </c>
      <c r="G6" s="26" t="inlineStr">
        <is>
          <t>https://news.10jqka.com.cn/20261010/c680552148.shtml</t>
        </is>
      </c>
    </row>
    <row r="7">
      <c r="A7" s="23" t="n">
        <v>3</v>
      </c>
      <c r="B7" s="6" t="inlineStr">
        <is>
          <t>隆众资讯（经我的钢铁网转载）</t>
        </is>
      </c>
      <c r="C7" s="6" t="inlineStr">
        <is>
          <t>产业资讯日更报价</t>
        </is>
      </c>
      <c r="D7" s="23" t="inlineStr">
        <is>
          <t>2026-10-12</t>
        </is>
      </c>
      <c r="E7" s="14" t="inlineStr">
        <is>
          <t>华北地区 重质纯碱（华北） None-None（现金含税·送到）</t>
        </is>
      </c>
      <c r="F7" s="23" t="inlineStr">
        <is>
          <t>高</t>
        </is>
      </c>
      <c r="G7" s="26" t="inlineStr">
        <is>
          <t>https://www.mysteel.com/oilchem/a/26101214/7B985DEE621CAC82.html</t>
        </is>
      </c>
    </row>
    <row r="8">
      <c r="A8" s="23" t="n">
        <v>4</v>
      </c>
      <c r="B8" s="6" t="inlineStr">
        <is>
          <t>隆众资讯（经我的钢铁网转载）</t>
        </is>
      </c>
      <c r="C8" s="6" t="inlineStr">
        <is>
          <t>产业资讯日更报价</t>
        </is>
      </c>
      <c r="D8" s="23" t="inlineStr">
        <is>
          <t>2026-10-12</t>
        </is>
      </c>
      <c r="E8" s="14" t="inlineStr">
        <is>
          <t>华南地区 重质纯碱（广东） 1200-1300（现汇含税·送到）</t>
        </is>
      </c>
      <c r="F8" s="23" t="inlineStr">
        <is>
          <t>高</t>
        </is>
      </c>
      <c r="G8" s="26" t="inlineStr">
        <is>
          <t>https://www.mysteel.com/oilchem/a/26101214/7FA69DFCD8D8BADE.html</t>
        </is>
      </c>
    </row>
    <row r="9">
      <c r="A9" s="23" t="n">
        <v>5</v>
      </c>
      <c r="B9" s="6" t="inlineStr">
        <is>
          <t>隆众资讯（经我的钢铁网转载）</t>
        </is>
      </c>
      <c r="C9" s="6" t="inlineStr">
        <is>
          <t>产业资讯日更报价</t>
        </is>
      </c>
      <c r="D9" s="23" t="inlineStr">
        <is>
          <t>2026-10-20</t>
        </is>
      </c>
      <c r="E9" s="14" t="inlineStr">
        <is>
          <t>华中地区 重质纯碱（华中） 1050-1150（现金含税·送到）</t>
        </is>
      </c>
      <c r="F9" s="23" t="inlineStr">
        <is>
          <t>高</t>
        </is>
      </c>
      <c r="G9" s="26" t="inlineStr">
        <is>
          <t>https://www.mysteel.com/oilchem/a/26102015/EA2C185BD7E6C29E.html</t>
        </is>
      </c>
    </row>
    <row r="10">
      <c r="A10" s="23" t="n">
        <v>6</v>
      </c>
      <c r="B10" s="6" t="inlineStr">
        <is>
          <t>隆众资讯（经我的钢铁网转载）</t>
        </is>
      </c>
      <c r="C10" s="6" t="inlineStr">
        <is>
          <t>产业资讯日更报价</t>
        </is>
      </c>
      <c r="D10" s="23" t="inlineStr">
        <is>
          <t>2026-10-10</t>
        </is>
      </c>
      <c r="E10" s="14" t="inlineStr">
        <is>
          <t>东北地区 重质纯碱（东北） 1200-1350（含税·送到）</t>
        </is>
      </c>
      <c r="F10" s="23" t="inlineStr">
        <is>
          <t>高</t>
        </is>
      </c>
      <c r="G10" s="26" t="inlineStr">
        <is>
          <t>https://www.mysteel.com/oilchem/a/26101014/FF1A43B14CB11155.html</t>
        </is>
      </c>
    </row>
    <row r="11">
      <c r="A11" s="23" t="n">
        <v>7</v>
      </c>
      <c r="B11" s="6" t="inlineStr">
        <is>
          <t>生意社（chemall 中国石油和化工网转载）</t>
        </is>
      </c>
      <c r="C11" s="6" t="inlineStr">
        <is>
          <t>第三方资讯</t>
        </is>
      </c>
      <c r="D11" s="23" t="inlineStr">
        <is>
          <t>2026-10-16</t>
        </is>
      </c>
      <c r="E11" s="14" t="inlineStr">
        <is>
          <t>华东-山东/苏北出口集散地 重质纯碱（日照、连云港） 1350-1450（未注明·集港价）</t>
        </is>
      </c>
      <c r="F11" s="23" t="inlineStr">
        <is>
          <t>低</t>
        </is>
      </c>
      <c r="G11" s="26" t="inlineStr">
        <is>
          <t>https://www.chemall.com.cn/news/show-264502.html</t>
        </is>
      </c>
    </row>
    <row r="12">
      <c r="A12" s="23" t="n">
        <v>8</v>
      </c>
      <c r="B12" s="6" t="inlineStr">
        <is>
          <t>隆众资讯</t>
        </is>
      </c>
      <c r="C12" s="6" t="inlineStr">
        <is>
          <t>日更区间</t>
        </is>
      </c>
      <c r="D12" s="23" t="inlineStr">
        <is>
          <t>2026-04-27</t>
        </is>
      </c>
      <c r="E12" s="14" t="inlineStr">
        <is>
          <t>华东地区 重质纯碱 1230-1250（含税·送到）</t>
        </is>
      </c>
      <c r="F12" s="23" t="inlineStr">
        <is>
          <t>高</t>
        </is>
      </c>
      <c r="G12" s="26" t="inlineStr">
        <is>
          <t>https://www.mysteel.com/oilchem/a/26042715/5E8BB24F8B18A1AC.html</t>
        </is>
      </c>
    </row>
    <row r="13">
      <c r="A13" s="23" t="n">
        <v>9</v>
      </c>
      <c r="B13" s="6" t="inlineStr">
        <is>
          <t>隆众资讯</t>
        </is>
      </c>
      <c r="C13" s="6" t="inlineStr">
        <is>
          <t>日更区间</t>
        </is>
      </c>
      <c r="D13" s="23" t="inlineStr">
        <is>
          <t>2026-05-19</t>
        </is>
      </c>
      <c r="E13" s="14" t="inlineStr">
        <is>
          <t>华东地区 重质纯碱 1230-1250（含税·送到）</t>
        </is>
      </c>
      <c r="F13" s="23" t="inlineStr">
        <is>
          <t>高</t>
        </is>
      </c>
      <c r="G13" s="26" t="inlineStr">
        <is>
          <t>https://www.mysteel.com/oilchem/a/26051916/CE4605A2620E90F7.html</t>
        </is>
      </c>
    </row>
    <row r="14">
      <c r="A14" s="23" t="n">
        <v>10</v>
      </c>
      <c r="B14" s="6" t="inlineStr">
        <is>
          <t>同花顺 iFinD（主流价）</t>
        </is>
      </c>
      <c r="C14" s="6" t="inlineStr">
        <is>
          <t>主流价单点</t>
        </is>
      </c>
      <c r="D14" s="23" t="inlineStr">
        <is>
          <t>2026-06-17</t>
        </is>
      </c>
      <c r="E14" s="14" t="inlineStr">
        <is>
          <t>华东地区 重质纯碱 1250-1250（含税·送到）</t>
        </is>
      </c>
      <c r="F14" s="23" t="inlineStr">
        <is>
          <t>高</t>
        </is>
      </c>
      <c r="G14" s="26" t="inlineStr">
        <is>
          <t>https://news.10jqka.com.cn/20260617/c677534618.shtml</t>
        </is>
      </c>
    </row>
    <row r="15">
      <c r="A15" s="23" t="n">
        <v>11</v>
      </c>
      <c r="B15" s="6" t="inlineStr">
        <is>
          <t>隆众资讯</t>
        </is>
      </c>
      <c r="C15" s="6" t="inlineStr">
        <is>
          <t>日更区间</t>
        </is>
      </c>
      <c r="D15" s="23" t="inlineStr">
        <is>
          <t>2026-07-27</t>
        </is>
      </c>
      <c r="E15" s="14" t="inlineStr">
        <is>
          <t>华东地区 重质纯碱 1150-1250（含税·送到）</t>
        </is>
      </c>
      <c r="F15" s="23" t="inlineStr">
        <is>
          <t>高</t>
        </is>
      </c>
      <c r="G15" s="26" t="inlineStr">
        <is>
          <t>https://www.mysteel.com/oilchem/a/26072716/13649DB9A94FCAFB.html</t>
        </is>
      </c>
    </row>
    <row r="16">
      <c r="A16" s="23" t="n">
        <v>12</v>
      </c>
      <c r="B16" s="6" t="inlineStr">
        <is>
          <t>同花顺 iFinD（主流价）</t>
        </is>
      </c>
      <c r="C16" s="6" t="inlineStr">
        <is>
          <t>主流价单点</t>
        </is>
      </c>
      <c r="D16" s="23" t="inlineStr">
        <is>
          <t>2026-07-28</t>
        </is>
      </c>
      <c r="E16" s="14" t="inlineStr">
        <is>
          <t>华东地区 重质纯碱 1215-1215（未注明·未注明）</t>
        </is>
      </c>
      <c r="F16" s="23" t="inlineStr">
        <is>
          <t>高</t>
        </is>
      </c>
      <c r="G16" s="26" t="inlineStr">
        <is>
          <t>https://stock.10jqka.com.cn/20260728/c678488931.shtml</t>
        </is>
      </c>
    </row>
    <row r="17">
      <c r="A17" s="23" t="n">
        <v>13</v>
      </c>
      <c r="B17" s="6" t="inlineStr">
        <is>
          <t>隆众资讯</t>
        </is>
      </c>
      <c r="C17" s="6" t="inlineStr">
        <is>
          <t>日更区间</t>
        </is>
      </c>
      <c r="D17" s="23" t="inlineStr">
        <is>
          <t>2026-08-05</t>
        </is>
      </c>
      <c r="E17" s="14" t="inlineStr">
        <is>
          <t>华东地区 重质纯碱 1050-1200（含税·送到）</t>
        </is>
      </c>
      <c r="F17" s="23" t="inlineStr">
        <is>
          <t>高</t>
        </is>
      </c>
      <c r="G17" s="26" t="inlineStr">
        <is>
          <t>https://www.mysteel.com/oilchem/a/26080516/799ED20A6BBB9B16.html</t>
        </is>
      </c>
    </row>
    <row r="18">
      <c r="A18" s="23" t="n">
        <v>14</v>
      </c>
      <c r="B18" s="6" t="inlineStr">
        <is>
          <t>同花顺 iFinD（主流价）</t>
        </is>
      </c>
      <c r="C18" s="6" t="inlineStr">
        <is>
          <t>主流价单点</t>
        </is>
      </c>
      <c r="D18" s="23" t="inlineStr">
        <is>
          <t>2026-08-06</t>
        </is>
      </c>
      <c r="E18" s="14" t="inlineStr">
        <is>
          <t>华东地区 重质纯碱 1150-1150（未注明·未注明）</t>
        </is>
      </c>
      <c r="F18" s="23" t="inlineStr">
        <is>
          <t>高</t>
        </is>
      </c>
      <c r="G18" s="26" t="inlineStr">
        <is>
          <t>https://news.10jqka.com.cn/20260806/c678727075.shtml</t>
        </is>
      </c>
    </row>
    <row r="19">
      <c r="A19" s="23" t="n">
        <v>15</v>
      </c>
      <c r="B19" s="6" t="inlineStr">
        <is>
          <t>隆众资讯</t>
        </is>
      </c>
      <c r="C19" s="6" t="inlineStr">
        <is>
          <t>日更区间</t>
        </is>
      </c>
      <c r="D19" s="23" t="inlineStr">
        <is>
          <t>2026-08-12</t>
        </is>
      </c>
      <c r="E19" s="14" t="inlineStr">
        <is>
          <t>华东地区 重质纯碱 1050-1200（含税·送到）</t>
        </is>
      </c>
      <c r="F19" s="23" t="inlineStr">
        <is>
          <t>高</t>
        </is>
      </c>
      <c r="G19" s="26" t="inlineStr">
        <is>
          <t>https://www.mysteel.com/oilchem/a/26081215/3C2125C354434659.html</t>
        </is>
      </c>
    </row>
    <row r="20">
      <c r="A20" s="23" t="n">
        <v>16</v>
      </c>
      <c r="B20" s="6" t="inlineStr">
        <is>
          <t>隆众资讯</t>
        </is>
      </c>
      <c r="C20" s="6" t="inlineStr">
        <is>
          <t>日更区间</t>
        </is>
      </c>
      <c r="D20" s="23" t="inlineStr">
        <is>
          <t>2026-08-18</t>
        </is>
      </c>
      <c r="E20" s="14" t="inlineStr">
        <is>
          <t>华东地区 重质纯碱 1050-1200（含税·送到）</t>
        </is>
      </c>
      <c r="F20" s="23" t="inlineStr">
        <is>
          <t>高</t>
        </is>
      </c>
      <c r="G20" s="26" t="inlineStr">
        <is>
          <t>https://www.mysteel.com/oilchem/a/26081815/DFBD0BCD84683417.html</t>
        </is>
      </c>
    </row>
    <row r="21">
      <c r="A21" s="23" t="n">
        <v>17</v>
      </c>
      <c r="B21" s="6" t="inlineStr">
        <is>
          <t>隆众资讯</t>
        </is>
      </c>
      <c r="C21" s="6" t="inlineStr">
        <is>
          <t>日更区间</t>
        </is>
      </c>
      <c r="D21" s="23" t="inlineStr">
        <is>
          <t>2026-09-10</t>
        </is>
      </c>
      <c r="E21" s="14" t="inlineStr">
        <is>
          <t>华东地区 重质纯碱 1050-1200（含税·送到）</t>
        </is>
      </c>
      <c r="F21" s="23" t="inlineStr">
        <is>
          <t>高</t>
        </is>
      </c>
      <c r="G21" s="26" t="inlineStr">
        <is>
          <t>https://www.mysteel.com/oilchem/a/26091015/A0D182907C402BE9.html</t>
        </is>
      </c>
    </row>
    <row r="22">
      <c r="A22" s="23" t="n">
        <v>18</v>
      </c>
      <c r="B22" s="6" t="inlineStr">
        <is>
          <t>隆众资讯</t>
        </is>
      </c>
      <c r="C22" s="6" t="inlineStr">
        <is>
          <t>日更区间</t>
        </is>
      </c>
      <c r="D22" s="23" t="inlineStr">
        <is>
          <t>2026-09-14</t>
        </is>
      </c>
      <c r="E22" s="14" t="inlineStr">
        <is>
          <t>华东地区 重质纯碱 1050-1200（含税·送到）</t>
        </is>
      </c>
      <c r="F22" s="23" t="inlineStr">
        <is>
          <t>高</t>
        </is>
      </c>
      <c r="G22" s="26" t="inlineStr">
        <is>
          <t>https://www.mysteel.com/oilchem/a/26091415/CE109E81A14E10E9.html</t>
        </is>
      </c>
    </row>
    <row r="23">
      <c r="A23" s="23" t="n">
        <v>19</v>
      </c>
      <c r="B23" s="6" t="inlineStr">
        <is>
          <t>隆众资讯</t>
        </is>
      </c>
      <c r="C23" s="6" t="inlineStr">
        <is>
          <t>日更区间</t>
        </is>
      </c>
      <c r="D23" s="23" t="inlineStr">
        <is>
          <t>2026-09-20</t>
        </is>
      </c>
      <c r="E23" s="14" t="inlineStr">
        <is>
          <t>华东地区 重质纯碱 1050-1200（含税·送到）</t>
        </is>
      </c>
      <c r="F23" s="23" t="inlineStr">
        <is>
          <t>高</t>
        </is>
      </c>
      <c r="G23" s="26" t="inlineStr">
        <is>
          <t>https://www.mysteel.com/oilchem/a/26092014/FCF532383597976E.html</t>
        </is>
      </c>
    </row>
    <row r="24">
      <c r="A24" s="23" t="n">
        <v>20</v>
      </c>
      <c r="B24" s="6" t="inlineStr">
        <is>
          <t>隆众资讯</t>
        </is>
      </c>
      <c r="C24" s="6" t="inlineStr">
        <is>
          <t>日更区间</t>
        </is>
      </c>
      <c r="D24" s="23" t="inlineStr">
        <is>
          <t>2026-09-21</t>
        </is>
      </c>
      <c r="E24" s="14" t="inlineStr">
        <is>
          <t>华东地区 重质纯碱 1050-1200（含税·送到）</t>
        </is>
      </c>
      <c r="F24" s="23" t="inlineStr">
        <is>
          <t>高</t>
        </is>
      </c>
      <c r="G24" s="26" t="inlineStr">
        <is>
          <t>https://www.mysteel.com/oilchem/a/26092115/ED47BBECCD21BCFE.html</t>
        </is>
      </c>
    </row>
    <row r="25">
      <c r="A25" s="23" t="n">
        <v>21</v>
      </c>
      <c r="B25" s="6" t="inlineStr">
        <is>
          <t>隆众资讯</t>
        </is>
      </c>
      <c r="C25" s="6" t="inlineStr">
        <is>
          <t>日更区间</t>
        </is>
      </c>
      <c r="D25" s="23" t="inlineStr">
        <is>
          <t>2026-09-30</t>
        </is>
      </c>
      <c r="E25" s="14" t="inlineStr">
        <is>
          <t>华东地区 重质纯碱 1050-1200（含税·送到）</t>
        </is>
      </c>
      <c r="F25" s="23" t="inlineStr">
        <is>
          <t>高</t>
        </is>
      </c>
      <c r="G25" s="26" t="inlineStr">
        <is>
          <t>https://www.mysteel.com/oilchem/a/26093010/705BD3D0AA9DBBED.html</t>
        </is>
      </c>
    </row>
    <row r="26">
      <c r="A26" s="23" t="n">
        <v>22</v>
      </c>
      <c r="B26" s="6" t="inlineStr">
        <is>
          <t>隆众资讯</t>
        </is>
      </c>
      <c r="C26" s="6" t="inlineStr">
        <is>
          <t>日更区间</t>
        </is>
      </c>
      <c r="D26" s="23" t="inlineStr">
        <is>
          <t>2026-10-10</t>
        </is>
      </c>
      <c r="E26" s="14" t="inlineStr">
        <is>
          <t>华东地区 重质纯碱 1050-1200（含税·送到）</t>
        </is>
      </c>
      <c r="F26" s="23" t="inlineStr">
        <is>
          <t>高</t>
        </is>
      </c>
      <c r="G26" s="26" t="inlineStr">
        <is>
          <t>https://www.mysteel.com/oilchem/a/26101015/263051CCFEEA1859.html</t>
        </is>
      </c>
    </row>
    <row r="27">
      <c r="A27" s="23" t="n">
        <v>23</v>
      </c>
      <c r="B27" s="6" t="inlineStr">
        <is>
          <t>隆众资讯</t>
        </is>
      </c>
      <c r="C27" s="6" t="inlineStr">
        <is>
          <t>日更区间</t>
        </is>
      </c>
      <c r="D27" s="23" t="inlineStr">
        <is>
          <t>2026-10-14</t>
        </is>
      </c>
      <c r="E27" s="14" t="inlineStr">
        <is>
          <t>华东地区 重质纯碱 1050-1200（含税·送到）</t>
        </is>
      </c>
      <c r="F27" s="23" t="inlineStr">
        <is>
          <t>高</t>
        </is>
      </c>
      <c r="G27" s="26" t="inlineStr">
        <is>
          <t>https://www.mysteel.com/oilchem/a/26101415/8E759DEF0FABB7A3.html</t>
        </is>
      </c>
    </row>
    <row r="28">
      <c r="A28" s="23" t="n">
        <v>24</v>
      </c>
      <c r="B28" s="6" t="inlineStr">
        <is>
          <t>隆众资讯</t>
        </is>
      </c>
      <c r="C28" s="6" t="inlineStr">
        <is>
          <t>日更区间</t>
        </is>
      </c>
      <c r="D28" s="23" t="inlineStr">
        <is>
          <t>2026-10-20</t>
        </is>
      </c>
      <c r="E28" s="14" t="inlineStr">
        <is>
          <t>华东地区 重质纯碱 1050-1200（含税·送到）</t>
        </is>
      </c>
      <c r="F28" s="23" t="inlineStr">
        <is>
          <t>高</t>
        </is>
      </c>
      <c r="G28" s="26" t="inlineStr">
        <is>
          <t>https://www.mysteel.com/oilchem/a/26102015/0877CD14C3251184.html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2026-10-21T01:25:35Z</dcterms:created>
  <dcterms:modified xmlns:dcterms="http://purl.org/dc/terms/" xmlns:xsi="http://www.w3.org/2001/XMLSchema-instance" xsi:type="dcterms:W3CDTF">2026-10-21T01:25:36Z</dcterms:modified>
</cp:coreProperties>
</file>
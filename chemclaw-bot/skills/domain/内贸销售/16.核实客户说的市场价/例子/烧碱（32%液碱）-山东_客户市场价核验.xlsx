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结论" sheetId="1" state="visible" r:id="rId1"/>
    <sheet xmlns:r="http://schemas.openxmlformats.org/officeDocument/2006/relationships" name="01_客户报价输入" sheetId="2" state="visible" r:id="rId2"/>
    <sheet xmlns:r="http://schemas.openxmlformats.org/officeDocument/2006/relationships" name="02_口径对照" sheetId="3" state="visible" r:id="rId3"/>
    <sheet xmlns:r="http://schemas.openxmlformats.org/officeDocument/2006/relationships" name="03_市场报价与历史" sheetId="4" state="visible" r:id="rId4"/>
    <sheet xmlns:r="http://schemas.openxmlformats.org/officeDocument/2006/relationships" name="04_偏离计算" sheetId="5" state="visible" r:id="rId5"/>
    <sheet xmlns:r="http://schemas.openxmlformats.org/officeDocument/2006/relationships" name="05_历史走势数据" sheetId="6" state="visible" r:id="rId6"/>
    <sheet xmlns:r="http://schemas.openxmlformats.org/officeDocument/2006/relationships" name="06_区域对比" sheetId="7" state="visible" r:id="rId7"/>
    <sheet xmlns:r="http://schemas.openxmlformats.org/officeDocument/2006/relationships" name="07_待确认问题" sheetId="8" state="visible" r:id="rId8"/>
    <sheet xmlns:r="http://schemas.openxmlformats.org/officeDocument/2006/relationships" name="08_数据缺口" sheetId="9" state="visible" r:id="rId9"/>
    <sheet xmlns:r="http://schemas.openxmlformats.org/officeDocument/2006/relationships" name="09_计算过程" sheetId="10" state="visible" r:id="rId10"/>
    <sheet xmlns:r="http://schemas.openxmlformats.org/officeDocument/2006/relationships" name="10_沟通事实要点" sheetId="11" state="visible" r:id="rId11"/>
    <sheet xmlns:r="http://schemas.openxmlformats.org/officeDocument/2006/relationships" name="11_数据来源清单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+0.0%;-0.0%;0.0%"/>
  </numFmts>
  <fonts count="14">
    <font>
      <name val="Calibri"/>
      <family val="2"/>
      <color theme="1"/>
      <sz val="11"/>
      <scheme val="minor"/>
    </font>
    <font>
      <name val="微软雅黑"/>
      <b val="1"/>
      <color rgb="001F4E79"/>
      <sz val="15"/>
    </font>
    <font>
      <name val="微软雅黑"/>
      <color rgb="006B7684"/>
      <sz val="9"/>
    </font>
    <font>
      <name val="微软雅黑"/>
      <b val="1"/>
      <color rgb="007A5C14"/>
      <sz val="10"/>
    </font>
    <font>
      <name val="微软雅黑"/>
      <b val="1"/>
      <color rgb="001F4E79"/>
      <sz val="11.5"/>
    </font>
    <font>
      <name val="微软雅黑"/>
      <b val="1"/>
      <color rgb="0017202E"/>
      <sz val="10"/>
    </font>
    <font>
      <name val="微软雅黑"/>
      <color rgb="0017202E"/>
      <sz val="10"/>
    </font>
    <font>
      <name val="微软雅黑"/>
      <color rgb="001155CC"/>
      <sz val="9"/>
      <u val="single"/>
    </font>
    <font>
      <name val="微软雅黑"/>
      <b val="1"/>
      <color rgb="00C0392B"/>
      <sz val="13"/>
    </font>
    <font>
      <name val="微软雅黑"/>
      <b val="1"/>
      <color rgb="00FFFFFF"/>
      <sz val="10"/>
    </font>
    <font>
      <name val="微软雅黑"/>
      <b val="1"/>
      <color rgb="00C0392B"/>
      <sz val="10"/>
    </font>
    <font>
      <name val="微软雅黑"/>
      <b val="1"/>
      <color rgb="00C0392B"/>
      <sz val="12"/>
    </font>
    <font>
      <name val="&lt;openpyxl.styles.fills.PatternFill object&gt;&#10;Parameters:&#10;patternType='solid', fgColor=&lt;openpyxl.styles.colors.Color object&gt;&#10;Parameters:&#10;rgb='00FFF9E6', indexed=None, auto=None, theme=None, tint=0.0, type='rgb', bgColor=&lt;openpyxl.styles.colors.Color object&gt;&#10;Parameters:&#10;rgb='00000000', indexed=None, auto=None, theme=None, tint=0.0, type='rgb'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FDF6E7"/>
      </patternFill>
    </fill>
    <fill>
      <patternFill patternType="solid">
        <fgColor rgb="00EAF1F8"/>
      </patternFill>
    </fill>
    <fill>
      <patternFill patternType="solid">
        <fgColor rgb="00F5F7FA"/>
      </patternFill>
    </fill>
    <fill>
      <patternFill patternType="solid">
        <fgColor rgb="00FFF9E6"/>
      </patternFill>
    </fill>
    <fill>
      <patternFill patternType="solid">
        <fgColor rgb="00EAF6F0"/>
      </patternFill>
    </fill>
    <fill>
      <patternFill patternType="solid">
        <fgColor rgb="001F4E79"/>
      </patternFill>
    </fill>
    <fill>
      <patternFill patternType="solid">
        <fgColor rgb="00FDF0EE"/>
      </patternFill>
    </fill>
  </fills>
  <borders count="6">
    <border>
      <left/>
      <right/>
      <top/>
      <bottom/>
      <diagonal/>
    </border>
    <border>
      <left style="thin">
        <color rgb="00D3D9E3"/>
      </left>
      <right style="thin">
        <color rgb="00D3D9E3"/>
      </right>
      <top style="thin">
        <color rgb="00D3D9E3"/>
      </top>
      <bottom style="thin">
        <color rgb="00D3D9E3"/>
      </bottom>
    </border>
    <border>
      <left/>
      <right/>
      <top style="thin">
        <color rgb="00D3D9E3"/>
      </top>
      <bottom/>
      <diagonal/>
    </border>
    <border>
      <left/>
      <right style="thin">
        <color rgb="00D3D9E3"/>
      </right>
      <top style="thin">
        <color rgb="00D3D9E3"/>
      </top>
      <bottom/>
      <diagonal/>
    </border>
    <border>
      <left/>
      <right style="thin">
        <color rgb="00D3D9E3"/>
      </right>
      <top style="thin">
        <color rgb="00D3D9E3"/>
      </top>
      <bottom style="thin">
        <color rgb="00D3D9E3"/>
      </bottom>
      <diagonal/>
    </border>
    <border>
      <left/>
      <right/>
      <top style="thin">
        <color rgb="00D3D9E3"/>
      </top>
      <bottom style="thin">
        <color rgb="00D3D9E3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3" fontId="6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8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165" fontId="6" fillId="5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3" fontId="6" fillId="2" borderId="1" applyAlignment="1" pivotButton="0" quotePrefix="0" xfId="0">
      <alignment horizontal="right" vertical="center"/>
    </xf>
    <xf numFmtId="3" fontId="5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vertical="top" wrapText="1"/>
    </xf>
    <xf numFmtId="3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3" fontId="10" fillId="8" borderId="1" applyAlignment="1" pivotButton="0" quotePrefix="0" xfId="0">
      <alignment horizontal="right" vertical="center"/>
    </xf>
    <xf numFmtId="166" fontId="10" fillId="8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8" borderId="1" applyAlignment="1" pivotButton="0" quotePrefix="0" xfId="0">
      <alignment vertical="top" wrapText="1"/>
    </xf>
    <xf numFmtId="0" fontId="11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6" customWidth="1" min="3" max="3"/>
    <col width="46" customWidth="1" min="4" max="4"/>
  </cols>
  <sheetData>
    <row r="1" ht="30" customHeight="1">
      <c r="A1" s="1" t="inlineStr">
        <is>
          <t>烧碱（32%液碱） · 山东 客户市场价核验</t>
        </is>
      </c>
    </row>
    <row r="2" ht="30" customHeight="1">
      <c r="A2" s="2" t="inlineStr">
        <is>
          <t>规格：32% 离子膜液碱，工业级　|　地区口径：山东（淄博/东营/潍坊）　|　基准日：2026-10-20　|　案例：CAUSTIC-SD-2026-10-20</t>
        </is>
      </c>
    </row>
    <row r="3"/>
    <row r="4" ht="34" customHeight="1">
      <c r="A4" s="3" t="inlineStr">
        <is>
          <t>⚠ 这是模拟的客户消息，仅用于演示「数据不足时如何不编数」。800 元/吨为测试输入，不是真实市场报价。本案例的真实情况是：未查到可用的同口径公开报价。</t>
        </is>
      </c>
    </row>
    <row r="5"/>
    <row r="6" ht="22" customHeight="1">
      <c r="A6" s="4" t="inlineStr">
        <is>
          <t>一、客户所述价格（原文与已识别信息）</t>
        </is>
      </c>
    </row>
    <row r="7">
      <c r="A7" s="5" t="inlineStr">
        <is>
          <t>客户原话</t>
        </is>
      </c>
      <c r="B7" s="6" t="inlineStr">
        <is>
          <t>【模拟】山东这边32%液碱别家才800元/吨，你们报这么高？</t>
        </is>
      </c>
      <c r="C7" s="5" t="inlineStr">
        <is>
          <t>识别渠道</t>
        </is>
      </c>
      <c r="D7" s="6" t="inlineStr">
        <is>
          <t>微信</t>
        </is>
      </c>
    </row>
    <row r="8">
      <c r="A8" s="5" t="inlineStr">
        <is>
          <t>客户所述价格</t>
        </is>
      </c>
      <c r="B8" s="7" t="n">
        <v>800</v>
      </c>
      <c r="C8" s="5" t="inlineStr">
        <is>
          <t>税费口径</t>
        </is>
      </c>
      <c r="D8" s="6" t="inlineStr">
        <is>
          <t>未注明</t>
        </is>
      </c>
    </row>
    <row r="9">
      <c r="A9" s="5" t="inlineStr">
        <is>
          <t>客户所述规格</t>
        </is>
      </c>
      <c r="B9" s="6" t="inlineStr">
        <is>
          <t>32% 液碱</t>
        </is>
      </c>
      <c r="C9" s="5" t="inlineStr">
        <is>
          <t>交付口径</t>
        </is>
      </c>
      <c r="D9" s="6" t="inlineStr">
        <is>
          <t>未注明</t>
        </is>
      </c>
    </row>
    <row r="10">
      <c r="A10" s="5" t="inlineStr">
        <is>
          <t>客户所述地区</t>
        </is>
      </c>
      <c r="B10" s="6" t="inlineStr">
        <is>
          <t>山东</t>
        </is>
      </c>
      <c r="C10" s="5" t="inlineStr">
        <is>
          <t>付款方式</t>
        </is>
      </c>
      <c r="D10" s="6" t="inlineStr">
        <is>
          <t>未注明</t>
        </is>
      </c>
    </row>
    <row r="11">
      <c r="A11" s="5" t="inlineStr">
        <is>
          <t>采购数量</t>
        </is>
      </c>
      <c r="B11" s="6" t="inlineStr">
        <is>
          <t>未说明</t>
        </is>
      </c>
      <c r="C11" s="5" t="inlineStr">
        <is>
          <t>价格取得日期</t>
        </is>
      </c>
      <c r="D11" s="6" t="inlineStr">
        <is>
          <t>未说明（只说『这边』）</t>
        </is>
      </c>
    </row>
    <row r="12"/>
    <row r="13" ht="22" customHeight="1">
      <c r="A13" s="4" t="inlineStr">
        <is>
          <t>二、市场参考价格（同规格·同地区·同税费·同交付）</t>
        </is>
      </c>
    </row>
    <row r="14">
      <c r="A14" s="8" t="inlineStr">
        <is>
          <t>市场参考区间</t>
        </is>
      </c>
      <c r="B14" s="8">
        <f>TEXT('01_客户报价输入'!B22,"#,##0")&amp;" – "&amp;TEXT('01_客户报价输入'!B23,"#,##0")&amp;" 元/吨"</f>
        <v/>
      </c>
      <c r="C14" s="8" t="inlineStr">
        <is>
          <t>报价日期</t>
        </is>
      </c>
      <c r="D14" s="8" t="inlineStr">
        <is>
          <t>—</t>
        </is>
      </c>
    </row>
    <row r="15">
      <c r="A15" s="5" t="inlineStr">
        <is>
          <t>数据来源</t>
        </is>
      </c>
      <c r="B15" s="6" t="inlineStr">
        <is>
          <t>—</t>
        </is>
      </c>
      <c r="C15" s="5" t="inlineStr">
        <is>
          <t>口径</t>
        </is>
      </c>
      <c r="D15" s="6" t="inlineStr">
        <is>
          <t xml:space="preserve"> · </t>
        </is>
      </c>
    </row>
    <row r="16">
      <c r="A16" s="5" t="inlineStr">
        <is>
          <t>原始链接</t>
        </is>
      </c>
      <c r="B16" s="9" t="inlineStr"/>
    </row>
    <row r="17">
      <c r="A17" s="5" t="inlineStr">
        <is>
          <t>市场报价类型</t>
        </is>
      </c>
      <c r="B17" s="6" t="inlineStr">
        <is>
          <t>—（置信度 —）</t>
        </is>
      </c>
      <c r="C17" s="5" t="inlineStr">
        <is>
          <t>近3月价格带</t>
        </is>
      </c>
      <c r="D17" s="6" t="inlineStr">
        <is>
          <t>样本不足</t>
        </is>
      </c>
    </row>
    <row r="18"/>
    <row r="19" ht="22" customHeight="1">
      <c r="A19" s="4" t="inlineStr">
        <is>
          <t>三、核验结论</t>
        </is>
      </c>
    </row>
    <row r="20" ht="26" customHeight="1">
      <c r="A20" s="10">
        <f>'04_偏离计算'!B35</f>
        <v/>
      </c>
    </row>
    <row r="21" ht="52" customHeight="1">
      <c r="A21" s="11" t="inlineStr">
        <is>
          <t>同规格同口径市场报价缺失，不能给出近似市场价。（口径提示：客户未说明含税/不含税；客户未说明出厂/送到；客户未说明付款方式/账期，需客户确认后复核）</t>
        </is>
      </c>
    </row>
    <row r="22"/>
    <row r="23" ht="22" customHeight="1">
      <c r="A23" s="4" t="inlineStr">
        <is>
          <t>四、使用说明</t>
        </is>
      </c>
    </row>
    <row r="24">
      <c r="A24" s="11" t="inlineStr">
        <is>
          <t>1. 先在「01_客户报价输入」里填客户价格、税费/交付口径、我方报价（与报价文件一致）；其它表会自动重算。</t>
        </is>
      </c>
    </row>
    <row r="25">
      <c r="A25" s="11" t="inlineStr">
        <is>
          <t>2. 「03_市场报价与历史」是可替换的数据区：换品种/换地区时，按表头六项口径逐行替换即可，不要改「04_偏离计算」里的公式。</t>
        </is>
      </c>
    </row>
    <row r="26">
      <c r="A26" s="11" t="inlineStr">
        <is>
          <t>3. 「04_偏离计算」所有偏离金额与比例都是公式，可鼠标点到单元格查看引用关系。</t>
        </is>
      </c>
    </row>
    <row r="27">
      <c r="A27" s="11" t="inlineStr">
        <is>
          <t>4. 「08_数据缺口」列出拿不到的数据；在补上之前，不要给出比表内区间更细的结论。</t>
        </is>
      </c>
    </row>
    <row r="28">
      <c r="A28" s="11" t="inlineStr">
        <is>
          <t>5. 本簿不提供报价建议、不提供让价幅度；沟通话术在「10_沟通事实要点」中仅是客观事实，需人工审核后使用。</t>
        </is>
      </c>
    </row>
    <row r="29"/>
    <row r="30"/>
    <row r="31"/>
    <row r="32"/>
    <row r="33"/>
    <row r="34"/>
    <row r="35"/>
    <row r="36"/>
    <row r="37"/>
    <row r="38"/>
    <row r="39"/>
    <row r="40"/>
  </sheetData>
  <mergeCells count="15">
    <mergeCell ref="A1:D1"/>
    <mergeCell ref="A27:D27"/>
    <mergeCell ref="A4:D4"/>
    <mergeCell ref="A20:D20"/>
    <mergeCell ref="A21:D21"/>
    <mergeCell ref="A26:D26"/>
    <mergeCell ref="B16:D16"/>
    <mergeCell ref="A13:H13"/>
    <mergeCell ref="A19:H19"/>
    <mergeCell ref="A24:D24"/>
    <mergeCell ref="A2:D2"/>
    <mergeCell ref="A25:D25"/>
    <mergeCell ref="A23:H23"/>
    <mergeCell ref="A28:D2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26" customWidth="1" min="3" max="3"/>
    <col width="52" customWidth="1" min="4" max="4"/>
  </cols>
  <sheetData>
    <row r="1" ht="30" customHeight="1">
      <c r="A1" s="1" t="inlineStr">
        <is>
          <t>客户报价输入（黄色单元格为可修改项）</t>
        </is>
      </c>
    </row>
    <row r="2" ht="30" customHeight="1">
      <c r="A2" s="2" t="inlineStr">
        <is>
          <t>口径不一致或缺失时，请在「推断口径」一栏说明来源；不要凭猜填写。</t>
        </is>
      </c>
    </row>
    <row r="4" ht="30" customHeight="1">
      <c r="A4" s="12" t="inlineStr">
        <is>
          <t>字段</t>
        </is>
      </c>
      <c r="B4" s="12" t="inlineStr">
        <is>
          <t>值</t>
        </is>
      </c>
      <c r="C4" s="12" t="inlineStr">
        <is>
          <t>备注 / 口径</t>
        </is>
      </c>
      <c r="D4" s="12" t="inlineStr">
        <is>
          <t>说明</t>
        </is>
      </c>
    </row>
    <row r="5">
      <c r="A5" s="5" t="inlineStr">
        <is>
          <t>客户所述价格</t>
        </is>
      </c>
      <c r="B5" s="13" t="n">
        <v>800</v>
      </c>
      <c r="C5" s="14" t="inlineStr">
        <is>
          <t>必填。客户口头或微信里给出的数字，不要自行折算。</t>
        </is>
      </c>
      <c r="D5" s="14" t="inlineStr"/>
    </row>
    <row r="6">
      <c r="A6" s="5" t="inlineStr">
        <is>
          <t>单位</t>
        </is>
      </c>
      <c r="B6" s="15" t="inlineStr">
        <is>
          <t>元/吨</t>
        </is>
      </c>
      <c r="C6" s="14" t="inlineStr">
        <is>
          <t>若不是元/吨，请在上方注明换算关系，不要直接相乘。</t>
        </is>
      </c>
      <c r="D6" s="14" t="inlineStr"/>
    </row>
    <row r="7">
      <c r="A7" s="5" t="inlineStr">
        <is>
          <t>价差基准价（市场参考）</t>
        </is>
      </c>
      <c r="B7" s="7">
        <f>B25</f>
        <v/>
      </c>
      <c r="C7" s="14" t="inlineStr">
        <is>
          <t>公式引用 B25（市场区间中值）</t>
        </is>
      </c>
      <c r="D7" s="14" t="inlineStr"/>
    </row>
    <row r="8">
      <c r="A8" s="5" t="inlineStr">
        <is>
          <t>客户所述税费口径</t>
        </is>
      </c>
      <c r="B8" s="15" t="inlineStr">
        <is>
          <t>未注明</t>
        </is>
      </c>
      <c r="C8" s="14" t="inlineStr">
        <is>
          <t>含税 / 不含税 / 未注明。必须与市场口径一致才能直接比。</t>
        </is>
      </c>
      <c r="D8" s="14" t="inlineStr"/>
    </row>
    <row r="9">
      <c r="A9" s="5" t="inlineStr">
        <is>
          <t>客户所述交付口径</t>
        </is>
      </c>
      <c r="B9" s="15" t="inlineStr">
        <is>
          <t>未注明</t>
        </is>
      </c>
      <c r="C9" s="14" t="inlineStr">
        <is>
          <t>出厂 / 送到 / 库提。送到与出厂差运费。</t>
        </is>
      </c>
      <c r="D9" s="14" t="inlineStr"/>
    </row>
    <row r="10">
      <c r="A10" s="5" t="inlineStr">
        <is>
          <t>客户所述付款方式</t>
        </is>
      </c>
      <c r="B10" s="15" t="inlineStr">
        <is>
          <t>未注明</t>
        </is>
      </c>
      <c r="C10" s="14" t="inlineStr">
        <is>
          <t>现金 / 承兑。承兑需贴现，不可默认等同现金。</t>
        </is>
      </c>
      <c r="D10" s="14" t="inlineStr"/>
    </row>
    <row r="11">
      <c r="A11" s="5" t="inlineStr">
        <is>
          <t>客户所述采购数量</t>
        </is>
      </c>
      <c r="B11" s="15" t="inlineStr">
        <is>
          <t>未说明</t>
        </is>
      </c>
      <c r="C11" s="14" t="inlineStr">
        <is>
          <t>吨/月或单笔吨位，影响成交区间位置。</t>
        </is>
      </c>
      <c r="D11" s="14" t="inlineStr"/>
    </row>
    <row r="12">
      <c r="A12" s="5" t="inlineStr">
        <is>
          <t>客户所述取得日期</t>
        </is>
      </c>
      <c r="B12" s="15" t="inlineStr">
        <is>
          <t>未说明（只说『这边』）</t>
        </is>
      </c>
      <c r="C12" s="14" t="inlineStr">
        <is>
          <t>客户说『现在才…』时，请他给出具体日期与来源。</t>
        </is>
      </c>
      <c r="D12" s="14" t="inlineStr"/>
    </row>
    <row r="13">
      <c r="A13" s="5" t="inlineStr">
        <is>
          <t>我方历史报价</t>
        </is>
      </c>
      <c r="B13" s="7" t="n"/>
      <c r="C13" s="14" t="inlineStr">
        <is>
          <t>选填。用于算『我方报价 vs 客户价』，不是建议价。</t>
        </is>
      </c>
      <c r="D13" s="14" t="inlineStr"/>
    </row>
    <row r="14">
      <c r="A14" s="5" t="inlineStr">
        <is>
          <t>我方报价税费口径</t>
        </is>
      </c>
      <c r="B14" s="15" t="inlineStr">
        <is>
          <t>未注明</t>
        </is>
      </c>
      <c r="C14" s="14" t="inlineStr">
        <is>
          <t>选填。</t>
        </is>
      </c>
      <c r="D14" s="14" t="inlineStr"/>
    </row>
    <row r="15">
      <c r="A15" s="5" t="inlineStr">
        <is>
          <t>已知运费（元/吨）</t>
        </is>
      </c>
      <c r="B15" s="7" t="n"/>
      <c r="C15" s="14" t="inlineStr">
        <is>
          <t>仅在客户为出厂、市场为送到时使用；没有就留空 → 显示无法直接折算。</t>
        </is>
      </c>
      <c r="D15" s="14" t="inlineStr"/>
    </row>
    <row r="16">
      <c r="A16" s="5" t="inlineStr">
        <is>
          <t>已知税率（增值税）</t>
        </is>
      </c>
      <c r="B16" s="16" t="n">
        <v>0.13</v>
      </c>
      <c r="C16" s="14" t="inlineStr">
        <is>
          <t>纯碱适用 13%；其它品种请按实际税率填写。换算系数自动算出。</t>
        </is>
      </c>
      <c r="D16" s="14" t="inlineStr"/>
    </row>
    <row r="17">
      <c r="A17" s="5" t="inlineStr">
        <is>
          <t>税费换算系数</t>
        </is>
      </c>
      <c r="B17" s="17">
        <f>1+B16</f>
        <v/>
      </c>
      <c r="C17" s="14" t="inlineStr">
        <is>
          <t>含税 = 不含税 × (1+税率)；由公式得出，不要手改。</t>
        </is>
      </c>
      <c r="D17" s="14" t="inlineStr"/>
    </row>
    <row r="19" ht="22" customHeight="1">
      <c r="A19" s="4" t="inlineStr">
        <is>
          <t>市场参考口径（来自 03 表，或手工指定）</t>
        </is>
      </c>
    </row>
    <row r="20" ht="30" customHeight="1">
      <c r="A20" s="12" t="inlineStr">
        <is>
          <t>项目</t>
        </is>
      </c>
      <c r="B20" s="12" t="inlineStr">
        <is>
          <t>值</t>
        </is>
      </c>
      <c r="C20" s="12" t="inlineStr">
        <is>
          <t>口径</t>
        </is>
      </c>
      <c r="D20" s="12" t="inlineStr">
        <is>
          <t>说明</t>
        </is>
      </c>
    </row>
    <row r="21">
      <c r="A21" s="5" t="inlineStr">
        <is>
          <t>市场税费口径</t>
        </is>
      </c>
      <c r="B21" s="15" t="inlineStr">
        <is>
          <t>未注明</t>
        </is>
      </c>
      <c r="C21" s="14" t="inlineStr">
        <is>
          <t>参照行</t>
        </is>
      </c>
      <c r="D21" s="14" t="inlineStr">
        <is>
          <t>必须与客户口径可比；不可比时在 04 表会显示口径提示</t>
        </is>
      </c>
    </row>
    <row r="22">
      <c r="A22" s="5" t="inlineStr">
        <is>
          <t>市场交付口径</t>
        </is>
      </c>
      <c r="B22" s="15" t="inlineStr">
        <is>
          <t>未注明</t>
        </is>
      </c>
      <c r="C22" s="14" t="inlineStr">
        <is>
          <t>参照行</t>
        </is>
      </c>
      <c r="D22" s="14" t="inlineStr">
        <is>
          <t>送到价含运费；出厂价不含运费</t>
        </is>
      </c>
    </row>
    <row r="23">
      <c r="A23" s="5" t="inlineStr">
        <is>
          <t>市场区间下沿</t>
        </is>
      </c>
      <c r="B23" s="7" t="n"/>
      <c r="C23" s="14" t="inlineStr">
        <is>
          <t>元/吨</t>
        </is>
      </c>
      <c r="D23" s="14" t="inlineStr">
        <is>
          <t>来自「03_市场报价与历史」所选行</t>
        </is>
      </c>
    </row>
    <row r="24">
      <c r="A24" s="5" t="inlineStr">
        <is>
          <t>市场区间上沿</t>
        </is>
      </c>
      <c r="B24" s="7" t="n"/>
      <c r="C24" s="14" t="inlineStr">
        <is>
          <t>元/吨</t>
        </is>
      </c>
      <c r="D24" s="14" t="inlineStr"/>
    </row>
    <row r="25">
      <c r="A25" s="8" t="inlineStr">
        <is>
          <t>市场区间中值（公式）</t>
        </is>
      </c>
      <c r="B25" s="18">
        <f>AVERAGE(B23:B24)</f>
        <v/>
      </c>
      <c r="C25" s="14" t="inlineStr">
        <is>
          <t>元/吨</t>
        </is>
      </c>
      <c r="D25" s="14">
        <f>(下沿+上沿)/2，仅取同一来源的区间</f>
        <v/>
      </c>
    </row>
    <row r="26">
      <c r="A26" s="5" t="inlineStr">
        <is>
          <t>报价日期</t>
        </is>
      </c>
      <c r="B26" s="6" t="n"/>
      <c r="C26" s="14" t="inlineStr">
        <is>
          <t>日期</t>
        </is>
      </c>
      <c r="D26" s="14" t="inlineStr">
        <is>
          <t>客户价比对必须看日期</t>
        </is>
      </c>
    </row>
  </sheetData>
  <mergeCells count="3">
    <mergeCell ref="A1:D1"/>
    <mergeCell ref="A19:D19"/>
    <mergeCell ref="A2:D2"/>
  </mergeCells>
  <dataValidations count="3">
    <dataValidation sqref="B8" showDropDown="0" showInputMessage="0" showErrorMessage="0" allowBlank="1" type="list">
      <formula1>"含税,不含税,未注明"</formula1>
    </dataValidation>
    <dataValidation sqref="B9" showDropDown="0" showInputMessage="0" showErrorMessage="0" allowBlank="1" type="list">
      <formula1>"出厂,送到,库提,未注明"</formula1>
    </dataValidation>
    <dataValidation sqref="B10" showDropDown="0" showInputMessage="0" showErrorMessage="0" allowBlank="1" type="list">
      <formula1>"现金,承兑,未注明"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2" customWidth="1" min="4" max="4"/>
    <col width="42" customWidth="1" min="5" max="5"/>
    <col width="30" customWidth="1" min="6" max="6"/>
  </cols>
  <sheetData>
    <row r="1" ht="30" customHeight="1">
      <c r="A1" s="1" t="inlineStr">
        <is>
          <t>规格与交易口径对照（同口径优先）</t>
        </is>
      </c>
    </row>
    <row r="2" ht="30" customHeight="1">
      <c r="A2" s="2" t="inlineStr">
        <is>
          <t>每一维度都问一句：客户说的和市场上报的，是不是同一个东西。</t>
        </is>
      </c>
    </row>
    <row r="4" ht="30" customHeight="1">
      <c r="A4" s="12" t="inlineStr">
        <is>
          <t>维度</t>
        </is>
      </c>
      <c r="B4" s="12" t="inlineStr">
        <is>
          <t>客户所述</t>
        </is>
      </c>
      <c r="C4" s="12" t="inlineStr">
        <is>
          <t>市场口径</t>
        </is>
      </c>
      <c r="D4" s="12" t="inlineStr">
        <is>
          <t>是否一致</t>
        </is>
      </c>
      <c r="E4" s="12" t="inlineStr">
        <is>
          <t>对价格的影响</t>
        </is>
      </c>
      <c r="F4" s="12" t="inlineStr">
        <is>
          <t>需确认 / 动作</t>
        </is>
      </c>
    </row>
    <row r="5" ht="34" customHeight="1">
      <c r="A5" s="5" t="inlineStr">
        <is>
          <t>规格</t>
        </is>
      </c>
      <c r="B5" s="6" t="inlineStr">
        <is>
          <t>32% 液碱</t>
        </is>
      </c>
      <c r="C5" s="6" t="inlineStr">
        <is>
          <t>未取得可用于比价的同规格报价</t>
        </is>
      </c>
      <c r="D5" s="19" t="inlineStr">
        <is>
          <t>信息缺失</t>
        </is>
      </c>
      <c r="E5" s="6" t="inlineStr">
        <is>
          <t>液碱浓度（32% / 50%）价差很大，且不同浓度不能直接换算成同一口径的单价</t>
        </is>
      </c>
      <c r="F5" s="6" t="inlineStr">
        <is>
          <t>确认浓度、离子膜/隔膜工艺、执行标准</t>
        </is>
      </c>
    </row>
    <row r="6" ht="34" customHeight="1">
      <c r="A6" s="5" t="inlineStr">
        <is>
          <t>地区</t>
        </is>
      </c>
      <c r="B6" s="6" t="inlineStr">
        <is>
          <t>山东</t>
        </is>
      </c>
      <c r="C6" s="6" t="inlineStr">
        <is>
          <t>未取得山东同口径报价</t>
        </is>
      </c>
      <c r="D6" s="19" t="inlineStr">
        <is>
          <t>信息缺失</t>
        </is>
      </c>
      <c r="E6" s="6" t="inlineStr">
        <is>
          <t>液碱运输半径短（一般 200km 内），跨区报价不能代表客户所在地</t>
        </is>
      </c>
      <c r="F6" s="6" t="inlineStr">
        <is>
          <t>确认具体收货地（淄博/东营/潍坊等），按当地找价</t>
        </is>
      </c>
    </row>
    <row r="7" ht="34" customHeight="1">
      <c r="A7" s="5" t="inlineStr">
        <is>
          <t>税费</t>
        </is>
      </c>
      <c r="B7" s="6" t="inlineStr">
        <is>
          <t>未注明</t>
        </is>
      </c>
      <c r="C7" s="6" t="inlineStr">
        <is>
          <t>未注明</t>
        </is>
      </c>
      <c r="D7" s="19" t="inlineStr">
        <is>
          <t>信息缺失</t>
        </is>
      </c>
      <c r="E7" s="6" t="inlineStr">
        <is>
          <t>两侧都未注明，无法建立共同税基</t>
        </is>
      </c>
      <c r="F7" s="6" t="inlineStr">
        <is>
          <t>先确认客户价是否含税；同时补市场含税报价</t>
        </is>
      </c>
    </row>
    <row r="8" ht="34" customHeight="1">
      <c r="A8" s="5" t="inlineStr">
        <is>
          <t>交付</t>
        </is>
      </c>
      <c r="B8" s="6" t="inlineStr">
        <is>
          <t>未注明</t>
        </is>
      </c>
      <c r="C8" s="6" t="inlineStr">
        <is>
          <t>未注明</t>
        </is>
      </c>
      <c r="D8" s="19" t="inlineStr">
        <is>
          <t>信息缺失</t>
        </is>
      </c>
      <c r="E8" s="6" t="inlineStr">
        <is>
          <t>液碱槽车运费占比高，出厂与送到价差可达数十至百元/吨</t>
        </is>
      </c>
      <c r="F8" s="6" t="inlineStr">
        <is>
          <t>确认出厂还是送到；若送到，问清运距</t>
        </is>
      </c>
    </row>
    <row r="9" ht="34" customHeight="1">
      <c r="A9" s="5" t="inlineStr">
        <is>
          <t>采购数量</t>
        </is>
      </c>
      <c r="B9" s="6" t="inlineStr">
        <is>
          <t>未说明</t>
        </is>
      </c>
      <c r="C9" s="6" t="inlineStr">
        <is>
          <t>未说明</t>
        </is>
      </c>
      <c r="D9" s="19" t="inlineStr">
        <is>
          <t>信息缺失</t>
        </is>
      </c>
      <c r="E9" s="6" t="inlineStr">
        <is>
          <t>液碱一般按月合同量定价，量差影响明显</t>
        </is>
      </c>
      <c r="F9" s="6" t="inlineStr">
        <is>
          <t>问清月用量与提货频次</t>
        </is>
      </c>
    </row>
    <row r="10" ht="34" customHeight="1">
      <c r="A10" s="5" t="inlineStr">
        <is>
          <t>包装</t>
        </is>
      </c>
      <c r="B10" s="6" t="inlineStr">
        <is>
          <t>未说明</t>
        </is>
      </c>
      <c r="C10" s="6" t="inlineStr">
        <is>
          <t>未说明</t>
        </is>
      </c>
      <c r="D10" s="19" t="inlineStr">
        <is>
          <t>信息缺失</t>
        </is>
      </c>
      <c r="E10" s="6" t="inlineStr">
        <is>
          <t>槽车散装与吨桶包装价差显著</t>
        </is>
      </c>
      <c r="F10" s="6" t="inlineStr">
        <is>
          <t>确认槽车直送还是吨桶</t>
        </is>
      </c>
    </row>
    <row r="11" ht="34" customHeight="1">
      <c r="A11" s="5" t="inlineStr">
        <is>
          <t>账期</t>
        </is>
      </c>
      <c r="B11" s="6" t="inlineStr">
        <is>
          <t>未说明</t>
        </is>
      </c>
      <c r="C11" s="6" t="inlineStr">
        <is>
          <t>未说明</t>
        </is>
      </c>
      <c r="D11" s="19" t="inlineStr">
        <is>
          <t>信息缺失</t>
        </is>
      </c>
      <c r="E11" s="6" t="inlineStr">
        <is>
          <t>承兑与现金存在贴现差</t>
        </is>
      </c>
      <c r="F11" s="6" t="inlineStr">
        <is>
          <t>确认付款方式与账期</t>
        </is>
      </c>
    </row>
    <row r="12" ht="34" customHeight="1">
      <c r="A12" s="5" t="inlineStr">
        <is>
          <t>物流费用</t>
        </is>
      </c>
      <c r="B12" s="6" t="inlineStr">
        <is>
          <t>未说明</t>
        </is>
      </c>
      <c r="C12" s="6" t="inlineStr">
        <is>
          <t>未说明</t>
        </is>
      </c>
      <c r="D12" s="19" t="inlineStr">
        <is>
          <t>信息缺失</t>
        </is>
      </c>
      <c r="E12" s="6" t="inlineStr">
        <is>
          <t>液碱属危化品运输，运费与普通货物不同，不能套用一般运费</t>
        </is>
      </c>
      <c r="F12" s="6" t="inlineStr">
        <is>
          <t>确认运输方式与是否含运费</t>
        </is>
      </c>
    </row>
    <row r="14" ht="22" customHeight="1">
      <c r="A14" s="4" t="inlineStr">
        <is>
          <t>可能导致价格差异的因素（客观解释，不是话术）</t>
        </is>
      </c>
    </row>
    <row r="15" ht="30" customHeight="1">
      <c r="A15" s="12" t="inlineStr">
        <is>
          <t>因素</t>
        </is>
      </c>
      <c r="B15" s="12" t="inlineStr">
        <is>
          <t>说明</t>
        </is>
      </c>
      <c r="C15" s="20" t="n"/>
      <c r="D15" s="12" t="inlineStr">
        <is>
          <t>对价格的影响</t>
        </is>
      </c>
      <c r="E15" s="21" t="n"/>
      <c r="F15" s="20" t="n"/>
    </row>
    <row r="16" ht="40" customHeight="1">
      <c r="A16" s="5" t="inlineStr">
        <is>
          <t>规格与纯度</t>
        </is>
      </c>
      <c r="B16" s="6" t="inlineStr">
        <is>
          <t>32% 与 50% 液碱的单价不可直接比较；离子膜法与隔膜法产品在下游适用性上也有差别。浓度不同时，需按折百（100% NaOH）单价换算才可比。</t>
        </is>
      </c>
      <c r="D16" s="6" t="inlineStr">
        <is>
          <t>浓度口径不同会让『800 元/吨』这个数完全失去可比性</t>
        </is>
      </c>
    </row>
    <row r="17" ht="40" customHeight="1">
      <c r="A17" s="5" t="inlineStr">
        <is>
          <t>地区</t>
        </is>
      </c>
      <c r="B17" s="6" t="inlineStr">
        <is>
          <t>液碱运输半径短，山东本地货源与外省调入价格差异大，且危化品运输受限。</t>
        </is>
      </c>
      <c r="D17" s="6" t="inlineStr">
        <is>
          <t>跨省报价不能代表客户所在地的实际可得价格</t>
        </is>
      </c>
    </row>
    <row r="18" ht="40" customHeight="1">
      <c r="A18" s="5" t="inlineStr">
        <is>
          <t>税费</t>
        </is>
      </c>
      <c r="B18" s="6" t="inlineStr">
        <is>
          <t>含税与不含税差 13%（一般纳税人），液碱适用增值税率需按品种与实际确认。</t>
        </is>
      </c>
      <c r="D18" s="6" t="inlineStr">
        <is>
          <t>区间可达百元级</t>
        </is>
      </c>
    </row>
    <row r="19" ht="40" customHeight="1">
      <c r="A19" s="5" t="inlineStr">
        <is>
          <t>出厂 / 到厂</t>
        </is>
      </c>
      <c r="B19" s="6" t="inlineStr">
        <is>
          <t>液碱槽车运费按危化品计价，出厂与送到价差可能很显著。</t>
        </is>
      </c>
      <c r="D19" s="6" t="inlineStr">
        <is>
          <t>未注明交付口径时无法判断 800 是哪一种</t>
        </is>
      </c>
    </row>
    <row r="20" ht="40" customHeight="1">
      <c r="A20" s="5" t="inlineStr">
        <is>
          <t>采购数量</t>
        </is>
      </c>
      <c r="B20" s="6" t="inlineStr">
        <is>
          <t>月度合同量与零星采购的执行价不同。</t>
        </is>
      </c>
      <c r="D20" s="6" t="inlineStr">
        <is>
          <t>影响能否拿到区间下沿</t>
        </is>
      </c>
    </row>
    <row r="21" ht="40" customHeight="1">
      <c r="A21" s="5" t="inlineStr">
        <is>
          <t>包装</t>
        </is>
      </c>
      <c r="B21" s="6" t="inlineStr">
        <is>
          <t>槽车散装、吨桶、IBC 吨桶的单价不同。</t>
        </is>
      </c>
      <c r="D21" s="6" t="inlineStr">
        <is>
          <t>包装成本直接进价格</t>
        </is>
      </c>
    </row>
    <row r="22" ht="40" customHeight="1">
      <c r="A22" s="5" t="inlineStr">
        <is>
          <t>账期</t>
        </is>
      </c>
      <c r="B22" s="6" t="inlineStr">
        <is>
          <t>现金与承兑、月结 30/60 天影响实际资金成本。</t>
        </is>
      </c>
      <c r="D22" s="6" t="inlineStr">
        <is>
          <t>未计入贴现成本时不能等同现金比价</t>
        </is>
      </c>
    </row>
    <row r="23" ht="40" customHeight="1">
      <c r="A23" s="5" t="inlineStr">
        <is>
          <t>物流费用</t>
        </is>
      </c>
      <c r="B23" s="6" t="inlineStr">
        <is>
          <t>危化品运输需专用车辆与资质，运费高于普通货物。</t>
        </is>
      </c>
      <c r="D23" s="6" t="inlineStr">
        <is>
          <t>缺运费时无法做出厂↔送到换算</t>
        </is>
      </c>
    </row>
    <row r="24" ht="40" customHeight="1">
      <c r="A24" s="5" t="inlineStr">
        <is>
          <t>个别低价成交</t>
        </is>
      </c>
      <c r="B24" s="6" t="inlineStr">
        <is>
          <t>行业群里转述的『800』没有原始页面，浓度、税费、交付都不明确，不能作为市场价格。</t>
        </is>
      </c>
      <c r="D24" s="6" t="inlineStr">
        <is>
          <t>只能作为线索，需回到可核来源验证</t>
        </is>
      </c>
    </row>
  </sheetData>
  <mergeCells count="23">
    <mergeCell ref="B16:C16"/>
    <mergeCell ref="B22:C22"/>
    <mergeCell ref="D17:F17"/>
    <mergeCell ref="B18:C18"/>
    <mergeCell ref="D16:F16"/>
    <mergeCell ref="A2:F2"/>
    <mergeCell ref="B21:C21"/>
    <mergeCell ref="A14:F14"/>
    <mergeCell ref="D18:F18"/>
    <mergeCell ref="B23:C23"/>
    <mergeCell ref="B17:C17"/>
    <mergeCell ref="D15:F15"/>
    <mergeCell ref="D24:F24"/>
    <mergeCell ref="D23:F23"/>
    <mergeCell ref="B19:C19"/>
    <mergeCell ref="D20:F20"/>
    <mergeCell ref="D19:F19"/>
    <mergeCell ref="B24:C24"/>
    <mergeCell ref="B15:C15"/>
    <mergeCell ref="A1:F1"/>
    <mergeCell ref="B20:C20"/>
    <mergeCell ref="D22:F22"/>
    <mergeCell ref="D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8" customWidth="1" min="7" max="7"/>
    <col width="12" customWidth="1" min="8" max="8"/>
    <col width="13" customWidth="1" min="9" max="9"/>
    <col width="10" customWidth="1" min="10" max="10"/>
    <col width="26" customWidth="1" min="11" max="11"/>
    <col width="40" customWidth="1" min="12" max="12"/>
  </cols>
  <sheetData>
    <row r="1" ht="30" customHeight="1">
      <c r="A1" s="1" t="inlineStr">
        <is>
          <t>市场报价与历史序列（可替换的数据区）</t>
        </is>
      </c>
    </row>
    <row r="2" ht="30" customHeight="1">
      <c r="A2" s="2" t="inlineStr">
        <is>
          <t>每条报价必须六项齐全：数值·规格·地区·税费·交付·日期·来源。缺一项只能放「08_数据缺口」。</t>
        </is>
      </c>
    </row>
    <row r="4" ht="30" customHeight="1">
      <c r="A4" s="12" t="inlineStr">
        <is>
          <t>日期</t>
        </is>
      </c>
      <c r="B4" s="12" t="inlineStr">
        <is>
          <t>规格</t>
        </is>
      </c>
      <c r="C4" s="12" t="inlineStr">
        <is>
          <t>地区</t>
        </is>
      </c>
      <c r="D4" s="12" t="inlineStr">
        <is>
          <t>税费</t>
        </is>
      </c>
      <c r="E4" s="12" t="inlineStr">
        <is>
          <t>交付</t>
        </is>
      </c>
      <c r="F4" s="12" t="inlineStr">
        <is>
          <t>付款</t>
        </is>
      </c>
      <c r="G4" s="12" t="inlineStr">
        <is>
          <t>下沿</t>
        </is>
      </c>
      <c r="H4" s="12" t="inlineStr">
        <is>
          <t>上沿</t>
        </is>
      </c>
      <c r="I4" s="12" t="inlineStr">
        <is>
          <t>中值/主流价</t>
        </is>
      </c>
      <c r="J4" s="12" t="inlineStr">
        <is>
          <t>单位</t>
        </is>
      </c>
      <c r="K4" s="12" t="inlineStr">
        <is>
          <t>来源 / 类型</t>
        </is>
      </c>
      <c r="L4" s="12" t="inlineStr">
        <is>
          <t>原始链接（可点）</t>
        </is>
      </c>
    </row>
    <row r="5" ht="30" customHeight="1">
      <c r="A5" s="22" t="inlineStr">
        <is>
          <t>2026-10-18</t>
        </is>
      </c>
      <c r="B5" s="23" t="inlineStr">
        <is>
          <t>32% 液碱（渠道未注明浓度执行标准）</t>
        </is>
      </c>
      <c r="C5" s="23" t="inlineStr">
        <is>
          <t>山东</t>
        </is>
      </c>
      <c r="D5" s="23" t="inlineStr">
        <is>
          <t>未注明</t>
        </is>
      </c>
      <c r="E5" s="23" t="inlineStr">
        <is>
          <t>未注明</t>
        </is>
      </c>
      <c r="F5" s="23" t="inlineStr">
        <is>
          <t>未注明</t>
        </is>
      </c>
      <c r="G5" s="24" t="n"/>
      <c r="H5" s="24" t="n"/>
      <c r="I5" s="25" t="n">
        <v>800</v>
      </c>
      <c r="J5" s="22" t="inlineStr">
        <is>
          <t>元/吨</t>
        </is>
      </c>
      <c r="K5" s="23" t="inlineStr">
        <is>
          <t>行业群转述（无原始页面）（未核实线索，置信低） ｜不可直接比较：无法点开原始页面复核，且未注明浓度/税费/交付口径，按规则不得作为市场价格</t>
        </is>
      </c>
      <c r="L5" s="26" t="inlineStr"/>
    </row>
    <row r="6" ht="30" customHeight="1">
      <c r="A6" s="22" t="inlineStr">
        <is>
          <t>2026-10-09</t>
        </is>
      </c>
      <c r="B6" s="23" t="inlineStr">
        <is>
          <t>32% 液碱</t>
        </is>
      </c>
      <c r="C6" s="23" t="inlineStr">
        <is>
          <t>山东</t>
        </is>
      </c>
      <c r="D6" s="23" t="inlineStr">
        <is>
          <t>未注明</t>
        </is>
      </c>
      <c r="E6" s="23" t="inlineStr">
        <is>
          <t>未注明</t>
        </is>
      </c>
      <c r="F6" s="23" t="inlineStr">
        <is>
          <t>未注明</t>
        </is>
      </c>
      <c r="G6" s="24" t="n"/>
      <c r="H6" s="24" t="n"/>
      <c r="I6" s="25" t="n">
        <v>860</v>
      </c>
      <c r="J6" s="22" t="inlineStr">
        <is>
          <t>元/吨</t>
        </is>
      </c>
      <c r="K6" s="23" t="inlineStr">
        <is>
          <t>生意社（页面为聚合页，未定位到具体日更条目）（点价（口径不全），置信低） ｜不可直接比较：口径不全（未注明税费与交付），且日期距基准日 11 天，不能当同日同口径主报价</t>
        </is>
      </c>
      <c r="L6" s="26" t="inlineStr"/>
    </row>
    <row r="8" ht="22" customHeight="1">
      <c r="A8" s="4" t="inlineStr">
        <is>
          <t>历史序列（同规格·同地区·同口径，按日期排序；走势与价格带以此为底）</t>
        </is>
      </c>
    </row>
    <row r="9" ht="30" customHeight="1">
      <c r="A9" s="12" t="inlineStr">
        <is>
          <t>日期</t>
        </is>
      </c>
      <c r="B9" s="12" t="inlineStr">
        <is>
          <t>规格</t>
        </is>
      </c>
      <c r="C9" s="12" t="inlineStr">
        <is>
          <t>地区</t>
        </is>
      </c>
      <c r="D9" s="12" t="inlineStr">
        <is>
          <t>税费</t>
        </is>
      </c>
      <c r="E9" s="12" t="inlineStr">
        <is>
          <t>交付</t>
        </is>
      </c>
      <c r="F9" s="12" t="inlineStr">
        <is>
          <t>类型</t>
        </is>
      </c>
      <c r="G9" s="12" t="inlineStr">
        <is>
          <t>下沿</t>
        </is>
      </c>
      <c r="H9" s="12" t="inlineStr">
        <is>
          <t>上沿</t>
        </is>
      </c>
      <c r="I9" s="12" t="inlineStr">
        <is>
          <t>中值</t>
        </is>
      </c>
      <c r="J9" s="12" t="inlineStr">
        <is>
          <t>单位</t>
        </is>
      </c>
      <c r="K9" s="12" t="inlineStr">
        <is>
          <t>来源</t>
        </is>
      </c>
      <c r="L9" s="12" t="inlineStr">
        <is>
          <t>原始链接（可点）</t>
        </is>
      </c>
    </row>
    <row r="11" ht="22" customHeight="1">
      <c r="A11" s="4" t="inlineStr">
        <is>
          <t>序列统计（全部为公式，替换数据后自动更新）</t>
        </is>
      </c>
    </row>
    <row r="12">
      <c r="A12" s="5" t="inlineStr">
        <is>
          <t>样本数</t>
        </is>
      </c>
      <c r="B12" s="27">
        <f>COUNT(I10:I9)</f>
        <v/>
      </c>
    </row>
    <row r="13">
      <c r="A13" s="5" t="inlineStr">
        <is>
          <t>近3月最高</t>
        </is>
      </c>
      <c r="B13" s="27">
        <f>MAX(I10:I9)</f>
        <v/>
      </c>
    </row>
    <row r="14">
      <c r="A14" s="5" t="inlineStr">
        <is>
          <t>近3月最低</t>
        </is>
      </c>
      <c r="B14" s="27">
        <f>MIN(I10:I9)</f>
        <v/>
      </c>
    </row>
    <row r="15">
      <c r="A15" s="5" t="inlineStr">
        <is>
          <t>近3月中值</t>
        </is>
      </c>
      <c r="B15" s="27">
        <f>MEDIAN(I10:I9)</f>
        <v/>
      </c>
    </row>
    <row r="16">
      <c r="A16" s="5" t="inlineStr">
        <is>
          <t>近3月均值</t>
        </is>
      </c>
      <c r="B16" s="27">
        <f>AVERAGE(I10:I9)</f>
        <v/>
      </c>
    </row>
    <row r="17">
      <c r="A17" s="5" t="inlineStr">
        <is>
          <t>最大波动幅度</t>
        </is>
      </c>
      <c r="B17" s="27">
        <f>MAX(I10:I9)-MIN(I10:I9)</f>
        <v/>
      </c>
    </row>
  </sheetData>
  <mergeCells count="4">
    <mergeCell ref="A11:L11"/>
    <mergeCell ref="A8:L8"/>
    <mergeCell ref="A2:L2"/>
    <mergeCell ref="A1:L1"/>
  </mergeCells>
  <hyperlinks>
    <hyperlink ref="L5"/>
    <hyperlink ref="L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6" customWidth="1" min="4" max="4"/>
    <col width="16" customWidth="1" min="5" max="5"/>
    <col width="52" customWidth="1" min="6" max="6"/>
  </cols>
  <sheetData>
    <row r="1" ht="30" customHeight="1">
      <c r="A1" s="1" t="inlineStr">
        <is>
          <t>价格偏离计算（全部为公式；改 01 表客户价即自动重算）</t>
        </is>
      </c>
    </row>
    <row r="2" ht="30" customHeight="1">
      <c r="A2" s="2" t="inlineStr">
        <is>
          <t>公式口径：偏离金额 = 客户价 − 市场参考值；偏离比例 = 偏离金额 ÷ 市场参考值。</t>
        </is>
      </c>
    </row>
    <row r="4" ht="22" customHeight="1">
      <c r="A4" s="4" t="inlineStr">
        <is>
          <t>一、输入（引用 01 表）</t>
        </is>
      </c>
    </row>
    <row r="5" ht="30" customHeight="1">
      <c r="A5" s="12" t="inlineStr">
        <is>
          <t>项目</t>
        </is>
      </c>
      <c r="B5" s="12" t="inlineStr">
        <is>
          <t>数值</t>
        </is>
      </c>
      <c r="C5" s="12" t="inlineStr">
        <is>
          <t>单位</t>
        </is>
      </c>
      <c r="D5" s="12" t="inlineStr"/>
      <c r="E5" s="12" t="inlineStr"/>
      <c r="F5" s="12" t="inlineStr">
        <is>
          <t>公式 / 说明</t>
        </is>
      </c>
    </row>
    <row r="6">
      <c r="A6" s="5" t="inlineStr">
        <is>
          <t>客户所述价格</t>
        </is>
      </c>
      <c r="B6" s="27">
        <f>'01_客户报价输入'!B5</f>
        <v/>
      </c>
      <c r="C6" s="28" t="inlineStr">
        <is>
          <t>元/吨</t>
        </is>
      </c>
      <c r="F6" s="14" t="inlineStr">
        <is>
          <t>直接引用 01!B5</t>
        </is>
      </c>
    </row>
    <row r="7">
      <c r="A7" s="5" t="inlineStr">
        <is>
          <t>客户税费口径</t>
        </is>
      </c>
      <c r="B7" s="29">
        <f>'01_客户报价输入'!B8</f>
        <v/>
      </c>
      <c r="C7" s="28" t="inlineStr"/>
      <c r="F7" s="14" t="inlineStr">
        <is>
          <t>含税/不含税/未注明</t>
        </is>
      </c>
    </row>
    <row r="8">
      <c r="A8" s="5" t="inlineStr">
        <is>
          <t>客户交付口径</t>
        </is>
      </c>
      <c r="B8" s="29">
        <f>'01_客户报价输入'!B9</f>
        <v/>
      </c>
      <c r="C8" s="28" t="inlineStr"/>
      <c r="F8" s="14" t="inlineStr">
        <is>
          <t>出厂/送到/库提</t>
        </is>
      </c>
    </row>
    <row r="9">
      <c r="A9" s="5" t="inlineStr">
        <is>
          <t>市场税费口径</t>
        </is>
      </c>
      <c r="B9" s="29">
        <f>'01_客户报价输入'!B21</f>
        <v/>
      </c>
      <c r="C9" s="28" t="inlineStr"/>
      <c r="F9" s="14" t="inlineStr">
        <is>
          <t>参照 03 表</t>
        </is>
      </c>
    </row>
    <row r="10">
      <c r="A10" s="5" t="inlineStr">
        <is>
          <t>市场交付口径</t>
        </is>
      </c>
      <c r="B10" s="29">
        <f>'01_客户报价输入'!B22</f>
        <v/>
      </c>
      <c r="C10" s="28" t="inlineStr"/>
      <c r="F10" s="14" t="inlineStr">
        <is>
          <t>参照 03 表</t>
        </is>
      </c>
    </row>
    <row r="11">
      <c r="A11" s="5" t="inlineStr">
        <is>
          <t>市场区间下沿</t>
        </is>
      </c>
      <c r="B11" s="27">
        <f>'01_客户报价输入'!B23</f>
        <v/>
      </c>
      <c r="C11" s="28" t="inlineStr">
        <is>
          <t>元/吨</t>
        </is>
      </c>
      <c r="F11" s="14" t="inlineStr">
        <is>
          <t>同日同口径</t>
        </is>
      </c>
    </row>
    <row r="12">
      <c r="A12" s="5" t="inlineStr">
        <is>
          <t>市场区间上沿</t>
        </is>
      </c>
      <c r="B12" s="27">
        <f>'01_客户报价输入'!B24</f>
        <v/>
      </c>
      <c r="C12" s="28" t="inlineStr">
        <is>
          <t>元/吨</t>
        </is>
      </c>
      <c r="F12" s="14" t="inlineStr">
        <is>
          <t>同日同口径</t>
        </is>
      </c>
    </row>
    <row r="13">
      <c r="A13" s="5" t="inlineStr">
        <is>
          <t>市场参考值（中值）</t>
        </is>
      </c>
      <c r="B13" s="27">
        <f>'01_客户报价输入'!B25</f>
        <v/>
      </c>
      <c r="C13" s="28" t="inlineStr">
        <is>
          <t>元/吨</t>
        </is>
      </c>
      <c r="F13" s="14">
        <f>(下沿+上沿)/2</f>
        <v/>
      </c>
    </row>
    <row r="14">
      <c r="A14" s="5" t="inlineStr">
        <is>
          <t>税率</t>
        </is>
      </c>
      <c r="B14" s="30">
        <f>'01_客户报价输入'!B16</f>
        <v/>
      </c>
      <c r="C14" s="28" t="inlineStr"/>
      <c r="F14" s="14" t="inlineStr">
        <is>
          <t>增值税</t>
        </is>
      </c>
    </row>
    <row r="15">
      <c r="A15" s="5" t="inlineStr">
        <is>
          <t>已知运费</t>
        </is>
      </c>
      <c r="B15" s="27">
        <f>'01_客户报价输入'!B15</f>
        <v/>
      </c>
      <c r="C15" s="28" t="inlineStr">
        <is>
          <t>元/吨</t>
        </is>
      </c>
      <c r="F15" s="14" t="inlineStr">
        <is>
          <t>出厂→送到时使用；空则无法折算</t>
        </is>
      </c>
    </row>
    <row r="17" ht="22" customHeight="1">
      <c r="A17" s="4" t="inlineStr">
        <is>
          <t>二、口径标准化（确定性换算，非推测）</t>
        </is>
      </c>
    </row>
    <row r="18" ht="30" customHeight="1">
      <c r="A18" s="12" t="inlineStr">
        <is>
          <t>步骤</t>
        </is>
      </c>
      <c r="B18" s="12" t="inlineStr">
        <is>
          <t>数值</t>
        </is>
      </c>
      <c r="C18" s="12" t="inlineStr">
        <is>
          <t>说明</t>
        </is>
      </c>
      <c r="D18" s="12" t="inlineStr"/>
      <c r="E18" s="12" t="inlineStr"/>
      <c r="F18" s="12" t="inlineStr">
        <is>
          <t>公式</t>
        </is>
      </c>
    </row>
    <row r="19">
      <c r="A19" s="5" t="inlineStr">
        <is>
          <t>客户价（换算到市场税基）</t>
        </is>
      </c>
      <c r="B19" s="27">
        <f>IF(AND(B7="不含税",B9="含税"),B6*(1+B14),IF(AND(B7="含税",B9="不含税"),B6/(1+B14),B6))</f>
        <v/>
      </c>
      <c r="C19" s="14" t="inlineStr">
        <is>
          <t>仅当两侧税基明确且不同才换算</t>
        </is>
      </c>
      <c r="F19" s="14" t="inlineStr">
        <is>
          <t>客户「未注明」时不加税、不减税，直接按市场税基比较，并在结论里标注口径风险</t>
        </is>
      </c>
    </row>
    <row r="20">
      <c r="A20" s="5" t="inlineStr">
        <is>
          <t>客户价（换算到市场交付口径）</t>
        </is>
      </c>
      <c r="B20" s="27">
        <f>IF(AND(B10="送到",B8="出厂"),IFERROR(B19+B15,B19),IF(AND(B10="出厂",B8="送到"),IFERROR(B19-B15,B19),B19))</f>
        <v/>
      </c>
      <c r="C20" s="14" t="inlineStr">
        <is>
          <t>出厂+运费→送到；送到−运费→出厂；无运费则保持原值并提示</t>
        </is>
      </c>
      <c r="F20" s="14" t="inlineStr">
        <is>
          <t>运费为空时不做任何假设，04 结论区会显示「无法直接折算」</t>
        </is>
      </c>
    </row>
    <row r="21">
      <c r="A21" s="5" t="inlineStr">
        <is>
          <t>口径是否可直接比较</t>
        </is>
      </c>
      <c r="B21" s="31">
        <f>IF(AND(B10="送到",B8="出厂",B15=""),"无法直接折算（缺运费）","可比较（已按口径换算）")</f>
        <v/>
      </c>
      <c r="C21" s="14" t="inlineStr">
        <is>
          <t>条件</t>
        </is>
      </c>
      <c r="F21" s="14" t="inlineStr">
        <is>
          <t>只比较同税基、同交付口径的价格</t>
        </is>
      </c>
    </row>
    <row r="23" ht="22" customHeight="1">
      <c r="A23" s="4" t="inlineStr">
        <is>
          <t>三、偏离金额与比例</t>
        </is>
      </c>
    </row>
    <row r="24" ht="30" customHeight="1">
      <c r="A24" s="12" t="inlineStr">
        <is>
          <t>指标</t>
        </is>
      </c>
      <c r="B24" s="12" t="inlineStr">
        <is>
          <t>数值（元/吨 或 %）</t>
        </is>
      </c>
      <c r="C24" s="12" t="inlineStr">
        <is>
          <t>计算方法</t>
        </is>
      </c>
      <c r="D24" s="12" t="inlineStr"/>
      <c r="E24" s="12" t="inlineStr"/>
      <c r="F24" s="12" t="inlineStr">
        <is>
          <t>Excel 公式</t>
        </is>
      </c>
    </row>
    <row r="25">
      <c r="A25" s="5" t="inlineStr">
        <is>
          <t>① 偏离金额（相对中值）</t>
        </is>
      </c>
      <c r="B25" s="32">
        <f>B20-B13</f>
        <v/>
      </c>
      <c r="C25" s="6" t="inlineStr">
        <is>
          <t>客户价 − 市场参考值（正=客户更高）</t>
        </is>
      </c>
      <c r="F25" s="14">
        <f>B20-B13</f>
        <v/>
      </c>
    </row>
    <row r="26">
      <c r="A26" s="5" t="inlineStr">
        <is>
          <t>② 偏离比例（相对中值）</t>
        </is>
      </c>
      <c r="B26" s="33">
        <f>IFERROR(B25/B13,"")</f>
        <v/>
      </c>
      <c r="C26" s="6" t="inlineStr">
        <is>
          <t>偏离金额 ÷ 市场参考值</t>
        </is>
      </c>
      <c r="F26" s="14">
        <f>IFERROR(B25/B13,"")</f>
        <v/>
      </c>
    </row>
    <row r="27">
      <c r="A27" s="5" t="inlineStr">
        <is>
          <t>③ 相对区间上沿的金额</t>
        </is>
      </c>
      <c r="B27" s="27">
        <f>B20-B12</f>
        <v/>
      </c>
      <c r="C27" s="6" t="inlineStr">
        <is>
          <t>客户价 − 上沿（&gt;0 表示高于市场最高报价）</t>
        </is>
      </c>
      <c r="F27" s="14">
        <f>B20-B12</f>
        <v/>
      </c>
    </row>
    <row r="28">
      <c r="A28" s="5" t="inlineStr">
        <is>
          <t>④ 相对上沿的比例</t>
        </is>
      </c>
      <c r="B28" s="34">
        <f>IFERROR(B27/B12,"")</f>
        <v/>
      </c>
      <c r="C28" s="6" t="inlineStr">
        <is>
          <t>相对上沿金额 ÷ 上沿</t>
        </is>
      </c>
      <c r="F28" s="14">
        <f>IFERROR(B27/B12,"")</f>
        <v/>
      </c>
    </row>
    <row r="29">
      <c r="A29" s="5" t="inlineStr">
        <is>
          <t>⑤ 相对区间下沿的金额</t>
        </is>
      </c>
      <c r="B29" s="27">
        <f>B20-B11</f>
        <v/>
      </c>
      <c r="C29" s="6" t="inlineStr">
        <is>
          <t>客户价 − 下沿（&lt;0 表示低于市场最低报价）</t>
        </is>
      </c>
      <c r="F29" s="14">
        <f>B20-B11</f>
        <v/>
      </c>
    </row>
    <row r="30">
      <c r="A30" s="5" t="inlineStr">
        <is>
          <t>⑥ 相对下沿的比例</t>
        </is>
      </c>
      <c r="B30" s="34">
        <f>IFERROR(B29/B11,"")</f>
        <v/>
      </c>
      <c r="C30" s="6" t="inlineStr">
        <is>
          <t>相对下沿金额 ÷ 下沿</t>
        </is>
      </c>
      <c r="F30" s="14">
        <f>IFERROR(B29/B11,"")</f>
        <v/>
      </c>
    </row>
    <row r="31">
      <c r="A31" s="5" t="inlineStr">
        <is>
          <t>⑦ 是否落在市场区间内</t>
        </is>
      </c>
      <c r="B31" s="31">
        <f>IF(B20=B13,"待输入客户价",IF(AND(B20&gt;=B11,B20&lt;=B12),"是","否"))</f>
        <v/>
      </c>
      <c r="C31" s="6" t="inlineStr">
        <is>
          <t>下沿 ≤ 客户价 ≤ 上沿 → 是</t>
        </is>
      </c>
    </row>
    <row r="32">
      <c r="A32" s="5" t="inlineStr">
        <is>
          <t>⑧ 区间半宽（判定尺度）</t>
        </is>
      </c>
      <c r="B32" s="27">
        <f>(B12-B11)/2</f>
        <v/>
      </c>
      <c r="C32" s="6" t="inlineStr">
        <is>
          <t>半宽 = (上沿−下沿)/2，用作『明显』判定的自然尺度</t>
        </is>
      </c>
      <c r="F32" s="14">
        <f>(B12-B11)/2</f>
        <v/>
      </c>
    </row>
    <row r="34" ht="22" customHeight="1">
      <c r="A34" s="4" t="inlineStr">
        <is>
          <t>四、判定（依据区间位置 + 近3月价格带，不用固定百分比阈值）</t>
        </is>
      </c>
    </row>
    <row r="35" ht="28" customHeight="1">
      <c r="A35" s="35" t="inlineStr">
        <is>
          <t>核验结论</t>
        </is>
      </c>
      <c r="B35" s="36">
        <f>IF(OR(B11="",B12="",NOT(ISNUMBER(B11)),NOT(ISNUMBER(B12))),"无可靠市场数据，无法验证",IF(B21&lt;&gt;"可比较（已按口径换算）","口径不一致，暂时无法直接比较",IF(AND(B20&gt;=B11-0.01,B20&lt;=B12+0.01),"接近市场参考区间",IF(ABS(B20-IF(B20&gt;B12,B12,B11))&lt;=B32+0.01,IF(B20&gt;B12,"略高于市场参考区间","略低于市场参考区间"),IF(B20&gt;B12,"明显偏高","明显偏低")))))</f>
        <v/>
      </c>
      <c r="C35" s="21" t="n"/>
      <c r="D35" s="21" t="n"/>
      <c r="E35" s="21" t="n"/>
      <c r="F35" s="20" t="n"/>
    </row>
    <row r="36" ht="42" customHeight="1">
      <c r="A36" s="5" t="inlineStr">
        <is>
          <t>判定规则</t>
        </is>
      </c>
      <c r="B36" s="14" t="inlineStr">
        <is>
          <t>①客户价在[下沿,上沿]内→接近市场；②区间外但距最近端点 ≤ 半宽 → 略高/略低；③距最近端点 &gt; 半宽 → 明显偏高/明显偏低；④口径不可比 → 无法直接比较。「明显」的尺度取自该市场报价自身的宽度，而不是人为设定的百分比。</t>
        </is>
      </c>
    </row>
    <row r="37">
      <c r="A37" s="5" t="inlineStr">
        <is>
          <t>口径提示</t>
        </is>
      </c>
      <c r="B37" s="14" t="inlineStr">
        <is>
          <t>客户未说明含税/不含税；客户未说明出厂/送到；客户未说明付款方式/账期</t>
        </is>
      </c>
    </row>
    <row r="38">
      <c r="A38" s="5" t="inlineStr">
        <is>
          <t>我方报价 vs 客户价</t>
        </is>
      </c>
      <c r="B38" s="14">
        <f>IF('01_客户报价输入'!B13="","未填写我方报价","我方报价 "&amp;TEXT('01_客户报价输入'!B13,"#,##0")&amp;" 元/吨，较客户价 "&amp;TEXT('01_客户报价输入'!B13-B6,"+#,##0;-#,##0;0")&amp;" 元/吨（"&amp;TEXT(IFERROR(('01_客户报价输入'!B13-B6)/B6,0),"+0.0%;-0.0%")&amp;"）")</f>
        <v/>
      </c>
    </row>
    <row r="40" ht="22" customHeight="1">
      <c r="A40" s="4" t="inlineStr">
        <is>
          <t>五、历史窗口对比（7天 / 30天 / 3个月）</t>
        </is>
      </c>
    </row>
    <row r="41" ht="30" customHeight="1">
      <c r="A41" s="12" t="inlineStr">
        <is>
          <t>窗口</t>
        </is>
      </c>
      <c r="B41" s="12" t="inlineStr">
        <is>
          <t>起点日期</t>
        </is>
      </c>
      <c r="C41" s="12" t="inlineStr">
        <is>
          <t>起点价格</t>
        </is>
      </c>
      <c r="D41" s="12" t="inlineStr">
        <is>
          <t>最新价格</t>
        </is>
      </c>
      <c r="E41" s="12" t="inlineStr">
        <is>
          <t>变化</t>
        </is>
      </c>
      <c r="F41" s="12" t="inlineStr">
        <is>
          <t>变化比例</t>
        </is>
      </c>
    </row>
    <row r="42">
      <c r="A42" s="5" t="inlineStr">
        <is>
          <t>近7天</t>
        </is>
      </c>
      <c r="B42" s="37" t="inlineStr">
        <is>
          <t>—</t>
        </is>
      </c>
      <c r="C42" s="38" t="n"/>
      <c r="D42" s="38" t="n"/>
      <c r="E42" s="39" t="inlineStr">
        <is>
          <t>—</t>
        </is>
      </c>
      <c r="F42" s="40" t="inlineStr">
        <is>
          <t>—</t>
        </is>
      </c>
    </row>
    <row r="43">
      <c r="A43" s="5" t="inlineStr">
        <is>
          <t>近30天</t>
        </is>
      </c>
      <c r="B43" s="37" t="inlineStr">
        <is>
          <t>—</t>
        </is>
      </c>
      <c r="C43" s="38" t="n"/>
      <c r="D43" s="38" t="n"/>
      <c r="E43" s="39" t="inlineStr">
        <is>
          <t>—</t>
        </is>
      </c>
      <c r="F43" s="40" t="inlineStr">
        <is>
          <t>—</t>
        </is>
      </c>
    </row>
    <row r="44">
      <c r="A44" s="5" t="inlineStr">
        <is>
          <t>近3个月</t>
        </is>
      </c>
      <c r="B44" s="37" t="inlineStr">
        <is>
          <t>—</t>
        </is>
      </c>
      <c r="C44" s="38" t="n"/>
      <c r="D44" s="38" t="n"/>
      <c r="E44" s="39" t="inlineStr">
        <is>
          <t>—</t>
        </is>
      </c>
      <c r="F44" s="40" t="inlineStr">
        <is>
          <t>—</t>
        </is>
      </c>
    </row>
    <row r="46">
      <c r="A46" s="5" t="inlineStr">
        <is>
          <t>客户价在历史中的位置</t>
        </is>
      </c>
      <c r="B46" s="14" t="inlineStr">
        <is>
          <t>无历史数据</t>
        </is>
      </c>
    </row>
  </sheetData>
  <mergeCells count="33">
    <mergeCell ref="D20:E20"/>
    <mergeCell ref="D10:E10"/>
    <mergeCell ref="D19:E19"/>
    <mergeCell ref="C31:E31"/>
    <mergeCell ref="B46:F46"/>
    <mergeCell ref="D21:E21"/>
    <mergeCell ref="A2:F2"/>
    <mergeCell ref="D6:E6"/>
    <mergeCell ref="C27:E27"/>
    <mergeCell ref="D11:E11"/>
    <mergeCell ref="D13:E13"/>
    <mergeCell ref="A23:F23"/>
    <mergeCell ref="A17:F17"/>
    <mergeCell ref="A4:F4"/>
    <mergeCell ref="C32:E32"/>
    <mergeCell ref="C28:E28"/>
    <mergeCell ref="D7:E7"/>
    <mergeCell ref="B38:F38"/>
    <mergeCell ref="B37:F37"/>
    <mergeCell ref="A34:F34"/>
    <mergeCell ref="A40:F40"/>
    <mergeCell ref="C30:E30"/>
    <mergeCell ref="D9:E9"/>
    <mergeCell ref="D12:E12"/>
    <mergeCell ref="D8:E8"/>
    <mergeCell ref="D15:E15"/>
    <mergeCell ref="A1:F1"/>
    <mergeCell ref="D14:E14"/>
    <mergeCell ref="C26:E26"/>
    <mergeCell ref="B36:F36"/>
    <mergeCell ref="C29:E29"/>
    <mergeCell ref="C25:E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34" customWidth="1" min="8" max="8"/>
  </cols>
  <sheetData>
    <row r="1" ht="30" customHeight="1">
      <c r="A1" s="1" t="inlineStr">
        <is>
          <t>历史价格序列（供 Excel 折线图 / 复核任意一天）</t>
        </is>
      </c>
    </row>
    <row r="2" ht="30" customHeight="1">
      <c r="A2" s="2" t="inlineStr">
        <is>
          <t>同一来源、同一口径的连续点；不同来源标注了口径差异，不做平均合并。</t>
        </is>
      </c>
    </row>
    <row r="4" ht="30" customHeight="1">
      <c r="A4" s="12" t="inlineStr">
        <is>
          <t>日期</t>
        </is>
      </c>
      <c r="B4" s="12" t="inlineStr">
        <is>
          <t>规格</t>
        </is>
      </c>
      <c r="C4" s="12" t="inlineStr">
        <is>
          <t>地区</t>
        </is>
      </c>
      <c r="D4" s="12" t="inlineStr">
        <is>
          <t>口径</t>
        </is>
      </c>
      <c r="E4" s="12" t="inlineStr">
        <is>
          <t>区间下沿</t>
        </is>
      </c>
      <c r="F4" s="12" t="inlineStr">
        <is>
          <t>区间上沿</t>
        </is>
      </c>
      <c r="G4" s="12" t="inlineStr">
        <is>
          <t>中值/主流价</t>
        </is>
      </c>
      <c r="H4" s="12" t="inlineStr">
        <is>
          <t>来源</t>
        </is>
      </c>
    </row>
    <row r="6" ht="22" customHeight="1">
      <c r="A6" s="4" t="inlineStr">
        <is>
          <t>辅助列：客户价在历史的什么位置</t>
        </is>
      </c>
    </row>
    <row r="7">
      <c r="A7" s="5" t="inlineStr">
        <is>
          <t>客户价（引用01）</t>
        </is>
      </c>
      <c r="B7" s="27">
        <f>'01_客户报价输入'!B5</f>
        <v/>
      </c>
    </row>
    <row r="8">
      <c r="A8" s="5" t="inlineStr">
        <is>
          <t>高于序列最高点？</t>
        </is>
      </c>
      <c r="B8" s="6">
        <f>IF(B7&gt;MAX(G5:G4),"高于最高点 "&amp;TEXT(B7-MAX(G5:G4),"#,##0")&amp;" 元/吨","在序列范围内")</f>
        <v/>
      </c>
      <c r="C8" s="21" t="n"/>
      <c r="D8" s="20" t="n"/>
    </row>
  </sheetData>
  <mergeCells count="4">
    <mergeCell ref="B8:D8"/>
    <mergeCell ref="A2:H2"/>
    <mergeCell ref="A6:H6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13" customWidth="1" min="7" max="7"/>
    <col width="14" customWidth="1" min="8" max="8"/>
    <col width="14" customWidth="1" min="9" max="9"/>
    <col width="46" customWidth="1" min="10" max="10"/>
  </cols>
  <sheetData>
    <row r="1" ht="30" customHeight="1">
      <c r="A1" s="1" t="inlineStr">
        <is>
          <t>相邻地区价格对比（同为含税·送到口径）</t>
        </is>
      </c>
    </row>
    <row r="2" ht="30" customHeight="1">
      <c r="A2" s="2" t="inlineStr">
        <is>
          <t>区域价差主要来自运距与供需结构；不能据此判断『某地市场更高/更低』。</t>
        </is>
      </c>
    </row>
    <row r="4" ht="30" customHeight="1">
      <c r="A4" s="12" t="inlineStr">
        <is>
          <t>地区</t>
        </is>
      </c>
      <c r="B4" s="12" t="inlineStr">
        <is>
          <t>下沿</t>
        </is>
      </c>
      <c r="C4" s="12" t="inlineStr">
        <is>
          <t>上沿</t>
        </is>
      </c>
      <c r="D4" s="12" t="inlineStr">
        <is>
          <t>中值</t>
        </is>
      </c>
      <c r="E4" s="12" t="inlineStr">
        <is>
          <t>税费</t>
        </is>
      </c>
      <c r="F4" s="12" t="inlineStr">
        <is>
          <t>交付</t>
        </is>
      </c>
      <c r="G4" s="12" t="inlineStr">
        <is>
          <t>日期</t>
        </is>
      </c>
      <c r="H4" s="12" t="inlineStr">
        <is>
          <t>较基准价差</t>
        </is>
      </c>
      <c r="I4" s="12" t="inlineStr">
        <is>
          <t>较基准比例</t>
        </is>
      </c>
    </row>
    <row r="5">
      <c r="A5" s="8" t="inlineStr">
        <is>
          <t>山东（基准）</t>
        </is>
      </c>
      <c r="B5" s="27">
        <f>'01_客户报价输入'!B24</f>
        <v/>
      </c>
      <c r="C5" s="27">
        <f>'01_客户报价输入'!B24</f>
        <v/>
      </c>
      <c r="D5" s="27">
        <f>AVERAGE(B5:C5)</f>
        <v/>
      </c>
      <c r="E5" s="37">
        <f>'01_客户报价输入'!B22</f>
        <v/>
      </c>
      <c r="F5" s="37">
        <f>'01_客户报价输入'!B22</f>
        <v/>
      </c>
      <c r="G5" s="37" t="n"/>
      <c r="H5" s="38" t="n">
        <v>0</v>
      </c>
      <c r="I5" s="41" t="n">
        <v>0</v>
      </c>
    </row>
    <row r="7" ht="40" customHeight="1">
      <c r="A7" s="5" t="inlineStr">
        <is>
          <t>可比性说明</t>
        </is>
      </c>
      <c r="B7" s="14" t="inlineStr">
        <is>
          <t>各区域均为同规格、同税基、送到口径；日期相差 1-10 天的已在「日期」列标出。跨区比价的前提是『同一客户、同一交付地』；运距不同时，价差不能直接当作报价依据。</t>
        </is>
      </c>
    </row>
  </sheetData>
  <mergeCells count="3">
    <mergeCell ref="A1:I1"/>
    <mergeCell ref="B7:I7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40" customWidth="1" min="4" max="4"/>
    <col width="36" customWidth="1" min="5" max="5"/>
  </cols>
  <sheetData>
    <row r="1" ht="30" customHeight="1">
      <c r="A1" s="1" t="inlineStr">
        <is>
          <t>需要向客户确认的问题清单</t>
        </is>
      </c>
    </row>
    <row r="2" ht="30" customHeight="1">
      <c r="A2" s="2" t="inlineStr">
        <is>
          <t>按优先级排序；每条对应一个口径缺口。得到答复后回填到「客户答复」，再复核结论。</t>
        </is>
      </c>
    </row>
    <row r="4" ht="30" customHeight="1">
      <c r="A4" s="12" t="inlineStr">
        <is>
          <t>#</t>
        </is>
      </c>
      <c r="B4" s="12" t="inlineStr">
        <is>
          <t>优先级</t>
        </is>
      </c>
      <c r="C4" s="12" t="inlineStr">
        <is>
          <t>问题</t>
        </is>
      </c>
      <c r="D4" s="12" t="inlineStr">
        <is>
          <t>为什么要问</t>
        </is>
      </c>
      <c r="E4" s="12" t="inlineStr">
        <is>
          <t>客户答复（回填）</t>
        </is>
      </c>
    </row>
    <row r="5" ht="34" customHeight="1">
      <c r="A5" s="37" t="n">
        <v>1</v>
      </c>
      <c r="B5" s="42" t="inlineStr">
        <is>
          <t>高</t>
        </is>
      </c>
      <c r="C5" s="6" t="inlineStr">
        <is>
          <t>您说的 800 元/吨，是 32% 液碱吗？还是 50% 或其他浓度？</t>
        </is>
      </c>
      <c r="D5" s="14" t="inlineStr">
        <is>
          <t>浓度不同单价不可比，这是最容易造成误解的一项</t>
        </is>
      </c>
      <c r="E5" s="43" t="inlineStr"/>
    </row>
    <row r="6" ht="34" customHeight="1">
      <c r="A6" s="37" t="n">
        <v>2</v>
      </c>
      <c r="B6" s="42" t="inlineStr">
        <is>
          <t>高</t>
        </is>
      </c>
      <c r="C6" s="6" t="inlineStr">
        <is>
          <t>这个 800 是含税还是不含税？能开增值税专用发票吗？</t>
        </is>
      </c>
      <c r="D6" s="14" t="inlineStr">
        <is>
          <t>税基差异 13%，直接决定可比性</t>
        </is>
      </c>
      <c r="E6" s="43" t="inlineStr"/>
    </row>
    <row r="7" ht="34" customHeight="1">
      <c r="A7" s="37" t="n">
        <v>3</v>
      </c>
      <c r="B7" s="42" t="inlineStr">
        <is>
          <t>高</t>
        </is>
      </c>
      <c r="C7" s="6" t="inlineStr">
        <is>
          <t>是出厂价还是送到价？送到哪个厂？</t>
        </is>
      </c>
      <c r="D7" s="14" t="inlineStr">
        <is>
          <t>液碱运费占比高，出厂与送到可能差数十至百元</t>
        </is>
      </c>
      <c r="E7" s="43" t="inlineStr"/>
    </row>
    <row r="8" ht="34" customHeight="1">
      <c r="A8" s="37" t="n">
        <v>4</v>
      </c>
      <c r="B8" s="42" t="inlineStr">
        <is>
          <t>高</t>
        </is>
      </c>
      <c r="C8" s="6" t="inlineStr">
        <is>
          <t>这个价格是哪天、在哪里看到的？能发个截图或链接吗？</t>
        </is>
      </c>
      <c r="D8" s="14" t="inlineStr">
        <is>
          <t>目前我拿到的只有转述，没有可核来源；有出处才能核对口径</t>
        </is>
      </c>
      <c r="E8" s="43" t="inlineStr"/>
    </row>
    <row r="9" ht="34" customHeight="1">
      <c r="A9" s="37" t="n">
        <v>5</v>
      </c>
      <c r="B9" s="42" t="inlineStr">
        <is>
          <t>高</t>
        </is>
      </c>
      <c r="C9" s="6" t="inlineStr">
        <is>
          <t>月用量大概多少吨？多久提一次货？</t>
        </is>
      </c>
      <c r="D9" s="14" t="inlineStr">
        <is>
          <t>液碱多按月合同量定价，量级决定执行价位置</t>
        </is>
      </c>
      <c r="E9" s="43" t="inlineStr"/>
    </row>
    <row r="10" ht="34" customHeight="1">
      <c r="A10" s="37" t="n">
        <v>6</v>
      </c>
      <c r="B10" s="19" t="inlineStr">
        <is>
          <t>中</t>
        </is>
      </c>
      <c r="C10" s="6" t="inlineStr">
        <is>
          <t>是槽车散装还是吨桶？</t>
        </is>
      </c>
      <c r="D10" s="14" t="inlineStr">
        <is>
          <t>包装成本差异明显</t>
        </is>
      </c>
      <c r="E10" s="43" t="inlineStr"/>
    </row>
    <row r="11" ht="34" customHeight="1">
      <c r="A11" s="37" t="n">
        <v>7</v>
      </c>
      <c r="B11" s="19" t="inlineStr">
        <is>
          <t>中</t>
        </is>
      </c>
      <c r="C11" s="6" t="inlineStr">
        <is>
          <t>付款是现汇还是承兑？账期多久？</t>
        </is>
      </c>
      <c r="D11" s="14" t="inlineStr">
        <is>
          <t>账期差异影响资金成本，需折算后才能比</t>
        </is>
      </c>
      <c r="E11" s="43" t="inlineStr"/>
    </row>
    <row r="12" ht="34" customHeight="1">
      <c r="A12" s="37" t="n">
        <v>8</v>
      </c>
      <c r="B12" s="19" t="inlineStr">
        <is>
          <t>中</t>
        </is>
      </c>
      <c r="C12" s="6" t="inlineStr">
        <is>
          <t>有要求离子膜法吗？执行什么标准？</t>
        </is>
      </c>
      <c r="D12" s="14" t="inlineStr">
        <is>
          <t>工艺路线影响下游适用性与价格</t>
        </is>
      </c>
      <c r="E12" s="43" t="inlineStr"/>
    </row>
    <row r="13" ht="34" customHeight="1">
      <c r="A13" s="37" t="n">
        <v>9</v>
      </c>
      <c r="B13" s="44" t="inlineStr">
        <is>
          <t>低</t>
        </is>
      </c>
      <c r="C13" s="6" t="inlineStr">
        <is>
          <t>除了这一家，还有其他供应商在报价吗？</t>
        </is>
      </c>
      <c r="D13" s="14" t="inlineStr">
        <is>
          <t>多一个口径样本，比价才有分布</t>
        </is>
      </c>
      <c r="E13" s="4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46" customWidth="1" min="3" max="3"/>
    <col width="12" customWidth="1" min="4" max="4"/>
  </cols>
  <sheetData>
    <row r="1" ht="30" customHeight="1">
      <c r="A1" s="1" t="inlineStr">
        <is>
          <t>数据缺口与研究边界</t>
        </is>
      </c>
    </row>
    <row r="2" ht="30" customHeight="1">
      <c r="A2" s="2" t="inlineStr">
        <is>
          <t>缺口不是缺陷列表，而是『这份报告能走多远』的刻度。补上一条，结论才能细一分。</t>
        </is>
      </c>
    </row>
    <row r="4" ht="30" customHeight="1">
      <c r="A4" s="12" t="inlineStr">
        <is>
          <t>缺口项</t>
        </is>
      </c>
      <c r="B4" s="12" t="inlineStr">
        <is>
          <t>影响</t>
        </is>
      </c>
      <c r="C4" s="12" t="inlineStr">
        <is>
          <t>补法</t>
        </is>
      </c>
      <c r="D4" s="12" t="inlineStr">
        <is>
          <t>状态</t>
        </is>
      </c>
    </row>
    <row r="5" ht="34" customHeight="1">
      <c r="A5" s="45" t="inlineStr">
        <is>
          <t>2026-10-20 山东 32% 液碱含税·到厂公开日更报价</t>
        </is>
      </c>
      <c r="B5" s="6" t="inlineStr">
        <is>
          <t>没有市场参考区间，无法计算偏离，也无法判定高低</t>
        </is>
      </c>
      <c r="C5" s="6" t="inlineStr">
        <is>
          <t>在隆众/卓创/生意社检索山东液碱日更；或向 2–3 家山东供应商询当日含税到厂价</t>
        </is>
      </c>
      <c r="D5" s="19" t="inlineStr">
        <is>
          <t>待补</t>
        </is>
      </c>
    </row>
    <row r="6" ht="34" customHeight="1">
      <c r="A6" s="45" t="inlineStr">
        <is>
          <t>客户所述 800 元/吨的原始出处</t>
        </is>
      </c>
      <c r="B6" s="6" t="inlineStr">
        <is>
          <t>无法核对浓度、税费、交付口径，该数字目前无法验证</t>
        </is>
      </c>
      <c r="C6" s="6" t="inlineStr">
        <is>
          <t>请客户提供截图、平台名称或报价单</t>
        </is>
      </c>
      <c r="D6" s="19" t="inlineStr">
        <is>
          <t>待补</t>
        </is>
      </c>
    </row>
    <row r="7" ht="34" customHeight="1">
      <c r="A7" s="45" t="inlineStr">
        <is>
          <t>客户所购液碱的浓度与工艺</t>
        </is>
      </c>
      <c r="B7" s="6" t="inlineStr">
        <is>
          <t>浓度不同则单价不可比，可能整个比较都建立在错误前提上</t>
        </is>
      </c>
      <c r="C7" s="6" t="inlineStr">
        <is>
          <t>确认 32% 还是 50%、离子膜还是隔膜</t>
        </is>
      </c>
      <c r="D7" s="19" t="inlineStr">
        <is>
          <t>待补</t>
        </is>
      </c>
    </row>
    <row r="8" ht="34" customHeight="1">
      <c r="A8" s="45" t="inlineStr">
        <is>
          <t>客户收货地与运输方式</t>
        </is>
      </c>
      <c r="B8" s="6" t="inlineStr">
        <is>
          <t>无法判断运费归属，出货价与到厂价无法换算</t>
        </is>
      </c>
      <c r="C8" s="6" t="inlineStr">
        <is>
          <t>确认具体厂址、槽车还是吨桶、是否我方送到</t>
        </is>
      </c>
      <c r="D8" s="19" t="inlineStr">
        <is>
          <t>待补</t>
        </is>
      </c>
    </row>
    <row r="9" ht="34" customHeight="1">
      <c r="A9" s="45" t="inlineStr">
        <is>
          <t>山东地区液碱近 3 个月历史序列</t>
        </is>
      </c>
      <c r="B9" s="6" t="inlineStr">
        <is>
          <t>无法判断客户价是否来自较早时间点</t>
        </is>
      </c>
      <c r="C9" s="6" t="inlineStr">
        <is>
          <t>按日更页面逐日回溯，取同口径连续点</t>
        </is>
      </c>
      <c r="D9" s="19" t="inlineStr">
        <is>
          <t>待补</t>
        </is>
      </c>
    </row>
    <row r="10" ht="34" customHeight="1">
      <c r="A10" s="45" t="inlineStr">
        <is>
          <t>邻近地区（江苏/河北）同口径报价</t>
        </is>
      </c>
      <c r="B10" s="6" t="inlineStr">
        <is>
          <t>无法做跨区参考</t>
        </is>
      </c>
      <c r="C10" s="6" t="inlineStr">
        <is>
          <t>检索邻近省份液碱日更，注意标注运距</t>
        </is>
      </c>
      <c r="D10" s="19" t="inlineStr">
        <is>
          <t>待补</t>
        </is>
      </c>
    </row>
    <row r="11" ht="34" customHeight="1">
      <c r="A11" s="45" t="inlineStr">
        <is>
          <t>客户的月用量与账期</t>
        </is>
      </c>
      <c r="B11" s="6" t="inlineStr">
        <is>
          <t>无法判断其应处的价格位置</t>
        </is>
      </c>
      <c r="C11" s="6" t="inlineStr">
        <is>
          <t>直接向客户确认</t>
        </is>
      </c>
      <c r="D11" s="19" t="inlineStr">
        <is>
          <t>待补</t>
        </is>
      </c>
    </row>
    <row r="12" ht="34" customHeight="1">
      <c r="A12" s="45" t="inlineStr">
        <is>
          <t>同规格同地区市场报价</t>
        </is>
      </c>
      <c r="B12" s="6" t="inlineStr">
        <is>
          <t>无法给出市场参考区间</t>
        </is>
      </c>
      <c r="C12" s="6" t="inlineStr">
        <is>
          <t>补充至少一条六项齐全的现货报价</t>
        </is>
      </c>
      <c r="D12" s="19" t="inlineStr">
        <is>
          <t>待补</t>
        </is>
      </c>
    </row>
    <row r="14" ht="22" customHeight="1">
      <c r="A14" s="4" t="inlineStr">
        <is>
          <t>研究方法说明</t>
        </is>
      </c>
    </row>
    <row r="15" ht="34" customHeight="1">
      <c r="A15" s="6" t="inlineStr">
        <is>
          <t>• 本案例刻意保留为『数据不足』状态，用于演示降级路径：宁可不给市场价，也不给一个编出来的市场价。</t>
        </is>
      </c>
    </row>
    <row r="16" ht="34" customHeight="1">
      <c r="A16" s="6" t="inlineStr">
        <is>
          <t>• 两条线索都被显式排除：一条无原始页面，一条口径不全且日期距基准日较远。规则见 references/sources-playbook.md。</t>
        </is>
      </c>
    </row>
    <row r="17" ht="34" customHeight="1">
      <c r="A17" s="6" t="inlineStr">
        <is>
          <t>• 当 spot 中没有可用的同口径区间时，assemble.py 会输出 verdict.code = unknown，报告不绘制价格带图，只展示缺口与确认清单。</t>
        </is>
      </c>
    </row>
    <row r="18" ht="34" customHeight="1">
      <c r="A18" s="6" t="inlineStr">
        <is>
          <t>• 『800 元/吨』是模拟的客户测试输入，不是市场数据；本案例中它也没有被当作任何市场报价使用。</t>
        </is>
      </c>
    </row>
  </sheetData>
  <mergeCells count="7">
    <mergeCell ref="A1:D1"/>
    <mergeCell ref="A17:D17"/>
    <mergeCell ref="A18:D18"/>
    <mergeCell ref="A15:D15"/>
    <mergeCell ref="A16:D16"/>
    <mergeCell ref="A2:D2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6" customWidth="1" min="3" max="3"/>
    <col width="46" customWidth="1" min="4" max="4"/>
    <col width="40" customWidth="1" min="5" max="5"/>
  </cols>
  <sheetData>
    <row r="1" ht="30" customHeight="1">
      <c r="A1" s="1" t="inlineStr">
        <is>
          <t>计算过程（可复核）</t>
        </is>
      </c>
    </row>
    <row r="2" ht="30" customHeight="1">
      <c r="A2" s="2" t="inlineStr">
        <is>
          <t>每个派生数字的公式、输入与结果；任何人可用同一来源复现。</t>
        </is>
      </c>
    </row>
    <row r="4" ht="30" customHeight="1">
      <c r="A4" s="12" t="inlineStr">
        <is>
          <t>#</t>
        </is>
      </c>
      <c r="B4" s="12" t="inlineStr">
        <is>
          <t>步骤</t>
        </is>
      </c>
      <c r="C4" s="12" t="inlineStr">
        <is>
          <t>公式</t>
        </is>
      </c>
      <c r="D4" s="12" t="inlineStr">
        <is>
          <t>输入</t>
        </is>
      </c>
      <c r="E4" s="12" t="inlineStr">
        <is>
          <t>结果</t>
        </is>
      </c>
    </row>
    <row r="5" ht="44" customHeight="1">
      <c r="A5" s="37" t="inlineStr">
        <is>
          <t>S4</t>
        </is>
      </c>
      <c r="B5" s="45" t="inlineStr">
        <is>
          <t>结论判定</t>
        </is>
      </c>
      <c r="C5" s="14" t="inlineStr">
        <is>
          <t>区间内=接近市场；区间外但距离≤区间半宽=略高/略低；距离&gt;区间半宽 且 超出近3月价格带=明显偏高/偏低</t>
        </is>
      </c>
      <c r="D5" s="14" t="inlineStr">
        <is>
          <t>客户价：800；区间半宽：None；近3月最高：None；近3月最低：None</t>
        </is>
      </c>
      <c r="E5" s="14" t="inlineStr">
        <is>
          <t>verdict：unknown；label：无可靠市场数据，无法验证</t>
        </is>
      </c>
    </row>
    <row r="6" ht="44" customHeight="1">
      <c r="A6" s="37" t="inlineStr">
        <is>
          <t>S5</t>
        </is>
      </c>
      <c r="B6" s="45" t="inlineStr">
        <is>
          <t>7/30/90 天价格变化</t>
        </is>
      </c>
      <c r="C6" s="14" t="inlineStr">
        <is>
          <t>变化 = 最新价 − 取最新日向前推 N 天最近的同口径点；比例 = 变化 ÷ 起点价</t>
        </is>
      </c>
      <c r="D6" s="14" t="inlineStr">
        <is>
          <t>基准日：2026-10-20</t>
        </is>
      </c>
      <c r="E6" s="14" t="inlineStr">
        <is>
          <t>7d：None；30d：None；90d：None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26" customWidth="1" min="3" max="3"/>
    <col width="13" customWidth="1" min="4" max="4"/>
    <col width="10" customWidth="1" min="5" max="5"/>
    <col width="36" customWidth="1" min="6" max="6"/>
  </cols>
  <sheetData>
    <row r="1" ht="30" customHeight="1">
      <c r="A1" s="1" t="inlineStr">
        <is>
          <t>与客户沟通可引用的客观事实</t>
        </is>
      </c>
    </row>
    <row r="2" ht="30" customHeight="1">
      <c r="A2" s="2" t="inlineStr">
        <is>
          <t>每条都有来源、日期、口径。引用时建议同时说明『这是市场报价区间，实际成交一单一议』。</t>
        </is>
      </c>
    </row>
    <row r="4" ht="30" customHeight="1">
      <c r="A4" s="12" t="inlineStr">
        <is>
          <t>#</t>
        </is>
      </c>
      <c r="B4" s="12" t="inlineStr">
        <is>
          <t>事实要点</t>
        </is>
      </c>
      <c r="C4" s="12" t="inlineStr">
        <is>
          <t>来源</t>
        </is>
      </c>
      <c r="D4" s="12" t="inlineStr">
        <is>
          <t>日期</t>
        </is>
      </c>
      <c r="E4" s="12" t="inlineStr">
        <is>
          <t>置信度</t>
        </is>
      </c>
      <c r="F4" s="12" t="inlineStr">
        <is>
          <t>备注</t>
        </is>
      </c>
    </row>
    <row r="5" ht="40" customHeight="1">
      <c r="A5" s="37" t="n">
        <v>1</v>
      </c>
      <c r="B5" s="6" t="inlineStr">
        <is>
          <t>本次未查到 2026-10-20 山东 32% 液碱含税·到厂的可用公开日更报价，因此本报告不给出市场参考区间。</t>
        </is>
      </c>
      <c r="C5" s="14" t="inlineStr">
        <is>
          <t>本次检索结果</t>
        </is>
      </c>
      <c r="D5" s="37" t="inlineStr">
        <is>
          <t>2026-10-20</t>
        </is>
      </c>
      <c r="E5" s="44" t="inlineStr">
        <is>
          <t>—</t>
        </is>
      </c>
      <c r="F5" s="14" t="inlineStr">
        <is>
          <t>数据缺口，不是结论</t>
        </is>
      </c>
    </row>
    <row r="6" ht="40" customHeight="1">
      <c r="A6" s="37" t="n">
        <v>2</v>
      </c>
      <c r="B6" s="6" t="inlineStr">
        <is>
          <t>检索到两条线索：一条是行业群转述的 800 元/吨（无原始页面，浓度与口径未注明），一条是聚合页概要的 860 元/吨（未标注税费与交付）。两条均不足以代表市场。</t>
        </is>
      </c>
      <c r="C6" s="14" t="inlineStr">
        <is>
          <t>本次检索结果</t>
        </is>
      </c>
      <c r="D6" s="37" t="inlineStr">
        <is>
          <t>2026-10-18 / 2026-10-09</t>
        </is>
      </c>
      <c r="E6" s="44" t="inlineStr">
        <is>
          <t>低</t>
        </is>
      </c>
      <c r="F6" s="14" t="inlineStr">
        <is>
          <t>线索不能当市场价格使用</t>
        </is>
      </c>
    </row>
    <row r="7" ht="40" customHeight="1">
      <c r="A7" s="37" t="n">
        <v>3</v>
      </c>
      <c r="B7" s="6" t="inlineStr">
        <is>
          <t>液碱浓度不同（32% / 50%）单价不可直接比较，需按折百基准换算后才可比。</t>
        </is>
      </c>
      <c r="C7" s="14" t="inlineStr">
        <is>
          <t>通用行业常识</t>
        </is>
      </c>
      <c r="D7" s="37" t="inlineStr">
        <is>
          <t>—</t>
        </is>
      </c>
      <c r="E7" s="44" t="inlineStr">
        <is>
          <t>高</t>
        </is>
      </c>
      <c r="F7" s="14" t="inlineStr">
        <is>
          <t>这不是报价，是换算规则说明</t>
        </is>
      </c>
    </row>
    <row r="8" ht="40" customHeight="1">
      <c r="A8" s="37" t="n">
        <v>4</v>
      </c>
      <c r="B8" s="6" t="inlineStr">
        <is>
          <t>液碱运输半径通常较短，跨区域报价对客户所在地的参考价值有限。</t>
        </is>
      </c>
      <c r="C8" s="14" t="inlineStr">
        <is>
          <t>通用行业常识</t>
        </is>
      </c>
      <c r="D8" s="37" t="inlineStr">
        <is>
          <t>—</t>
        </is>
      </c>
      <c r="E8" s="44" t="inlineStr">
        <is>
          <t>中</t>
        </is>
      </c>
      <c r="F8" s="14" t="inlineStr">
        <is>
          <t>用于说明为什么不能拿外省低价代替</t>
        </is>
      </c>
    </row>
    <row r="11" ht="22" customHeight="1">
      <c r="A11" s="4" t="inlineStr">
        <is>
          <t>沟通稿草稿（销售可直接改；内容只含已核实事实，不含价格承诺）</t>
        </is>
      </c>
    </row>
    <row r="12">
      <c r="A12" s="46" t="inlineStr">
        <is>
          <t>您好，关于烧碱（32%液碱）的价格，我把公开市场行情同步给您，方便我们对齐口径：
2）您提到的价格暂时无法直接对比，需要先确认税费和出厂/送到口径。
3）本次未查到 2026-10-20 山东 32% 液碱含税·到厂的可用公开日更报价，因此本报告不给出市场参考区间。
4）检索到两条线索：一条是行业群转述的 800 元/吨（无原始页面，浓度与口径未注明），一条是聚合页概要的 860 元/吨（未标注税费与交付）。两条均不足以代表市场。
5）液碱浓度不同（32% / 50%）单价不可直接比较，需按折百基准换算后才可比。
想请您确认：价格含税与否、是出厂还是送到、取得日期与来源、月用量与包装、付款账期。有了这些我按您的实际口径重新对一遍。</t>
        </is>
      </c>
    </row>
    <row r="13"/>
    <row r="14"/>
    <row r="15"/>
    <row r="16"/>
    <row r="17"/>
    <row r="18"/>
    <row r="19"/>
    <row r="20"/>
    <row r="21"/>
    <row r="22"/>
  </sheetData>
  <mergeCells count="4">
    <mergeCell ref="A2:F2"/>
    <mergeCell ref="A11:F11"/>
    <mergeCell ref="A12:F2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3" customWidth="1" min="4" max="4"/>
    <col width="48" customWidth="1" min="5" max="5"/>
    <col width="10" customWidth="1" min="6" max="6"/>
    <col width="54" customWidth="1" min="7" max="7"/>
  </cols>
  <sheetData>
    <row r="1" ht="30" customHeight="1">
      <c r="A1" s="1" t="inlineStr">
        <is>
          <t>数据来源清单（逐条可追溯）</t>
        </is>
      </c>
    </row>
    <row r="2" ht="30" customHeight="1">
      <c r="A2" s="2" t="inlineStr">
        <is>
          <t>点链接即可复核原始口径；二手引用已标注「未见表」。</t>
        </is>
      </c>
    </row>
    <row r="4" ht="30" customHeight="1">
      <c r="A4" s="12" t="inlineStr">
        <is>
          <t>#</t>
        </is>
      </c>
      <c r="B4" s="12" t="inlineStr">
        <is>
          <t>来源</t>
        </is>
      </c>
      <c r="C4" s="12" t="inlineStr">
        <is>
          <t>类型</t>
        </is>
      </c>
      <c r="D4" s="12" t="inlineStr">
        <is>
          <t>日期</t>
        </is>
      </c>
      <c r="E4" s="12" t="inlineStr">
        <is>
          <t>取用内容</t>
        </is>
      </c>
      <c r="F4" s="12" t="inlineStr">
        <is>
          <t>置信度</t>
        </is>
      </c>
      <c r="G4" s="12" t="inlineStr">
        <is>
          <t>链接</t>
        </is>
      </c>
    </row>
    <row r="5">
      <c r="A5" s="37" t="n">
        <v>1</v>
      </c>
      <c r="B5" s="6" t="inlineStr">
        <is>
          <t>行业群转述（无原始页面）</t>
        </is>
      </c>
      <c r="C5" s="6" t="inlineStr">
        <is>
          <t>未核实线索</t>
        </is>
      </c>
      <c r="D5" s="37" t="inlineStr">
        <is>
          <t>2026-10-18</t>
        </is>
      </c>
      <c r="E5" s="14" t="inlineStr">
        <is>
          <t>山东 32% 液碱（渠道未注明浓度执行标准） None-None（未注明·未注明）</t>
        </is>
      </c>
      <c r="F5" s="37" t="inlineStr">
        <is>
          <t>低</t>
        </is>
      </c>
      <c r="G5" s="47" t="inlineStr"/>
    </row>
    <row r="6">
      <c r="A6" s="37" t="n">
        <v>2</v>
      </c>
      <c r="B6" s="6" t="inlineStr">
        <is>
          <t>生意社（页面为聚合页，未定位到具体日更条目）</t>
        </is>
      </c>
      <c r="C6" s="6" t="inlineStr">
        <is>
          <t>产业资讯</t>
        </is>
      </c>
      <c r="D6" s="37" t="inlineStr">
        <is>
          <t>2026-10-09</t>
        </is>
      </c>
      <c r="E6" s="14" t="inlineStr">
        <is>
          <t>山东 32% 液碱 None-None（未注明·未注明）</t>
        </is>
      </c>
      <c r="F6" s="37" t="inlineStr">
        <is>
          <t>低</t>
        </is>
      </c>
      <c r="G6" s="47" t="inlineStr"/>
    </row>
  </sheetData>
  <mergeCells count="2">
    <mergeCell ref="A2:G2"/>
    <mergeCell ref="A1:G1"/>
  </mergeCells>
  <hyperlinks>
    <hyperlink ref="G5"/>
    <hyperlink ref="G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2026-10-21T01:25:59Z</dcterms:created>
  <dcterms:modified xmlns:dcterms="http://purl.org/dc/terms/" xmlns:xsi="http://www.w3.org/2001/XMLSchema-instance" xsi:type="dcterms:W3CDTF">2026-10-21T01:25:59Z</dcterms:modified>
</cp:coreProperties>
</file>
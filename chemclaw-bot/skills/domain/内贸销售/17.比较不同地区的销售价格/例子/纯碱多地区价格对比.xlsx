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概览" sheetId="1" state="visible" r:id="rId1"/>
    <sheet xmlns:r="http://schemas.openxmlformats.org/officeDocument/2006/relationships" name="01 口径与时间轴" sheetId="2" state="visible" r:id="rId2"/>
    <sheet xmlns:r="http://schemas.openxmlformats.org/officeDocument/2006/relationships" name="02 价格序列" sheetId="3" state="visible" r:id="rId3"/>
    <sheet xmlns:r="http://schemas.openxmlformats.org/officeDocument/2006/relationships" name="03 价差分解" sheetId="4" state="visible" r:id="rId4"/>
    <sheet xmlns:r="http://schemas.openxmlformats.org/officeDocument/2006/relationships" name="04 价差矩阵" sheetId="5" state="visible" r:id="rId5"/>
    <sheet xmlns:r="http://schemas.openxmlformats.org/officeDocument/2006/relationships" name="05 价差统计" sheetId="6" state="visible" r:id="rId6"/>
    <sheet xmlns:r="http://schemas.openxmlformats.org/officeDocument/2006/relationships" name="06 运费矩阵" sheetId="7" state="visible" r:id="rId7"/>
    <sheet xmlns:r="http://schemas.openxmlformats.org/officeDocument/2006/relationships" name="07 供需与客户" sheetId="8" state="visible" r:id="rId8"/>
    <sheet xmlns:r="http://schemas.openxmlformats.org/officeDocument/2006/relationships" name="08 数据缺口" sheetId="9" state="visible" r:id="rId9"/>
    <sheet xmlns:r="http://schemas.openxmlformats.org/officeDocument/2006/relationships" name="09 方法与免责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22">
    <font>
      <name val="Calibri"/>
      <family val="2"/>
      <color theme="1"/>
      <sz val="11"/>
      <scheme val="minor"/>
    </font>
    <font>
      <name val="微软雅黑"/>
      <b val="1"/>
      <color rgb="00FFFFFF"/>
      <sz val="19"/>
    </font>
    <font>
      <name val="微软雅黑"/>
      <color rgb="00C6D6E6"/>
      <sz val="10.5"/>
    </font>
    <font>
      <name val="微软雅黑"/>
      <color rgb="006B7F93"/>
      <sz val="9"/>
    </font>
    <font>
      <name val="微软雅黑"/>
      <b val="1"/>
      <color rgb="001D4ED8"/>
      <sz val="18"/>
    </font>
    <font>
      <name val="微软雅黑"/>
      <color rgb="006B7F93"/>
      <sz val="8"/>
    </font>
    <font>
      <name val="微软雅黑"/>
      <b val="1"/>
      <color rgb="00B42318"/>
      <sz val="18"/>
    </font>
    <font>
      <name val="微软雅黑"/>
      <b val="1"/>
      <color rgb="000D7A63"/>
      <sz val="18"/>
    </font>
    <font>
      <name val="微软雅黑"/>
      <b val="1"/>
      <color rgb="000B2136"/>
      <sz val="18"/>
    </font>
    <font>
      <name val="微软雅黑"/>
      <b val="1"/>
      <color rgb="00B8791A"/>
      <sz val="18"/>
    </font>
    <font>
      <name val="微软雅黑"/>
      <b val="1"/>
      <color rgb="000B2136"/>
      <sz val="11.5"/>
    </font>
    <font>
      <name val="微软雅黑"/>
      <b val="1"/>
      <color rgb="00B8791A"/>
      <sz val="10"/>
    </font>
    <font>
      <name val="微软雅黑"/>
      <color rgb="0031485F"/>
      <sz val="10"/>
    </font>
    <font>
      <name val="微软雅黑"/>
      <color rgb="00B42318"/>
      <sz val="9"/>
    </font>
    <font>
      <name val="微软雅黑"/>
      <b val="1"/>
      <color rgb="00FFFFFF"/>
      <sz val="10"/>
    </font>
    <font>
      <name val="微软雅黑"/>
      <color rgb="00101C2C"/>
      <sz val="10"/>
    </font>
    <font>
      <name val="微软雅黑"/>
      <color rgb="001D4ED8"/>
      <sz val="9"/>
      <u val="single"/>
    </font>
    <font>
      <name val="微软雅黑"/>
      <color rgb="00B42318"/>
      <sz val="9.5"/>
    </font>
    <font>
      <name val="微软雅黑"/>
      <b val="1"/>
      <color rgb="00B42318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0D7A63"/>
      <sz val="10"/>
    </font>
  </fonts>
  <fills count="6">
    <fill>
      <patternFill/>
    </fill>
    <fill>
      <patternFill patternType="gray125"/>
    </fill>
    <fill>
      <patternFill patternType="solid">
        <fgColor rgb="000B2136"/>
      </patternFill>
    </fill>
    <fill>
      <patternFill patternType="solid">
        <fgColor rgb="00FBFDFF"/>
      </patternFill>
    </fill>
    <fill>
      <patternFill patternType="solid">
        <fgColor rgb="0012314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E3E9F0"/>
      </left>
      <right style="thin">
        <color rgb="00E3E9F0"/>
      </right>
      <top style="thin">
        <color rgb="00E3E9F0"/>
      </top>
      <bottom style="thin">
        <color rgb="00E3E9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 inden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3" fillId="0" borderId="0" applyAlignment="1" pivotButton="0" quotePrefix="0" xfId="0">
      <alignment vertical="top" wrapText="1"/>
    </xf>
    <xf numFmtId="0" fontId="1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/>
    </xf>
    <xf numFmtId="3" fontId="15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16" fillId="0" borderId="1" pivotButton="0" quotePrefix="0" xfId="0"/>
    <xf numFmtId="0" fontId="17" fillId="0" borderId="0" applyAlignment="1" pivotButton="0" quotePrefix="0" xfId="0">
      <alignment vertical="top" wrapText="1"/>
    </xf>
    <xf numFmtId="0" fontId="3" fillId="0" borderId="0" pivotButton="0" quotePrefix="0" xfId="0"/>
    <xf numFmtId="0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right" vertical="center"/>
    </xf>
    <xf numFmtId="0" fontId="14" fillId="4" borderId="1" pivotButton="0" quotePrefix="0" xfId="0"/>
    <xf numFmtId="164" fontId="19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top" wrapText="1"/>
    </xf>
    <xf numFmtId="164" fontId="21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五区重碱主流价</a:t>
            </a:r>
          </a:p>
        </rich>
      </tx>
    </title>
    <plotArea>
      <lineChart>
        <grouping val="standard"/>
        <ser>
          <idx val="0"/>
          <order val="0"/>
          <tx>
            <strRef>
              <f>'02 价格序列'!B2</f>
            </strRef>
          </tx>
          <spPr>
            <a:ln xmlns:a="http://schemas.openxmlformats.org/drawingml/2006/main" w="22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价格序列'!$A$3:$A$12</f>
            </numRef>
          </cat>
          <val>
            <numRef>
              <f>'02 价格序列'!$B$3:$B$12</f>
            </numRef>
          </val>
          <smooth val="0"/>
        </ser>
        <ser>
          <idx val="1"/>
          <order val="1"/>
          <tx>
            <strRef>
              <f>'02 价格序列'!C2</f>
            </strRef>
          </tx>
          <spPr>
            <a:ln xmlns:a="http://schemas.openxmlformats.org/drawingml/2006/main" w="22000">
              <a:solidFill>
                <a:srgbClr val="BE12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价格序列'!$A$3:$A$12</f>
            </numRef>
          </cat>
          <val>
            <numRef>
              <f>'02 价格序列'!$C$3:$C$12</f>
            </numRef>
          </val>
          <smooth val="0"/>
        </ser>
        <ser>
          <idx val="2"/>
          <order val="2"/>
          <tx>
            <strRef>
              <f>'02 价格序列'!D2</f>
            </strRef>
          </tx>
          <spPr>
            <a:ln xmlns:a="http://schemas.openxmlformats.org/drawingml/2006/main" w="22000">
              <a:solidFill>
                <a:srgbClr val="0E74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价格序列'!$A$3:$A$12</f>
            </numRef>
          </cat>
          <val>
            <numRef>
              <f>'02 价格序列'!$D$3:$D$12</f>
            </numRef>
          </val>
          <smooth val="0"/>
        </ser>
        <ser>
          <idx val="3"/>
          <order val="3"/>
          <tx>
            <strRef>
              <f>'02 价格序列'!E2</f>
            </strRef>
          </tx>
          <spPr>
            <a:ln xmlns:a="http://schemas.openxmlformats.org/drawingml/2006/main" w="22000">
              <a:solidFill>
                <a:srgbClr val="B4530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价格序列'!$A$3:$A$12</f>
            </numRef>
          </cat>
          <val>
            <numRef>
              <f>'02 价格序列'!$E$3:$E$12</f>
            </numRef>
          </val>
          <smooth val="0"/>
        </ser>
        <ser>
          <idx val="4"/>
          <order val="4"/>
          <tx>
            <strRef>
              <f>'02 价格序列'!F2</f>
            </strRef>
          </tx>
          <spPr>
            <a:ln xmlns:a="http://schemas.openxmlformats.org/drawingml/2006/main" w="22000">
              <a:solidFill>
                <a:srgbClr val="0478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价格序列'!$A$3:$A$12</f>
            </numRef>
          </cat>
          <val>
            <numRef>
              <f>'02 价格序列'!$F$3:$F$12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105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裸价差 vs 运费（元/吨）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 价差分解'!C3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'03 价差分解'!$A$4:$A$8</f>
            </numRef>
          </cat>
          <val>
            <numRef>
              <f>'03 价差分解'!$C$4:$C$8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56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B2136"/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 ht="46" customHeight="1">
      <c r="A1" s="1" t="inlineStr">
        <is>
          <t>纯碱（重质）多地区价格与区域价差对比</t>
        </is>
      </c>
    </row>
    <row r="2" ht="26" customHeight="1">
      <c r="A2" s="2" t="inlineStr">
        <is>
          <t>纯碱（重质纯碱） · 重质纯碱 GB/T 210-2022 II 类优等品 · 数据截止 2026-10-16 · 含税出厂/到厂主流成交价（同花顺 iFinD 现货主流价口径，未含账期与运费补贴）</t>
        </is>
      </c>
    </row>
    <row r="4" ht="20" customHeight="1">
      <c r="A4" s="3" t="inlineStr">
        <is>
          <t>基准区价</t>
        </is>
      </c>
      <c r="B4" s="3" t="inlineStr">
        <is>
          <t>最高区价</t>
        </is>
      </c>
      <c r="C4" s="3" t="inlineStr">
        <is>
          <t>最低区价</t>
        </is>
      </c>
      <c r="D4" s="3" t="inlineStr">
        <is>
          <t>最大价差</t>
        </is>
      </c>
      <c r="E4" s="3" t="inlineStr">
        <is>
          <t>运费/价差</t>
        </is>
      </c>
      <c r="F4" s="3" t="inlineStr">
        <is>
          <t>数据缺口</t>
        </is>
      </c>
    </row>
    <row r="5" ht="30" customHeight="1">
      <c r="A5" s="4" t="inlineStr">
        <is>
          <t>1,150</t>
        </is>
      </c>
      <c r="B5" s="5" t="inlineStr">
        <is>
          <t>1,250</t>
        </is>
      </c>
      <c r="C5" s="6" t="inlineStr">
        <is>
          <t>1,100</t>
        </is>
      </c>
      <c r="D5" s="7" t="inlineStr">
        <is>
          <t>150</t>
        </is>
      </c>
      <c r="E5" s="8" t="inlineStr">
        <is>
          <t>86%</t>
        </is>
      </c>
      <c r="F5" s="8" t="inlineStr">
        <is>
          <t>11</t>
        </is>
      </c>
    </row>
    <row r="6" ht="30" customHeight="1">
      <c r="A6" s="9" t="inlineStr">
        <is>
          <t>华东 · 元/吨</t>
        </is>
      </c>
      <c r="B6" s="9" t="inlineStr">
        <is>
          <t>华南 · 元/吨</t>
        </is>
      </c>
      <c r="C6" s="9" t="inlineStr">
        <is>
          <t>华中 · 元/吨</t>
        </is>
      </c>
      <c r="D6" s="9" t="inlineStr">
        <is>
          <t>华南 − 华中 · 元/吨</t>
        </is>
      </c>
      <c r="E6" s="9" t="inlineStr">
        <is>
          <t>华中→华南 · 水运（海运/海进江）</t>
        </is>
      </c>
      <c r="F6" s="9" t="inlineStr">
        <is>
          <t>项（已逐条标注）</t>
        </is>
      </c>
    </row>
    <row r="8" ht="22" customHeight="1">
      <c r="A8" s="10" t="inlineStr">
        <is>
          <t>一、先看结论（带数字，顺序即优先级）</t>
        </is>
      </c>
    </row>
    <row r="9" ht="45" customHeight="1">
      <c r="A9" s="11" t="inlineStr">
        <is>
          <t>01</t>
        </is>
      </c>
      <c r="B9" s="12" t="inlineStr">
        <is>
          <t>当前最大裸价差是华南 1250 与华中 1100 之间的 150 元/吨；但华南与华东同口径只差 100 元/吨，且这 100 元/吨基本等于连云港→广州的水运成本（约 124 元/吨，区间 90–150）。</t>
        </is>
      </c>
    </row>
    <row r="10" ht="45" customHeight="1">
      <c r="A10" s="11" t="inlineStr">
        <is>
          <t>02</t>
        </is>
      </c>
      <c r="B10" s="12" t="inlineStr">
        <is>
          <t>价差在 7 月到 8 月之间完成了一次整体下移：华东 1240→1150、华北 1275→1150、华中 1200→1100，而华南只从 1300 降到 1250 —— 华南的『抗跌』来自本地无产能与海运到岸成本，不是需求突然变好。</t>
        </is>
      </c>
    </row>
    <row r="11" ht="30" customHeight="1">
      <c r="A11" s="11" t="inlineStr">
        <is>
          <t>03</t>
        </is>
      </c>
      <c r="B11" s="12" t="inlineStr">
        <is>
          <t>9 月 3 日到 10 月 16 日的 9 个样本里，五个区域主流价一次都没动，价差结构完全锁定；这时更该看运费和库存，而不是猜方向。</t>
        </is>
      </c>
    </row>
    <row r="12" ht="30" customHeight="1">
      <c r="A12" s="11" t="inlineStr">
        <is>
          <t>04</t>
        </is>
      </c>
      <c r="B12" s="12" t="inlineStr">
        <is>
          <t>用汽运口径重算，所有跨区价差都被运费反超：华东→华南 501 元/吨、华中→华南 299 元/吨、华东→成都 532 元/吨，均远大于价差 —— 价格差不构成可执行的套利路径。</t>
        </is>
      </c>
    </row>
    <row r="13" ht="30" customHeight="1">
      <c r="A13" s="11" t="inlineStr">
        <is>
          <t>05</t>
        </is>
      </c>
      <c r="B13" s="12" t="inlineStr">
        <is>
          <t>西南是典型『价格一样、物流不同』：与华东同为 1150，但两地运费 532 元/吨，说明西南由本地供需定价，华东货源无法进入，不能用华东成本去套西南报价。</t>
        </is>
      </c>
    </row>
    <row r="15" ht="22" customHeight="1">
      <c r="A15" s="10" t="inlineStr">
        <is>
          <t>二、判读规则（避免把价差直接读成套利）</t>
        </is>
      </c>
    </row>
    <row r="16" ht="18" customHeight="1">
      <c r="A16" s="12" t="inlineStr">
        <is>
          <t>• 残差 = 裸价差 − 运费。残差在 ±50 元/吨内 → 视为运费已解释，报价环境趋同，不要拿价差讲故事。</t>
        </is>
      </c>
    </row>
    <row r="17" ht="30" customHeight="1">
      <c r="A17" s="12" t="inlineStr">
        <is>
          <t>• 残差 &gt; +100 元/吨且持续 4 周以上 → 说明当地存在结构性紧张（检修、库存低、进口减少），值得去谈，但仍需核对品质、账期、危化资质与回款。</t>
        </is>
      </c>
    </row>
    <row r="18" ht="18" customHeight="1">
      <c r="A18" s="12" t="inlineStr">
        <is>
          <t>• 残差 &lt; −100 元/吨 → 通常是本地货源过剩或销区被低价进口/海运费下行压制，不要从基准区硬发。</t>
        </is>
      </c>
    </row>
    <row r="19" ht="18" customHeight="1">
      <c r="A19" s="12" t="inlineStr">
        <is>
          <t>• 水运与汽运的残差要分开看：同一价差在两种口径下结论可能相反（本案华南即为如此）。</t>
        </is>
      </c>
    </row>
    <row r="21">
      <c r="A21" s="13" t="inlineStr">
        <is>
          <t>本页只判断报价环境，不构成套利建议。真实跨区销售还需核对品质、资质、账期、返利与代理协议。</t>
        </is>
      </c>
    </row>
  </sheetData>
  <mergeCells count="14">
    <mergeCell ref="A18:H18"/>
    <mergeCell ref="A21:H21"/>
    <mergeCell ref="B9:H9"/>
    <mergeCell ref="B13:H13"/>
    <mergeCell ref="A15:H15"/>
    <mergeCell ref="A2:H2"/>
    <mergeCell ref="A16:H16"/>
    <mergeCell ref="B12:H12"/>
    <mergeCell ref="A19:H19"/>
    <mergeCell ref="B10:H10"/>
    <mergeCell ref="A1:H1"/>
    <mergeCell ref="B11:H11"/>
    <mergeCell ref="A8:H8"/>
    <mergeCell ref="A17:H1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6" customWidth="1" min="5" max="5"/>
    <col width="22" customWidth="1" min="6" max="6"/>
    <col width="16" customWidth="1" min="7" max="7"/>
    <col width="58" customWidth="1" min="8" max="8"/>
  </cols>
  <sheetData>
    <row r="1" ht="22" customHeight="1">
      <c r="A1" s="10" t="inlineStr">
        <is>
          <t>口径与方法</t>
        </is>
      </c>
    </row>
    <row r="2" ht="30" customHeight="1">
      <c r="A2" s="12" t="inlineStr">
        <is>
          <t>价格口径</t>
        </is>
      </c>
      <c r="B2" s="14" t="inlineStr">
        <is>
          <t>五区均为同花顺 iFinD『各地区纯碱现货主流价』，含税，混合出厂/到厂口径；本工具把运费单独剥离，不把口径差并入价差。</t>
        </is>
      </c>
    </row>
    <row r="3" ht="30" customHeight="1">
      <c r="A3" s="12" t="inlineStr">
        <is>
          <t>价差定义</t>
        </is>
      </c>
      <c r="B3" s="14" t="inlineStr">
        <is>
          <t>裸价差 ΔP(r) = P(r) − P(基准)，单位元/吨；基准区可切换。价差历史只使用同一口径、同一天的样本。</t>
        </is>
      </c>
    </row>
    <row r="4" ht="30" customHeight="1">
      <c r="A4" s="12" t="inlineStr">
        <is>
          <t>运费模型</t>
        </is>
      </c>
      <c r="B4" s="14" t="inlineStr">
        <is>
          <t>运价 = 运距 × 方式费率 + 固定费；运距由枢纽坐标球面距离乘绕行系数得到，属估算，误差约 ±10%。</t>
        </is>
      </c>
    </row>
    <row r="5" ht="30" customHeight="1">
      <c r="A5" s="12" t="inlineStr">
        <is>
          <t>残差</t>
        </is>
      </c>
      <c r="B5" s="14" t="inlineStr">
        <is>
          <t>残差 = ΔP − 运费。残差是『运费解释不了的部分』，包含区域供需、库存、品质、账期与统计口径差异，不能单独归因为某一种因素。</t>
        </is>
      </c>
    </row>
    <row r="6" ht="18" customHeight="1">
      <c r="A6" s="12" t="inlineStr">
        <is>
          <t>置信度</t>
        </is>
      </c>
      <c r="B6" s="14" t="inlineStr">
        <is>
          <t>高＝可直接指向原始文章/公告；中＝有公开来源但为区间或估算；低＝仅有量级判断，需询价校准。</t>
        </is>
      </c>
    </row>
    <row r="8" ht="22" customHeight="1">
      <c r="A8" s="10" t="inlineStr">
        <is>
          <t>样本时间轴（同一口径、逐日可得样本）</t>
        </is>
      </c>
    </row>
    <row r="9" ht="30" customHeight="1">
      <c r="A9" s="15" t="inlineStr">
        <is>
          <t>日期</t>
        </is>
      </c>
      <c r="B9" s="15" t="inlineStr">
        <is>
          <t>华东</t>
        </is>
      </c>
      <c r="C9" s="15" t="inlineStr">
        <is>
          <t>华南</t>
        </is>
      </c>
      <c r="D9" s="15" t="inlineStr">
        <is>
          <t>华北</t>
        </is>
      </c>
      <c r="E9" s="15" t="inlineStr">
        <is>
          <t>华中</t>
        </is>
      </c>
      <c r="F9" s="15" t="inlineStr">
        <is>
          <t>西南</t>
        </is>
      </c>
      <c r="G9" s="15" t="inlineStr">
        <is>
          <t>来源</t>
        </is>
      </c>
    </row>
    <row r="10">
      <c r="A10" s="16" t="inlineStr">
        <is>
          <t>2026-07-17</t>
        </is>
      </c>
      <c r="B10" s="17" t="n">
        <v>1240</v>
      </c>
      <c r="C10" s="17" t="n">
        <v>1300</v>
      </c>
      <c r="D10" s="17" t="n">
        <v>1275</v>
      </c>
      <c r="E10" s="17" t="n">
        <v>1200</v>
      </c>
      <c r="F10" s="17" t="n">
        <v>1200</v>
      </c>
      <c r="G10" s="18" t="inlineStr">
        <is>
          <t>同花顺 iFinD（币圈网转载）</t>
        </is>
      </c>
      <c r="H10" s="19" t="inlineStr">
        <is>
          <t>https://www.bccbhxf.com/news/1224718.html</t>
        </is>
      </c>
    </row>
    <row r="11">
      <c r="A11" s="16" t="inlineStr">
        <is>
          <t>2026-08-28</t>
        </is>
      </c>
      <c r="B11" s="17" t="n">
        <v>1150</v>
      </c>
      <c r="C11" s="17" t="n">
        <v>1250</v>
      </c>
      <c r="D11" s="17" t="n">
        <v>1150</v>
      </c>
      <c r="E11" s="17" t="n">
        <v>1100</v>
      </c>
      <c r="F11" s="17" t="n">
        <v>1150</v>
      </c>
      <c r="G11" s="18" t="inlineStr">
        <is>
          <t>同花顺 iFinD（叩富网转载）</t>
        </is>
      </c>
      <c r="H11" s="19" t="inlineStr">
        <is>
          <t>https://licai.jiantou8.com/user/guide_view_3465826.html</t>
        </is>
      </c>
    </row>
    <row r="12">
      <c r="A12" s="16" t="inlineStr">
        <is>
          <t>2026-09-03</t>
        </is>
      </c>
      <c r="B12" s="17" t="n">
        <v>1150</v>
      </c>
      <c r="C12" s="17" t="n">
        <v>1250</v>
      </c>
      <c r="D12" s="17" t="n">
        <v>1150</v>
      </c>
      <c r="E12" s="17" t="n">
        <v>1100</v>
      </c>
      <c r="F12" s="17" t="n">
        <v>1150</v>
      </c>
      <c r="G12" s="18" t="inlineStr">
        <is>
          <t>同花顺 iNews</t>
        </is>
      </c>
      <c r="H12" s="19" t="inlineStr">
        <is>
          <t>https://news.10jqka.com.cn/m679569134_futures/</t>
        </is>
      </c>
    </row>
    <row r="13">
      <c r="A13" s="16" t="inlineStr">
        <is>
          <t>2026-09-11</t>
        </is>
      </c>
      <c r="B13" s="17" t="n">
        <v>1150</v>
      </c>
      <c r="C13" s="17" t="n">
        <v>1250</v>
      </c>
      <c r="D13" s="17" t="n">
        <v>1150</v>
      </c>
      <c r="E13" s="17" t="n">
        <v>1100</v>
      </c>
      <c r="F13" s="17" t="n">
        <v>1150</v>
      </c>
      <c r="G13" s="18" t="inlineStr">
        <is>
          <t>同花顺 iNews</t>
        </is>
      </c>
      <c r="H13" s="19" t="inlineStr">
        <is>
          <t>https://news.10jqka.com.cn/20260911/c679830330.shtml</t>
        </is>
      </c>
    </row>
    <row r="14">
      <c r="A14" s="16" t="inlineStr">
        <is>
          <t>2026-09-18</t>
        </is>
      </c>
      <c r="B14" s="17" t="n">
        <v>1150</v>
      </c>
      <c r="C14" s="17" t="n">
        <v>1250</v>
      </c>
      <c r="D14" s="17" t="n">
        <v>1150</v>
      </c>
      <c r="E14" s="17" t="n">
        <v>1100</v>
      </c>
      <c r="F14" s="17" t="n">
        <v>1150</v>
      </c>
      <c r="G14" s="18" t="inlineStr">
        <is>
          <t>同花顺 iNews</t>
        </is>
      </c>
      <c r="H14" s="19" t="inlineStr">
        <is>
          <t>https://news.10jqka.com.cn/20260918/c680062897.shtml</t>
        </is>
      </c>
    </row>
    <row r="15">
      <c r="A15" s="16" t="inlineStr">
        <is>
          <t>2026-10-09</t>
        </is>
      </c>
      <c r="B15" s="17" t="n">
        <v>1150</v>
      </c>
      <c r="C15" s="17" t="n">
        <v>1250</v>
      </c>
      <c r="D15" s="17" t="n">
        <v>1150</v>
      </c>
      <c r="E15" s="17" t="n">
        <v>1100</v>
      </c>
      <c r="F15" s="17" t="n">
        <v>1150</v>
      </c>
      <c r="G15" s="18" t="inlineStr">
        <is>
          <t>同花顺 iNews</t>
        </is>
      </c>
      <c r="H15" s="19" t="inlineStr">
        <is>
          <t>https://news.10jqka.com.cn/20261009/c680528995.shtml</t>
        </is>
      </c>
    </row>
    <row r="16">
      <c r="A16" s="16" t="inlineStr">
        <is>
          <t>2026-10-12</t>
        </is>
      </c>
      <c r="B16" s="17" t="n">
        <v>1150</v>
      </c>
      <c r="C16" s="17" t="n">
        <v>1250</v>
      </c>
      <c r="D16" s="17" t="n">
        <v>1150</v>
      </c>
      <c r="E16" s="17" t="n">
        <v>1100</v>
      </c>
      <c r="F16" s="17" t="n">
        <v>1150</v>
      </c>
      <c r="G16" s="18" t="inlineStr">
        <is>
          <t>同花顺 iNews</t>
        </is>
      </c>
      <c r="H16" s="19" t="inlineStr">
        <is>
          <t>https://news.10jqka.com.cn/20261012/c680594211.shtml</t>
        </is>
      </c>
    </row>
    <row r="17">
      <c r="A17" s="16" t="inlineStr">
        <is>
          <t>2026-10-14</t>
        </is>
      </c>
      <c r="B17" s="17" t="n">
        <v>1150</v>
      </c>
      <c r="C17" s="17" t="n">
        <v>1250</v>
      </c>
      <c r="D17" s="17" t="n">
        <v>1150</v>
      </c>
      <c r="E17" s="17" t="n">
        <v>1100</v>
      </c>
      <c r="F17" s="17" t="n">
        <v>1150</v>
      </c>
      <c r="G17" s="18" t="inlineStr">
        <is>
          <t>同花顺 iNews</t>
        </is>
      </c>
      <c r="H17" s="19" t="inlineStr">
        <is>
          <t>https://news.10jqka.com.cn/20261014/c680688867.shtml</t>
        </is>
      </c>
    </row>
    <row r="18">
      <c r="A18" s="16" t="inlineStr">
        <is>
          <t>2026-10-15</t>
        </is>
      </c>
      <c r="B18" s="17" t="n">
        <v>1150</v>
      </c>
      <c r="C18" s="17" t="n">
        <v>1250</v>
      </c>
      <c r="D18" s="17" t="n">
        <v>1150</v>
      </c>
      <c r="E18" s="17" t="n">
        <v>1100</v>
      </c>
      <c r="F18" s="17" t="n">
        <v>1150</v>
      </c>
      <c r="G18" s="18" t="inlineStr">
        <is>
          <t>同花顺 iNews</t>
        </is>
      </c>
      <c r="H18" s="19" t="inlineStr">
        <is>
          <t>https://news.10jqka.com.cn/20261015/c680735910.shtml</t>
        </is>
      </c>
    </row>
    <row r="19">
      <c r="A19" s="16" t="inlineStr">
        <is>
          <t>2026-10-16</t>
        </is>
      </c>
      <c r="B19" s="17" t="n">
        <v>1150</v>
      </c>
      <c r="C19" s="17" t="n">
        <v>1250</v>
      </c>
      <c r="D19" s="17" t="n">
        <v>1150</v>
      </c>
      <c r="E19" s="17" t="n">
        <v>1100</v>
      </c>
      <c r="F19" s="17" t="n">
        <v>1150</v>
      </c>
      <c r="G19" s="18" t="inlineStr">
        <is>
          <t>同花顺 iNews</t>
        </is>
      </c>
      <c r="H19" s="19" t="inlineStr">
        <is>
          <t>https://news.10jqka.com.cn/20261016/c680783085.shtml</t>
        </is>
      </c>
    </row>
    <row r="21" ht="34" customHeight="1">
      <c r="A21" s="20" t="inlineStr">
        <is>
          <t>断点说明：2026-07-17 与 2026-08-28 之间无公开逐日区域价样本，曲线上以断点表示，不做插值。9–10 月五个区域主流价均未变动。</t>
        </is>
      </c>
    </row>
  </sheetData>
  <mergeCells count="8">
    <mergeCell ref="B3:G3"/>
    <mergeCell ref="B2:G2"/>
    <mergeCell ref="A21:H21"/>
    <mergeCell ref="B5:G5"/>
    <mergeCell ref="B4:G4"/>
    <mergeCell ref="A1:H1"/>
    <mergeCell ref="A8:H8"/>
    <mergeCell ref="B6:G6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I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 ht="22" customHeight="1">
      <c r="A1" s="10" t="inlineStr">
        <is>
          <t>区域主流价序列（元/吨，含税）</t>
        </is>
      </c>
    </row>
    <row r="2" ht="30" customHeight="1">
      <c r="A2" s="15" t="inlineStr">
        <is>
          <t>日期</t>
        </is>
      </c>
      <c r="B2" s="15" t="inlineStr">
        <is>
          <t>华东</t>
        </is>
      </c>
      <c r="C2" s="15" t="inlineStr">
        <is>
          <t>华南</t>
        </is>
      </c>
      <c r="D2" s="15" t="inlineStr">
        <is>
          <t>华北</t>
        </is>
      </c>
      <c r="E2" s="15" t="inlineStr">
        <is>
          <t>华中</t>
        </is>
      </c>
      <c r="F2" s="15" t="inlineStr">
        <is>
          <t>西南</t>
        </is>
      </c>
      <c r="G2" s="15" t="inlineStr">
        <is>
          <t>最高</t>
        </is>
      </c>
      <c r="H2" s="15" t="inlineStr">
        <is>
          <t>最低</t>
        </is>
      </c>
      <c r="I2" s="15" t="inlineStr">
        <is>
          <t>价差(高-低)</t>
        </is>
      </c>
    </row>
    <row r="3">
      <c r="A3" s="16" t="inlineStr">
        <is>
          <t>2026-07-17</t>
        </is>
      </c>
      <c r="B3" s="17" t="n">
        <v>1240</v>
      </c>
      <c r="C3" s="17" t="n">
        <v>1300</v>
      </c>
      <c r="D3" s="17" t="n">
        <v>1275</v>
      </c>
      <c r="E3" s="17" t="n">
        <v>1200</v>
      </c>
      <c r="F3" s="17" t="n">
        <v>1200</v>
      </c>
      <c r="G3" s="17" t="n">
        <v>1300</v>
      </c>
      <c r="H3" s="17" t="n">
        <v>1200</v>
      </c>
      <c r="I3" s="17" t="n">
        <v>100</v>
      </c>
    </row>
    <row r="4">
      <c r="A4" s="16" t="inlineStr">
        <is>
          <t>2026-08-28</t>
        </is>
      </c>
      <c r="B4" s="17" t="n">
        <v>1150</v>
      </c>
      <c r="C4" s="17" t="n">
        <v>1250</v>
      </c>
      <c r="D4" s="17" t="n">
        <v>1150</v>
      </c>
      <c r="E4" s="17" t="n">
        <v>1100</v>
      </c>
      <c r="F4" s="17" t="n">
        <v>1150</v>
      </c>
      <c r="G4" s="17" t="n">
        <v>1250</v>
      </c>
      <c r="H4" s="17" t="n">
        <v>1100</v>
      </c>
      <c r="I4" s="17" t="n">
        <v>150</v>
      </c>
    </row>
    <row r="5">
      <c r="A5" s="16" t="inlineStr">
        <is>
          <t>2026-09-03</t>
        </is>
      </c>
      <c r="B5" s="17" t="n">
        <v>1150</v>
      </c>
      <c r="C5" s="17" t="n">
        <v>1250</v>
      </c>
      <c r="D5" s="17" t="n">
        <v>1150</v>
      </c>
      <c r="E5" s="17" t="n">
        <v>1100</v>
      </c>
      <c r="F5" s="17" t="n">
        <v>1150</v>
      </c>
      <c r="G5" s="17" t="n">
        <v>1250</v>
      </c>
      <c r="H5" s="17" t="n">
        <v>1100</v>
      </c>
      <c r="I5" s="17" t="n">
        <v>150</v>
      </c>
    </row>
    <row r="6">
      <c r="A6" s="16" t="inlineStr">
        <is>
          <t>2026-09-11</t>
        </is>
      </c>
      <c r="B6" s="17" t="n">
        <v>1150</v>
      </c>
      <c r="C6" s="17" t="n">
        <v>1250</v>
      </c>
      <c r="D6" s="17" t="n">
        <v>1150</v>
      </c>
      <c r="E6" s="17" t="n">
        <v>1100</v>
      </c>
      <c r="F6" s="17" t="n">
        <v>1150</v>
      </c>
      <c r="G6" s="17" t="n">
        <v>1250</v>
      </c>
      <c r="H6" s="17" t="n">
        <v>1100</v>
      </c>
      <c r="I6" s="17" t="n">
        <v>150</v>
      </c>
    </row>
    <row r="7">
      <c r="A7" s="16" t="inlineStr">
        <is>
          <t>2026-09-18</t>
        </is>
      </c>
      <c r="B7" s="17" t="n">
        <v>1150</v>
      </c>
      <c r="C7" s="17" t="n">
        <v>1250</v>
      </c>
      <c r="D7" s="17" t="n">
        <v>1150</v>
      </c>
      <c r="E7" s="17" t="n">
        <v>1100</v>
      </c>
      <c r="F7" s="17" t="n">
        <v>1150</v>
      </c>
      <c r="G7" s="17" t="n">
        <v>1250</v>
      </c>
      <c r="H7" s="17" t="n">
        <v>1100</v>
      </c>
      <c r="I7" s="17" t="n">
        <v>150</v>
      </c>
    </row>
    <row r="8">
      <c r="A8" s="16" t="inlineStr">
        <is>
          <t>2026-10-09</t>
        </is>
      </c>
      <c r="B8" s="17" t="n">
        <v>1150</v>
      </c>
      <c r="C8" s="17" t="n">
        <v>1250</v>
      </c>
      <c r="D8" s="17" t="n">
        <v>1150</v>
      </c>
      <c r="E8" s="17" t="n">
        <v>1100</v>
      </c>
      <c r="F8" s="17" t="n">
        <v>1150</v>
      </c>
      <c r="G8" s="17" t="n">
        <v>1250</v>
      </c>
      <c r="H8" s="17" t="n">
        <v>1100</v>
      </c>
      <c r="I8" s="17" t="n">
        <v>150</v>
      </c>
    </row>
    <row r="9">
      <c r="A9" s="16" t="inlineStr">
        <is>
          <t>2026-10-12</t>
        </is>
      </c>
      <c r="B9" s="17" t="n">
        <v>1150</v>
      </c>
      <c r="C9" s="17" t="n">
        <v>1250</v>
      </c>
      <c r="D9" s="17" t="n">
        <v>1150</v>
      </c>
      <c r="E9" s="17" t="n">
        <v>1100</v>
      </c>
      <c r="F9" s="17" t="n">
        <v>1150</v>
      </c>
      <c r="G9" s="17" t="n">
        <v>1250</v>
      </c>
      <c r="H9" s="17" t="n">
        <v>1100</v>
      </c>
      <c r="I9" s="17" t="n">
        <v>150</v>
      </c>
    </row>
    <row r="10">
      <c r="A10" s="16" t="inlineStr">
        <is>
          <t>2026-10-14</t>
        </is>
      </c>
      <c r="B10" s="17" t="n">
        <v>1150</v>
      </c>
      <c r="C10" s="17" t="n">
        <v>1250</v>
      </c>
      <c r="D10" s="17" t="n">
        <v>1150</v>
      </c>
      <c r="E10" s="17" t="n">
        <v>1100</v>
      </c>
      <c r="F10" s="17" t="n">
        <v>1150</v>
      </c>
      <c r="G10" s="17" t="n">
        <v>1250</v>
      </c>
      <c r="H10" s="17" t="n">
        <v>1100</v>
      </c>
      <c r="I10" s="17" t="n">
        <v>150</v>
      </c>
    </row>
    <row r="11">
      <c r="A11" s="16" t="inlineStr">
        <is>
          <t>2026-10-15</t>
        </is>
      </c>
      <c r="B11" s="17" t="n">
        <v>1150</v>
      </c>
      <c r="C11" s="17" t="n">
        <v>1250</v>
      </c>
      <c r="D11" s="17" t="n">
        <v>1150</v>
      </c>
      <c r="E11" s="17" t="n">
        <v>1100</v>
      </c>
      <c r="F11" s="17" t="n">
        <v>1150</v>
      </c>
      <c r="G11" s="17" t="n">
        <v>1250</v>
      </c>
      <c r="H11" s="17" t="n">
        <v>1100</v>
      </c>
      <c r="I11" s="17" t="n">
        <v>150</v>
      </c>
    </row>
    <row r="12">
      <c r="A12" s="16" t="inlineStr">
        <is>
          <t>2026-10-16</t>
        </is>
      </c>
      <c r="B12" s="17" t="n">
        <v>1150</v>
      </c>
      <c r="C12" s="17" t="n">
        <v>1250</v>
      </c>
      <c r="D12" s="17" t="n">
        <v>1150</v>
      </c>
      <c r="E12" s="17" t="n">
        <v>1100</v>
      </c>
      <c r="F12" s="17" t="n">
        <v>1150</v>
      </c>
      <c r="G12" s="17" t="n">
        <v>1250</v>
      </c>
      <c r="H12" s="17" t="n">
        <v>1100</v>
      </c>
      <c r="I12" s="17" t="n">
        <v>150</v>
      </c>
    </row>
  </sheetData>
  <mergeCells count="1">
    <mergeCell ref="A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L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.5" customWidth="1" min="3" max="3"/>
    <col width="9" customWidth="1" min="4" max="4"/>
    <col width="10" customWidth="1" min="5" max="5"/>
    <col width="10.5" customWidth="1" min="6" max="6"/>
    <col width="10" customWidth="1" min="7" max="7"/>
    <col width="10.5" customWidth="1" min="8" max="8"/>
    <col width="10" customWidth="1" min="9" max="9"/>
    <col width="10.5" customWidth="1" min="10" max="10"/>
    <col width="30" customWidth="1" min="11" max="11"/>
    <col width="8" customWidth="1" min="12" max="12"/>
  </cols>
  <sheetData>
    <row r="1" ht="22" customHeight="1">
      <c r="A1" s="10" t="inlineStr">
        <is>
          <t>当前价格与价差分解（基准：华东；发货地：华东）</t>
        </is>
      </c>
    </row>
    <row r="2">
      <c r="A2" s="21" t="inlineStr">
        <is>
          <t>说明：裸价差 = 该区价 − 基准价；残差 = 裸价差 − 运费。残差是运费解释不了的部分，含供需、库存、品质、账期与口径噪声。</t>
        </is>
      </c>
    </row>
    <row r="3" ht="30" customHeight="1">
      <c r="A3" s="15" t="inlineStr">
        <is>
          <t>区域</t>
        </is>
      </c>
      <c r="B3" s="15" t="inlineStr">
        <is>
          <t>主流价</t>
        </is>
      </c>
      <c r="C3" s="15" t="inlineStr">
        <is>
          <t>裸价差</t>
        </is>
      </c>
      <c r="D3" s="15" t="inlineStr">
        <is>
          <t>运距km</t>
        </is>
      </c>
      <c r="E3" s="15" t="inlineStr">
        <is>
          <t>水运运费</t>
        </is>
      </c>
      <c r="F3" s="15" t="inlineStr">
        <is>
          <t>水运残差</t>
        </is>
      </c>
      <c r="G3" s="15" t="inlineStr">
        <is>
          <t>汽运运费</t>
        </is>
      </c>
      <c r="H3" s="15" t="inlineStr">
        <is>
          <t>汽运残差</t>
        </is>
      </c>
      <c r="I3" s="15" t="inlineStr">
        <is>
          <t>铁运运费</t>
        </is>
      </c>
      <c r="J3" s="15" t="inlineStr">
        <is>
          <t>铁运残差</t>
        </is>
      </c>
      <c r="K3" s="15" t="inlineStr">
        <is>
          <t>判读</t>
        </is>
      </c>
      <c r="L3" s="15" t="inlineStr">
        <is>
          <t>置信度</t>
        </is>
      </c>
    </row>
    <row r="4">
      <c r="A4" s="22" t="inlineStr">
        <is>
          <t>华东</t>
        </is>
      </c>
      <c r="B4" s="23" t="n">
        <v>1150</v>
      </c>
      <c r="C4" s="24" t="n"/>
      <c r="D4" s="23" t="n">
        <v>0</v>
      </c>
      <c r="E4" s="23" t="n">
        <v>0</v>
      </c>
      <c r="F4" s="24" t="inlineStr">
        <is>
          <t>—</t>
        </is>
      </c>
      <c r="G4" s="23" t="n">
        <v>0</v>
      </c>
      <c r="H4" s="24" t="inlineStr">
        <is>
          <t>—</t>
        </is>
      </c>
      <c r="I4" s="23" t="n">
        <v>0</v>
      </c>
      <c r="J4" s="24" t="inlineStr">
        <is>
          <t>—</t>
        </is>
      </c>
      <c r="K4" s="25" t="inlineStr">
        <is>
          <t>基准区</t>
        </is>
      </c>
      <c r="L4" s="25" t="inlineStr">
        <is>
          <t>高</t>
        </is>
      </c>
    </row>
    <row r="5">
      <c r="A5" s="16" t="inlineStr">
        <is>
          <t>华南</t>
        </is>
      </c>
      <c r="B5" s="17" t="n">
        <v>1250</v>
      </c>
      <c r="C5" s="26" t="n">
        <v>100</v>
      </c>
      <c r="D5" s="17" t="n">
        <v>1650</v>
      </c>
      <c r="E5" s="17" t="n">
        <v>124</v>
      </c>
      <c r="F5" s="26" t="n">
        <v>-24</v>
      </c>
      <c r="G5" s="17" t="n">
        <v>501.2</v>
      </c>
      <c r="H5" s="27" t="n">
        <v>-401</v>
      </c>
      <c r="I5" s="17" t="n">
        <v>244.8</v>
      </c>
      <c r="J5" s="26" t="n">
        <v>-145</v>
      </c>
      <c r="K5" s="28" t="inlineStr">
        <is>
          <t>运费基本解释</t>
        </is>
      </c>
      <c r="L5" s="28" t="inlineStr">
        <is>
          <t>高</t>
        </is>
      </c>
    </row>
    <row r="6">
      <c r="A6" s="16" t="inlineStr">
        <is>
          <t>华北</t>
        </is>
      </c>
      <c r="B6" s="17" t="n">
        <v>1150</v>
      </c>
      <c r="C6" s="26" t="n">
        <v>0</v>
      </c>
      <c r="D6" s="17" t="inlineStr">
        <is>
          <t>—</t>
        </is>
      </c>
      <c r="E6" s="17" t="inlineStr">
        <is>
          <t>—</t>
        </is>
      </c>
      <c r="F6" s="26" t="inlineStr">
        <is>
          <t>—</t>
        </is>
      </c>
      <c r="G6" s="17" t="n">
        <v>176.4</v>
      </c>
      <c r="H6" s="27" t="n">
        <v>-176</v>
      </c>
      <c r="I6" s="17" t="n">
        <v>105.6</v>
      </c>
      <c r="J6" s="26" t="n">
        <v>-106</v>
      </c>
      <c r="K6" s="28" t="inlineStr">
        <is>
          <t>价格趋同，运费不可覆盖</t>
        </is>
      </c>
      <c r="L6" s="28" t="inlineStr">
        <is>
          <t>高</t>
        </is>
      </c>
    </row>
    <row r="7">
      <c r="A7" s="16" t="inlineStr">
        <is>
          <t>华中</t>
        </is>
      </c>
      <c r="B7" s="17" t="n">
        <v>1100</v>
      </c>
      <c r="C7" s="26" t="n">
        <v>-50</v>
      </c>
      <c r="D7" s="17" t="n">
        <v>760</v>
      </c>
      <c r="E7" s="17" t="n">
        <v>115.6</v>
      </c>
      <c r="F7" s="26" t="n">
        <v>-166</v>
      </c>
      <c r="G7" s="17" t="n">
        <v>229.6</v>
      </c>
      <c r="H7" s="27" t="n">
        <v>-280</v>
      </c>
      <c r="I7" s="17" t="n">
        <v>128.4</v>
      </c>
      <c r="J7" s="26" t="n">
        <v>-178</v>
      </c>
      <c r="K7" s="28" t="inlineStr">
        <is>
          <t>运费反超，跨区无空间</t>
        </is>
      </c>
      <c r="L7" s="28" t="inlineStr">
        <is>
          <t>高</t>
        </is>
      </c>
    </row>
    <row r="8">
      <c r="A8" s="16" t="inlineStr">
        <is>
          <t>西南</t>
        </is>
      </c>
      <c r="B8" s="17" t="n">
        <v>1150</v>
      </c>
      <c r="C8" s="26" t="n">
        <v>0</v>
      </c>
      <c r="D8" s="17" t="inlineStr">
        <is>
          <t>—</t>
        </is>
      </c>
      <c r="E8" s="17" t="inlineStr">
        <is>
          <t>—</t>
        </is>
      </c>
      <c r="F8" s="26" t="inlineStr">
        <is>
          <t>—</t>
        </is>
      </c>
      <c r="G8" s="17" t="n">
        <v>532</v>
      </c>
      <c r="H8" s="27" t="n">
        <v>-532</v>
      </c>
      <c r="I8" s="17" t="n">
        <v>258</v>
      </c>
      <c r="J8" s="26" t="n">
        <v>-258</v>
      </c>
      <c r="K8" s="28" t="inlineStr">
        <is>
          <t>价格趋同，运费不可覆盖</t>
        </is>
      </c>
      <c r="L8" s="28" t="inlineStr">
        <is>
          <t>高</t>
        </is>
      </c>
    </row>
  </sheetData>
  <mergeCells count="2">
    <mergeCell ref="A2:L2"/>
    <mergeCell ref="A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0" t="inlineStr">
        <is>
          <t>裸价差矩阵（行 − 列，元/吨；正=行更贵）</t>
        </is>
      </c>
    </row>
    <row r="2" ht="30" customHeight="1">
      <c r="A2" s="15" t="inlineStr">
        <is>
          <t>行 \ 列</t>
        </is>
      </c>
      <c r="B2" s="15" t="inlineStr">
        <is>
          <t>华东</t>
        </is>
      </c>
      <c r="C2" s="15" t="inlineStr">
        <is>
          <t>华南</t>
        </is>
      </c>
      <c r="D2" s="15" t="inlineStr">
        <is>
          <t>华北</t>
        </is>
      </c>
      <c r="E2" s="15" t="inlineStr">
        <is>
          <t>华中</t>
        </is>
      </c>
      <c r="F2" s="15" t="inlineStr">
        <is>
          <t>西南</t>
        </is>
      </c>
    </row>
    <row r="3">
      <c r="A3" s="29" t="inlineStr">
        <is>
          <t>华东</t>
        </is>
      </c>
      <c r="B3" s="30" t="n"/>
      <c r="C3" s="31" t="n">
        <v>-100</v>
      </c>
      <c r="D3" s="31" t="n">
        <v>0</v>
      </c>
      <c r="E3" s="31" t="n">
        <v>50</v>
      </c>
      <c r="F3" s="31" t="n">
        <v>0</v>
      </c>
    </row>
    <row r="4">
      <c r="A4" s="29" t="inlineStr">
        <is>
          <t>华南</t>
        </is>
      </c>
      <c r="B4" s="31" t="n">
        <v>100</v>
      </c>
      <c r="C4" s="30" t="n"/>
      <c r="D4" s="31" t="n">
        <v>100</v>
      </c>
      <c r="E4" s="31" t="n">
        <v>150</v>
      </c>
      <c r="F4" s="31" t="n">
        <v>100</v>
      </c>
    </row>
    <row r="5">
      <c r="A5" s="29" t="inlineStr">
        <is>
          <t>华北</t>
        </is>
      </c>
      <c r="B5" s="31" t="n">
        <v>0</v>
      </c>
      <c r="C5" s="31" t="n">
        <v>-100</v>
      </c>
      <c r="D5" s="30" t="n"/>
      <c r="E5" s="31" t="n">
        <v>50</v>
      </c>
      <c r="F5" s="31" t="n">
        <v>0</v>
      </c>
    </row>
    <row r="6">
      <c r="A6" s="29" t="inlineStr">
        <is>
          <t>华中</t>
        </is>
      </c>
      <c r="B6" s="31" t="n">
        <v>-50</v>
      </c>
      <c r="C6" s="31" t="n">
        <v>-150</v>
      </c>
      <c r="D6" s="31" t="n">
        <v>-50</v>
      </c>
      <c r="E6" s="30" t="n"/>
      <c r="F6" s="31" t="n">
        <v>-50</v>
      </c>
    </row>
    <row r="7">
      <c r="A7" s="29" t="inlineStr">
        <is>
          <t>西南</t>
        </is>
      </c>
      <c r="B7" s="31" t="n">
        <v>0</v>
      </c>
      <c r="C7" s="31" t="n">
        <v>-100</v>
      </c>
      <c r="D7" s="31" t="n">
        <v>0</v>
      </c>
      <c r="E7" s="31" t="n">
        <v>50</v>
      </c>
      <c r="F7" s="30" t="n"/>
    </row>
    <row r="9">
      <c r="A9" s="21" t="inlineStr">
        <is>
          <t>读法：正值说明行区域比列区域贵；颜色越深价差越大。矩阵只描述价格，不含运费，不能直接当成机会。</t>
        </is>
      </c>
    </row>
  </sheetData>
  <mergeCells count="2">
    <mergeCell ref="A9:F9"/>
    <mergeCell ref="A1:H1"/>
  </mergeCells>
  <conditionalFormatting sqref="B3:F7">
    <cfRule type="colorScale" priority="1">
      <colorScale>
        <cfvo type="num" val="-150"/>
        <cfvo type="num" val="0"/>
        <cfvo type="num" val="150"/>
        <color rgb="00DBEAFE"/>
        <color rgb="00FFFFFF"/>
        <color rgb="00FECDD3"/>
      </colorScale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6" customWidth="1" min="9" max="9"/>
  </cols>
  <sheetData>
    <row r="1" ht="22" customHeight="1">
      <c r="A1" s="10" t="inlineStr">
        <is>
          <t>价差历史统计（相对 华东，元/吨）</t>
        </is>
      </c>
    </row>
    <row r="2" ht="30" customHeight="1">
      <c r="A2" s="15" t="inlineStr">
        <is>
          <t>区域</t>
        </is>
      </c>
      <c r="B2" s="15" t="inlineStr">
        <is>
          <t>当前</t>
        </is>
      </c>
      <c r="C2" s="15" t="inlineStr">
        <is>
          <t>均值</t>
        </is>
      </c>
      <c r="D2" s="15" t="inlineStr">
        <is>
          <t>最小</t>
        </is>
      </c>
      <c r="E2" s="15" t="inlineStr">
        <is>
          <t>最大</t>
        </is>
      </c>
      <c r="F2" s="15" t="inlineStr">
        <is>
          <t>区间</t>
        </is>
      </c>
      <c r="G2" s="15" t="inlineStr">
        <is>
          <t>当前分位</t>
        </is>
      </c>
      <c r="H2" s="15" t="inlineStr">
        <is>
          <t>样本数</t>
        </is>
      </c>
      <c r="I2" s="15" t="inlineStr">
        <is>
          <t>读法</t>
        </is>
      </c>
    </row>
    <row r="3">
      <c r="A3" s="16" t="inlineStr">
        <is>
          <t>华东</t>
        </is>
      </c>
      <c r="B3" s="26" t="n">
        <v>0</v>
      </c>
      <c r="C3" s="26" t="n">
        <v>0</v>
      </c>
      <c r="D3" s="26" t="n">
        <v>0</v>
      </c>
      <c r="E3" s="26" t="n">
        <v>0</v>
      </c>
      <c r="F3" s="17" t="n">
        <v>0</v>
      </c>
      <c r="G3" s="32" t="n">
        <v>1</v>
      </c>
      <c r="H3" s="17" t="n">
        <v>10</v>
      </c>
      <c r="I3" s="28" t="inlineStr">
        <is>
          <t>基准区，恒为 0</t>
        </is>
      </c>
    </row>
    <row r="4">
      <c r="A4" s="16" t="inlineStr">
        <is>
          <t>华南</t>
        </is>
      </c>
      <c r="B4" s="26" t="n">
        <v>100</v>
      </c>
      <c r="C4" s="26" t="n">
        <v>96</v>
      </c>
      <c r="D4" s="26" t="n">
        <v>60</v>
      </c>
      <c r="E4" s="26" t="n">
        <v>100</v>
      </c>
      <c r="F4" s="17" t="n">
        <v>40</v>
      </c>
      <c r="G4" s="32" t="n">
        <v>1</v>
      </c>
      <c r="H4" s="17" t="n">
        <v>10</v>
      </c>
      <c r="I4" s="28" t="inlineStr">
        <is>
          <t>价差长期为正，属结构性（销区/运费）</t>
        </is>
      </c>
    </row>
    <row r="5">
      <c r="A5" s="16" t="inlineStr">
        <is>
          <t>华北</t>
        </is>
      </c>
      <c r="B5" s="26" t="n">
        <v>0</v>
      </c>
      <c r="C5" s="26" t="n">
        <v>3.5</v>
      </c>
      <c r="D5" s="26" t="n">
        <v>0</v>
      </c>
      <c r="E5" s="26" t="n">
        <v>35</v>
      </c>
      <c r="F5" s="17" t="n">
        <v>35</v>
      </c>
      <c r="G5" s="32" t="n">
        <v>0.9</v>
      </c>
      <c r="H5" s="17" t="n">
        <v>10</v>
      </c>
      <c r="I5" s="28" t="inlineStr">
        <is>
          <t>价差在 0 附近，报价环境趋同</t>
        </is>
      </c>
    </row>
    <row r="6">
      <c r="A6" s="16" t="inlineStr">
        <is>
          <t>华中</t>
        </is>
      </c>
      <c r="B6" s="26" t="n">
        <v>-50</v>
      </c>
      <c r="C6" s="26" t="n">
        <v>-49</v>
      </c>
      <c r="D6" s="26" t="n">
        <v>-50</v>
      </c>
      <c r="E6" s="26" t="n">
        <v>-40</v>
      </c>
      <c r="F6" s="17" t="n">
        <v>10</v>
      </c>
      <c r="G6" s="32" t="n">
        <v>0.9</v>
      </c>
      <c r="H6" s="17" t="n">
        <v>10</v>
      </c>
      <c r="I6" s="28" t="inlineStr">
        <is>
          <t>价差长期为负，基准区偏贵；区间极窄，价格被运费锁定</t>
        </is>
      </c>
    </row>
    <row r="7">
      <c r="A7" s="16" t="inlineStr">
        <is>
          <t>西南</t>
        </is>
      </c>
      <c r="B7" s="26" t="n">
        <v>0</v>
      </c>
      <c r="C7" s="26" t="n">
        <v>-4</v>
      </c>
      <c r="D7" s="26" t="n">
        <v>-40</v>
      </c>
      <c r="E7" s="26" t="n">
        <v>0</v>
      </c>
      <c r="F7" s="17" t="n">
        <v>40</v>
      </c>
      <c r="G7" s="32" t="n">
        <v>1</v>
      </c>
      <c r="H7" s="17" t="n">
        <v>10</v>
      </c>
      <c r="I7" s="28" t="inlineStr">
        <is>
          <t>价差在 0 附近，报价环境趋同</t>
        </is>
      </c>
    </row>
    <row r="9">
      <c r="A9" s="13" t="inlineStr">
        <is>
          <t>提示：样本只有 10 个且 9–10 月完全持平，『分位』在此仅表示当前值在样本中的位置，不宜做过强推断。</t>
        </is>
      </c>
    </row>
  </sheetData>
  <mergeCells count="2">
    <mergeCell ref="A9:I9"/>
    <mergeCell ref="A1:H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I2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6" customWidth="1" min="9" max="9"/>
  </cols>
  <sheetData>
    <row r="1" ht="22" customHeight="1">
      <c r="A1" s="10" t="inlineStr">
        <is>
          <t>运费矩阵（估算：球面距离 × 绕行系数 × 运价，需询价校准）</t>
        </is>
      </c>
    </row>
    <row r="2" ht="30" customHeight="1">
      <c r="A2" s="15" t="inlineStr">
        <is>
          <t>发货地</t>
        </is>
      </c>
      <c r="B2" s="15" t="inlineStr">
        <is>
          <t>目的地</t>
        </is>
      </c>
      <c r="C2" s="15" t="inlineStr">
        <is>
          <t>水运km</t>
        </is>
      </c>
      <c r="D2" s="15" t="inlineStr">
        <is>
          <t>水运成本</t>
        </is>
      </c>
      <c r="E2" s="15" t="inlineStr">
        <is>
          <t>汽运km</t>
        </is>
      </c>
      <c r="F2" s="15" t="inlineStr">
        <is>
          <t>汽运成本</t>
        </is>
      </c>
      <c r="G2" s="15" t="inlineStr">
        <is>
          <t>铁运km</t>
        </is>
      </c>
      <c r="H2" s="15" t="inlineStr">
        <is>
          <t>铁运成本</t>
        </is>
      </c>
      <c r="I2" s="15" t="inlineStr">
        <is>
          <t>备注</t>
        </is>
      </c>
    </row>
    <row r="3">
      <c r="A3" s="16" t="inlineStr">
        <is>
          <t>华东</t>
        </is>
      </c>
      <c r="B3" s="28" t="inlineStr">
        <is>
          <t>华南</t>
        </is>
      </c>
      <c r="C3" s="17" t="n">
        <v>1650</v>
      </c>
      <c r="D3" s="17" t="n">
        <v>124</v>
      </c>
      <c r="E3" s="17" t="n">
        <v>1790</v>
      </c>
      <c r="F3" s="17" t="n">
        <v>501.2</v>
      </c>
      <c r="G3" s="17" t="n">
        <v>1790</v>
      </c>
      <c r="H3" s="17" t="n">
        <v>244.8</v>
      </c>
      <c r="I3" s="28" t="inlineStr"/>
    </row>
    <row r="4">
      <c r="A4" s="16" t="inlineStr">
        <is>
          <t>华东</t>
        </is>
      </c>
      <c r="B4" s="28" t="inlineStr">
        <is>
          <t>华北</t>
        </is>
      </c>
      <c r="C4" s="17" t="n"/>
      <c r="D4" s="17" t="n"/>
      <c r="E4" s="17" t="n">
        <v>630</v>
      </c>
      <c r="F4" s="17" t="n">
        <v>176.4</v>
      </c>
      <c r="G4" s="17" t="n">
        <v>630</v>
      </c>
      <c r="H4" s="17" t="n">
        <v>105.6</v>
      </c>
      <c r="I4" s="28" t="inlineStr">
        <is>
          <t>内陆枢纽，水运需铁水/江海联运</t>
        </is>
      </c>
    </row>
    <row r="5">
      <c r="A5" s="16" t="inlineStr">
        <is>
          <t>华东</t>
        </is>
      </c>
      <c r="B5" s="28" t="inlineStr">
        <is>
          <t>华中</t>
        </is>
      </c>
      <c r="C5" s="17" t="n">
        <v>760</v>
      </c>
      <c r="D5" s="17" t="n">
        <v>115.6</v>
      </c>
      <c r="E5" s="17" t="n">
        <v>820</v>
      </c>
      <c r="F5" s="17" t="n">
        <v>229.6</v>
      </c>
      <c r="G5" s="17" t="n">
        <v>820</v>
      </c>
      <c r="H5" s="17" t="n">
        <v>128.4</v>
      </c>
      <c r="I5" s="28" t="inlineStr"/>
    </row>
    <row r="6">
      <c r="A6" s="16" t="inlineStr">
        <is>
          <t>华东</t>
        </is>
      </c>
      <c r="B6" s="28" t="inlineStr">
        <is>
          <t>西南</t>
        </is>
      </c>
      <c r="C6" s="17" t="n"/>
      <c r="D6" s="17" t="n"/>
      <c r="E6" s="17" t="n">
        <v>1900</v>
      </c>
      <c r="F6" s="17" t="n">
        <v>532</v>
      </c>
      <c r="G6" s="17" t="n">
        <v>1900</v>
      </c>
      <c r="H6" s="17" t="n">
        <v>258</v>
      </c>
      <c r="I6" s="28" t="inlineStr">
        <is>
          <t>内陆枢纽，水运需铁水/江海联运</t>
        </is>
      </c>
    </row>
    <row r="7">
      <c r="A7" s="16" t="inlineStr">
        <is>
          <t>华南</t>
        </is>
      </c>
      <c r="B7" s="28" t="inlineStr">
        <is>
          <t>华东</t>
        </is>
      </c>
      <c r="C7" s="17" t="n">
        <v>1650</v>
      </c>
      <c r="D7" s="17" t="n">
        <v>124</v>
      </c>
      <c r="E7" s="17" t="n">
        <v>1790</v>
      </c>
      <c r="F7" s="17" t="n">
        <v>501.2</v>
      </c>
      <c r="G7" s="17" t="n">
        <v>1790</v>
      </c>
      <c r="H7" s="17" t="n">
        <v>244.8</v>
      </c>
      <c r="I7" s="28" t="inlineStr"/>
    </row>
    <row r="8">
      <c r="A8" s="16" t="inlineStr">
        <is>
          <t>华南</t>
        </is>
      </c>
      <c r="B8" s="28" t="inlineStr">
        <is>
          <t>华北</t>
        </is>
      </c>
      <c r="C8" s="17" t="n"/>
      <c r="D8" s="17" t="n"/>
      <c r="E8" s="17" t="n">
        <v>1960</v>
      </c>
      <c r="F8" s="17" t="n">
        <v>548.8</v>
      </c>
      <c r="G8" s="17" t="n">
        <v>1960</v>
      </c>
      <c r="H8" s="17" t="n">
        <v>265.2</v>
      </c>
      <c r="I8" s="28" t="inlineStr">
        <is>
          <t>内陆枢纽，水运需铁水/江海联运</t>
        </is>
      </c>
    </row>
    <row r="9">
      <c r="A9" s="16" t="inlineStr">
        <is>
          <t>华南</t>
        </is>
      </c>
      <c r="B9" s="28" t="inlineStr">
        <is>
          <t>华中</t>
        </is>
      </c>
      <c r="C9" s="17" t="n">
        <v>990</v>
      </c>
      <c r="D9" s="17" t="n">
        <v>129.4</v>
      </c>
      <c r="E9" s="17" t="n">
        <v>1070</v>
      </c>
      <c r="F9" s="17" t="n">
        <v>299.6</v>
      </c>
      <c r="G9" s="17" t="n">
        <v>1070</v>
      </c>
      <c r="H9" s="17" t="n">
        <v>158.4</v>
      </c>
      <c r="I9" s="28" t="inlineStr"/>
    </row>
    <row r="10">
      <c r="A10" s="16" t="inlineStr">
        <is>
          <t>华南</t>
        </is>
      </c>
      <c r="B10" s="28" t="inlineStr">
        <is>
          <t>西南</t>
        </is>
      </c>
      <c r="C10" s="17" t="n"/>
      <c r="D10" s="17" t="n"/>
      <c r="E10" s="17" t="n">
        <v>1570</v>
      </c>
      <c r="F10" s="17" t="n">
        <v>439.6</v>
      </c>
      <c r="G10" s="17" t="n">
        <v>1570</v>
      </c>
      <c r="H10" s="17" t="n">
        <v>218.4</v>
      </c>
      <c r="I10" s="28" t="inlineStr">
        <is>
          <t>内陆枢纽，水运需铁水/江海联运</t>
        </is>
      </c>
    </row>
    <row r="11">
      <c r="A11" s="16" t="inlineStr">
        <is>
          <t>华北</t>
        </is>
      </c>
      <c r="B11" s="28" t="inlineStr">
        <is>
          <t>华东</t>
        </is>
      </c>
      <c r="C11" s="17" t="n"/>
      <c r="D11" s="17" t="n"/>
      <c r="E11" s="17" t="n">
        <v>630</v>
      </c>
      <c r="F11" s="17" t="n">
        <v>176.4</v>
      </c>
      <c r="G11" s="17" t="n">
        <v>630</v>
      </c>
      <c r="H11" s="17" t="n">
        <v>105.6</v>
      </c>
      <c r="I11" s="28" t="inlineStr">
        <is>
          <t>内陆枢纽，水运需铁水/江海联运</t>
        </is>
      </c>
    </row>
    <row r="12">
      <c r="A12" s="16" t="inlineStr">
        <is>
          <t>华北</t>
        </is>
      </c>
      <c r="B12" s="28" t="inlineStr">
        <is>
          <t>华南</t>
        </is>
      </c>
      <c r="C12" s="17" t="n"/>
      <c r="D12" s="17" t="n"/>
      <c r="E12" s="17" t="n">
        <v>1960</v>
      </c>
      <c r="F12" s="17" t="n">
        <v>548.8</v>
      </c>
      <c r="G12" s="17" t="n">
        <v>1960</v>
      </c>
      <c r="H12" s="17" t="n">
        <v>265.2</v>
      </c>
      <c r="I12" s="28" t="inlineStr">
        <is>
          <t>内陆枢纽，水运需铁水/江海联运</t>
        </is>
      </c>
    </row>
    <row r="13">
      <c r="A13" s="16" t="inlineStr">
        <is>
          <t>华北</t>
        </is>
      </c>
      <c r="B13" s="28" t="inlineStr">
        <is>
          <t>华中</t>
        </is>
      </c>
      <c r="C13" s="17" t="n"/>
      <c r="D13" s="17" t="n"/>
      <c r="E13" s="17" t="n">
        <v>890</v>
      </c>
      <c r="F13" s="17" t="n">
        <v>249.2</v>
      </c>
      <c r="G13" s="17" t="n">
        <v>890</v>
      </c>
      <c r="H13" s="17" t="n">
        <v>136.8</v>
      </c>
      <c r="I13" s="28" t="inlineStr">
        <is>
          <t>内陆枢纽，水运需铁水/江海联运</t>
        </is>
      </c>
    </row>
    <row r="14">
      <c r="A14" s="16" t="inlineStr">
        <is>
          <t>华北</t>
        </is>
      </c>
      <c r="B14" s="28" t="inlineStr">
        <is>
          <t>西南</t>
        </is>
      </c>
      <c r="C14" s="17" t="n"/>
      <c r="D14" s="17" t="n"/>
      <c r="E14" s="17" t="n">
        <v>1520</v>
      </c>
      <c r="F14" s="17" t="n">
        <v>425.6</v>
      </c>
      <c r="G14" s="17" t="n">
        <v>1520</v>
      </c>
      <c r="H14" s="17" t="n">
        <v>212.4</v>
      </c>
      <c r="I14" s="28" t="inlineStr">
        <is>
          <t>内陆枢纽，水运需铁水/江海联运</t>
        </is>
      </c>
    </row>
    <row r="15">
      <c r="A15" s="16" t="inlineStr">
        <is>
          <t>华中</t>
        </is>
      </c>
      <c r="B15" s="28" t="inlineStr">
        <is>
          <t>华东</t>
        </is>
      </c>
      <c r="C15" s="17" t="n">
        <v>760</v>
      </c>
      <c r="D15" s="17" t="n">
        <v>115.6</v>
      </c>
      <c r="E15" s="17" t="n">
        <v>820</v>
      </c>
      <c r="F15" s="17" t="n">
        <v>229.6</v>
      </c>
      <c r="G15" s="17" t="n">
        <v>820</v>
      </c>
      <c r="H15" s="17" t="n">
        <v>128.4</v>
      </c>
      <c r="I15" s="28" t="inlineStr"/>
    </row>
    <row r="16">
      <c r="A16" s="16" t="inlineStr">
        <is>
          <t>华中</t>
        </is>
      </c>
      <c r="B16" s="28" t="inlineStr">
        <is>
          <t>华南</t>
        </is>
      </c>
      <c r="C16" s="17" t="n">
        <v>990</v>
      </c>
      <c r="D16" s="17" t="n">
        <v>129.4</v>
      </c>
      <c r="E16" s="17" t="n">
        <v>1070</v>
      </c>
      <c r="F16" s="17" t="n">
        <v>299.6</v>
      </c>
      <c r="G16" s="17" t="n">
        <v>1070</v>
      </c>
      <c r="H16" s="17" t="n">
        <v>158.4</v>
      </c>
      <c r="I16" s="28" t="inlineStr"/>
    </row>
    <row r="17">
      <c r="A17" s="16" t="inlineStr">
        <is>
          <t>华中</t>
        </is>
      </c>
      <c r="B17" s="28" t="inlineStr">
        <is>
          <t>华北</t>
        </is>
      </c>
      <c r="C17" s="17" t="n"/>
      <c r="D17" s="17" t="n"/>
      <c r="E17" s="17" t="n">
        <v>890</v>
      </c>
      <c r="F17" s="17" t="n">
        <v>249.2</v>
      </c>
      <c r="G17" s="17" t="n">
        <v>890</v>
      </c>
      <c r="H17" s="17" t="n">
        <v>136.8</v>
      </c>
      <c r="I17" s="28" t="inlineStr">
        <is>
          <t>内陆枢纽，水运需铁水/江海联运</t>
        </is>
      </c>
    </row>
    <row r="18">
      <c r="A18" s="16" t="inlineStr">
        <is>
          <t>华中</t>
        </is>
      </c>
      <c r="B18" s="28" t="inlineStr">
        <is>
          <t>西南</t>
        </is>
      </c>
      <c r="C18" s="17" t="n"/>
      <c r="D18" s="17" t="n"/>
      <c r="E18" s="17" t="n">
        <v>1250</v>
      </c>
      <c r="F18" s="17" t="n">
        <v>350</v>
      </c>
      <c r="G18" s="17" t="n">
        <v>1250</v>
      </c>
      <c r="H18" s="17" t="n">
        <v>180</v>
      </c>
      <c r="I18" s="28" t="inlineStr">
        <is>
          <t>内陆枢纽，水运需铁水/江海联运</t>
        </is>
      </c>
    </row>
    <row r="19">
      <c r="A19" s="16" t="inlineStr">
        <is>
          <t>西南</t>
        </is>
      </c>
      <c r="B19" s="28" t="inlineStr">
        <is>
          <t>华东</t>
        </is>
      </c>
      <c r="C19" s="17" t="n"/>
      <c r="D19" s="17" t="n"/>
      <c r="E19" s="17" t="n">
        <v>1900</v>
      </c>
      <c r="F19" s="17" t="n">
        <v>532</v>
      </c>
      <c r="G19" s="17" t="n">
        <v>1900</v>
      </c>
      <c r="H19" s="17" t="n">
        <v>258</v>
      </c>
      <c r="I19" s="28" t="inlineStr">
        <is>
          <t>内陆枢纽，水运需铁水/江海联运</t>
        </is>
      </c>
    </row>
    <row r="20">
      <c r="A20" s="16" t="inlineStr">
        <is>
          <t>西南</t>
        </is>
      </c>
      <c r="B20" s="28" t="inlineStr">
        <is>
          <t>华南</t>
        </is>
      </c>
      <c r="C20" s="17" t="n"/>
      <c r="D20" s="17" t="n"/>
      <c r="E20" s="17" t="n">
        <v>1570</v>
      </c>
      <c r="F20" s="17" t="n">
        <v>439.6</v>
      </c>
      <c r="G20" s="17" t="n">
        <v>1570</v>
      </c>
      <c r="H20" s="17" t="n">
        <v>218.4</v>
      </c>
      <c r="I20" s="28" t="inlineStr">
        <is>
          <t>内陆枢纽，水运需铁水/江海联运</t>
        </is>
      </c>
    </row>
    <row r="21">
      <c r="A21" s="16" t="inlineStr">
        <is>
          <t>西南</t>
        </is>
      </c>
      <c r="B21" s="28" t="inlineStr">
        <is>
          <t>华北</t>
        </is>
      </c>
      <c r="C21" s="17" t="n"/>
      <c r="D21" s="17" t="n"/>
      <c r="E21" s="17" t="n">
        <v>1520</v>
      </c>
      <c r="F21" s="17" t="n">
        <v>425.6</v>
      </c>
      <c r="G21" s="17" t="n">
        <v>1520</v>
      </c>
      <c r="H21" s="17" t="n">
        <v>212.4</v>
      </c>
      <c r="I21" s="28" t="inlineStr">
        <is>
          <t>内陆枢纽，水运需铁水/江海联运</t>
        </is>
      </c>
    </row>
    <row r="22">
      <c r="A22" s="16" t="inlineStr">
        <is>
          <t>西南</t>
        </is>
      </c>
      <c r="B22" s="28" t="inlineStr">
        <is>
          <t>华中</t>
        </is>
      </c>
      <c r="C22" s="17" t="n"/>
      <c r="D22" s="17" t="n"/>
      <c r="E22" s="17" t="n">
        <v>1250</v>
      </c>
      <c r="F22" s="17" t="n">
        <v>350</v>
      </c>
      <c r="G22" s="17" t="n">
        <v>1250</v>
      </c>
      <c r="H22" s="17" t="n">
        <v>180</v>
      </c>
      <c r="I22" s="28" t="inlineStr">
        <is>
          <t>内陆枢纽，水运需铁水/江海联运</t>
        </is>
      </c>
    </row>
    <row r="24">
      <c r="A24" s="21" t="inlineStr">
        <is>
          <t>费率：水运（海运/海进江） 0.06 元/吨·km+ 固定 25 元/吨；汽运（整车 30 t） 0.28 元/吨·km；铁运（含装卸） 0.12 元/吨·km+ 固定 30 元/吨</t>
        </is>
      </c>
    </row>
    <row r="25">
      <c r="A25" s="21" t="inlineStr">
        <is>
          <t>运距按枢纽坐标球面距离 × 陆路绕行系数（1.28）或水运系数（1.18）估算，四舍五入到 10 km；运价按市场区间取中值，属参考口径而非逐票报价。</t>
        </is>
      </c>
    </row>
  </sheetData>
  <mergeCells count="3">
    <mergeCell ref="A25:I25"/>
    <mergeCell ref="A24:I24"/>
    <mergeCell ref="A1:H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M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9" customWidth="1" min="10" max="10"/>
    <col width="34" customWidth="1" min="11" max="11"/>
    <col width="34" customWidth="1" min="12" max="12"/>
    <col width="46" customWidth="1" min="13" max="13"/>
  </cols>
  <sheetData>
    <row r="1" ht="22" customHeight="1">
      <c r="A1" s="10" t="inlineStr">
        <is>
          <t>区域供需、产能与客户格局（产能/需求为万吨/年估算）</t>
        </is>
      </c>
    </row>
    <row r="2" ht="30" customHeight="1">
      <c r="A2" s="15" t="inlineStr">
        <is>
          <t>区域</t>
        </is>
      </c>
      <c r="B2" s="15" t="inlineStr">
        <is>
          <t>枢纽</t>
        </is>
      </c>
      <c r="C2" s="15" t="inlineStr">
        <is>
          <t>产能</t>
        </is>
      </c>
      <c r="D2" s="15" t="inlineStr">
        <is>
          <t>产量</t>
        </is>
      </c>
      <c r="E2" s="15" t="inlineStr">
        <is>
          <t>需求</t>
        </is>
      </c>
      <c r="F2" s="15" t="inlineStr">
        <is>
          <t>净平衡</t>
        </is>
      </c>
      <c r="G2" s="15" t="inlineStr">
        <is>
          <t>CR3</t>
        </is>
      </c>
      <c r="H2" s="15" t="inlineStr">
        <is>
          <t>浮法用碱</t>
        </is>
      </c>
      <c r="I2" s="15" t="inlineStr">
        <is>
          <t>光伏用碱</t>
        </is>
      </c>
      <c r="J2" s="15" t="inlineStr">
        <is>
          <t>轻碱用量</t>
        </is>
      </c>
      <c r="K2" s="15" t="inlineStr">
        <is>
          <t>主要生产企业（万吨/年）</t>
        </is>
      </c>
      <c r="L2" s="15" t="inlineStr">
        <is>
          <t>代表客户</t>
        </is>
      </c>
      <c r="M2" s="15" t="inlineStr">
        <is>
          <t>报价环境判断</t>
        </is>
      </c>
    </row>
    <row r="3" ht="58" customHeight="1">
      <c r="A3" s="16" t="inlineStr">
        <is>
          <t>华东</t>
        </is>
      </c>
      <c r="B3" s="28" t="inlineStr">
        <is>
          <t>连云港</t>
        </is>
      </c>
      <c r="C3" s="17" t="n">
        <v>780</v>
      </c>
      <c r="D3" s="17" t="n">
        <v>690</v>
      </c>
      <c r="E3" s="17" t="n">
        <v>913</v>
      </c>
      <c r="F3" s="27" t="n">
        <v>-223</v>
      </c>
      <c r="G3" s="32" t="n">
        <v>0.41</v>
      </c>
      <c r="H3" s="17" t="n">
        <v>260</v>
      </c>
      <c r="I3" s="17" t="n">
        <v>240</v>
      </c>
      <c r="J3" s="17" t="n">
        <v>413</v>
      </c>
      <c r="K3" s="33" t="inlineStr">
        <is>
          <t>连云港碱业 130；中盐昆山 90；安徽红四方 100；江苏井神 70</t>
        </is>
      </c>
      <c r="L3" s="33" t="inlineStr">
        <is>
          <t>福莱特（嘉兴/南通）（光伏玻璃）；信义光能（芜湖）（光伏玻璃）；旗滨集团（绍兴/平湖）（浮法+光伏）；南玻（吴江）（浮法/工程玻璃）</t>
        </is>
      </c>
      <c r="M3" s="33" t="inlineStr">
        <is>
          <t>报价环境最卷：本地货源 + 港口到货 + 光伏大客户直供，价格贴近期货与沙河，适合以交付稳定性而非低价切入。</t>
        </is>
      </c>
    </row>
    <row r="4" ht="58" customHeight="1">
      <c r="A4" s="16" t="inlineStr">
        <is>
          <t>华南</t>
        </is>
      </c>
      <c r="B4" s="28" t="inlineStr">
        <is>
          <t>广州</t>
        </is>
      </c>
      <c r="C4" s="17" t="n">
        <v>80</v>
      </c>
      <c r="D4" s="17" t="n">
        <v>75</v>
      </c>
      <c r="E4" s="17" t="n">
        <v>430</v>
      </c>
      <c r="F4" s="27" t="n">
        <v>-355</v>
      </c>
      <c r="G4" s="32" t="n">
        <v>1</v>
      </c>
      <c r="H4" s="17" t="n">
        <v>180</v>
      </c>
      <c r="I4" s="17" t="n">
        <v>60</v>
      </c>
      <c r="J4" s="17" t="n">
        <v>190</v>
      </c>
      <c r="K4" s="33" t="inlineStr">
        <is>
          <t>广东南方碱业 60；区内其他 20</t>
        </is>
      </c>
      <c r="L4" s="33" t="inlineStr">
        <is>
          <t>信义玻璃（东莞）（浮法玻璃）；南玻（东莞）（浮法/工程）；旗滨（河源）（浮法）；佛山陶瓷/日化集群（轻碱下游）</t>
        </is>
      </c>
      <c r="M4" s="33" t="inlineStr">
        <is>
          <t>价差最大（1250）但不等于机会：100 元/吨溢价基本被连云港→广州水运吃掉，剩下的是港口与库存的时间价值。</t>
        </is>
      </c>
    </row>
    <row r="5" ht="58" customHeight="1">
      <c r="A5" s="16" t="inlineStr">
        <is>
          <t>华北</t>
        </is>
      </c>
      <c r="B5" s="28" t="inlineStr">
        <is>
          <t>沙河（邢台）</t>
        </is>
      </c>
      <c r="C5" s="17" t="n">
        <v>700</v>
      </c>
      <c r="D5" s="17" t="n">
        <v>590</v>
      </c>
      <c r="E5" s="17" t="n">
        <v>520</v>
      </c>
      <c r="F5" s="34" t="n">
        <v>70</v>
      </c>
      <c r="G5" s="32" t="n">
        <v>0.91</v>
      </c>
      <c r="H5" s="17" t="n">
        <v>220</v>
      </c>
      <c r="I5" s="17" t="n">
        <v>60</v>
      </c>
      <c r="J5" s="17" t="n">
        <v>240</v>
      </c>
      <c r="K5" s="33" t="inlineStr">
        <is>
          <t>唐山三友 340；山东海化 300；天津渤化永利 80</t>
        </is>
      </c>
      <c r="L5" s="33" t="inlineStr">
        <is>
          <t>沙河浮法玻璃集群（浮法玻璃）；迎新玻璃（浮法）；长城玻璃（浮法）；山东/河北日化集群（轻碱下游）</t>
        </is>
      </c>
      <c r="M5" s="33" t="inlineStr">
        <is>
          <t>产区属性最强：价格是全国洼地（与华东同为 1150），调出靠铁路/汽运，辐射半径受运费约束。</t>
        </is>
      </c>
    </row>
    <row r="6" ht="58" customHeight="1">
      <c r="A6" s="16" t="inlineStr">
        <is>
          <t>华中</t>
        </is>
      </c>
      <c r="B6" s="28" t="inlineStr">
        <is>
          <t>武汉</t>
        </is>
      </c>
      <c r="C6" s="17" t="n">
        <v>760</v>
      </c>
      <c r="D6" s="17" t="n">
        <v>700</v>
      </c>
      <c r="E6" s="17" t="n">
        <v>480</v>
      </c>
      <c r="F6" s="34" t="n">
        <v>220</v>
      </c>
      <c r="G6" s="32" t="n">
        <v>0.83</v>
      </c>
      <c r="H6" s="17" t="n">
        <v>150</v>
      </c>
      <c r="I6" s="17" t="n">
        <v>120</v>
      </c>
      <c r="J6" s="17" t="n">
        <v>210</v>
      </c>
      <c r="K6" s="33" t="inlineStr">
        <is>
          <t>河南金山 400；湖北双环 130；河南骏化 100</t>
        </is>
      </c>
      <c r="L6" s="33" t="inlineStr">
        <is>
          <t>湖北亿钧耀能（光伏玻璃）；武汉长利（浮法玻璃）；湖南旗滨（醴陵）（浮法）；河南/湖北轻碱下游（轻碱）</t>
        </is>
      </c>
      <c r="M6" s="33" t="inlineStr">
        <is>
          <t>全国价格最低（1100），但外运半径受限：到华南汽运约 299 元/吨，已超过 150 元/吨的价差，属于『低价但卖不出去』。</t>
        </is>
      </c>
    </row>
    <row r="7" ht="58" customHeight="1">
      <c r="A7" s="16" t="inlineStr">
        <is>
          <t>西南</t>
        </is>
      </c>
      <c r="B7" s="28" t="inlineStr">
        <is>
          <t>成都</t>
        </is>
      </c>
      <c r="C7" s="17" t="n">
        <v>560</v>
      </c>
      <c r="D7" s="17" t="n">
        <v>500</v>
      </c>
      <c r="E7" s="17" t="n">
        <v>430</v>
      </c>
      <c r="F7" s="34" t="n">
        <v>70</v>
      </c>
      <c r="G7" s="32" t="n">
        <v>0.5</v>
      </c>
      <c r="H7" s="17" t="n">
        <v>120</v>
      </c>
      <c r="I7" s="17" t="n">
        <v>90</v>
      </c>
      <c r="J7" s="17" t="n">
        <v>220</v>
      </c>
      <c r="K7" s="33" t="inlineStr">
        <is>
          <t>四川和邦 120；重庆宜化 100；四川广宇 60</t>
        </is>
      </c>
      <c r="L7" s="33" t="inlineStr">
        <is>
          <t>成都南玻（浮法/工程）；台玻成都（浮法）；重庆万盛浮法（浮法）；四川锂盐/日化（轻碱）</t>
        </is>
      </c>
      <c r="M7" s="33" t="inlineStr">
        <is>
          <t>价格与华东持平（1150），但物流不可达：华东→成都汽运约 532 元/吨，两地价差为零 —— 说明该区域价格由本地供需定价，与华东无关。</t>
        </is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56" customWidth="1" min="4" max="4"/>
    <col width="40" customWidth="1" min="5" max="5"/>
  </cols>
  <sheetData>
    <row r="1" ht="22" customHeight="1">
      <c r="A1" s="10" t="inlineStr">
        <is>
          <t>数据缺口清单（先承认缺什么，再谈结论）</t>
        </is>
      </c>
    </row>
    <row r="2" ht="30" customHeight="1">
      <c r="A2" s="15" t="inlineStr">
        <is>
          <t>区域</t>
        </is>
      </c>
      <c r="B2" s="15" t="inlineStr">
        <is>
          <t>缺口项</t>
        </is>
      </c>
      <c r="C2" s="15" t="inlineStr">
        <is>
          <t>级别</t>
        </is>
      </c>
      <c r="D2" s="15" t="inlineStr">
        <is>
          <t>说明</t>
        </is>
      </c>
      <c r="E2" s="15" t="inlineStr">
        <is>
          <t>补数建议</t>
        </is>
      </c>
    </row>
    <row r="3">
      <c r="A3" s="16" t="inlineStr">
        <is>
          <t>华东</t>
        </is>
      </c>
      <c r="B3" s="28" t="inlineStr">
        <is>
          <t>逐日到厂价</t>
        </is>
      </c>
      <c r="C3" s="28" t="inlineStr">
        <is>
          <t>中</t>
        </is>
      </c>
      <c r="D3" s="28" t="inlineStr">
        <is>
          <t>只有主流价，缺分企业到厂成交价</t>
        </is>
      </c>
      <c r="E3" s="28" t="inlineStr">
        <is>
          <t>电话询价 / 港口周报 / 企业公告</t>
        </is>
      </c>
    </row>
    <row r="4">
      <c r="A4" s="16" t="inlineStr">
        <is>
          <t>华东</t>
        </is>
      </c>
      <c r="B4" s="28" t="inlineStr">
        <is>
          <t>港口库存</t>
        </is>
      </c>
      <c r="C4" s="28" t="inlineStr">
        <is>
          <t>中</t>
        </is>
      </c>
      <c r="D4" s="28" t="inlineStr">
        <is>
          <t>缺华东港口纯碱周度库存明细</t>
        </is>
      </c>
      <c r="E4" s="28" t="inlineStr">
        <is>
          <t>电话询价 / 港口周报 / 企业公告</t>
        </is>
      </c>
    </row>
    <row r="5">
      <c r="A5" s="16" t="inlineStr">
        <is>
          <t>华南</t>
        </is>
      </c>
      <c r="B5" s="28" t="inlineStr">
        <is>
          <t>海运费逐票</t>
        </is>
      </c>
      <c r="C5" s="28" t="inlineStr">
        <is>
          <t>高</t>
        </is>
      </c>
      <c r="D5" s="28" t="inlineStr">
        <is>
          <t>缺船公司逐票报价，只有量级区间</t>
        </is>
      </c>
      <c r="E5" s="28" t="inlineStr">
        <is>
          <t>电话询价 / 港口周报 / 企业公告</t>
        </is>
      </c>
    </row>
    <row r="6">
      <c r="A6" s="16" t="inlineStr">
        <is>
          <t>华南</t>
        </is>
      </c>
      <c r="B6" s="28" t="inlineStr">
        <is>
          <t>港口库存</t>
        </is>
      </c>
      <c r="C6" s="28" t="inlineStr">
        <is>
          <t>中</t>
        </is>
      </c>
      <c r="D6" s="28" t="inlineStr">
        <is>
          <t>缺广州港纯碱周度库存</t>
        </is>
      </c>
      <c r="E6" s="28" t="inlineStr">
        <is>
          <t>电话询价 / 港口周报 / 企业公告</t>
        </is>
      </c>
    </row>
    <row r="7">
      <c r="A7" s="16" t="inlineStr">
        <is>
          <t>华南</t>
        </is>
      </c>
      <c r="B7" s="28" t="inlineStr">
        <is>
          <t>进口到货</t>
        </is>
      </c>
      <c r="C7" s="28" t="inlineStr">
        <is>
          <t>中</t>
        </is>
      </c>
      <c r="D7" s="28" t="inlineStr">
        <is>
          <t>缺进口碱月度到港量</t>
        </is>
      </c>
      <c r="E7" s="28" t="inlineStr">
        <is>
          <t>电话询价 / 港口周报 / 企业公告</t>
        </is>
      </c>
    </row>
    <row r="8">
      <c r="A8" s="16" t="inlineStr">
        <is>
          <t>华北</t>
        </is>
      </c>
      <c r="B8" s="28" t="inlineStr">
        <is>
          <t>厂库分企业</t>
        </is>
      </c>
      <c r="C8" s="28" t="inlineStr">
        <is>
          <t>中</t>
        </is>
      </c>
      <c r="D8" s="28" t="inlineStr">
        <is>
          <t>只有行业总库存，缺分企业厂库</t>
        </is>
      </c>
      <c r="E8" s="28" t="inlineStr">
        <is>
          <t>电话询价 / 港口周报 / 企业公告</t>
        </is>
      </c>
    </row>
    <row r="9">
      <c r="A9" s="16" t="inlineStr">
        <is>
          <t>华北</t>
        </is>
      </c>
      <c r="B9" s="28" t="inlineStr">
        <is>
          <t>交割库库存</t>
        </is>
      </c>
      <c r="C9" s="28" t="inlineStr">
        <is>
          <t>中</t>
        </is>
      </c>
      <c r="D9" s="28" t="inlineStr">
        <is>
          <t>缺交割库周度明细</t>
        </is>
      </c>
      <c r="E9" s="28" t="inlineStr">
        <is>
          <t>电话询价 / 港口周报 / 企业公告</t>
        </is>
      </c>
    </row>
    <row r="10">
      <c r="A10" s="16" t="inlineStr">
        <is>
          <t>华中</t>
        </is>
      </c>
      <c r="B10" s="28" t="inlineStr">
        <is>
          <t>出厂价逐票</t>
        </is>
      </c>
      <c r="C10" s="28" t="inlineStr">
        <is>
          <t>中</t>
        </is>
      </c>
      <c r="D10" s="28" t="inlineStr">
        <is>
          <t>主流价为区间中点，缺单厂成交价</t>
        </is>
      </c>
      <c r="E10" s="28" t="inlineStr">
        <is>
          <t>电话询价 / 港口周报 / 企业公告</t>
        </is>
      </c>
    </row>
    <row r="11">
      <c r="A11" s="16" t="inlineStr">
        <is>
          <t>华中</t>
        </is>
      </c>
      <c r="B11" s="28" t="inlineStr">
        <is>
          <t>江运成本</t>
        </is>
      </c>
      <c r="C11" s="28" t="inlineStr">
        <is>
          <t>高</t>
        </is>
      </c>
      <c r="D11" s="28" t="inlineStr">
        <is>
          <t>缺长江航线纯碱散货运价</t>
        </is>
      </c>
      <c r="E11" s="28" t="inlineStr">
        <is>
          <t>电话询价 / 港口周报 / 企业公告</t>
        </is>
      </c>
    </row>
    <row r="12">
      <c r="A12" s="16" t="inlineStr">
        <is>
          <t>西南</t>
        </is>
      </c>
      <c r="B12" s="28" t="inlineStr">
        <is>
          <t>气价传导</t>
        </is>
      </c>
      <c r="C12" s="28" t="inlineStr">
        <is>
          <t>中</t>
        </is>
      </c>
      <c r="D12" s="28" t="inlineStr">
        <is>
          <t>缺分企业天然气采购价，成本差异无法量化</t>
        </is>
      </c>
      <c r="E12" s="28" t="inlineStr">
        <is>
          <t>电话询价 / 港口周报 / 企业公告</t>
        </is>
      </c>
    </row>
    <row r="13">
      <c r="A13" s="16" t="inlineStr">
        <is>
          <t>西南</t>
        </is>
      </c>
      <c r="B13" s="28" t="inlineStr">
        <is>
          <t>出川运价</t>
        </is>
      </c>
      <c r="C13" s="28" t="inlineStr">
        <is>
          <t>高</t>
        </is>
      </c>
      <c r="D13" s="28" t="inlineStr">
        <is>
          <t>缺川渝至华南/华东的实际汽运与铁运报价</t>
        </is>
      </c>
      <c r="E13" s="28" t="inlineStr">
        <is>
          <t>电话询价 / 港口周报 / 企业公告</t>
        </is>
      </c>
    </row>
    <row r="15">
      <c r="A15" s="10" t="inlineStr">
        <is>
          <t>全局缺口</t>
        </is>
      </c>
    </row>
    <row r="16" ht="30" customHeight="1">
      <c r="A16" s="12" t="inlineStr">
        <is>
          <t>• 价格：只有主流价（整数、区间中点），没有分企业到厂成交价、没有账期与运费补贴信息；7 月 17 日至 8 月 28 日之间无公开逐日样本。</t>
        </is>
      </c>
    </row>
    <row r="17" ht="30" customHeight="1">
      <c r="A17" s="12" t="inlineStr">
        <is>
          <t>• 运费：没有逐票报价，水运/汽运/铁运均按公开运价区间估算，误差 ±10–20%；长江江运、川渝出川运价缺口最大。</t>
        </is>
      </c>
    </row>
    <row r="18" ht="20" customHeight="1">
      <c r="A18" s="12" t="inlineStr">
        <is>
          <t>• 供需：产能、产量、需求为万吨/年级估算，未做分企业核实；华南进口到港量、各区域港口/厂库周度库存均缺失。</t>
        </is>
      </c>
    </row>
    <row r="19" ht="30" customHeight="1">
      <c r="A19" s="12" t="inlineStr">
        <is>
          <t>• 口径：同花顺主流价在产区偏出厂、销区偏到厂，混合口径本身会带来 20–50 元/吨的噪声，本工具不消除、只标注。</t>
        </is>
      </c>
    </row>
  </sheetData>
  <mergeCells count="5">
    <mergeCell ref="A16:E16"/>
    <mergeCell ref="A19:E19"/>
    <mergeCell ref="A1:H1"/>
    <mergeCell ref="A17:E17"/>
    <mergeCell ref="A18:E18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9FB4C9"/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2" customHeight="1">
      <c r="A1" s="10" t="inlineStr">
        <is>
          <t>方法与免责</t>
        </is>
      </c>
    </row>
    <row r="2" ht="30" customHeight="1">
      <c r="A2" s="15" t="inlineStr">
        <is>
          <t>项目</t>
        </is>
      </c>
      <c r="B2" s="15" t="inlineStr">
        <is>
          <t>说明</t>
        </is>
      </c>
    </row>
    <row r="3" ht="46" customHeight="1">
      <c r="A3" s="16" t="inlineStr">
        <is>
          <t>价格口径</t>
        </is>
      </c>
      <c r="B3" s="35" t="inlineStr">
        <is>
          <t>五区均为同花顺 iFinD『各地区纯碱现货主流价』，含税，混合出厂/到厂口径；本工具把运费单独剥离，不把口径差并入价差。</t>
        </is>
      </c>
    </row>
    <row r="4" ht="46" customHeight="1">
      <c r="A4" s="16" t="inlineStr">
        <is>
          <t>价差定义</t>
        </is>
      </c>
      <c r="B4" s="35" t="inlineStr">
        <is>
          <t>裸价差 ΔP(r) = P(r) − P(基准)，单位元/吨；基准区可切换。价差历史只使用同一口径、同一天的样本。</t>
        </is>
      </c>
    </row>
    <row r="5" ht="46" customHeight="1">
      <c r="A5" s="16" t="inlineStr">
        <is>
          <t>运费模型</t>
        </is>
      </c>
      <c r="B5" s="35" t="inlineStr">
        <is>
          <t>运价 = 运距 × 方式费率 + 固定费；运距由枢纽坐标球面距离乘绕行系数得到，属估算，误差约 ±10%。</t>
        </is>
      </c>
    </row>
    <row r="6" ht="46" customHeight="1">
      <c r="A6" s="16" t="inlineStr">
        <is>
          <t>残差</t>
        </is>
      </c>
      <c r="B6" s="35" t="inlineStr">
        <is>
          <t>残差 = ΔP − 运费。残差是『运费解释不了的部分』，包含区域供需、库存、品质、账期与统计口径差异，不能单独归因为某一种因素。</t>
        </is>
      </c>
    </row>
    <row r="7" ht="46" customHeight="1">
      <c r="A7" s="16" t="inlineStr">
        <is>
          <t>置信度</t>
        </is>
      </c>
      <c r="B7" s="35" t="inlineStr">
        <is>
          <t>高＝可直接指向原始文章/公告；中＝有公开来源但为区间或估算；低＝仅有量级判断，需询价校准。</t>
        </is>
      </c>
    </row>
    <row r="8" ht="46" customHeight="1">
      <c r="A8" s="16" t="inlineStr">
        <is>
          <t>判读规则</t>
        </is>
      </c>
      <c r="B8" s="35" t="inlineStr">
        <is>
          <t>残差 = 裸价差 − 运费。残差在 ±50 元/吨内 → 视为运费已解释，报价环境趋同，不要拿价差讲故事。</t>
        </is>
      </c>
    </row>
    <row r="9" ht="46" customHeight="1">
      <c r="A9" s="16" t="inlineStr">
        <is>
          <t>判读规则</t>
        </is>
      </c>
      <c r="B9" s="35" t="inlineStr">
        <is>
          <t>残差 &gt; +100 元/吨且持续 4 周以上 → 说明当地存在结构性紧张（检修、库存低、进口减少），值得去谈，但仍需核对品质、账期、危化资质与回款。</t>
        </is>
      </c>
    </row>
    <row r="10" ht="46" customHeight="1">
      <c r="A10" s="16" t="inlineStr">
        <is>
          <t>判读规则</t>
        </is>
      </c>
      <c r="B10" s="35" t="inlineStr">
        <is>
          <t>残差 &lt; −100 元/吨 → 通常是本地货源过剩或销区被低价进口/海运费下行压制，不要从基准区硬发。</t>
        </is>
      </c>
    </row>
    <row r="11" ht="46" customHeight="1">
      <c r="A11" s="16" t="inlineStr">
        <is>
          <t>判读规则</t>
        </is>
      </c>
      <c r="B11" s="35" t="inlineStr">
        <is>
          <t>水运与汽运的残差要分开看：同一价差在两种口径下结论可能相反（本案华南即为如此）。</t>
        </is>
      </c>
    </row>
    <row r="12" ht="46" customHeight="1">
      <c r="A12" s="16" t="inlineStr">
        <is>
          <t>数据缺口</t>
        </is>
      </c>
      <c r="B12" s="35" t="inlineStr">
        <is>
          <t>价格：只有主流价（整数、区间中点），没有分企业到厂成交价、没有账期与运费补贴信息；7 月 17 日至 8 月 28 日之间无公开逐日样本。</t>
        </is>
      </c>
    </row>
    <row r="13" ht="46" customHeight="1">
      <c r="A13" s="16" t="inlineStr">
        <is>
          <t>数据缺口</t>
        </is>
      </c>
      <c r="B13" s="35" t="inlineStr">
        <is>
          <t>运费：没有逐票报价，水运/汽运/铁运均按公开运价区间估算，误差 ±10–20%；长江江运、川渝出川运价缺口最大。</t>
        </is>
      </c>
    </row>
    <row r="14" ht="46" customHeight="1">
      <c r="A14" s="16" t="inlineStr">
        <is>
          <t>数据缺口</t>
        </is>
      </c>
      <c r="B14" s="35" t="inlineStr">
        <is>
          <t>供需：产能、产量、需求为万吨/年级估算，未做分企业核实；华南进口到港量、各区域港口/厂库周度库存均缺失。</t>
        </is>
      </c>
    </row>
    <row r="15" ht="46" customHeight="1">
      <c r="A15" s="16" t="inlineStr">
        <is>
          <t>数据缺口</t>
        </is>
      </c>
      <c r="B15" s="35" t="inlineStr">
        <is>
          <t>口径：同花顺主流价在产区偏出厂、销区偏到厂，混合口径本身会带来 20–50 元/吨的噪声，本工具不消除、只标注。</t>
        </is>
      </c>
    </row>
    <row r="16" ht="46" customHeight="1">
      <c r="A16" s="16" t="inlineStr">
        <is>
          <t>免责声明</t>
        </is>
      </c>
      <c r="B16" s="35" t="inlineStr">
        <is>
          <t>本页只用于判断各市场的报价环境与价差结构，不构成套利建议。真实跨区销售还要核对：品质与牌号是否一致、危化/普货运输资质、账期与回款、返利与运费补贴、区域代理协议限制。</t>
        </is>
      </c>
    </row>
    <row r="17" ht="46" customHeight="1">
      <c r="A17" s="16" t="inlineStr">
        <is>
          <t>样本来源</t>
        </is>
      </c>
      <c r="B17" s="35" t="inlineStr">
        <is>
          <t>同花顺 iFinD（叩富网转载）；同花顺 iFinD（币圈网转载）；同花顺 iNews</t>
        </is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2026-10-19T05:40:48Z</dcterms:created>
  <dcterms:modified xmlns:dcterms="http://purl.org/dc/terms/" xmlns:xsi="http://www.w3.org/2001/XMLSchema-instance" xsi:type="dcterms:W3CDTF">2026-10-19T05:40:48Z</dcterms:modified>
</cp:coreProperties>
</file>
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询盘概要" sheetId="1" r:id="rId1"/>
    <sheet name="02 字段确认表" sheetId="2" r:id="rId2"/>
    <sheet name="03 缺失与假设" sheetId="3" r:id="rId3"/>
    <sheet name="04 价格与口径" sheetId="4" r:id="rId4"/>
    <sheet name="05 报价草稿" sheetId="5" r:id="rId5"/>
    <sheet name="06 口径与边界" sheetId="6" r:id="rId6"/>
    <sheet name="07 素材与证据" sheetId="7" r:id="rId7"/>
  </sheets>
  <definedNames>
    <definedName name="_xlnm.Print_Area" localSheetId="0">'01 询盘概要'!$A$1:$G$35</definedName>
    <definedName name="_xlnm.Print_Area" localSheetId="1">'02 字段确认表'!$A$1:$I$20</definedName>
    <definedName name="_xlnm.Print_Area" localSheetId="2">'03 缺失与假设'!$A$1:$E$25</definedName>
    <definedName name="_xlnm.Print_Area" localSheetId="3">'04 价格与口径'!$A$1:$F$24</definedName>
    <definedName name="_xlnm.Print_Area" localSheetId="4">'05 报价草稿'!$A$1:$I$55</definedName>
  </definedNames>
  <calcPr calcId="124519" fullCalcOnLoad="1"/>
</workbook>
</file>

<file path=xl/sharedStrings.xml><?xml version="1.0" encoding="utf-8"?>
<sst xmlns="http://schemas.openxmlformats.org/spreadsheetml/2006/main" count="462" uniqueCount="316">
  <si>
    <t>询盘 → 报价草稿工作簿</t>
  </si>
  <si>
    <t>客户：江苏盐城华宇玻璃　｜　询盘编号 INQ-20261019-01　｜　as_of 2026-10-19　｜　状态：待补 5 项</t>
  </si>
  <si>
    <t>一、询盘要点（提取值 · 未确认项已在字段表标黄）</t>
  </si>
  <si>
    <t>产品名称</t>
  </si>
  <si>
    <t>重质纯碱</t>
  </si>
  <si>
    <t>规格 / 牌号</t>
  </si>
  <si>
    <t>Na2CO3 ≥ 99.2%；Fe2O3 ≤ 0.003%；烧失量 ≤ 0.5%；180 目筛余 ≤ 5%</t>
  </si>
  <si>
    <t>数量口径</t>
  </si>
  <si>
    <t>试单 200 吨；月用量约 800 吨</t>
  </si>
  <si>
    <t>交货地点</t>
  </si>
  <si>
    <t>江苏省盐城市亭湖区 华宇玻璃一期厂区</t>
  </si>
  <si>
    <t>包装</t>
  </si>
  <si>
    <t>1000kg 吨包；栈板 + 缠膜</t>
  </si>
  <si>
    <t>交期</t>
  </si>
  <si>
    <t>2026-10-31 前</t>
  </si>
  <si>
    <t>付款条件</t>
  </si>
  <si>
    <t>款到发货（电汇）（我方假设）</t>
  </si>
  <si>
    <t>运输方式</t>
  </si>
  <si>
    <t>汽运整车（我方假设）</t>
  </si>
  <si>
    <t>税费口径</t>
  </si>
  <si>
    <t>待你确认</t>
  </si>
  <si>
    <t>运费口径</t>
  </si>
  <si>
    <t>确认单价</t>
  </si>
  <si>
    <t>待你填写（系统不生成）</t>
  </si>
  <si>
    <t>报价有效期</t>
  </si>
  <si>
    <t>7 天</t>
  </si>
  <si>
    <t>二、进度与阻塞（决定「生成报价草稿」按钮是否可点）</t>
  </si>
  <si>
    <t>必须项已确认</t>
  </si>
  <si>
    <t>4 / 5</t>
  </si>
  <si>
    <t>假设项</t>
  </si>
  <si>
    <t>5 项待客户确认</t>
  </si>
  <si>
    <t>阻塞项</t>
  </si>
  <si>
    <t>5 项</t>
  </si>
  <si>
    <t>能否生成报价草稿</t>
  </si>
  <si>
    <t>否</t>
  </si>
  <si>
    <t>阻塞项清单</t>
  </si>
  <si>
    <t>01</t>
  </si>
  <si>
    <t>待确认：客户名称（当前标记为待客户确认）</t>
  </si>
  <si>
    <t>02</t>
  </si>
  <si>
    <t>待你选择：税费口径</t>
  </si>
  <si>
    <t>03</t>
  </si>
  <si>
    <t>待你选择：运费口径</t>
  </si>
  <si>
    <t>04</t>
  </si>
  <si>
    <t>待你填写：确认单价</t>
  </si>
  <si>
    <t>05</t>
  </si>
  <si>
    <t>待你勾选：确认该单价为我方销售价格</t>
  </si>
  <si>
    <t>三、怎么用这个工作簿</t>
  </si>
  <si>
    <t>① 02 表逐行确认：提取值可改，状态改成「已提取 / 待客户确认 / 我方假设 / 缺」；缺的会一直标黄。</t>
  </si>
  <si>
    <t>② 03 表看两类分桶：A 类（必须补充才能报价）不清完不许报价；B 类（可先按假设准备）按假设出草稿并标注。</t>
  </si>
  <si>
    <t>③ 04 表填你自己确认的单价、税费口径、运费口径——系统不填、不推荐、不生成任何价格。</t>
  </si>
  <si>
    <t>④ 04 表确认栏选「已确认」后，05 表明细的单价/金额才会算出来；未确认时显示「待填单价」。</t>
  </si>
  <si>
    <t>⑤ 05 表是可打印的正式报价版式，单价全部引用 04 表，改一处全表联动。</t>
  </si>
  <si>
    <t>⑥ 06 表是口径与边界，对外发送前请业务负责人过一遍；07 表留素材出处，便于复核。</t>
  </si>
  <si>
    <t>价格红线：本工作簿不含任何默认价、参考价、区间价。单价只来自你在 04 表的输入。</t>
  </si>
  <si>
    <t>说明：教学演示案例：客户、联系人、公司与交易均为虚构。</t>
  </si>
  <si>
    <t>字段确认表 · 逐行点头，缺的会一直标黄</t>
  </si>
  <si>
    <t>提取值可改；出处列是询盘原句（复核用）；状态列请按事实选择——客户没说过的，只能填「待客户确认」或「缺」，不能填「已提取」。</t>
  </si>
  <si>
    <t>#</t>
  </si>
  <si>
    <t>归属</t>
  </si>
  <si>
    <t>字段</t>
  </si>
  <si>
    <t>提取值（可改）</t>
  </si>
  <si>
    <t>出处（询盘原句）</t>
  </si>
  <si>
    <t>素材</t>
  </si>
  <si>
    <t>置信度</t>
  </si>
  <si>
    <t>状态</t>
  </si>
  <si>
    <t>处理建议</t>
  </si>
  <si>
    <t>A 类 · 必须补充后才能报价</t>
  </si>
  <si>
    <t>必须</t>
  </si>
  <si>
    <t>素材02 · 主题：重质纯碱询价（华宇玻璃）——补充几点</t>
  </si>
  <si>
    <t>素材02</t>
  </si>
  <si>
    <t>高</t>
  </si>
  <si>
    <t>已提取</t>
  </si>
  <si>
    <t>与客户确认是否指定牌号/供应商</t>
  </si>
  <si>
    <t>素材01 · 王经理：指标要求：Na2CO3 ≥ 99.2%，Fe2O3 ≤ 0.003%，烧失量 ≤ 0.5%，粒度 180 目筛余 ≤ 5%。</t>
  </si>
  <si>
    <t>素材01</t>
  </si>
  <si>
    <t>把我方标准指标发客户确认，差异项逐条对</t>
  </si>
  <si>
    <t>数量</t>
  </si>
  <si>
    <t>素材01 · 月用量大概 800 吨，先试单 200 吨看看稳定性。</t>
  </si>
  <si>
    <t>拆成试单量 + 月用量两行确认，别用月用量签首单</t>
  </si>
  <si>
    <t>素材02 · 交货地点：江苏省盐城市亭湖区 华宇玻璃一期厂区（需提前一天预约卸车，厂区有地磅）。</t>
  </si>
  <si>
    <t>确认厂区/卸货点、是否需要预约卸车</t>
  </si>
  <si>
    <t>客户名称</t>
  </si>
  <si>
    <t>江苏盐城华宇玻璃</t>
  </si>
  <si>
    <t>素材02 · 江苏盐城华宇玻璃 采购部 王经理；开票抬头我让财务整理好发您。</t>
  </si>
  <si>
    <t>低</t>
  </si>
  <si>
    <t>待客户确认</t>
  </si>
  <si>
    <t>核对开票主体全称与纳税人识别号</t>
  </si>
  <si>
    <t>B 类 · 可先按假设准备</t>
  </si>
  <si>
    <t>假设</t>
  </si>
  <si>
    <t>素材02 · 包装请用 1000kg 吨包，栈板+缠膜，方便叉车卸货。</t>
  </si>
  <si>
    <t>吨包/袋装/槽车会影响成本，客户不指定时按假设并在报价注明</t>
  </si>
  <si>
    <t>素材02 · 试单希望 10 月底前到货；后续按月度计划滚动下单。</t>
  </si>
  <si>
    <t>中</t>
  </si>
  <si>
    <t>确认是到货日还是发货日，扣掉备货期</t>
  </si>
  <si>
    <t>—</t>
  </si>
  <si>
    <t>我方假设</t>
  </si>
  <si>
    <t>先按我方标准口径报，客户要账期须走审批</t>
  </si>
  <si>
    <t>确认整车/零担，卸货条件</t>
  </si>
  <si>
    <t>7 天（我方假设）</t>
  </si>
  <si>
    <t>纯碱随行就市，有效期建议 3~7 天</t>
  </si>
  <si>
    <t>C 类 · 我方口径（必须由你选择，不能从询盘单向提取）</t>
  </si>
  <si>
    <t>素材02：一般纳税人，需 13% 增值税专用发票 → 仅供提示，必须由我方点选确认</t>
  </si>
  <si>
    <t>税费写进报价可避免来回；运费口径直接决定到厂价</t>
  </si>
  <si>
    <t>素材01/02：送到盐城厂区、预约卸车 → 倾向到厂价，但必须由我方点选确认</t>
  </si>
  <si>
    <t>标黄 = 缺失或待确认。A 类不清完不许报价；B 类可以带假设出草稿，但必须在报价里写明「我方假设 · 待客户确认」。</t>
  </si>
  <si>
    <t>缺失项与假设 · 两类分开，决定这单能不能先报</t>
  </si>
  <si>
    <t>现状</t>
  </si>
  <si>
    <t>为什么必须先补</t>
  </si>
  <si>
    <t>由谁补</t>
  </si>
  <si>
    <t>建议问法（可直接发客户）</t>
  </si>
  <si>
    <t>开票主体决定合同与发票抬头</t>
  </si>
  <si>
    <t>客户财务</t>
  </si>
  <si>
    <t>开票主体全称、纳税人识别号、是否需要专票？</t>
  </si>
  <si>
    <t>待你选择</t>
  </si>
  <si>
    <t>含税/不含税、专票/普票决定客户能不能直接比价</t>
  </si>
  <si>
    <t>我方销售 / 财务</t>
  </si>
  <si>
    <t>确认开 13% 专票，还是普票 / 不含税？</t>
  </si>
  <si>
    <t>到厂价与出厂价差的是运费谁承担，报错口径等于报错价</t>
  </si>
  <si>
    <t>确认本次报送到厂价，还是出厂价（客户自提）？</t>
  </si>
  <si>
    <t>没有销售确认的单价，报价单就不能成立</t>
  </si>
  <si>
    <t>我方销售</t>
  </si>
  <si>
    <t>请给出本次销售单价；系统不会给默认价、参考价或区间价。</t>
  </si>
  <si>
    <t>价格确认</t>
  </si>
  <si>
    <t>未勾选</t>
  </si>
  <si>
    <t>确认该单价是我方销售价格，避免把测试数字误发出去</t>
  </si>
  <si>
    <t>报价前勾选「我确认该单价为我方销售价格」；脚本用 --ack。</t>
  </si>
  <si>
    <t>B 类 · 可先按假设准备（报价里必须标注「我方假设 · 待客户确认」）</t>
  </si>
  <si>
    <t>本次采用的假设</t>
  </si>
  <si>
    <t>依据</t>
  </si>
  <si>
    <t>客户改口时的条件</t>
  </si>
  <si>
    <t>风险与提醒</t>
  </si>
  <si>
    <t>客户询盘中已明确，按原话记录；报价仍可按客户要求调整</t>
  </si>
  <si>
    <t>客户指定 25kg 袋或槽车散装时改</t>
  </si>
  <si>
    <t>槽车散装单价更低，但要确认卸车泵与罐容</t>
  </si>
  <si>
    <t>客户要求具体到货日时按排产回签</t>
  </si>
  <si>
    <t>纯碱旺季/检修季要留缓冲，别承诺死日期</t>
  </si>
  <si>
    <t>先按我方标准口径报，账期须审批</t>
  </si>
  <si>
    <t>客户要求月结时走信用审批</t>
  </si>
  <si>
    <t>账期是最大隐性成本，别在报价阶段口头松动</t>
  </si>
  <si>
    <t>汽运整车为主，零担成本高</t>
  </si>
  <si>
    <t>偏远厂区或小批量时改零担/铁路</t>
  </si>
  <si>
    <t>整车与零担差价可能吃掉毛利</t>
  </si>
  <si>
    <t>纯碱随行就市，报价有效期不宜长</t>
  </si>
  <si>
    <t>客户要求锁价时按期货/长约另行审批</t>
  </si>
  <si>
    <t>有效期过长等于单边让出价格调整权</t>
  </si>
  <si>
    <t>待客户确认清单（报价草稿会自动带出这一段）</t>
  </si>
  <si>
    <t>· 客户名称：待客户确认（询盘中未给出）</t>
  </si>
  <si>
    <t>· 付款条件：按我方假设「款到发货（电汇）」，请客户确认</t>
  </si>
  <si>
    <t>· 运输方式：按我方假设「汽运整车」，请客户确认</t>
  </si>
  <si>
    <t>· 报价有效期：本报价按 7 天执行，请客户确认是否足够</t>
  </si>
  <si>
    <t>· 素材01：手写比价表最后一行“1?30”被涂改/遮挡，无法确认是 1,130、1,230 还是 1,630；不猜，请客户补录或忽略。</t>
  </si>
  <si>
    <t>价格与口径 · 只有你填了这里，「生成报价草稿」才算成立</t>
  </si>
  <si>
    <t>本表不接受任何系统预填价格。单价留空 = 待填；填了就代表你确认这是本次成交口径。</t>
  </si>
  <si>
    <t>① 你的确认价格（必填）</t>
  </si>
  <si>
    <t>确认单价（元/吨）</t>
  </si>
  <si>
    <t>留空即待填。纯碱行业单位：元/吨（含税或不含税由下一行口径决定）</t>
  </si>
  <si>
    <t>本次报价数量（吨）</t>
  </si>
  <si>
    <t>默认取询盘里的试单量；改这里只改本次报价，不改询盘字段</t>
  </si>
  <si>
    <t>计价单位</t>
  </si>
  <si>
    <t>吨</t>
  </si>
  <si>
    <t>吨 / kg / 包</t>
  </si>
  <si>
    <t>税率</t>
  </si>
  <si>
    <t>增值税专票 13%（纯碱适用）；小规模/普票请按实际</t>
  </si>
  <si>
    <t>下拉选择；报价文字直接引用这段</t>
  </si>
  <si>
    <t>下拉选择；到厂价含运费，出厂价不含</t>
  </si>
  <si>
    <t>报价有效期（天）</t>
  </si>
  <si>
    <t>纯碱随行就市，建议 3~7 天</t>
  </si>
  <si>
    <t>我方公司抬头</t>
  </si>
  <si>
    <t>写进报价单页眉</t>
  </si>
  <si>
    <t>我方联系人 / 电话</t>
  </si>
  <si>
    <t>写进报价单签署区</t>
  </si>
  <si>
    <t>报价单号</t>
  </si>
  <si>
    <t>QT-20261019-01</t>
  </si>
  <si>
    <t>默认按询盘编号生成，可改</t>
  </si>
  <si>
    <t>确认声明</t>
  </si>
  <si>
    <t>未确认</t>
  </si>
  <si>
    <t>选择「已确认」表示你确认上面的单价是我方销售价格</t>
  </si>
  <si>
    <t>② 系统只做算术：试算（单价未填时显示「待填单价」）</t>
  </si>
  <si>
    <t>计价项目</t>
  </si>
  <si>
    <t>金额（元）</t>
  </si>
  <si>
    <t>说明</t>
  </si>
  <si>
    <t>不含税金额</t>
  </si>
  <si>
    <t>数量 × 单价；含税口径时先剥离税额；口径未选时不算</t>
  </si>
  <si>
    <t>税额</t>
  </si>
  <si>
    <t>不含税金额 × 税率</t>
  </si>
  <si>
    <t>价税合计</t>
  </si>
  <si>
    <t>不含税金额 + 税额</t>
  </si>
  <si>
    <t>红线：系统不提供任何价格建议。单价空着就是空着，报价草稿会一直显示「待你填写」。</t>
  </si>
  <si>
    <t>（我方公司抬头待填写）</t>
  </si>
  <si>
    <t>报 价 单</t>
  </si>
  <si>
    <t>QUOTATION · 草稿（未经我方销售负责人确认不得对外发送）</t>
  </si>
  <si>
    <t>报价日期</t>
  </si>
  <si>
    <t>2026-10-19</t>
  </si>
  <si>
    <t>有效期至</t>
  </si>
  <si>
    <t>2026-10-26</t>
  </si>
  <si>
    <t>致（客户）</t>
  </si>
  <si>
    <t>江苏盐城华宇玻璃（开票全称待客户确认；王经理）</t>
  </si>
  <si>
    <t>我方联系人</t>
  </si>
  <si>
    <t>序号</t>
  </si>
  <si>
    <t>单位</t>
  </si>
  <si>
    <t>单价（元）</t>
  </si>
  <si>
    <t>备注</t>
  </si>
  <si>
    <t>见条款一、二</t>
  </si>
  <si>
    <t>合计（价税合计，元）</t>
  </si>
  <si>
    <t>一、价格与口径</t>
  </si>
  <si>
    <t>1. 税费口径：待我方确认（税率待口径确定后计算）。</t>
  </si>
  <si>
    <t>2. 运费口径：待我方确认（到厂价含运费 / 出厂价不含运费）。</t>
  </si>
  <si>
    <t>3. 单价与价税构成：待我方填写单价并选择税费/运费口径后自动计算；本页不预置任何价格。</t>
  </si>
  <si>
    <t>二、数量与执行口径</t>
  </si>
  <si>
    <t>1. 询盘口径：试单 200 吨；月用量约 800 吨。</t>
  </si>
  <si>
    <t>2. 本报价按 200.00 吨计价；正式合同以双方书面确认数量为准，超出部分按本合同单价另行确认。</t>
  </si>
  <si>
    <t>三、交付条件</t>
  </si>
  <si>
    <t>1. 交货地点：江苏省盐城市亭湖区 华宇玻璃一期厂区。</t>
  </si>
  <si>
    <t>2. 运输方式：汽运整车（我方假设 · 待客户确认）；交期：2026-10-31 前。</t>
  </si>
  <si>
    <t>3. 包装：1000kg 吨包；栈板 + 缠膜。</t>
  </si>
  <si>
    <t>四、付款条件</t>
  </si>
  <si>
    <t>1. 款到发货（电汇）（我方假设 · 待客户确认）</t>
  </si>
  <si>
    <t>五、质量与验收</t>
  </si>
  <si>
    <t>1. 质量指标：按 Na2CO3 ≥ 99.2%；Fe2O3 ≤ 0.003%；烧失量 ≤ 0.5%；180 目筛余 ≤ 5% 执行，随货提供批批 COA。</t>
  </si>
  <si>
    <t>2. 验收：到货后按双方确认的指标验收；异议应在收货后 7 个工作日内书面提出。</t>
  </si>
  <si>
    <t>六、报价有效期</t>
  </si>
  <si>
    <t>1. 本报价自 2026-10-19 起 7 天内有效（至 2026-10-26）。</t>
  </si>
  <si>
    <t>2. 逾期未确认需重新确认价格与交期；原材料大幅波动时我方有权提前书面通知调整。</t>
  </si>
  <si>
    <t>七、待客户确认事项</t>
  </si>
  <si>
    <t>1. 客户名称：待客户确认（询盘中未给出）</t>
  </si>
  <si>
    <t>2. 付款条件：按我方假设「款到发货（电汇）」，请客户确认</t>
  </si>
  <si>
    <t>3. 运输方式：按我方假设「汽运整车」，请客户确认</t>
  </si>
  <si>
    <t>4. 报价有效期：本报价按 7 天执行，请客户确认是否足够</t>
  </si>
  <si>
    <t>5. 素材01：手写比价表最后一行“1?30”被涂改/遮挡，无法确认是 1,130、1,230 还是 1,630；不猜，请客户补录或忽略。</t>
  </si>
  <si>
    <t>八、备注</t>
  </si>
  <si>
    <t>1. 本报价为草稿，须经我方销售负责人审阅后发出。</t>
  </si>
  <si>
    <t>2. 单价与口径由我方业务人员填写并确认；系统未生成、未推荐、未调整任何商业价格。</t>
  </si>
  <si>
    <t>3. 教学演示案例：客户、联系人、公司与交易均为虚构。</t>
  </si>
  <si>
    <t>供方（盖章）：</t>
  </si>
  <si>
    <t>需方（盖章）：</t>
  </si>
  <si>
    <t>日期：　　年　　月　　日</t>
  </si>
  <si>
    <t>生成说明：本页单价/数量/金额引用「04 价格与口径」；系统不生成商业价格，只做算术与排版。</t>
  </si>
  <si>
    <t>口径与边界 · 对外发送前请业务负责人过一遍</t>
  </si>
  <si>
    <t>字段口径</t>
  </si>
  <si>
    <t>项目</t>
  </si>
  <si>
    <t>判定口径</t>
  </si>
  <si>
    <t>怎么做</t>
  </si>
  <si>
    <t>常见坑</t>
  </si>
  <si>
    <t>产品 / 规格</t>
  </si>
  <si>
    <t>只收客户原话</t>
  </si>
  <si>
    <t>重质/轻质、纯度、粒度必须来自询盘；没有就标待客户确认</t>
  </si>
  <si>
    <t>行业惯例不能替代客户指定</t>
  </si>
  <si>
    <t>区分试单量与月用量</t>
  </si>
  <si>
    <t>试单量决定首单价，月用量决定是否长约</t>
  </si>
  <si>
    <t>把月用量写进首单价会做亏</t>
  </si>
  <si>
    <t>由我方选择后生效</t>
  </si>
  <si>
    <t>含税 13% 专票 / 不含税 / 普票</t>
  </si>
  <si>
    <t>纯碱内贸普遍 13% 专票，但对小规模客户可能不同</t>
  </si>
  <si>
    <t>到厂价 vs 出厂价</t>
  </si>
  <si>
    <t>到厂价含运费至指定厂区；出厂价不含</t>
  </si>
  <si>
    <t>纯碱运距长，运费口径错一个字就差几十元/吨</t>
  </si>
  <si>
    <t>两类分桶</t>
  </si>
  <si>
    <t>必须补充（A 类）</t>
  </si>
  <si>
    <t>缺了不能报价</t>
  </si>
  <si>
    <t>产品、规格、数量、交货地点、客户抬头、单价、税费、运费</t>
  </si>
  <si>
    <t>不清完，报价草稿按钮不成立</t>
  </si>
  <si>
    <t>可先按假设（B 类）</t>
  </si>
  <si>
    <t>先出草稿，标注假设</t>
  </si>
  <si>
    <t>包装、交期、付款条件、运输方式、有效期</t>
  </si>
  <si>
    <t>报价中必须写「我方假设 · 待客户确认」</t>
  </si>
  <si>
    <t>三条红线</t>
  </si>
  <si>
    <t>不生成价格</t>
  </si>
  <si>
    <t>单价只能由人填</t>
  </si>
  <si>
    <t>系统无默认价、参考价、区间价、建议价</t>
  </si>
  <si>
    <t>单价空 = 报价草稿显示待填单价</t>
  </si>
  <si>
    <t>不猜缺失字段</t>
  </si>
  <si>
    <t>抽不到就留空</t>
  </si>
  <si>
    <t>不用行业惯例、不用同类客户数据补齐</t>
  </si>
  <si>
    <t>缺失项黄色高亮，标注待客户确认</t>
  </si>
  <si>
    <t>不擅自改口径</t>
  </si>
  <si>
    <t>口径以我方填写为准</t>
  </si>
  <si>
    <t>税/运费口径由业务选择，脚本与界面不改写</t>
  </si>
  <si>
    <t>改口径必须由人操作，留痕在报价单</t>
  </si>
  <si>
    <t>复核要点</t>
  </si>
  <si>
    <t>试单/月用量</t>
  </si>
  <si>
    <t>报价按哪个数量算，必须在报价里写清</t>
  </si>
  <si>
    <t>避免客户按量大压价后只提小单</t>
  </si>
  <si>
    <t>有效期</t>
  </si>
  <si>
    <t>随行就市</t>
  </si>
  <si>
    <t>纯碱价格波动大，建议 3~7 天</t>
  </si>
  <si>
    <t>长期锁价需走审批</t>
  </si>
  <si>
    <t>账期</t>
  </si>
  <si>
    <t>隐性成本</t>
  </si>
  <si>
    <t>付款条件先按我方标准口径报</t>
  </si>
  <si>
    <t>报价阶段口头松动账期是常见亏损源</t>
  </si>
  <si>
    <t>本表为规则说明，不参与计算。修改业务口径请同步 SKILL.md 与 references/。</t>
  </si>
  <si>
    <t>素材与证据 · 每条提取值都能追回原句</t>
  </si>
  <si>
    <t>编号</t>
  </si>
  <si>
    <t>类型</t>
  </si>
  <si>
    <t>文件</t>
  </si>
  <si>
    <t>字数</t>
  </si>
  <si>
    <t>用途</t>
  </si>
  <si>
    <t>微信截图 OCR · 2026-10-18 至 10-19</t>
  </si>
  <si>
    <t>input/微信截图_华宇玻璃.png</t>
  </si>
  <si>
    <t>字段提取依据</t>
  </si>
  <si>
    <t>邮件 · 2026-10-19 14:32</t>
  </si>
  <si>
    <t>input/询盘邮件_华宇玻璃.eml</t>
  </si>
  <si>
    <t>素材03</t>
  </si>
  <si>
    <t>客户需求表 · Excel / PDF 扫描件</t>
  </si>
  <si>
    <t>input/客户需求表_华宇玻璃.xlsx</t>
  </si>
  <si>
    <t>关键原句（字段 → 出处）</t>
  </si>
  <si>
    <t>提取值</t>
  </si>
  <si>
    <t>原句</t>
  </si>
  <si>
    <t>主题：重质纯碱询价（华宇玻璃）——补充几点</t>
  </si>
  <si>
    <t>王经理：指标要求：Na2CO3 ≥ 99.2%，Fe2O3 ≤ 0.003%，烧失量 ≤ 0.5%，粒度 180 目筛余 ≤ 5%。</t>
  </si>
  <si>
    <t>月用量大概 800 吨，先试单 200 吨看看稳定性。</t>
  </si>
  <si>
    <t>交货地点：江苏省盐城市亭湖区 华宇玻璃一期厂区（需提前一天预约卸车，厂区有地磅）。</t>
  </si>
  <si>
    <t>江苏盐城华宇玻璃 采购部 王经理；开票抬头我让财务整理好发您。</t>
  </si>
  <si>
    <t>包装请用 1000kg 吨包，栈板+缠膜，方便叉车卸货。</t>
  </si>
  <si>
    <t>试单希望 10 月底前到货；后续按月度计划滚动下单。</t>
  </si>
  <si>
    <t>无法辨认 / 需补录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</si>
</sst>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30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sz val="10"/>
      <color rgb="FFC9D8F5"/>
      <name val="微软雅黑"/>
      <family val="2"/>
    </font>
    <font>
      <b/>
      <sz val="12"/>
      <color rgb="FF0A2A66"/>
      <name val="微软雅黑"/>
      <family val="2"/>
    </font>
    <font>
      <sz val="10"/>
      <color rgb="FF5B6A82"/>
      <name val="微软雅黑"/>
      <family val="2"/>
    </font>
    <font>
      <b/>
      <sz val="11"/>
      <color rgb="FF101A2C"/>
      <name val="微软雅黑"/>
      <family val="2"/>
    </font>
    <font>
      <b/>
      <sz val="12"/>
      <color rgb="FF9A5B00"/>
      <name val="微软雅黑"/>
      <family val="2"/>
    </font>
    <font>
      <b/>
      <sz val="12"/>
      <color rgb="FF5B6A82"/>
      <name val="微软雅黑"/>
      <family val="2"/>
    </font>
    <font>
      <b/>
      <sz val="12"/>
      <color rgb="FFB42318"/>
      <name val="微软雅黑"/>
      <family val="2"/>
    </font>
    <font>
      <b/>
      <sz val="10.5"/>
      <color rgb="FF0A2A66"/>
      <name val="微软雅黑"/>
      <family val="2"/>
    </font>
    <font>
      <sz val="10.5"/>
      <color rgb="FF101A2C"/>
      <name val="微软雅黑"/>
      <family val="2"/>
    </font>
    <font>
      <sz val="9.5"/>
      <color rgb="FF8D99AD"/>
      <name val="微软雅黑"/>
      <family val="2"/>
    </font>
    <font>
      <b/>
      <sz val="10.5"/>
      <color rgb="FFFFFFFF"/>
      <name val="微软雅黑"/>
      <family val="2"/>
    </font>
    <font>
      <b/>
      <sz val="12"/>
      <color rgb="FFFFFFFF"/>
      <name val="微软雅黑"/>
      <family val="2"/>
    </font>
    <font>
      <b/>
      <sz val="10.5"/>
      <color theme="1"/>
      <name val="微软雅黑"/>
      <family val="2"/>
    </font>
    <font>
      <b/>
      <sz val="10.5"/>
      <color rgb="FF0F7B3F"/>
      <name val="微软雅黑"/>
      <family val="2"/>
    </font>
    <font>
      <b/>
      <sz val="10.5"/>
      <color rgb="FFB42318"/>
      <name val="微软雅黑"/>
      <family val="2"/>
    </font>
    <font>
      <b/>
      <sz val="12"/>
      <color rgb="FFC8963C"/>
      <name val="微软雅黑"/>
      <family val="2"/>
    </font>
    <font>
      <b/>
      <sz val="10.5"/>
      <color rgb="FF9A5B00"/>
      <name val="微软雅黑"/>
      <family val="2"/>
    </font>
    <font>
      <b/>
      <sz val="10.5"/>
      <color rgb="FF1E56C8"/>
      <name val="微软雅黑"/>
      <family val="2"/>
    </font>
    <font>
      <b/>
      <sz val="10.5"/>
      <color rgb="FF5B6A82"/>
      <name val="微软雅黑"/>
      <family val="2"/>
    </font>
    <font>
      <sz val="9"/>
      <color rgb="FFA98545"/>
      <name val="微软雅黑"/>
      <family val="2"/>
    </font>
    <font>
      <sz val="10.5"/>
      <color theme="1"/>
      <name val="微软雅黑"/>
      <family val="2"/>
    </font>
    <font>
      <b/>
      <sz val="10.5"/>
      <color rgb="FF101A2C"/>
      <name val="微软雅黑"/>
      <family val="2"/>
    </font>
    <font>
      <b/>
      <sz val="11"/>
      <color theme="1"/>
      <name val="微软雅黑"/>
      <family val="2"/>
    </font>
    <font>
      <b/>
      <sz val="16"/>
      <color rgb="FF0A2A66"/>
      <name val="微软雅黑"/>
      <family val="2"/>
    </font>
    <font>
      <b/>
      <sz val="22"/>
      <color rgb="FF0A2A66"/>
      <name val="微软雅黑"/>
      <family val="2"/>
    </font>
    <font>
      <b/>
      <sz val="10"/>
      <color rgb="FFFFFFFF"/>
      <name val="微软雅黑"/>
      <family val="2"/>
    </font>
    <font>
      <sz val="10"/>
      <color rgb="FF101A2C"/>
      <name val="微软雅黑"/>
      <family val="2"/>
    </font>
    <font>
      <b/>
      <sz val="11"/>
      <color rgb="FF0A2A66"/>
      <name val="微软雅黑"/>
      <family val="2"/>
    </font>
  </fonts>
  <fills count="13">
    <fill>
      <patternFill patternType="none"/>
    </fill>
    <fill>
      <patternFill patternType="gray125"/>
    </fill>
    <fill>
      <patternFill patternType="solid">
        <fgColor rgb="FF0A2A66"/>
        <bgColor indexed="64"/>
      </patternFill>
    </fill>
    <fill>
      <patternFill patternType="solid">
        <fgColor rgb="FF1E56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2F5E9"/>
        <bgColor indexed="64"/>
      </patternFill>
    </fill>
    <fill>
      <patternFill patternType="solid">
        <fgColor rgb="FFFDE7E4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EDF3FF"/>
        <bgColor indexed="64"/>
      </patternFill>
    </fill>
    <fill>
      <patternFill patternType="solid">
        <fgColor rgb="FFF7F9FD"/>
        <bgColor indexed="64"/>
      </patternFill>
    </fill>
    <fill>
      <patternFill patternType="solid">
        <fgColor rgb="FFFDF0D3"/>
        <bgColor indexed="64"/>
      </patternFill>
    </fill>
    <fill>
      <patternFill patternType="solid">
        <fgColor rgb="FFEEF3FB"/>
        <bgColor indexed="64"/>
      </patternFill>
    </fill>
  </fills>
  <borders count="9">
    <border>
      <left/>
      <right/>
      <top/>
      <bottom/>
      <diagonal/>
    </border>
    <border>
      <left style="thin">
        <color rgb="FFDCE4F0"/>
      </left>
      <right style="thin">
        <color rgb="FFDCE4F0"/>
      </right>
      <top style="thin">
        <color rgb="FFDCE4F0"/>
      </top>
      <bottom style="thin">
        <color rgb="FFDCE4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0C07A"/>
      </left>
      <right style="thin">
        <color rgb="FFE0C07A"/>
      </right>
      <top style="thin">
        <color rgb="FFE0C07A"/>
      </top>
      <bottom style="thin">
        <color rgb="FFE0C07A"/>
      </bottom>
      <diagonal/>
    </border>
    <border>
      <left style="thin">
        <color rgb="FFB7E3C8"/>
      </left>
      <right style="thin">
        <color rgb="FFB7E3C8"/>
      </right>
      <top style="thin">
        <color rgb="FFB7E3C8"/>
      </top>
      <bottom style="thin">
        <color rgb="FFB7E3C8"/>
      </bottom>
      <diagonal/>
    </border>
    <border>
      <left style="thin">
        <color rgb="FFF3C9C3"/>
      </left>
      <right style="thin">
        <color rgb="FFF3C9C3"/>
      </right>
      <top style="thin">
        <color rgb="FFF3C9C3"/>
      </top>
      <bottom style="thin">
        <color rgb="FFF3C9C3"/>
      </bottom>
      <diagonal/>
    </border>
    <border>
      <left style="thin">
        <color rgb="FFE7D9A8"/>
      </left>
      <right style="thin">
        <color rgb="FFE7D9A8"/>
      </right>
      <top style="thin">
        <color rgb="FFE7D9A8"/>
      </top>
      <bottom style="thin">
        <color rgb="FFE7D9A8"/>
      </bottom>
      <diagonal/>
    </border>
    <border>
      <left style="thin">
        <color rgb="FFC9D6EE"/>
      </left>
      <right style="thin">
        <color rgb="FFC9D6EE"/>
      </right>
      <top style="thin">
        <color rgb="FFC9D6EE"/>
      </top>
      <bottom style="thin">
        <color rgb="FFC9D6EE"/>
      </bottom>
      <diagonal/>
    </border>
    <border>
      <left style="thin">
        <color rgb="FFEBC98D"/>
      </left>
      <right style="thin">
        <color rgb="FFEBC98D"/>
      </right>
      <top style="thin">
        <color rgb="FFEBC98D"/>
      </top>
      <bottom style="thin">
        <color rgb="FFEBC98D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horizontal="left" vertical="center" indent="1" wrapText="1"/>
    </xf>
    <xf numFmtId="0" fontId="11" fillId="0" borderId="0" xfId="0" applyFont="1" applyAlignment="1">
      <alignment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 indent="1"/>
    </xf>
    <xf numFmtId="0" fontId="14" fillId="4" borderId="1" xfId="0" applyFont="1" applyFill="1" applyBorder="1" applyAlignment="1">
      <alignment wrapText="1"/>
    </xf>
    <xf numFmtId="0" fontId="10" fillId="5" borderId="3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left" indent="1"/>
    </xf>
    <xf numFmtId="0" fontId="18" fillId="8" borderId="6" xfId="0" applyFont="1" applyFill="1" applyBorder="1" applyAlignment="1">
      <alignment horizontal="center" vertical="center"/>
    </xf>
    <xf numFmtId="0" fontId="14" fillId="7" borderId="1" xfId="0" applyFont="1" applyFill="1" applyBorder="1"/>
    <xf numFmtId="0" fontId="19" fillId="9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0" fillId="10" borderId="1" xfId="0" applyFont="1" applyFill="1" applyBorder="1" applyAlignment="1">
      <alignment vertical="center" wrapText="1"/>
    </xf>
    <xf numFmtId="0" fontId="18" fillId="11" borderId="8" xfId="0" applyFont="1" applyFill="1" applyBorder="1" applyAlignment="1">
      <alignment horizontal="center" vertical="center"/>
    </xf>
    <xf numFmtId="0" fontId="20" fillId="0" borderId="1" xfId="0" applyFont="1" applyBorder="1"/>
    <xf numFmtId="164" fontId="5" fillId="5" borderId="3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165" fontId="10" fillId="5" borderId="3" xfId="0" applyNumberFormat="1" applyFont="1" applyFill="1" applyBorder="1" applyAlignment="1">
      <alignment horizontal="right" vertical="center"/>
    </xf>
    <xf numFmtId="0" fontId="22" fillId="0" borderId="1" xfId="0" applyFont="1" applyBorder="1"/>
    <xf numFmtId="164" fontId="23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0" fontId="24" fillId="12" borderId="1" xfId="0" applyFont="1" applyFill="1" applyBorder="1"/>
    <xf numFmtId="164" fontId="3" fillId="12" borderId="1" xfId="0" applyNumberFormat="1" applyFont="1" applyFill="1" applyBorder="1" applyAlignment="1">
      <alignment horizontal="right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vertical="top" wrapText="1"/>
    </xf>
    <xf numFmtId="164" fontId="28" fillId="0" borderId="1" xfId="0" applyNumberFormat="1" applyFont="1" applyBorder="1" applyAlignment="1">
      <alignment horizontal="right" vertical="top"/>
    </xf>
    <xf numFmtId="0" fontId="23" fillId="12" borderId="1" xfId="0" applyFont="1" applyFill="1" applyBorder="1" applyAlignment="1">
      <alignment horizontal="center" vertical="center"/>
    </xf>
    <xf numFmtId="164" fontId="29" fillId="12" borderId="1" xfId="0" applyNumberFormat="1" applyFont="1" applyFill="1" applyBorder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9A5B00"/>
      </font>
      <fill>
        <patternFill>
          <bgColor rgb="FFFDF0D3"/>
        </patternFill>
      </fill>
      <border>
        <left style="thin">
          <color rgb="FFEBC98D"/>
        </left>
        <right style="thin">
          <color rgb="FFEBC98D"/>
        </right>
        <top style="thin">
          <color rgb="FFEBC98D"/>
        </top>
        <bottom style="thin">
          <color rgb="FFEBC98D"/>
        </bottom>
        <vertical/>
        <horizontal/>
      </border>
    </dxf>
    <dxf>
      <font>
        <b/>
        <color rgb="FFB42318"/>
      </font>
      <fill>
        <patternFill>
          <bgColor rgb="FFFDE7E4"/>
        </patternFill>
      </fill>
      <border>
        <left style="thin">
          <color rgb="FFF3C9C3"/>
        </left>
        <right style="thin">
          <color rgb="FFF3C9C3"/>
        </right>
        <top style="thin">
          <color rgb="FFF3C9C3"/>
        </top>
        <bottom style="thin">
          <color rgb="FFF3C9C3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A2A66"/>
    <pageSetUpPr fitToPage="1"/>
  </sheetPr>
  <dimension ref="B2:G3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30.7109375" customWidth="1"/>
    <col min="4" max="4" width="4.7109375" customWidth="1"/>
    <col min="5" max="5" width="16.7109375" customWidth="1"/>
    <col min="6" max="6" width="30.7109375" customWidth="1"/>
    <col min="7" max="7" width="3.7109375" customWidth="1"/>
  </cols>
  <sheetData>
    <row r="2" spans="2:7" ht="38" customHeight="1">
      <c r="B2" s="1" t="s">
        <v>0</v>
      </c>
      <c r="C2" s="1"/>
      <c r="D2" s="1"/>
      <c r="E2" s="1"/>
      <c r="F2" s="1"/>
    </row>
    <row r="3" spans="2:7" ht="20" customHeight="1">
      <c r="B3" s="2" t="s">
        <v>1</v>
      </c>
      <c r="C3" s="2"/>
      <c r="D3" s="2"/>
      <c r="E3" s="2"/>
      <c r="F3" s="2"/>
    </row>
    <row r="5" spans="2:7">
      <c r="B5" s="3" t="s">
        <v>2</v>
      </c>
      <c r="C5" s="3"/>
      <c r="D5" s="3"/>
      <c r="E5" s="3"/>
      <c r="F5" s="3"/>
      <c r="G5" s="3"/>
    </row>
    <row r="6" spans="2:7" ht="26" customHeight="1">
      <c r="B6" s="4" t="s">
        <v>3</v>
      </c>
      <c r="C6" s="5" t="s">
        <v>4</v>
      </c>
      <c r="E6" s="4" t="s">
        <v>5</v>
      </c>
      <c r="F6" s="5" t="s">
        <v>6</v>
      </c>
    </row>
    <row r="7" spans="2:7" ht="26" customHeight="1">
      <c r="B7" s="4" t="s">
        <v>7</v>
      </c>
      <c r="C7" s="5" t="s">
        <v>8</v>
      </c>
      <c r="E7" s="4" t="s">
        <v>9</v>
      </c>
      <c r="F7" s="5" t="s">
        <v>10</v>
      </c>
    </row>
    <row r="8" spans="2:7" ht="26" customHeight="1">
      <c r="B8" s="4" t="s">
        <v>11</v>
      </c>
      <c r="C8" s="5" t="s">
        <v>12</v>
      </c>
      <c r="E8" s="4" t="s">
        <v>13</v>
      </c>
      <c r="F8" s="5" t="s">
        <v>14</v>
      </c>
    </row>
    <row r="9" spans="2:7" ht="26" customHeight="1">
      <c r="B9" s="4" t="s">
        <v>15</v>
      </c>
      <c r="C9" s="5" t="s">
        <v>16</v>
      </c>
      <c r="E9" s="4" t="s">
        <v>17</v>
      </c>
      <c r="F9" s="5" t="s">
        <v>18</v>
      </c>
    </row>
    <row r="10" spans="2:7" ht="26" customHeight="1">
      <c r="B10" s="4" t="s">
        <v>19</v>
      </c>
      <c r="C10" s="5" t="s">
        <v>20</v>
      </c>
      <c r="E10" s="4" t="s">
        <v>21</v>
      </c>
      <c r="F10" s="5" t="s">
        <v>20</v>
      </c>
    </row>
    <row r="11" spans="2:7" ht="26" customHeight="1">
      <c r="B11" s="4" t="s">
        <v>22</v>
      </c>
      <c r="C11" s="5" t="s">
        <v>23</v>
      </c>
      <c r="E11" s="4" t="s">
        <v>24</v>
      </c>
      <c r="F11" s="5" t="s">
        <v>25</v>
      </c>
    </row>
    <row r="13" spans="2:7">
      <c r="B13" s="3" t="s">
        <v>26</v>
      </c>
      <c r="C13" s="3"/>
      <c r="D13" s="3"/>
      <c r="E13" s="3"/>
      <c r="F13" s="3"/>
      <c r="G13" s="3"/>
    </row>
    <row r="14" spans="2:7">
      <c r="B14" s="4" t="s">
        <v>27</v>
      </c>
      <c r="C14" s="6" t="s">
        <v>28</v>
      </c>
      <c r="D14" s="4" t="s">
        <v>29</v>
      </c>
      <c r="E14" s="7" t="s">
        <v>30</v>
      </c>
    </row>
    <row r="16" spans="2:7">
      <c r="B16" s="4" t="s">
        <v>31</v>
      </c>
      <c r="C16" s="8" t="s">
        <v>32</v>
      </c>
      <c r="D16" s="4" t="s">
        <v>33</v>
      </c>
      <c r="E16" s="8" t="s">
        <v>34</v>
      </c>
    </row>
    <row r="19" spans="2:7">
      <c r="B19" s="9" t="s">
        <v>35</v>
      </c>
      <c r="C19" s="9"/>
      <c r="D19" s="9"/>
      <c r="E19" s="9"/>
      <c r="F19" s="9"/>
      <c r="G19" s="9"/>
    </row>
    <row r="20" spans="2:7" ht="20" customHeight="1">
      <c r="B20" s="10" t="s">
        <v>36</v>
      </c>
      <c r="C20" s="11" t="s">
        <v>37</v>
      </c>
      <c r="D20" s="11"/>
      <c r="E20" s="11"/>
      <c r="F20" s="11"/>
      <c r="G20" s="11"/>
    </row>
    <row r="21" spans="2:7" ht="20" customHeight="1">
      <c r="B21" s="10" t="s">
        <v>38</v>
      </c>
      <c r="C21" s="11" t="s">
        <v>39</v>
      </c>
      <c r="D21" s="11"/>
      <c r="E21" s="11"/>
      <c r="F21" s="11"/>
      <c r="G21" s="11"/>
    </row>
    <row r="22" spans="2:7" ht="20" customHeight="1">
      <c r="B22" s="10" t="s">
        <v>40</v>
      </c>
      <c r="C22" s="11" t="s">
        <v>41</v>
      </c>
      <c r="D22" s="11"/>
      <c r="E22" s="11"/>
      <c r="F22" s="11"/>
      <c r="G22" s="11"/>
    </row>
    <row r="23" spans="2:7" ht="20" customHeight="1">
      <c r="B23" s="10" t="s">
        <v>42</v>
      </c>
      <c r="C23" s="11" t="s">
        <v>43</v>
      </c>
      <c r="D23" s="11"/>
      <c r="E23" s="11"/>
      <c r="F23" s="11"/>
      <c r="G23" s="11"/>
    </row>
    <row r="24" spans="2:7" ht="20" customHeight="1">
      <c r="B24" s="10" t="s">
        <v>44</v>
      </c>
      <c r="C24" s="11" t="s">
        <v>45</v>
      </c>
      <c r="D24" s="11"/>
      <c r="E24" s="11"/>
      <c r="F24" s="11"/>
      <c r="G24" s="11"/>
    </row>
    <row r="26" spans="2:7">
      <c r="B26" s="3" t="s">
        <v>46</v>
      </c>
      <c r="C26" s="3"/>
      <c r="D26" s="3"/>
      <c r="E26" s="3"/>
      <c r="F26" s="3"/>
      <c r="G26" s="3"/>
    </row>
    <row r="27" spans="2:7" ht="22" customHeight="1">
      <c r="B27" s="12" t="s">
        <v>47</v>
      </c>
      <c r="C27" s="12"/>
      <c r="D27" s="12"/>
      <c r="E27" s="12"/>
      <c r="F27" s="12"/>
      <c r="G27" s="12"/>
    </row>
    <row r="28" spans="2:7" ht="22" customHeight="1">
      <c r="B28" s="12" t="s">
        <v>48</v>
      </c>
      <c r="C28" s="12"/>
      <c r="D28" s="12"/>
      <c r="E28" s="12"/>
      <c r="F28" s="12"/>
      <c r="G28" s="12"/>
    </row>
    <row r="29" spans="2:7" ht="22" customHeight="1">
      <c r="B29" s="12" t="s">
        <v>49</v>
      </c>
      <c r="C29" s="12"/>
      <c r="D29" s="12"/>
      <c r="E29" s="12"/>
      <c r="F29" s="12"/>
      <c r="G29" s="12"/>
    </row>
    <row r="30" spans="2:7" ht="22" customHeight="1">
      <c r="B30" s="12" t="s">
        <v>50</v>
      </c>
      <c r="C30" s="12"/>
      <c r="D30" s="12"/>
      <c r="E30" s="12"/>
      <c r="F30" s="12"/>
      <c r="G30" s="12"/>
    </row>
    <row r="31" spans="2:7" ht="22" customHeight="1">
      <c r="B31" s="12" t="s">
        <v>51</v>
      </c>
      <c r="C31" s="12"/>
      <c r="D31" s="12"/>
      <c r="E31" s="12"/>
      <c r="F31" s="12"/>
      <c r="G31" s="12"/>
    </row>
    <row r="32" spans="2:7" ht="22" customHeight="1">
      <c r="B32" s="12" t="s">
        <v>52</v>
      </c>
      <c r="C32" s="12"/>
      <c r="D32" s="12"/>
      <c r="E32" s="12"/>
      <c r="F32" s="12"/>
      <c r="G32" s="12"/>
    </row>
    <row r="34" spans="2:7">
      <c r="B34" s="13" t="s">
        <v>53</v>
      </c>
      <c r="C34" s="13"/>
      <c r="D34" s="13"/>
      <c r="E34" s="13"/>
      <c r="F34" s="13"/>
      <c r="G34" s="13"/>
    </row>
    <row r="35" spans="2:7" ht="24" customHeight="1">
      <c r="B35" s="13" t="s">
        <v>54</v>
      </c>
      <c r="C35" s="13"/>
      <c r="D35" s="13"/>
      <c r="E35" s="13"/>
      <c r="F35" s="13"/>
      <c r="G35" s="13"/>
    </row>
  </sheetData>
  <mergeCells count="19">
    <mergeCell ref="B2:F2"/>
    <mergeCell ref="B3:F3"/>
    <mergeCell ref="B5:G5"/>
    <mergeCell ref="B13:G13"/>
    <mergeCell ref="B19:G19"/>
    <mergeCell ref="C20:G20"/>
    <mergeCell ref="C21:G21"/>
    <mergeCell ref="C22:G22"/>
    <mergeCell ref="C23:G23"/>
    <mergeCell ref="C24:G24"/>
    <mergeCell ref="B26:G26"/>
    <mergeCell ref="B27:G27"/>
    <mergeCell ref="B28:G28"/>
    <mergeCell ref="B29:G29"/>
    <mergeCell ref="B30:G30"/>
    <mergeCell ref="B31:G31"/>
    <mergeCell ref="B32:G32"/>
    <mergeCell ref="B34:G34"/>
    <mergeCell ref="B35:G35"/>
  </mergeCell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56C8"/>
    <pageSetUpPr fitToPage="1"/>
  </sheetPr>
  <dimension ref="A1:I20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5.7109375" customWidth="1"/>
    <col min="2" max="2" width="13.7109375" customWidth="1"/>
    <col min="3" max="3" width="15.7109375" customWidth="1"/>
    <col min="4" max="4" width="34.7109375" customWidth="1"/>
    <col min="5" max="5" width="46.7109375" customWidth="1"/>
    <col min="6" max="6" width="9.7109375" customWidth="1"/>
    <col min="7" max="7" width="7.7109375" customWidth="1"/>
    <col min="8" max="8" width="13.7109375" customWidth="1"/>
    <col min="9" max="9" width="26.7109375" customWidth="1"/>
  </cols>
  <sheetData>
    <row r="1" spans="1:9" ht="34" customHeight="1">
      <c r="A1" s="1" t="s">
        <v>55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56</v>
      </c>
      <c r="B2" s="2"/>
      <c r="C2" s="2"/>
      <c r="D2" s="2"/>
      <c r="E2" s="2"/>
      <c r="F2" s="2"/>
      <c r="G2" s="2"/>
      <c r="H2" s="2"/>
      <c r="I2" s="2"/>
    </row>
    <row r="3" spans="1:9" ht="26" customHeight="1">
      <c r="A3" s="14" t="s">
        <v>57</v>
      </c>
      <c r="B3" s="14" t="s">
        <v>58</v>
      </c>
      <c r="C3" s="14" t="s">
        <v>59</v>
      </c>
      <c r="D3" s="14" t="s">
        <v>60</v>
      </c>
      <c r="E3" s="14" t="s">
        <v>61</v>
      </c>
      <c r="F3" s="14" t="s">
        <v>62</v>
      </c>
      <c r="G3" s="14" t="s">
        <v>63</v>
      </c>
      <c r="H3" s="14" t="s">
        <v>64</v>
      </c>
      <c r="I3" s="14" t="s">
        <v>65</v>
      </c>
    </row>
    <row r="4" spans="1:9" ht="24" customHeight="1">
      <c r="A4" s="15" t="s">
        <v>66</v>
      </c>
      <c r="B4" s="15"/>
      <c r="C4" s="15"/>
      <c r="D4" s="15"/>
      <c r="E4" s="15"/>
      <c r="F4" s="15"/>
      <c r="G4" s="15"/>
      <c r="H4" s="15"/>
      <c r="I4" s="15"/>
    </row>
    <row r="5" spans="1:9" ht="34" customHeight="1">
      <c r="A5" s="10">
        <v>1</v>
      </c>
      <c r="B5" s="10" t="s">
        <v>67</v>
      </c>
      <c r="C5" s="16" t="s">
        <v>3</v>
      </c>
      <c r="D5" s="17" t="s">
        <v>4</v>
      </c>
      <c r="E5" s="13" t="s">
        <v>68</v>
      </c>
      <c r="F5" s="10" t="s">
        <v>69</v>
      </c>
      <c r="G5" s="10" t="s">
        <v>70</v>
      </c>
      <c r="H5" s="18" t="s">
        <v>71</v>
      </c>
      <c r="I5" s="13" t="s">
        <v>72</v>
      </c>
    </row>
    <row r="6" spans="1:9" ht="49" customHeight="1">
      <c r="A6" s="10">
        <v>2</v>
      </c>
      <c r="B6" s="10" t="s">
        <v>67</v>
      </c>
      <c r="C6" s="16" t="s">
        <v>5</v>
      </c>
      <c r="D6" s="17" t="s">
        <v>6</v>
      </c>
      <c r="E6" s="13" t="s">
        <v>73</v>
      </c>
      <c r="F6" s="10" t="s">
        <v>74</v>
      </c>
      <c r="G6" s="10" t="s">
        <v>70</v>
      </c>
      <c r="H6" s="18" t="s">
        <v>71</v>
      </c>
      <c r="I6" s="13" t="s">
        <v>75</v>
      </c>
    </row>
    <row r="7" spans="1:9" ht="34" customHeight="1">
      <c r="A7" s="10">
        <v>3</v>
      </c>
      <c r="B7" s="10" t="s">
        <v>67</v>
      </c>
      <c r="C7" s="16" t="s">
        <v>76</v>
      </c>
      <c r="D7" s="17" t="s">
        <v>8</v>
      </c>
      <c r="E7" s="13" t="s">
        <v>77</v>
      </c>
      <c r="F7" s="10" t="s">
        <v>74</v>
      </c>
      <c r="G7" s="10" t="s">
        <v>70</v>
      </c>
      <c r="H7" s="18" t="s">
        <v>71</v>
      </c>
      <c r="I7" s="13" t="s">
        <v>78</v>
      </c>
    </row>
    <row r="8" spans="1:9" ht="49" customHeight="1">
      <c r="A8" s="10">
        <v>4</v>
      </c>
      <c r="B8" s="10" t="s">
        <v>67</v>
      </c>
      <c r="C8" s="16" t="s">
        <v>9</v>
      </c>
      <c r="D8" s="17" t="s">
        <v>10</v>
      </c>
      <c r="E8" s="13" t="s">
        <v>79</v>
      </c>
      <c r="F8" s="10" t="s">
        <v>69</v>
      </c>
      <c r="G8" s="10" t="s">
        <v>70</v>
      </c>
      <c r="H8" s="18" t="s">
        <v>71</v>
      </c>
      <c r="I8" s="13" t="s">
        <v>80</v>
      </c>
    </row>
    <row r="9" spans="1:9" ht="34" customHeight="1">
      <c r="A9" s="10">
        <v>5</v>
      </c>
      <c r="B9" s="10" t="s">
        <v>67</v>
      </c>
      <c r="C9" s="16" t="s">
        <v>81</v>
      </c>
      <c r="D9" s="17" t="s">
        <v>82</v>
      </c>
      <c r="E9" s="13" t="s">
        <v>83</v>
      </c>
      <c r="F9" s="10" t="s">
        <v>69</v>
      </c>
      <c r="G9" s="10" t="s">
        <v>84</v>
      </c>
      <c r="H9" s="19" t="s">
        <v>85</v>
      </c>
      <c r="I9" s="13" t="s">
        <v>86</v>
      </c>
    </row>
    <row r="10" spans="1:9" ht="24" customHeight="1">
      <c r="A10" s="20" t="s">
        <v>87</v>
      </c>
      <c r="B10" s="20"/>
      <c r="C10" s="20"/>
      <c r="D10" s="20"/>
      <c r="E10" s="20"/>
      <c r="F10" s="20"/>
      <c r="G10" s="20"/>
      <c r="H10" s="20"/>
      <c r="I10" s="20"/>
    </row>
    <row r="11" spans="1:9" ht="34" customHeight="1">
      <c r="A11" s="10">
        <v>7</v>
      </c>
      <c r="B11" s="10" t="s">
        <v>88</v>
      </c>
      <c r="C11" s="16" t="s">
        <v>11</v>
      </c>
      <c r="D11" s="17" t="s">
        <v>12</v>
      </c>
      <c r="E11" s="13" t="s">
        <v>89</v>
      </c>
      <c r="F11" s="10" t="s">
        <v>69</v>
      </c>
      <c r="G11" s="10" t="s">
        <v>70</v>
      </c>
      <c r="H11" s="18" t="s">
        <v>71</v>
      </c>
      <c r="I11" s="13" t="s">
        <v>90</v>
      </c>
    </row>
    <row r="12" spans="1:9" ht="34" customHeight="1">
      <c r="A12" s="10">
        <v>8</v>
      </c>
      <c r="B12" s="10" t="s">
        <v>88</v>
      </c>
      <c r="C12" s="16" t="s">
        <v>13</v>
      </c>
      <c r="D12" s="17" t="s">
        <v>14</v>
      </c>
      <c r="E12" s="13" t="s">
        <v>91</v>
      </c>
      <c r="F12" s="10" t="s">
        <v>69</v>
      </c>
      <c r="G12" s="10" t="s">
        <v>92</v>
      </c>
      <c r="H12" s="18" t="s">
        <v>71</v>
      </c>
      <c r="I12" s="13" t="s">
        <v>93</v>
      </c>
    </row>
    <row r="13" spans="1:9" ht="34" customHeight="1">
      <c r="A13" s="10">
        <v>9</v>
      </c>
      <c r="B13" s="10" t="s">
        <v>88</v>
      </c>
      <c r="C13" s="16" t="s">
        <v>15</v>
      </c>
      <c r="D13" s="17" t="s">
        <v>16</v>
      </c>
      <c r="E13" s="13" t="s">
        <v>94</v>
      </c>
      <c r="F13" s="10" t="s">
        <v>94</v>
      </c>
      <c r="G13" s="10" t="s">
        <v>94</v>
      </c>
      <c r="H13" s="21" t="s">
        <v>95</v>
      </c>
      <c r="I13" s="13" t="s">
        <v>96</v>
      </c>
    </row>
    <row r="14" spans="1:9" ht="34" customHeight="1">
      <c r="A14" s="10">
        <v>10</v>
      </c>
      <c r="B14" s="10" t="s">
        <v>88</v>
      </c>
      <c r="C14" s="16" t="s">
        <v>17</v>
      </c>
      <c r="D14" s="17" t="s">
        <v>18</v>
      </c>
      <c r="E14" s="13" t="s">
        <v>94</v>
      </c>
      <c r="F14" s="10" t="s">
        <v>94</v>
      </c>
      <c r="G14" s="10" t="s">
        <v>94</v>
      </c>
      <c r="H14" s="21" t="s">
        <v>95</v>
      </c>
      <c r="I14" s="13" t="s">
        <v>97</v>
      </c>
    </row>
    <row r="15" spans="1:9" ht="34" customHeight="1">
      <c r="A15" s="10">
        <v>11</v>
      </c>
      <c r="B15" s="10" t="s">
        <v>88</v>
      </c>
      <c r="C15" s="16" t="s">
        <v>24</v>
      </c>
      <c r="D15" s="17" t="s">
        <v>98</v>
      </c>
      <c r="E15" s="13" t="s">
        <v>94</v>
      </c>
      <c r="F15" s="10" t="s">
        <v>94</v>
      </c>
      <c r="G15" s="10" t="s">
        <v>94</v>
      </c>
      <c r="H15" s="21" t="s">
        <v>95</v>
      </c>
      <c r="I15" s="13" t="s">
        <v>99</v>
      </c>
    </row>
    <row r="16" spans="1:9" ht="24" customHeight="1">
      <c r="A16" s="15" t="s">
        <v>100</v>
      </c>
      <c r="B16" s="15"/>
      <c r="C16" s="15"/>
      <c r="D16" s="15"/>
      <c r="E16" s="15"/>
      <c r="F16" s="15"/>
      <c r="G16" s="15"/>
      <c r="H16" s="15"/>
      <c r="I16" s="15"/>
    </row>
    <row r="17" spans="1:9" ht="30" customHeight="1">
      <c r="A17" s="10">
        <v>13</v>
      </c>
      <c r="B17" s="10" t="s">
        <v>67</v>
      </c>
      <c r="C17" s="22" t="s">
        <v>19</v>
      </c>
      <c r="D17" s="17"/>
      <c r="E17" s="13" t="s">
        <v>101</v>
      </c>
      <c r="F17" s="10" t="s">
        <v>94</v>
      </c>
      <c r="G17" s="10" t="s">
        <v>94</v>
      </c>
      <c r="H17" s="23" t="s">
        <v>20</v>
      </c>
      <c r="I17" s="13" t="s">
        <v>102</v>
      </c>
    </row>
    <row r="18" spans="1:9" ht="30" customHeight="1">
      <c r="A18" s="10">
        <v>14</v>
      </c>
      <c r="B18" s="10" t="s">
        <v>67</v>
      </c>
      <c r="C18" s="22" t="s">
        <v>21</v>
      </c>
      <c r="D18" s="17"/>
      <c r="E18" s="13" t="s">
        <v>103</v>
      </c>
      <c r="F18" s="10" t="s">
        <v>94</v>
      </c>
      <c r="G18" s="10" t="s">
        <v>94</v>
      </c>
      <c r="H18" s="23" t="s">
        <v>20</v>
      </c>
      <c r="I18" s="13" t="s">
        <v>102</v>
      </c>
    </row>
    <row r="20" spans="1:9">
      <c r="A20" s="13" t="s">
        <v>104</v>
      </c>
      <c r="B20" s="13"/>
      <c r="C20" s="13"/>
      <c r="D20" s="13"/>
      <c r="E20" s="13"/>
      <c r="F20" s="13"/>
      <c r="G20" s="13"/>
      <c r="H20" s="13"/>
      <c r="I20" s="13"/>
    </row>
  </sheetData>
  <mergeCells count="6">
    <mergeCell ref="A1:I1"/>
    <mergeCell ref="A2:I2"/>
    <mergeCell ref="A4:I4"/>
    <mergeCell ref="A10:I10"/>
    <mergeCell ref="A16:I16"/>
    <mergeCell ref="A20:I20"/>
  </mergeCells>
  <conditionalFormatting sqref="D4:D19">
    <cfRule type="containsBlanks" dxfId="0" priority="3">
      <formula>LEN(TRIM(D4))=0</formula>
    </cfRule>
  </conditionalFormatting>
  <conditionalFormatting sqref="H4:H19">
    <cfRule type="cellIs" dxfId="0" priority="1" operator="equal">
      <formula>"缺"</formula>
    </cfRule>
    <cfRule type="cellIs" dxfId="1" priority="2" operator="equal">
      <formula>"待客户确认"</formula>
    </cfRule>
  </conditionalFormatting>
  <dataValidations count="1">
    <dataValidation type="list" allowBlank="1" showInputMessage="1" showErrorMessage="1" sqref="H4:H19">
      <formula1>"已提取,待客户确认,我方假设,缺"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A5B00"/>
    <pageSetUpPr fitToPage="1"/>
  </sheetPr>
  <dimension ref="A1:E24"/>
  <sheetViews>
    <sheetView showGridLines="0" workbookViewId="0"/>
  </sheetViews>
  <sheetFormatPr defaultRowHeight="15"/>
  <cols>
    <col min="1" max="1" width="16.7109375" customWidth="1"/>
    <col min="2" max="2" width="30.7109375" customWidth="1"/>
    <col min="3" max="3" width="40.7109375" customWidth="1"/>
    <col min="4" max="4" width="16.7109375" customWidth="1"/>
    <col min="5" max="5" width="34.7109375" customWidth="1"/>
  </cols>
  <sheetData>
    <row r="1" spans="1:5" ht="34" customHeight="1">
      <c r="A1" s="1" t="s">
        <v>105</v>
      </c>
      <c r="B1" s="1"/>
      <c r="C1" s="1"/>
      <c r="D1" s="1"/>
      <c r="E1" s="1"/>
    </row>
    <row r="3" spans="1:5">
      <c r="A3" s="15" t="s">
        <v>66</v>
      </c>
      <c r="B3" s="15"/>
      <c r="C3" s="15"/>
      <c r="D3" s="15"/>
      <c r="E3" s="15"/>
    </row>
    <row r="4" spans="1:5" ht="24" customHeight="1">
      <c r="A4" s="14" t="s">
        <v>59</v>
      </c>
      <c r="B4" s="14" t="s">
        <v>106</v>
      </c>
      <c r="C4" s="14" t="s">
        <v>107</v>
      </c>
      <c r="D4" s="14" t="s">
        <v>108</v>
      </c>
      <c r="E4" s="14" t="s">
        <v>109</v>
      </c>
    </row>
    <row r="5" spans="1:5" ht="36" customHeight="1">
      <c r="A5" s="24" t="s">
        <v>81</v>
      </c>
      <c r="B5" s="19" t="s">
        <v>82</v>
      </c>
      <c r="C5" s="11" t="s">
        <v>110</v>
      </c>
      <c r="D5" s="10" t="s">
        <v>111</v>
      </c>
      <c r="E5" s="25" t="s">
        <v>112</v>
      </c>
    </row>
    <row r="6" spans="1:5" ht="36" customHeight="1">
      <c r="A6" s="24" t="s">
        <v>19</v>
      </c>
      <c r="B6" s="26" t="s">
        <v>113</v>
      </c>
      <c r="C6" s="11" t="s">
        <v>114</v>
      </c>
      <c r="D6" s="10" t="s">
        <v>115</v>
      </c>
      <c r="E6" s="25" t="s">
        <v>116</v>
      </c>
    </row>
    <row r="7" spans="1:5" ht="36" customHeight="1">
      <c r="A7" s="24" t="s">
        <v>21</v>
      </c>
      <c r="B7" s="26" t="s">
        <v>113</v>
      </c>
      <c r="C7" s="11" t="s">
        <v>117</v>
      </c>
      <c r="D7" s="10" t="s">
        <v>115</v>
      </c>
      <c r="E7" s="25" t="s">
        <v>118</v>
      </c>
    </row>
    <row r="8" spans="1:5" ht="36" customHeight="1">
      <c r="A8" s="24" t="s">
        <v>22</v>
      </c>
      <c r="B8" s="26" t="s">
        <v>23</v>
      </c>
      <c r="C8" s="11" t="s">
        <v>119</v>
      </c>
      <c r="D8" s="10" t="s">
        <v>120</v>
      </c>
      <c r="E8" s="25" t="s">
        <v>121</v>
      </c>
    </row>
    <row r="9" spans="1:5" ht="36" customHeight="1">
      <c r="A9" s="24" t="s">
        <v>122</v>
      </c>
      <c r="B9" s="26" t="s">
        <v>123</v>
      </c>
      <c r="C9" s="11" t="s">
        <v>124</v>
      </c>
      <c r="D9" s="10" t="s">
        <v>120</v>
      </c>
      <c r="E9" s="25" t="s">
        <v>125</v>
      </c>
    </row>
    <row r="11" spans="1:5">
      <c r="A11" s="15" t="s">
        <v>126</v>
      </c>
      <c r="B11" s="15"/>
      <c r="C11" s="15"/>
      <c r="D11" s="15"/>
      <c r="E11" s="15"/>
    </row>
    <row r="12" spans="1:5" ht="24" customHeight="1">
      <c r="A12" s="14" t="s">
        <v>59</v>
      </c>
      <c r="B12" s="14" t="s">
        <v>127</v>
      </c>
      <c r="C12" s="14" t="s">
        <v>128</v>
      </c>
      <c r="D12" s="14" t="s">
        <v>129</v>
      </c>
      <c r="E12" s="14" t="s">
        <v>130</v>
      </c>
    </row>
    <row r="13" spans="1:5" ht="34" customHeight="1">
      <c r="A13" s="24" t="s">
        <v>11</v>
      </c>
      <c r="B13" s="18" t="s">
        <v>12</v>
      </c>
      <c r="C13" s="11" t="s">
        <v>131</v>
      </c>
      <c r="D13" s="11" t="s">
        <v>132</v>
      </c>
      <c r="E13" s="25" t="s">
        <v>133</v>
      </c>
    </row>
    <row r="14" spans="1:5" ht="34" customHeight="1">
      <c r="A14" s="24" t="s">
        <v>13</v>
      </c>
      <c r="B14" s="18" t="s">
        <v>14</v>
      </c>
      <c r="C14" s="11" t="s">
        <v>131</v>
      </c>
      <c r="D14" s="11" t="s">
        <v>134</v>
      </c>
      <c r="E14" s="25" t="s">
        <v>135</v>
      </c>
    </row>
    <row r="15" spans="1:5" ht="34" customHeight="1">
      <c r="A15" s="24" t="s">
        <v>15</v>
      </c>
      <c r="B15" s="21" t="s">
        <v>16</v>
      </c>
      <c r="C15" s="11" t="s">
        <v>136</v>
      </c>
      <c r="D15" s="11" t="s">
        <v>137</v>
      </c>
      <c r="E15" s="25" t="s">
        <v>138</v>
      </c>
    </row>
    <row r="16" spans="1:5" ht="34" customHeight="1">
      <c r="A16" s="24" t="s">
        <v>17</v>
      </c>
      <c r="B16" s="21" t="s">
        <v>18</v>
      </c>
      <c r="C16" s="11" t="s">
        <v>139</v>
      </c>
      <c r="D16" s="11" t="s">
        <v>140</v>
      </c>
      <c r="E16" s="25" t="s">
        <v>141</v>
      </c>
    </row>
    <row r="17" spans="1:5" ht="34" customHeight="1">
      <c r="A17" s="24" t="s">
        <v>24</v>
      </c>
      <c r="B17" s="21" t="s">
        <v>98</v>
      </c>
      <c r="C17" s="11" t="s">
        <v>142</v>
      </c>
      <c r="D17" s="11" t="s">
        <v>143</v>
      </c>
      <c r="E17" s="25" t="s">
        <v>144</v>
      </c>
    </row>
    <row r="19" spans="1:5">
      <c r="A19" s="9" t="s">
        <v>145</v>
      </c>
      <c r="B19" s="9"/>
      <c r="C19" s="9"/>
      <c r="D19" s="9"/>
      <c r="E19" s="9"/>
    </row>
    <row r="20" spans="1:5" ht="22" customHeight="1">
      <c r="A20" s="11" t="s">
        <v>146</v>
      </c>
      <c r="B20" s="11"/>
      <c r="C20" s="11"/>
      <c r="D20" s="11"/>
      <c r="E20" s="11"/>
    </row>
    <row r="21" spans="1:5" ht="22" customHeight="1">
      <c r="A21" s="11" t="s">
        <v>147</v>
      </c>
      <c r="B21" s="11"/>
      <c r="C21" s="11"/>
      <c r="D21" s="11"/>
      <c r="E21" s="11"/>
    </row>
    <row r="22" spans="1:5" ht="22" customHeight="1">
      <c r="A22" s="11" t="s">
        <v>148</v>
      </c>
      <c r="B22" s="11"/>
      <c r="C22" s="11"/>
      <c r="D22" s="11"/>
      <c r="E22" s="11"/>
    </row>
    <row r="23" spans="1:5" ht="22" customHeight="1">
      <c r="A23" s="11" t="s">
        <v>149</v>
      </c>
      <c r="B23" s="11"/>
      <c r="C23" s="11"/>
      <c r="D23" s="11"/>
      <c r="E23" s="11"/>
    </row>
    <row r="24" spans="1:5" ht="37" customHeight="1">
      <c r="A24" s="11" t="s">
        <v>150</v>
      </c>
      <c r="B24" s="11"/>
      <c r="C24" s="11"/>
      <c r="D24" s="11"/>
      <c r="E24" s="11"/>
    </row>
  </sheetData>
  <mergeCells count="9">
    <mergeCell ref="A1:E1"/>
    <mergeCell ref="A3:E3"/>
    <mergeCell ref="A11:E11"/>
    <mergeCell ref="A19:E19"/>
    <mergeCell ref="A20:E20"/>
    <mergeCell ref="A21:E21"/>
    <mergeCell ref="A22:E22"/>
    <mergeCell ref="A23:E23"/>
    <mergeCell ref="A24:E24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8963C"/>
    <pageSetUpPr fitToPage="1"/>
  </sheetPr>
  <dimension ref="B2:F24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3" width="30.7109375" customWidth="1"/>
    <col min="4" max="4" width="4.7109375" customWidth="1"/>
    <col min="5" max="5" width="34.7109375" customWidth="1"/>
    <col min="6" max="6" width="22.7109375" customWidth="1"/>
  </cols>
  <sheetData>
    <row r="2" spans="2:6" ht="34" customHeight="1">
      <c r="B2" s="1" t="s">
        <v>151</v>
      </c>
      <c r="C2" s="1"/>
      <c r="D2" s="1"/>
      <c r="E2" s="1"/>
      <c r="F2" s="1"/>
    </row>
    <row r="3" spans="2:6" ht="22" customHeight="1">
      <c r="B3" s="2" t="s">
        <v>152</v>
      </c>
      <c r="C3" s="2"/>
      <c r="D3" s="2"/>
      <c r="E3" s="2"/>
      <c r="F3" s="2"/>
    </row>
    <row r="5" spans="2:6">
      <c r="B5" s="3" t="s">
        <v>153</v>
      </c>
      <c r="C5" s="3"/>
    </row>
    <row r="6" spans="2:6" ht="24" customHeight="1">
      <c r="B6" s="27" t="s">
        <v>154</v>
      </c>
      <c r="C6" s="28"/>
      <c r="E6" s="29" t="s">
        <v>155</v>
      </c>
      <c r="F6" s="29"/>
    </row>
    <row r="7" spans="2:6" ht="24" customHeight="1">
      <c r="B7" s="27" t="s">
        <v>156</v>
      </c>
      <c r="C7" s="28">
        <v>200</v>
      </c>
      <c r="E7" s="29" t="s">
        <v>157</v>
      </c>
      <c r="F7" s="29"/>
    </row>
    <row r="8" spans="2:6" ht="24" customHeight="1">
      <c r="B8" s="27" t="s">
        <v>158</v>
      </c>
      <c r="C8" s="17" t="s">
        <v>159</v>
      </c>
      <c r="E8" s="29" t="s">
        <v>160</v>
      </c>
      <c r="F8" s="29"/>
    </row>
    <row r="9" spans="2:6" ht="24" customHeight="1">
      <c r="B9" s="27" t="s">
        <v>161</v>
      </c>
      <c r="C9" s="30">
        <v>0.13</v>
      </c>
      <c r="E9" s="29" t="s">
        <v>162</v>
      </c>
      <c r="F9" s="29"/>
    </row>
    <row r="10" spans="2:6" ht="24" customHeight="1">
      <c r="B10" s="27" t="s">
        <v>19</v>
      </c>
      <c r="C10" s="17"/>
      <c r="E10" s="29" t="s">
        <v>163</v>
      </c>
      <c r="F10" s="29"/>
    </row>
    <row r="11" spans="2:6" ht="24" customHeight="1">
      <c r="B11" s="27" t="s">
        <v>21</v>
      </c>
      <c r="C11" s="17"/>
      <c r="E11" s="29" t="s">
        <v>164</v>
      </c>
      <c r="F11" s="29"/>
    </row>
    <row r="12" spans="2:6" ht="24" customHeight="1">
      <c r="B12" s="27" t="s">
        <v>165</v>
      </c>
      <c r="C12" s="28">
        <v>7</v>
      </c>
      <c r="E12" s="29" t="s">
        <v>166</v>
      </c>
      <c r="F12" s="29"/>
    </row>
    <row r="13" spans="2:6" ht="24" customHeight="1">
      <c r="B13" s="27" t="s">
        <v>167</v>
      </c>
      <c r="C13" s="17"/>
      <c r="E13" s="29" t="s">
        <v>168</v>
      </c>
      <c r="F13" s="29"/>
    </row>
    <row r="14" spans="2:6" ht="24" customHeight="1">
      <c r="B14" s="27" t="s">
        <v>169</v>
      </c>
      <c r="C14" s="17"/>
      <c r="E14" s="29" t="s">
        <v>170</v>
      </c>
      <c r="F14" s="29"/>
    </row>
    <row r="15" spans="2:6" ht="24" customHeight="1">
      <c r="B15" s="27" t="s">
        <v>171</v>
      </c>
      <c r="C15" s="17" t="s">
        <v>172</v>
      </c>
      <c r="E15" s="29" t="s">
        <v>173</v>
      </c>
      <c r="F15" s="29"/>
    </row>
    <row r="16" spans="2:6" ht="24" customHeight="1">
      <c r="B16" s="27" t="s">
        <v>174</v>
      </c>
      <c r="C16" s="17" t="s">
        <v>175</v>
      </c>
      <c r="E16" s="29" t="s">
        <v>176</v>
      </c>
      <c r="F16" s="29"/>
    </row>
    <row r="18" spans="2:6">
      <c r="B18" s="3" t="s">
        <v>177</v>
      </c>
      <c r="C18" s="3"/>
      <c r="D18" s="3"/>
      <c r="E18" s="3"/>
      <c r="F18" s="3"/>
    </row>
    <row r="19" spans="2:6">
      <c r="B19" s="14" t="s">
        <v>178</v>
      </c>
      <c r="C19" s="14" t="s">
        <v>179</v>
      </c>
      <c r="D19" s="14" t="s">
        <v>180</v>
      </c>
      <c r="E19" s="14"/>
      <c r="F19" s="14"/>
    </row>
    <row r="20" spans="2:6">
      <c r="B20" s="31" t="s">
        <v>181</v>
      </c>
      <c r="C20" s="32">
        <f>IF(OR($C$6="",$C$10="",$C$11=""),"待填单价",IF(ISNUMBER(SEARCH("不含税",$C$10)),$C$6*$C$7,$C$6*$C$7/(1+$C$9)))</f>
        <v>0</v>
      </c>
      <c r="D20" s="13" t="s">
        <v>182</v>
      </c>
      <c r="E20" s="13"/>
      <c r="F20" s="13"/>
    </row>
    <row r="21" spans="2:6">
      <c r="B21" s="31" t="s">
        <v>183</v>
      </c>
      <c r="C21" s="33">
        <f>IF(OR($C$6="",$C$10="",$C$11=""),"",$C$20*$C$9)</f>
        <v>0</v>
      </c>
      <c r="D21" s="13" t="s">
        <v>184</v>
      </c>
      <c r="E21" s="13"/>
      <c r="F21" s="13"/>
    </row>
    <row r="22" spans="2:6">
      <c r="B22" s="34" t="s">
        <v>185</v>
      </c>
      <c r="C22" s="35">
        <f>IF(OR($C$6="",$C$10="",$C$11=""),"",$C$20+$C$21)</f>
        <v>0</v>
      </c>
      <c r="D22" s="13" t="s">
        <v>186</v>
      </c>
      <c r="E22" s="13"/>
      <c r="F22" s="13"/>
    </row>
    <row r="24" spans="2:6">
      <c r="B24" s="13" t="s">
        <v>187</v>
      </c>
      <c r="C24" s="13"/>
      <c r="D24" s="13"/>
      <c r="E24" s="13"/>
      <c r="F24" s="13"/>
    </row>
  </sheetData>
  <mergeCells count="20">
    <mergeCell ref="B2:F2"/>
    <mergeCell ref="B3:F3"/>
    <mergeCell ref="B5:C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B18:F18"/>
    <mergeCell ref="D19:F19"/>
    <mergeCell ref="D20:F20"/>
    <mergeCell ref="D21:F21"/>
    <mergeCell ref="D22:F22"/>
    <mergeCell ref="B24:F24"/>
  </mergeCells>
  <dataValidations count="3">
    <dataValidation type="list" allowBlank="1" showInputMessage="1" showErrorMessage="1" sqref="C10">
      <formula1>"含税（13% 增值税专用发票）,含税（9% 增值税专用发票）,含税（3% / 普票）,不含税（税额另计）"</formula1>
    </dataValidation>
    <dataValidation type="list" allowBlank="1" showInputMessage="1" showErrorMessage="1" sqref="C11">
      <formula1>"到厂价（含运费）,出厂价（不含运费）,送到站（含运费至指定站）"</formula1>
    </dataValidation>
    <dataValidation type="list" allowBlank="1" showInputMessage="1" showErrorMessage="1" sqref="C16">
      <formula1>"未确认,已确认"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23A8A"/>
    <pageSetUpPr fitToPage="1"/>
  </sheetPr>
  <dimension ref="B2:I55"/>
  <sheetViews>
    <sheetView showGridLines="0" workbookViewId="0"/>
  </sheetViews>
  <sheetFormatPr defaultRowHeight="15"/>
  <cols>
    <col min="1" max="1" width="3.7109375" customWidth="1"/>
    <col min="2" max="2" width="6.7109375" customWidth="1"/>
    <col min="3" max="3" width="22.7109375" customWidth="1"/>
    <col min="4" max="4" width="26.7109375" customWidth="1"/>
    <col min="5" max="5" width="10.7109375" customWidth="1"/>
    <col min="6" max="6" width="7.7109375" customWidth="1"/>
    <col min="7" max="7" width="14.7109375" customWidth="1"/>
    <col min="8" max="8" width="16.7109375" customWidth="1"/>
    <col min="9" max="9" width="22.7109375" customWidth="1"/>
  </cols>
  <sheetData>
    <row r="2" spans="2:9" ht="30" customHeight="1">
      <c r="B2" s="36" t="s">
        <v>188</v>
      </c>
      <c r="C2" s="36"/>
      <c r="D2" s="36"/>
      <c r="E2" s="36"/>
      <c r="F2" s="36"/>
      <c r="G2" s="36"/>
      <c r="H2" s="36"/>
      <c r="I2" s="36"/>
    </row>
    <row r="3" spans="2:9" ht="36" customHeight="1">
      <c r="B3" s="37" t="s">
        <v>189</v>
      </c>
      <c r="C3" s="37"/>
      <c r="D3" s="37"/>
      <c r="E3" s="37"/>
      <c r="F3" s="37"/>
      <c r="G3" s="37"/>
      <c r="H3" s="37"/>
      <c r="I3" s="37"/>
    </row>
    <row r="4" spans="2:9">
      <c r="B4" s="38" t="s">
        <v>190</v>
      </c>
      <c r="C4" s="38"/>
      <c r="D4" s="38"/>
      <c r="E4" s="38"/>
      <c r="F4" s="38"/>
      <c r="G4" s="38"/>
      <c r="H4" s="38"/>
      <c r="I4" s="38"/>
    </row>
    <row r="5" spans="2:9" ht="22" customHeight="1">
      <c r="B5" s="38" t="s">
        <v>171</v>
      </c>
      <c r="C5" s="39">
        <f>'04 价格与口径'!$C$15</f>
        <v>0</v>
      </c>
      <c r="D5" s="39"/>
      <c r="E5" s="39"/>
      <c r="F5" s="38" t="s">
        <v>191</v>
      </c>
      <c r="G5" s="39" t="s">
        <v>192</v>
      </c>
      <c r="H5" s="38" t="s">
        <v>193</v>
      </c>
      <c r="I5" s="39" t="s">
        <v>194</v>
      </c>
    </row>
    <row r="6" spans="2:9" ht="22" customHeight="1">
      <c r="B6" s="38" t="s">
        <v>195</v>
      </c>
      <c r="C6" s="39" t="s">
        <v>196</v>
      </c>
      <c r="D6" s="39"/>
      <c r="E6" s="39"/>
      <c r="F6" s="39"/>
      <c r="G6" s="38" t="s">
        <v>197</v>
      </c>
      <c r="H6" s="39" t="s">
        <v>94</v>
      </c>
      <c r="I6" s="39"/>
    </row>
    <row r="8" spans="2:9" ht="26" customHeight="1">
      <c r="B8" s="40" t="s">
        <v>198</v>
      </c>
      <c r="C8" s="40" t="s">
        <v>3</v>
      </c>
      <c r="D8" s="40" t="s">
        <v>5</v>
      </c>
      <c r="E8" s="40" t="s">
        <v>76</v>
      </c>
      <c r="F8" s="40" t="s">
        <v>199</v>
      </c>
      <c r="G8" s="40" t="s">
        <v>200</v>
      </c>
      <c r="H8" s="40" t="s">
        <v>179</v>
      </c>
      <c r="I8" s="40" t="s">
        <v>201</v>
      </c>
    </row>
    <row r="9" spans="2:9" ht="49" customHeight="1">
      <c r="B9" s="41">
        <v>1</v>
      </c>
      <c r="C9" s="42" t="s">
        <v>4</v>
      </c>
      <c r="D9" s="42" t="s">
        <v>6</v>
      </c>
      <c r="E9" s="43">
        <f>'04 价格与口径'!$C$7</f>
        <v>0</v>
      </c>
      <c r="F9" s="41">
        <f>'04 价格与口径'!$C$8</f>
        <v>0</v>
      </c>
      <c r="G9" s="43">
        <f>IF(AND('04 价格与口径'!$C$6&lt;&gt;"",'04 价格与口径'!$C$10&lt;&gt;"",'04 价格与口径'!$C$11&lt;&gt;""),'04 价格与口径'!$C$6,"待填单价")</f>
        <v>0</v>
      </c>
      <c r="H9" s="43">
        <f>IF(AND('04 价格与口径'!$C$6&lt;&gt;"",'04 价格与口径'!$C$10&lt;&gt;"",'04 价格与口径'!$C$11&lt;&gt;""),'04 价格与口径'!$C$6*'04 价格与口径'!$C$7,"待填单价")</f>
        <v>0</v>
      </c>
      <c r="I9" s="42" t="s">
        <v>202</v>
      </c>
    </row>
    <row r="10" spans="2:9" ht="26" customHeight="1">
      <c r="B10" s="44" t="s">
        <v>203</v>
      </c>
      <c r="C10" s="44"/>
      <c r="D10" s="44"/>
      <c r="E10" s="44"/>
      <c r="F10" s="44"/>
      <c r="G10" s="44"/>
      <c r="H10" s="45">
        <f>IF(AND('04 价格与口径'!$C$6&lt;&gt;"",'04 价格与口径'!$C$10&lt;&gt;"",'04 价格与口径'!$C$11&lt;&gt;""),'04 价格与口径'!$C$22,"待填单价")</f>
        <v>0</v>
      </c>
      <c r="I10" s="45"/>
    </row>
    <row r="12" spans="2:9" ht="34" customHeight="1">
      <c r="B12" s="42">
        <f>"价格口径："&amp;'04 价格与口径'!$C$10&amp;"；"&amp;'04 价格与口径'!$C$11&amp;"；"&amp;"数量口径："&amp;"试单 200 吨；月用量约 800 吨"</f>
        <v>0</v>
      </c>
      <c r="C12" s="42"/>
      <c r="D12" s="42"/>
      <c r="E12" s="42"/>
      <c r="F12" s="42"/>
      <c r="G12" s="42"/>
      <c r="H12" s="42"/>
      <c r="I12" s="42"/>
    </row>
    <row r="14" spans="2:9" ht="22" customHeight="1">
      <c r="B14" s="46" t="s">
        <v>204</v>
      </c>
      <c r="C14" s="46"/>
      <c r="D14" s="46"/>
      <c r="E14" s="46"/>
      <c r="F14" s="46"/>
      <c r="G14" s="46"/>
      <c r="H14" s="46"/>
      <c r="I14" s="46"/>
    </row>
    <row r="15" spans="2:9" ht="20" customHeight="1">
      <c r="C15" s="42" t="s">
        <v>205</v>
      </c>
      <c r="D15" s="42"/>
      <c r="E15" s="42"/>
      <c r="F15" s="42"/>
      <c r="G15" s="42"/>
      <c r="H15" s="42"/>
      <c r="I15" s="42"/>
    </row>
    <row r="16" spans="2:9" ht="20" customHeight="1">
      <c r="C16" s="42" t="s">
        <v>206</v>
      </c>
      <c r="D16" s="42"/>
      <c r="E16" s="42"/>
      <c r="F16" s="42"/>
      <c r="G16" s="42"/>
      <c r="H16" s="42"/>
      <c r="I16" s="42"/>
    </row>
    <row r="17" spans="2:9" ht="20" customHeight="1">
      <c r="C17" s="42" t="s">
        <v>207</v>
      </c>
      <c r="D17" s="42"/>
      <c r="E17" s="42"/>
      <c r="F17" s="42"/>
      <c r="G17" s="42"/>
      <c r="H17" s="42"/>
      <c r="I17" s="42"/>
    </row>
    <row r="19" spans="2:9" ht="22" customHeight="1">
      <c r="B19" s="46" t="s">
        <v>208</v>
      </c>
      <c r="C19" s="46"/>
      <c r="D19" s="46"/>
      <c r="E19" s="46"/>
      <c r="F19" s="46"/>
      <c r="G19" s="46"/>
      <c r="H19" s="46"/>
      <c r="I19" s="46"/>
    </row>
    <row r="20" spans="2:9" ht="20" customHeight="1">
      <c r="C20" s="42" t="s">
        <v>209</v>
      </c>
      <c r="D20" s="42"/>
      <c r="E20" s="42"/>
      <c r="F20" s="42"/>
      <c r="G20" s="42"/>
      <c r="H20" s="42"/>
      <c r="I20" s="42"/>
    </row>
    <row r="21" spans="2:9" ht="20" customHeight="1">
      <c r="C21" s="42" t="s">
        <v>210</v>
      </c>
      <c r="D21" s="42"/>
      <c r="E21" s="42"/>
      <c r="F21" s="42"/>
      <c r="G21" s="42"/>
      <c r="H21" s="42"/>
      <c r="I21" s="42"/>
    </row>
    <row r="23" spans="2:9" ht="22" customHeight="1">
      <c r="B23" s="46" t="s">
        <v>211</v>
      </c>
      <c r="C23" s="46"/>
      <c r="D23" s="46"/>
      <c r="E23" s="46"/>
      <c r="F23" s="46"/>
      <c r="G23" s="46"/>
      <c r="H23" s="46"/>
      <c r="I23" s="46"/>
    </row>
    <row r="24" spans="2:9" ht="20" customHeight="1">
      <c r="C24" s="42" t="s">
        <v>212</v>
      </c>
      <c r="D24" s="42"/>
      <c r="E24" s="42"/>
      <c r="F24" s="42"/>
      <c r="G24" s="42"/>
      <c r="H24" s="42"/>
      <c r="I24" s="42"/>
    </row>
    <row r="25" spans="2:9" ht="20" customHeight="1">
      <c r="C25" s="42" t="s">
        <v>213</v>
      </c>
      <c r="D25" s="42"/>
      <c r="E25" s="42"/>
      <c r="F25" s="42"/>
      <c r="G25" s="42"/>
      <c r="H25" s="42"/>
      <c r="I25" s="42"/>
    </row>
    <row r="26" spans="2:9" ht="20" customHeight="1">
      <c r="C26" s="42" t="s">
        <v>214</v>
      </c>
      <c r="D26" s="42"/>
      <c r="E26" s="42"/>
      <c r="F26" s="42"/>
      <c r="G26" s="42"/>
      <c r="H26" s="42"/>
      <c r="I26" s="42"/>
    </row>
    <row r="28" spans="2:9" ht="22" customHeight="1">
      <c r="B28" s="46" t="s">
        <v>215</v>
      </c>
      <c r="C28" s="46"/>
      <c r="D28" s="46"/>
      <c r="E28" s="46"/>
      <c r="F28" s="46"/>
      <c r="G28" s="46"/>
      <c r="H28" s="46"/>
      <c r="I28" s="46"/>
    </row>
    <row r="29" spans="2:9" ht="20" customHeight="1">
      <c r="C29" s="42" t="s">
        <v>216</v>
      </c>
      <c r="D29" s="42"/>
      <c r="E29" s="42"/>
      <c r="F29" s="42"/>
      <c r="G29" s="42"/>
      <c r="H29" s="42"/>
      <c r="I29" s="42"/>
    </row>
    <row r="31" spans="2:9" ht="22" customHeight="1">
      <c r="B31" s="46" t="s">
        <v>217</v>
      </c>
      <c r="C31" s="46"/>
      <c r="D31" s="46"/>
      <c r="E31" s="46"/>
      <c r="F31" s="46"/>
      <c r="G31" s="46"/>
      <c r="H31" s="46"/>
      <c r="I31" s="46"/>
    </row>
    <row r="32" spans="2:9" ht="20" customHeight="1">
      <c r="C32" s="42" t="s">
        <v>218</v>
      </c>
      <c r="D32" s="42"/>
      <c r="E32" s="42"/>
      <c r="F32" s="42"/>
      <c r="G32" s="42"/>
      <c r="H32" s="42"/>
      <c r="I32" s="42"/>
    </row>
    <row r="33" spans="2:9" ht="20" customHeight="1">
      <c r="C33" s="42" t="s">
        <v>219</v>
      </c>
      <c r="D33" s="42"/>
      <c r="E33" s="42"/>
      <c r="F33" s="42"/>
      <c r="G33" s="42"/>
      <c r="H33" s="42"/>
      <c r="I33" s="42"/>
    </row>
    <row r="35" spans="2:9" ht="22" customHeight="1">
      <c r="B35" s="46" t="s">
        <v>220</v>
      </c>
      <c r="C35" s="46"/>
      <c r="D35" s="46"/>
      <c r="E35" s="46"/>
      <c r="F35" s="46"/>
      <c r="G35" s="46"/>
      <c r="H35" s="46"/>
      <c r="I35" s="46"/>
    </row>
    <row r="36" spans="2:9" ht="20" customHeight="1">
      <c r="C36" s="42" t="s">
        <v>221</v>
      </c>
      <c r="D36" s="42"/>
      <c r="E36" s="42"/>
      <c r="F36" s="42"/>
      <c r="G36" s="42"/>
      <c r="H36" s="42"/>
      <c r="I36" s="42"/>
    </row>
    <row r="37" spans="2:9" ht="20" customHeight="1">
      <c r="C37" s="42" t="s">
        <v>222</v>
      </c>
      <c r="D37" s="42"/>
      <c r="E37" s="42"/>
      <c r="F37" s="42"/>
      <c r="G37" s="42"/>
      <c r="H37" s="42"/>
      <c r="I37" s="42"/>
    </row>
    <row r="39" spans="2:9" ht="22" customHeight="1">
      <c r="B39" s="46" t="s">
        <v>223</v>
      </c>
      <c r="C39" s="46"/>
      <c r="D39" s="46"/>
      <c r="E39" s="46"/>
      <c r="F39" s="46"/>
      <c r="G39" s="46"/>
      <c r="H39" s="46"/>
      <c r="I39" s="46"/>
    </row>
    <row r="40" spans="2:9" ht="20" customHeight="1">
      <c r="C40" s="42" t="s">
        <v>224</v>
      </c>
      <c r="D40" s="42"/>
      <c r="E40" s="42"/>
      <c r="F40" s="42"/>
      <c r="G40" s="42"/>
      <c r="H40" s="42"/>
      <c r="I40" s="42"/>
    </row>
    <row r="41" spans="2:9" ht="20" customHeight="1">
      <c r="C41" s="42" t="s">
        <v>225</v>
      </c>
      <c r="D41" s="42"/>
      <c r="E41" s="42"/>
      <c r="F41" s="42"/>
      <c r="G41" s="42"/>
      <c r="H41" s="42"/>
      <c r="I41" s="42"/>
    </row>
    <row r="42" spans="2:9" ht="20" customHeight="1">
      <c r="C42" s="42" t="s">
        <v>226</v>
      </c>
      <c r="D42" s="42"/>
      <c r="E42" s="42"/>
      <c r="F42" s="42"/>
      <c r="G42" s="42"/>
      <c r="H42" s="42"/>
      <c r="I42" s="42"/>
    </row>
    <row r="43" spans="2:9" ht="20" customHeight="1">
      <c r="C43" s="42" t="s">
        <v>227</v>
      </c>
      <c r="D43" s="42"/>
      <c r="E43" s="42"/>
      <c r="F43" s="42"/>
      <c r="G43" s="42"/>
      <c r="H43" s="42"/>
      <c r="I43" s="42"/>
    </row>
    <row r="44" spans="2:9" ht="20" customHeight="1">
      <c r="C44" s="42" t="s">
        <v>228</v>
      </c>
      <c r="D44" s="42"/>
      <c r="E44" s="42"/>
      <c r="F44" s="42"/>
      <c r="G44" s="42"/>
      <c r="H44" s="42"/>
      <c r="I44" s="42"/>
    </row>
    <row r="46" spans="2:9" ht="22" customHeight="1">
      <c r="B46" s="46" t="s">
        <v>229</v>
      </c>
      <c r="C46" s="46"/>
      <c r="D46" s="46"/>
      <c r="E46" s="46"/>
      <c r="F46" s="46"/>
      <c r="G46" s="46"/>
      <c r="H46" s="46"/>
      <c r="I46" s="46"/>
    </row>
    <row r="47" spans="2:9" ht="20" customHeight="1">
      <c r="C47" s="42" t="s">
        <v>230</v>
      </c>
      <c r="D47" s="42"/>
      <c r="E47" s="42"/>
      <c r="F47" s="42"/>
      <c r="G47" s="42"/>
      <c r="H47" s="42"/>
      <c r="I47" s="42"/>
    </row>
    <row r="48" spans="2:9" ht="20" customHeight="1">
      <c r="C48" s="42" t="s">
        <v>231</v>
      </c>
      <c r="D48" s="42"/>
      <c r="E48" s="42"/>
      <c r="F48" s="42"/>
      <c r="G48" s="42"/>
      <c r="H48" s="42"/>
      <c r="I48" s="42"/>
    </row>
    <row r="49" spans="2:9" ht="20" customHeight="1">
      <c r="C49" s="42" t="s">
        <v>232</v>
      </c>
      <c r="D49" s="42"/>
      <c r="E49" s="42"/>
      <c r="F49" s="42"/>
      <c r="G49" s="42"/>
      <c r="H49" s="42"/>
      <c r="I49" s="42"/>
    </row>
    <row r="51" spans="2:9">
      <c r="B51" s="47" t="s">
        <v>233</v>
      </c>
      <c r="C51" s="47"/>
      <c r="D51" s="47"/>
      <c r="E51" s="47"/>
      <c r="F51" s="47" t="s">
        <v>234</v>
      </c>
      <c r="G51" s="47"/>
      <c r="H51" s="47"/>
      <c r="I51" s="47"/>
    </row>
    <row r="53" spans="2:9">
      <c r="B53" s="47" t="s">
        <v>235</v>
      </c>
      <c r="C53" s="47"/>
      <c r="D53" s="47"/>
      <c r="E53" s="47"/>
      <c r="F53" s="47" t="s">
        <v>235</v>
      </c>
      <c r="G53" s="47"/>
      <c r="H53" s="47"/>
      <c r="I53" s="47"/>
    </row>
    <row r="55" spans="2:9">
      <c r="B55" s="13" t="s">
        <v>236</v>
      </c>
      <c r="C55" s="13"/>
      <c r="D55" s="13"/>
      <c r="E55" s="13"/>
      <c r="F55" s="13"/>
      <c r="G55" s="13"/>
      <c r="H55" s="13"/>
      <c r="I55" s="13"/>
    </row>
  </sheetData>
  <mergeCells count="42">
    <mergeCell ref="B2:I2"/>
    <mergeCell ref="B3:I3"/>
    <mergeCell ref="B4:I4"/>
    <mergeCell ref="C5:E5"/>
    <mergeCell ref="C6:F6"/>
    <mergeCell ref="H6:I6"/>
    <mergeCell ref="B10:G10"/>
    <mergeCell ref="B12:I12"/>
    <mergeCell ref="B14:I14"/>
    <mergeCell ref="C15:I15"/>
    <mergeCell ref="C16:I16"/>
    <mergeCell ref="C17:I17"/>
    <mergeCell ref="B19:I19"/>
    <mergeCell ref="C20:I20"/>
    <mergeCell ref="C21:I21"/>
    <mergeCell ref="B23:I23"/>
    <mergeCell ref="C24:I24"/>
    <mergeCell ref="C25:I25"/>
    <mergeCell ref="C26:I26"/>
    <mergeCell ref="B28:I28"/>
    <mergeCell ref="C29:I29"/>
    <mergeCell ref="B31:I31"/>
    <mergeCell ref="C32:I32"/>
    <mergeCell ref="C33:I33"/>
    <mergeCell ref="B35:I35"/>
    <mergeCell ref="C36:I36"/>
    <mergeCell ref="C37:I37"/>
    <mergeCell ref="B39:I39"/>
    <mergeCell ref="C40:I40"/>
    <mergeCell ref="C41:I41"/>
    <mergeCell ref="C42:I42"/>
    <mergeCell ref="C43:I43"/>
    <mergeCell ref="C44:I44"/>
    <mergeCell ref="B46:I46"/>
    <mergeCell ref="C47:I47"/>
    <mergeCell ref="C48:I48"/>
    <mergeCell ref="C49:I49"/>
    <mergeCell ref="B51:E51"/>
    <mergeCell ref="F51:I51"/>
    <mergeCell ref="B53:E53"/>
    <mergeCell ref="F53:I53"/>
    <mergeCell ref="B55:I55"/>
  </mergeCell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C8AA1"/>
    <pageSetUpPr fitToPage="1"/>
  </sheetPr>
  <dimension ref="B2:E28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4" width="24.7109375" customWidth="1"/>
    <col min="5" max="5" width="44.7109375" customWidth="1"/>
    <col min="6" max="6" width="3.7109375" customWidth="1"/>
  </cols>
  <sheetData>
    <row r="2" spans="2:5" ht="34" customHeight="1">
      <c r="B2" s="1" t="s">
        <v>237</v>
      </c>
      <c r="C2" s="1"/>
      <c r="D2" s="1"/>
      <c r="E2" s="1"/>
    </row>
    <row r="4" spans="2:5" ht="24" customHeight="1">
      <c r="B4" s="15" t="s">
        <v>238</v>
      </c>
      <c r="C4" s="15"/>
      <c r="D4" s="15"/>
      <c r="E4" s="15"/>
    </row>
    <row r="5" spans="2:5">
      <c r="B5" s="14" t="s">
        <v>239</v>
      </c>
      <c r="C5" s="14" t="s">
        <v>240</v>
      </c>
      <c r="D5" s="14" t="s">
        <v>241</v>
      </c>
      <c r="E5" s="14" t="s">
        <v>242</v>
      </c>
    </row>
    <row r="6" spans="2:5" ht="34" customHeight="1">
      <c r="B6" s="11" t="s">
        <v>243</v>
      </c>
      <c r="C6" s="11" t="s">
        <v>244</v>
      </c>
      <c r="D6" s="25" t="s">
        <v>245</v>
      </c>
      <c r="E6" s="11" t="s">
        <v>246</v>
      </c>
    </row>
    <row r="7" spans="2:5" ht="34" customHeight="1">
      <c r="B7" s="11" t="s">
        <v>76</v>
      </c>
      <c r="C7" s="11" t="s">
        <v>247</v>
      </c>
      <c r="D7" s="25" t="s">
        <v>248</v>
      </c>
      <c r="E7" s="11" t="s">
        <v>249</v>
      </c>
    </row>
    <row r="8" spans="2:5" ht="34" customHeight="1">
      <c r="B8" s="11" t="s">
        <v>19</v>
      </c>
      <c r="C8" s="11" t="s">
        <v>250</v>
      </c>
      <c r="D8" s="25" t="s">
        <v>251</v>
      </c>
      <c r="E8" s="11" t="s">
        <v>252</v>
      </c>
    </row>
    <row r="9" spans="2:5" ht="34" customHeight="1">
      <c r="B9" s="11" t="s">
        <v>21</v>
      </c>
      <c r="C9" s="11" t="s">
        <v>253</v>
      </c>
      <c r="D9" s="25" t="s">
        <v>254</v>
      </c>
      <c r="E9" s="11" t="s">
        <v>255</v>
      </c>
    </row>
    <row r="11" spans="2:5" ht="24" customHeight="1">
      <c r="B11" s="15" t="s">
        <v>256</v>
      </c>
      <c r="C11" s="15"/>
      <c r="D11" s="15"/>
      <c r="E11" s="15"/>
    </row>
    <row r="12" spans="2:5">
      <c r="B12" s="14" t="s">
        <v>239</v>
      </c>
      <c r="C12" s="14" t="s">
        <v>240</v>
      </c>
      <c r="D12" s="14" t="s">
        <v>241</v>
      </c>
      <c r="E12" s="14" t="s">
        <v>242</v>
      </c>
    </row>
    <row r="13" spans="2:5" ht="34" customHeight="1">
      <c r="B13" s="11" t="s">
        <v>257</v>
      </c>
      <c r="C13" s="11" t="s">
        <v>258</v>
      </c>
      <c r="D13" s="25" t="s">
        <v>259</v>
      </c>
      <c r="E13" s="11" t="s">
        <v>260</v>
      </c>
    </row>
    <row r="14" spans="2:5" ht="34" customHeight="1">
      <c r="B14" s="11" t="s">
        <v>261</v>
      </c>
      <c r="C14" s="11" t="s">
        <v>262</v>
      </c>
      <c r="D14" s="25" t="s">
        <v>263</v>
      </c>
      <c r="E14" s="11" t="s">
        <v>264</v>
      </c>
    </row>
    <row r="16" spans="2:5" ht="24" customHeight="1">
      <c r="B16" s="15" t="s">
        <v>265</v>
      </c>
      <c r="C16" s="15"/>
      <c r="D16" s="15"/>
      <c r="E16" s="15"/>
    </row>
    <row r="17" spans="2:5">
      <c r="B17" s="14" t="s">
        <v>239</v>
      </c>
      <c r="C17" s="14" t="s">
        <v>240</v>
      </c>
      <c r="D17" s="14" t="s">
        <v>241</v>
      </c>
      <c r="E17" s="14" t="s">
        <v>242</v>
      </c>
    </row>
    <row r="18" spans="2:5" ht="34" customHeight="1">
      <c r="B18" s="11" t="s">
        <v>266</v>
      </c>
      <c r="C18" s="11" t="s">
        <v>267</v>
      </c>
      <c r="D18" s="25" t="s">
        <v>268</v>
      </c>
      <c r="E18" s="11" t="s">
        <v>269</v>
      </c>
    </row>
    <row r="19" spans="2:5" ht="34" customHeight="1">
      <c r="B19" s="11" t="s">
        <v>270</v>
      </c>
      <c r="C19" s="11" t="s">
        <v>271</v>
      </c>
      <c r="D19" s="25" t="s">
        <v>272</v>
      </c>
      <c r="E19" s="11" t="s">
        <v>273</v>
      </c>
    </row>
    <row r="20" spans="2:5" ht="34" customHeight="1">
      <c r="B20" s="11" t="s">
        <v>274</v>
      </c>
      <c r="C20" s="11" t="s">
        <v>275</v>
      </c>
      <c r="D20" s="25" t="s">
        <v>276</v>
      </c>
      <c r="E20" s="11" t="s">
        <v>277</v>
      </c>
    </row>
    <row r="22" spans="2:5" ht="24" customHeight="1">
      <c r="B22" s="15" t="s">
        <v>278</v>
      </c>
      <c r="C22" s="15"/>
      <c r="D22" s="15"/>
      <c r="E22" s="15"/>
    </row>
    <row r="23" spans="2:5">
      <c r="B23" s="14" t="s">
        <v>239</v>
      </c>
      <c r="C23" s="14" t="s">
        <v>240</v>
      </c>
      <c r="D23" s="14" t="s">
        <v>241</v>
      </c>
      <c r="E23" s="14" t="s">
        <v>242</v>
      </c>
    </row>
    <row r="24" spans="2:5" ht="34" customHeight="1">
      <c r="B24" s="11" t="s">
        <v>7</v>
      </c>
      <c r="C24" s="11" t="s">
        <v>279</v>
      </c>
      <c r="D24" s="25" t="s">
        <v>280</v>
      </c>
      <c r="E24" s="11" t="s">
        <v>281</v>
      </c>
    </row>
    <row r="25" spans="2:5" ht="34" customHeight="1">
      <c r="B25" s="11" t="s">
        <v>282</v>
      </c>
      <c r="C25" s="11" t="s">
        <v>283</v>
      </c>
      <c r="D25" s="25" t="s">
        <v>284</v>
      </c>
      <c r="E25" s="11" t="s">
        <v>285</v>
      </c>
    </row>
    <row r="26" spans="2:5" ht="34" customHeight="1">
      <c r="B26" s="11" t="s">
        <v>286</v>
      </c>
      <c r="C26" s="11" t="s">
        <v>287</v>
      </c>
      <c r="D26" s="25" t="s">
        <v>288</v>
      </c>
      <c r="E26" s="11" t="s">
        <v>289</v>
      </c>
    </row>
    <row r="28" spans="2:5">
      <c r="B28" s="13" t="s">
        <v>290</v>
      </c>
      <c r="C28" s="13"/>
      <c r="D28" s="13"/>
      <c r="E28" s="13"/>
    </row>
  </sheetData>
  <mergeCells count="6">
    <mergeCell ref="B2:E2"/>
    <mergeCell ref="B4:E4"/>
    <mergeCell ref="B11:E11"/>
    <mergeCell ref="B16:E16"/>
    <mergeCell ref="B22:E22"/>
    <mergeCell ref="B28:E28"/>
  </mergeCell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F7B3F"/>
    <pageSetUpPr fitToPage="1"/>
  </sheetPr>
  <dimension ref="A1:E19"/>
  <sheetViews>
    <sheetView showGridLines="0" workbookViewId="0"/>
  </sheetViews>
  <sheetFormatPr defaultRowHeight="15"/>
  <cols>
    <col min="1" max="1" width="8.7109375" customWidth="1"/>
    <col min="2" max="2" width="22.7109375" customWidth="1"/>
    <col min="3" max="3" width="26.7109375" customWidth="1"/>
    <col min="4" max="4" width="12.7109375" customWidth="1"/>
    <col min="5" max="5" width="46.7109375" customWidth="1"/>
  </cols>
  <sheetData>
    <row r="1" spans="1:5" ht="34" customHeight="1">
      <c r="A1" s="1" t="s">
        <v>291</v>
      </c>
      <c r="B1" s="1"/>
      <c r="C1" s="1"/>
      <c r="D1" s="1"/>
      <c r="E1" s="1"/>
    </row>
    <row r="3" spans="1:5">
      <c r="A3" s="14" t="s">
        <v>292</v>
      </c>
      <c r="B3" s="14" t="s">
        <v>293</v>
      </c>
      <c r="C3" s="14" t="s">
        <v>294</v>
      </c>
      <c r="D3" s="14" t="s">
        <v>295</v>
      </c>
      <c r="E3" s="14" t="s">
        <v>296</v>
      </c>
    </row>
    <row r="4" spans="1:5" ht="22" customHeight="1">
      <c r="A4" s="10" t="s">
        <v>74</v>
      </c>
      <c r="B4" s="11" t="s">
        <v>297</v>
      </c>
      <c r="C4" s="11" t="s">
        <v>298</v>
      </c>
      <c r="D4" s="10">
        <v>286</v>
      </c>
      <c r="E4" s="11" t="s">
        <v>299</v>
      </c>
    </row>
    <row r="5" spans="1:5" ht="22" customHeight="1">
      <c r="A5" s="10" t="s">
        <v>69</v>
      </c>
      <c r="B5" s="11" t="s">
        <v>300</v>
      </c>
      <c r="C5" s="11" t="s">
        <v>301</v>
      </c>
      <c r="D5" s="10">
        <v>610</v>
      </c>
      <c r="E5" s="11" t="s">
        <v>299</v>
      </c>
    </row>
    <row r="6" spans="1:5" ht="22" customHeight="1">
      <c r="A6" s="10" t="s">
        <v>302</v>
      </c>
      <c r="B6" s="11" t="s">
        <v>303</v>
      </c>
      <c r="C6" s="11" t="s">
        <v>304</v>
      </c>
      <c r="D6" s="10">
        <v>420</v>
      </c>
      <c r="E6" s="11" t="s">
        <v>299</v>
      </c>
    </row>
    <row r="8" spans="1:5">
      <c r="A8" s="9" t="s">
        <v>305</v>
      </c>
      <c r="B8" s="9"/>
      <c r="C8" s="9"/>
      <c r="D8" s="9"/>
      <c r="E8" s="9"/>
    </row>
    <row r="9" spans="1:5">
      <c r="A9" s="14" t="s">
        <v>59</v>
      </c>
      <c r="B9" s="14" t="s">
        <v>306</v>
      </c>
      <c r="C9" s="14" t="s">
        <v>62</v>
      </c>
      <c r="D9" s="14" t="s">
        <v>63</v>
      </c>
      <c r="E9" s="14" t="s">
        <v>307</v>
      </c>
    </row>
    <row r="10" spans="1:5" ht="26" customHeight="1">
      <c r="A10" s="10" t="s">
        <v>3</v>
      </c>
      <c r="B10" s="11" t="s">
        <v>4</v>
      </c>
      <c r="C10" s="10" t="s">
        <v>69</v>
      </c>
      <c r="D10" s="10" t="s">
        <v>70</v>
      </c>
      <c r="E10" s="13" t="s">
        <v>308</v>
      </c>
    </row>
    <row r="11" spans="1:5" ht="41" customHeight="1">
      <c r="A11" s="10" t="s">
        <v>5</v>
      </c>
      <c r="B11" s="11" t="s">
        <v>6</v>
      </c>
      <c r="C11" s="10" t="s">
        <v>74</v>
      </c>
      <c r="D11" s="10" t="s">
        <v>70</v>
      </c>
      <c r="E11" s="13" t="s">
        <v>309</v>
      </c>
    </row>
    <row r="12" spans="1:5" ht="26" customHeight="1">
      <c r="A12" s="10" t="s">
        <v>76</v>
      </c>
      <c r="B12" s="11" t="s">
        <v>8</v>
      </c>
      <c r="C12" s="10" t="s">
        <v>74</v>
      </c>
      <c r="D12" s="10" t="s">
        <v>70</v>
      </c>
      <c r="E12" s="13" t="s">
        <v>310</v>
      </c>
    </row>
    <row r="13" spans="1:5" ht="26" customHeight="1">
      <c r="A13" s="10" t="s">
        <v>9</v>
      </c>
      <c r="B13" s="11" t="s">
        <v>10</v>
      </c>
      <c r="C13" s="10" t="s">
        <v>69</v>
      </c>
      <c r="D13" s="10" t="s">
        <v>70</v>
      </c>
      <c r="E13" s="13" t="s">
        <v>311</v>
      </c>
    </row>
    <row r="14" spans="1:5" ht="26" customHeight="1">
      <c r="A14" s="10" t="s">
        <v>81</v>
      </c>
      <c r="B14" s="11" t="s">
        <v>82</v>
      </c>
      <c r="C14" s="10" t="s">
        <v>69</v>
      </c>
      <c r="D14" s="10" t="s">
        <v>84</v>
      </c>
      <c r="E14" s="13" t="s">
        <v>312</v>
      </c>
    </row>
    <row r="15" spans="1:5" ht="26" customHeight="1">
      <c r="A15" s="10" t="s">
        <v>11</v>
      </c>
      <c r="B15" s="11" t="s">
        <v>12</v>
      </c>
      <c r="C15" s="10" t="s">
        <v>69</v>
      </c>
      <c r="D15" s="10" t="s">
        <v>70</v>
      </c>
      <c r="E15" s="13" t="s">
        <v>313</v>
      </c>
    </row>
    <row r="16" spans="1:5" ht="26" customHeight="1">
      <c r="A16" s="10" t="s">
        <v>13</v>
      </c>
      <c r="B16" s="11" t="s">
        <v>14</v>
      </c>
      <c r="C16" s="10" t="s">
        <v>69</v>
      </c>
      <c r="D16" s="10" t="s">
        <v>92</v>
      </c>
      <c r="E16" s="13" t="s">
        <v>314</v>
      </c>
    </row>
    <row r="18" spans="1:5">
      <c r="A18" s="9" t="s">
        <v>315</v>
      </c>
      <c r="B18" s="9"/>
      <c r="C18" s="9"/>
      <c r="D18" s="9"/>
      <c r="E18" s="9"/>
    </row>
    <row r="19" spans="1:5" ht="22" customHeight="1">
      <c r="A19" s="26" t="s">
        <v>150</v>
      </c>
      <c r="B19" s="26"/>
      <c r="C19" s="26"/>
      <c r="D19" s="26"/>
      <c r="E19" s="26"/>
    </row>
  </sheetData>
  <mergeCells count="4">
    <mergeCell ref="A1:E1"/>
    <mergeCell ref="A8:E8"/>
    <mergeCell ref="A18:E18"/>
    <mergeCell ref="A19:E19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01 询盘概要</vt:lpstr>
      <vt:lpstr>02 字段确认表</vt:lpstr>
      <vt:lpstr>03 缺失与假设</vt:lpstr>
      <vt:lpstr>04 价格与口径</vt:lpstr>
      <vt:lpstr>05 报价草稿</vt:lpstr>
      <vt:lpstr>06 口径与边界</vt:lpstr>
      <vt:lpstr>07 素材与证据</vt:lpstr>
      <vt:lpstr>'01 询盘概要'!Print_Area</vt:lpstr>
      <vt:lpstr>'02 字段确认表'!Print_Area</vt:lpstr>
      <vt:lpstr>'03 缺失与假设'!Print_Area</vt:lpstr>
      <vt:lpstr>'04 价格与口径'!Print_Area</vt:lpstr>
      <vt:lpstr>'05 报价草稿'!Print_Area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询盘整理与报价草稿</dc:title>
  <dc:subject>江苏盐城华宇玻璃 重质纯碱</dc:subject>
  <dc:creator>inquiry-to-quotation skill</dc:creator>
  <dc:description>系统不生成商业价格；单价由用户填写确认。</dc:description>
  <cp:lastModifiedBy>inquiry-to-quotation skill</cp:lastModifiedBy>
  <dcterms:created xsi:type="dcterms:W3CDTF">2026-10-19T07:07:14Z</dcterms:created>
  <dcterms:modified xsi:type="dcterms:W3CDTF">2026-10-19T07:07:14Z</dcterms:modified>
</cp:coreProperties>
</file>
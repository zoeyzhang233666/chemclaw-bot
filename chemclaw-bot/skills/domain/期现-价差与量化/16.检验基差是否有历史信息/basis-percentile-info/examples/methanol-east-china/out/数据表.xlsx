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基差日度" sheetId="2" state="visible" r:id="rId2"/>
    <sheet xmlns:r="http://schemas.openxmlformats.org/officeDocument/2006/relationships" name="02_滚动分位计算" sheetId="3" state="visible" r:id="rId3"/>
    <sheet xmlns:r="http://schemas.openxmlformats.org/officeDocument/2006/relationships" name="03_前瞻表现" sheetId="4" state="visible" r:id="rId4"/>
    <sheet xmlns:r="http://schemas.openxmlformats.org/officeDocument/2006/relationships" name="04_分组统计" sheetId="5" state="visible" r:id="rId5"/>
    <sheet xmlns:r="http://schemas.openxmlformats.org/officeDocument/2006/relationships" name="05_推断与自助" sheetId="6" state="visible" r:id="rId6"/>
    <sheet xmlns:r="http://schemas.openxmlformats.org/officeDocument/2006/relationships" name="06_敏感性" sheetId="7" state="visible" r:id="rId7"/>
    <sheet xmlns:r="http://schemas.openxmlformats.org/officeDocument/2006/relationships" name="07_稳定性" sheetId="8" state="visible" r:id="rId8"/>
    <sheet xmlns:r="http://schemas.openxmlformats.org/officeDocument/2006/relationships" name="08_偏差清单" sheetId="9" state="visible" r:id="rId9"/>
    <sheet xmlns:r="http://schemas.openxmlformats.org/officeDocument/2006/relationships" name="09_合约映射" sheetId="10" state="visible" r:id="rId10"/>
    <sheet xmlns:r="http://schemas.openxmlformats.org/officeDocument/2006/relationships" name="10_合约日历" sheetId="11" state="visible" r:id="rId11"/>
    <sheet xmlns:r="http://schemas.openxmlformats.org/officeDocument/2006/relationships" name="11_数据源" sheetId="12" state="visible" r:id="rId12"/>
    <sheet xmlns:r="http://schemas.openxmlformats.org/officeDocument/2006/relationships" name="12_核心结论" sheetId="13" state="visible" r:id="rId13"/>
  </sheets>
  <definedNames>
    <definedName name="_xlnm._FilterDatabase" localSheetId="1" hidden="1">'01_基差日度'!$A$4:$Q$1008</definedName>
    <definedName name="_xlnm._FilterDatabase" localSheetId="3" hidden="1">'03_前瞻表现'!$A$4:$AA$1008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00"/>
  </numFmts>
  <fonts count="8">
    <font>
      <name val="Calibri"/>
      <family val="2"/>
      <color theme="1"/>
      <sz val="11"/>
      <scheme val="minor"/>
    </font>
    <font>
      <name val="微软雅黑"/>
      <b val="1"/>
      <color rgb="001F3864"/>
      <sz val="15"/>
    </font>
    <font>
      <name val="微软雅黑"/>
      <color rgb="00595959"/>
      <sz val="10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E75B6"/>
      <sz val="11"/>
    </font>
    <font>
      <name val="微软雅黑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5" fillId="0" borderId="1" pivotButton="0" quotePrefix="0" xfId="0"/>
    <xf numFmtId="164" fontId="5" fillId="0" borderId="1" pivotButton="0" quotePrefix="0" xfId="0"/>
    <xf numFmtId="10" fontId="5" fillId="0" borderId="1" pivotButton="0" quotePrefix="0" xfId="0"/>
    <xf numFmtId="3" fontId="5" fillId="0" borderId="1" pivotButton="0" quotePrefix="0" xfId="0"/>
    <xf numFmtId="165" fontId="5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10" fontId="5" fillId="3" borderId="1" pivotButton="0" quotePrefix="0" xfId="0"/>
    <xf numFmtId="3" fontId="5" fillId="3" borderId="1" pivotButton="0" quotePrefix="0" xfId="0"/>
    <xf numFmtId="165" fontId="5" fillId="3" borderId="1" pivotButton="0" quotePrefix="0" xfId="0"/>
    <xf numFmtId="166" fontId="5" fillId="0" borderId="1" pivotButton="0" quotePrefix="0" xfId="0"/>
    <xf numFmtId="166" fontId="5" fillId="3" borderId="1" pivotButton="0" quotePrefix="0" xfId="0"/>
    <xf numFmtId="0" fontId="4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1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4" customHeight="1">
      <c r="A1" s="1" t="inlineStr">
        <is>
          <t>甲醇基差分位信息检验 · 数据说明与复核口径</t>
        </is>
      </c>
    </row>
    <row r="2">
      <c r="A2" s="2" t="inlineStr">
        <is>
          <t>所有数字均由原始抓取数据本地计算；本工作簿只做历史统计，不含交易建议。</t>
        </is>
      </c>
    </row>
    <row r="4" ht="30" customHeight="1">
      <c r="A4" s="3" t="inlineStr">
        <is>
          <t>项目</t>
        </is>
      </c>
      <c r="B4" s="3" t="inlineStr">
        <is>
          <t>说明</t>
        </is>
      </c>
    </row>
    <row r="5" ht="30" customHeight="1">
      <c r="A5" s="4" t="inlineStr">
        <is>
          <t>研究问题</t>
        </is>
      </c>
      <c r="B5" s="5" t="inlineStr">
        <is>
          <t>基差处于历史高/低分位时，之后 1/2/4 周（及 3/6 月）的现货价格、期货价格与基差各自如何变化。</t>
        </is>
      </c>
    </row>
    <row r="6" ht="30" customHeight="1">
      <c r="A6" s="4" t="inlineStr">
        <is>
          <t>基差定义</t>
        </is>
      </c>
      <c r="B6" s="5" t="inlineStr">
        <is>
          <t>基差 = 现货 − 期货（元/吨）；基差率 = (现货 − 期货) / 现货；基差收益 = 现货收益 − 期货收益。</t>
        </is>
      </c>
    </row>
    <row r="7" ht="30" customHeight="1">
      <c r="A7" s="4" t="inlineStr">
        <is>
          <t>现货口径</t>
        </is>
      </c>
      <c r="B7" s="5" t="inlineStr">
        <is>
          <t>生意社 100ppi「甲醇基准价」——全国口径的含税交易指导价，【非华东/太仓实盘价】，属降级口径。</t>
        </is>
      </c>
    </row>
    <row r="8" ht="30" customHeight="1">
      <c r="A8" s="4" t="inlineStr">
        <is>
          <t>期货口径</t>
        </is>
      </c>
      <c r="B8" s="5" t="inlineStr">
        <is>
          <t>郑商所 MA 逐合约日线，主力连续 = 当日持仓量最大且未到期的合约；换月为旧合约 OI 被超越的次日。</t>
        </is>
      </c>
    </row>
    <row r="9" ht="30" customHeight="1">
      <c r="A9" s="4" t="inlineStr">
        <is>
          <t>滚动分位</t>
        </is>
      </c>
      <c r="B9" s="5" t="inlineStr">
        <is>
          <t>P_t = (#{B_j &lt; B_t} + 0.5·#{B_j = B_t}) / N，j ∈ [t−W, t−1]，严格滞后，不含未来。</t>
        </is>
      </c>
    </row>
    <row r="10" ht="30" customHeight="1">
      <c r="A10" s="4" t="inlineStr">
        <is>
          <t>分组阈值</t>
        </is>
      </c>
      <c r="B10" s="5" t="inlineStr">
        <is>
          <t>低分位 P ≤ k；高分位 P ≥ 1−k；其余为中间分位。默认 k=20%，W=250 交易日。</t>
        </is>
      </c>
    </row>
    <row r="11" ht="30" customHeight="1">
      <c r="A11" s="4" t="inlineStr">
        <is>
          <t>观察期</t>
        </is>
      </c>
      <c r="B11" s="5" t="inlineStr">
        <is>
          <t>1/5/10/20/60/120 个交易日（约 1日/1周/2周/4周/3月/6月）。</t>
        </is>
      </c>
    </row>
    <row r="12" ht="30" customHeight="1">
      <c r="A12" s="4" t="inlineStr">
        <is>
          <t>两种收益口径</t>
        </is>
      </c>
      <c r="B12" s="5" t="inlineStr">
        <is>
          <t>信息检验：分位在 t，收益区间 [t, t+h]；可操作口径：分位 t−h，收益区间 [t−h, t]（时点全已知）。</t>
        </is>
      </c>
    </row>
    <row r="13" ht="30" customHeight="1">
      <c r="A13" s="4" t="inlineStr">
        <is>
          <t>样本区间</t>
        </is>
      </c>
      <c r="B13" s="5" t="inlineStr">
        <is>
          <t>2022-08-17 ~ 2026-10-20，1004 个对齐交易日，101 个合约。</t>
        </is>
      </c>
    </row>
    <row r="14" ht="30" customHeight="1">
      <c r="A14" s="4" t="inlineStr">
        <is>
          <t>分位起始</t>
        </is>
      </c>
      <c r="B14" s="5" t="inlineStr">
        <is>
          <t>2022-09-16（需要 W 个历史点才能算第一个分位）。</t>
        </is>
      </c>
    </row>
    <row r="15" ht="30" customHeight="1">
      <c r="A15" s="4" t="inlineStr">
        <is>
          <t>末端回填</t>
        </is>
      </c>
      <c r="B15" s="5" t="inlineStr">
        <is>
          <t>2025-09-30 之后的 250 个点分位为数据末端回填，时间稳定性检验剔除。</t>
        </is>
      </c>
    </row>
    <row r="16" ht="30" customHeight="1">
      <c r="A16" s="4" t="inlineStr">
        <is>
          <t>自助法</t>
        </is>
      </c>
      <c r="B16" s="5" t="inlineStr">
        <is>
          <t>循环块自助，块长 = h，R = 8000；块长 ≥ 样本半数时判定退化，不给 p 值。</t>
        </is>
      </c>
    </row>
    <row r="17" ht="30" customHeight="1">
      <c r="A17" s="4" t="inlineStr">
        <is>
          <t>重要限制</t>
        </is>
      </c>
      <c r="B17" s="5" t="inlineStr">
        <is>
          <t>① 现货为全国基准价，非华东实盘；② 主力连续在换月日有月差伪跳变；③ 样本仅约 4 年，跨年稳定性功效有限；④ 未扣交易成本。</t>
        </is>
      </c>
    </row>
    <row r="18" ht="30" customHeight="1">
      <c r="A18" s="4" t="inlineStr">
        <is>
          <t>免责</t>
        </is>
      </c>
      <c r="B18" s="5" t="inlineStr">
        <is>
          <t>本工作簿展示历史已实现关系，不是预测，不构成任何交易建议。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2" customWidth="1" min="4" max="4"/>
    <col width="12" customWidth="1" min="5" max="5"/>
    <col width="12" customWidth="1" min="6" max="6"/>
    <col width="9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4" customWidth="1" min="13" max="13"/>
    <col width="9" customWidth="1" min="14" max="14"/>
    <col width="8" customWidth="1" min="15" max="15"/>
    <col width="10" customWidth="1" min="16" max="16"/>
    <col width="12" customWidth="1" min="17" max="17"/>
  </cols>
  <sheetData>
    <row r="1" ht="24" customHeight="1">
      <c r="A1" s="1" t="inlineStr">
        <is>
          <t>01 基差日度序列（主力连续）</t>
        </is>
      </c>
    </row>
    <row r="2">
      <c r="A2" s="2" t="inlineStr">
        <is>
          <t>I 列分位由 Python 按严格滞后窗口计算；J 列用 Excel 公式对 I 列做独立复核（应完全一致）。</t>
        </is>
      </c>
    </row>
    <row r="4" ht="30" customHeight="1">
      <c r="A4" s="3" t="inlineStr">
        <is>
          <t>日期</t>
        </is>
      </c>
      <c r="B4" s="3" t="inlineStr">
        <is>
          <t>合约</t>
        </is>
      </c>
      <c r="C4" s="3" t="inlineStr">
        <is>
          <t>交割月</t>
        </is>
      </c>
      <c r="D4" s="3" t="inlineStr">
        <is>
          <t>现货(元/吨)</t>
        </is>
      </c>
      <c r="E4" s="3" t="inlineStr">
        <is>
          <t>期货(元/吨)</t>
        </is>
      </c>
      <c r="F4" s="3" t="inlineStr">
        <is>
          <t>基差(元/吨)</t>
        </is>
      </c>
      <c r="G4" s="3" t="inlineStr">
        <is>
          <t>基差率</t>
        </is>
      </c>
      <c r="H4" s="3" t="inlineStr">
        <is>
          <t>持仓量</t>
        </is>
      </c>
      <c r="I4" s="3" t="inlineStr">
        <is>
          <t>滚动分位</t>
        </is>
      </c>
      <c r="J4" s="3" t="inlineStr">
        <is>
          <t>分位(公式复核)</t>
        </is>
      </c>
      <c r="K4" s="3" t="inlineStr">
        <is>
          <t>分组</t>
        </is>
      </c>
      <c r="L4" s="3" t="inlineStr">
        <is>
          <t>距最后交易日</t>
        </is>
      </c>
      <c r="M4" s="3" t="inlineStr">
        <is>
          <t>期限结构</t>
        </is>
      </c>
      <c r="N4" s="3" t="inlineStr">
        <is>
          <t>当时已知?</t>
        </is>
      </c>
      <c r="O4" s="3" t="inlineStr">
        <is>
          <t>换月日</t>
        </is>
      </c>
      <c r="P4" s="3" t="inlineStr">
        <is>
          <t>主-次价差</t>
        </is>
      </c>
      <c r="Q4" s="3" t="inlineStr">
        <is>
          <t>标记</t>
        </is>
      </c>
    </row>
    <row r="5">
      <c r="A5" s="6" t="inlineStr">
        <is>
          <t>2022-08-17</t>
        </is>
      </c>
      <c r="B5" s="6" t="inlineStr">
        <is>
          <t>MA2301</t>
        </is>
      </c>
      <c r="C5" s="6" t="inlineStr">
        <is>
          <t>2023-01</t>
        </is>
      </c>
      <c r="D5" s="7" t="n">
        <v>2425</v>
      </c>
      <c r="E5" s="7" t="n">
        <v>2412</v>
      </c>
      <c r="F5" s="7">
        <f>D5-E5</f>
        <v/>
      </c>
      <c r="G5" s="8">
        <f>IF(D5=0,"",(D5-E5)/D5)</f>
        <v/>
      </c>
      <c r="H5" s="9" t="n">
        <v>1054279</v>
      </c>
      <c r="I5" s="10" t="n"/>
      <c r="J5" s="10" t="n"/>
      <c r="K5" s="6" t="n"/>
      <c r="L5" s="6" t="n">
        <v>100</v>
      </c>
      <c r="M5" s="6" t="inlineStr">
        <is>
          <t>结构不明</t>
        </is>
      </c>
      <c r="N5" s="6" t="n">
        <v>1</v>
      </c>
      <c r="O5" s="6" t="n">
        <v>0</v>
      </c>
      <c r="P5" s="7" t="n">
        <v>-3</v>
      </c>
      <c r="Q5" s="6" t="inlineStr"/>
    </row>
    <row r="6">
      <c r="A6" s="11" t="inlineStr">
        <is>
          <t>2022-08-18</t>
        </is>
      </c>
      <c r="B6" s="11" t="inlineStr">
        <is>
          <t>MA2301</t>
        </is>
      </c>
      <c r="C6" s="11" t="inlineStr">
        <is>
          <t>2023-01</t>
        </is>
      </c>
      <c r="D6" s="12" t="n">
        <v>2432.5</v>
      </c>
      <c r="E6" s="12" t="n">
        <v>2420</v>
      </c>
      <c r="F6" s="12">
        <f>D6-E6</f>
        <v/>
      </c>
      <c r="G6" s="13">
        <f>IF(D6=0,"",(D6-E6)/D6)</f>
        <v/>
      </c>
      <c r="H6" s="14" t="n">
        <v>1007268</v>
      </c>
      <c r="I6" s="15" t="n"/>
      <c r="J6" s="15" t="n"/>
      <c r="K6" s="11" t="n"/>
      <c r="L6" s="11" t="n">
        <v>99</v>
      </c>
      <c r="M6" s="11" t="inlineStr">
        <is>
          <t>结构不明</t>
        </is>
      </c>
      <c r="N6" s="11" t="n">
        <v>1</v>
      </c>
      <c r="O6" s="11" t="n">
        <v>0</v>
      </c>
      <c r="P6" s="12" t="n">
        <v>-14</v>
      </c>
      <c r="Q6" s="11" t="inlineStr"/>
    </row>
    <row r="7">
      <c r="A7" s="6" t="inlineStr">
        <is>
          <t>2022-08-19</t>
        </is>
      </c>
      <c r="B7" s="6" t="inlineStr">
        <is>
          <t>MA2301</t>
        </is>
      </c>
      <c r="C7" s="6" t="inlineStr">
        <is>
          <t>2023-01</t>
        </is>
      </c>
      <c r="D7" s="7" t="n">
        <v>2438.75</v>
      </c>
      <c r="E7" s="7" t="n">
        <v>2442</v>
      </c>
      <c r="F7" s="7">
        <f>D7-E7</f>
        <v/>
      </c>
      <c r="G7" s="8">
        <f>IF(D7=0,"",(D7-E7)/D7)</f>
        <v/>
      </c>
      <c r="H7" s="9" t="n">
        <v>1215579</v>
      </c>
      <c r="I7" s="10" t="n"/>
      <c r="J7" s="10" t="n"/>
      <c r="K7" s="6" t="n"/>
      <c r="L7" s="6" t="n">
        <v>98</v>
      </c>
      <c r="M7" s="6" t="inlineStr">
        <is>
          <t>结构不明</t>
        </is>
      </c>
      <c r="N7" s="6" t="n">
        <v>1</v>
      </c>
      <c r="O7" s="6" t="n">
        <v>0</v>
      </c>
      <c r="P7" s="7" t="n">
        <v>3</v>
      </c>
      <c r="Q7" s="6" t="inlineStr"/>
    </row>
    <row r="8">
      <c r="A8" s="11" t="inlineStr">
        <is>
          <t>2022-08-22</t>
        </is>
      </c>
      <c r="B8" s="11" t="inlineStr">
        <is>
          <t>MA2301</t>
        </is>
      </c>
      <c r="C8" s="11" t="inlineStr">
        <is>
          <t>2023-01</t>
        </is>
      </c>
      <c r="D8" s="12" t="n">
        <v>2458.75</v>
      </c>
      <c r="E8" s="12" t="n">
        <v>2488</v>
      </c>
      <c r="F8" s="12">
        <f>D8-E8</f>
        <v/>
      </c>
      <c r="G8" s="13">
        <f>IF(D8=0,"",(D8-E8)/D8)</f>
        <v/>
      </c>
      <c r="H8" s="14" t="n">
        <v>1029496</v>
      </c>
      <c r="I8" s="15" t="n"/>
      <c r="J8" s="15" t="n"/>
      <c r="K8" s="11" t="n"/>
      <c r="L8" s="11" t="n">
        <v>97</v>
      </c>
      <c r="M8" s="11" t="inlineStr">
        <is>
          <t>结构不明</t>
        </is>
      </c>
      <c r="N8" s="11" t="n">
        <v>1</v>
      </c>
      <c r="O8" s="11" t="n">
        <v>0</v>
      </c>
      <c r="P8" s="12" t="n">
        <v>20</v>
      </c>
      <c r="Q8" s="11" t="inlineStr"/>
    </row>
    <row r="9">
      <c r="A9" s="6" t="inlineStr">
        <is>
          <t>2022-08-23</t>
        </is>
      </c>
      <c r="B9" s="6" t="inlineStr">
        <is>
          <t>MA2301</t>
        </is>
      </c>
      <c r="C9" s="6" t="inlineStr">
        <is>
          <t>2023-01</t>
        </is>
      </c>
      <c r="D9" s="7" t="n">
        <v>2475</v>
      </c>
      <c r="E9" s="7" t="n">
        <v>2515</v>
      </c>
      <c r="F9" s="7">
        <f>D9-E9</f>
        <v/>
      </c>
      <c r="G9" s="8">
        <f>IF(D9=0,"",(D9-E9)/D9)</f>
        <v/>
      </c>
      <c r="H9" s="9" t="n">
        <v>1119103</v>
      </c>
      <c r="I9" s="10" t="n"/>
      <c r="J9" s="10" t="n"/>
      <c r="K9" s="6" t="n"/>
      <c r="L9" s="6" t="n">
        <v>96</v>
      </c>
      <c r="M9" s="6" t="inlineStr">
        <is>
          <t>结构不明</t>
        </is>
      </c>
      <c r="N9" s="6" t="n">
        <v>1</v>
      </c>
      <c r="O9" s="6" t="n">
        <v>0</v>
      </c>
      <c r="P9" s="7" t="n">
        <v>36</v>
      </c>
      <c r="Q9" s="6" t="inlineStr"/>
    </row>
    <row r="10">
      <c r="A10" s="11" t="inlineStr">
        <is>
          <t>2022-08-24</t>
        </is>
      </c>
      <c r="B10" s="11" t="inlineStr">
        <is>
          <t>MA2301</t>
        </is>
      </c>
      <c r="C10" s="11" t="inlineStr">
        <is>
          <t>2023-01</t>
        </is>
      </c>
      <c r="D10" s="12" t="n">
        <v>2483.33</v>
      </c>
      <c r="E10" s="12" t="n">
        <v>2529</v>
      </c>
      <c r="F10" s="12">
        <f>D10-E10</f>
        <v/>
      </c>
      <c r="G10" s="13">
        <f>IF(D10=0,"",(D10-E10)/D10)</f>
        <v/>
      </c>
      <c r="H10" s="14" t="n">
        <v>967858</v>
      </c>
      <c r="I10" s="15" t="n"/>
      <c r="J10" s="15" t="n"/>
      <c r="K10" s="11" t="n"/>
      <c r="L10" s="11" t="n">
        <v>95</v>
      </c>
      <c r="M10" s="11" t="inlineStr">
        <is>
          <t>结构不明</t>
        </is>
      </c>
      <c r="N10" s="11" t="n">
        <v>1</v>
      </c>
      <c r="O10" s="11" t="n">
        <v>0</v>
      </c>
      <c r="P10" s="12" t="n">
        <v>43</v>
      </c>
      <c r="Q10" s="11" t="inlineStr"/>
    </row>
    <row r="11">
      <c r="A11" s="6" t="inlineStr">
        <is>
          <t>2022-08-25</t>
        </is>
      </c>
      <c r="B11" s="6" t="inlineStr">
        <is>
          <t>MA2301</t>
        </is>
      </c>
      <c r="C11" s="6" t="inlineStr">
        <is>
          <t>2023-01</t>
        </is>
      </c>
      <c r="D11" s="7" t="n">
        <v>2512.5</v>
      </c>
      <c r="E11" s="7" t="n">
        <v>2557</v>
      </c>
      <c r="F11" s="7">
        <f>D11-E11</f>
        <v/>
      </c>
      <c r="G11" s="8">
        <f>IF(D11=0,"",(D11-E11)/D11)</f>
        <v/>
      </c>
      <c r="H11" s="9" t="n">
        <v>1100653</v>
      </c>
      <c r="I11" s="10" t="n"/>
      <c r="J11" s="10" t="n"/>
      <c r="K11" s="6" t="n"/>
      <c r="L11" s="6" t="n">
        <v>94</v>
      </c>
      <c r="M11" s="6" t="inlineStr">
        <is>
          <t>结构不明</t>
        </is>
      </c>
      <c r="N11" s="6" t="n">
        <v>1</v>
      </c>
      <c r="O11" s="6" t="n">
        <v>0</v>
      </c>
      <c r="P11" s="7" t="n">
        <v>49</v>
      </c>
      <c r="Q11" s="6" t="inlineStr"/>
    </row>
    <row r="12">
      <c r="A12" s="11" t="inlineStr">
        <is>
          <t>2022-08-26</t>
        </is>
      </c>
      <c r="B12" s="11" t="inlineStr">
        <is>
          <t>MA2301</t>
        </is>
      </c>
      <c r="C12" s="11" t="inlineStr">
        <is>
          <t>2023-01</t>
        </is>
      </c>
      <c r="D12" s="12" t="n">
        <v>2568.75</v>
      </c>
      <c r="E12" s="12" t="n">
        <v>2621</v>
      </c>
      <c r="F12" s="12">
        <f>D12-E12</f>
        <v/>
      </c>
      <c r="G12" s="13">
        <f>IF(D12=0,"",(D12-E12)/D12)</f>
        <v/>
      </c>
      <c r="H12" s="14" t="n">
        <v>1046575</v>
      </c>
      <c r="I12" s="15" t="n"/>
      <c r="J12" s="15" t="n"/>
      <c r="K12" s="11" t="n"/>
      <c r="L12" s="11" t="n">
        <v>93</v>
      </c>
      <c r="M12" s="11" t="inlineStr">
        <is>
          <t>结构不明</t>
        </is>
      </c>
      <c r="N12" s="11" t="n">
        <v>1</v>
      </c>
      <c r="O12" s="11" t="n">
        <v>0</v>
      </c>
      <c r="P12" s="12" t="n">
        <v>70</v>
      </c>
      <c r="Q12" s="11" t="inlineStr"/>
    </row>
    <row r="13">
      <c r="A13" s="6" t="inlineStr">
        <is>
          <t>2022-08-29</t>
        </is>
      </c>
      <c r="B13" s="6" t="inlineStr">
        <is>
          <t>MA2301</t>
        </is>
      </c>
      <c r="C13" s="6" t="inlineStr">
        <is>
          <t>2023-01</t>
        </is>
      </c>
      <c r="D13" s="7" t="n">
        <v>2539</v>
      </c>
      <c r="E13" s="7" t="n">
        <v>2584</v>
      </c>
      <c r="F13" s="7">
        <f>D13-E13</f>
        <v/>
      </c>
      <c r="G13" s="8">
        <f>IF(D13=0,"",(D13-E13)/D13)</f>
        <v/>
      </c>
      <c r="H13" s="9" t="n">
        <v>1087635</v>
      </c>
      <c r="I13" s="10" t="n"/>
      <c r="J13" s="10" t="n"/>
      <c r="K13" s="6" t="n"/>
      <c r="L13" s="6" t="n">
        <v>92</v>
      </c>
      <c r="M13" s="6" t="inlineStr">
        <is>
          <t>结构不明</t>
        </is>
      </c>
      <c r="N13" s="6" t="n">
        <v>1</v>
      </c>
      <c r="O13" s="6" t="n">
        <v>0</v>
      </c>
      <c r="P13" s="7" t="n">
        <v>50</v>
      </c>
      <c r="Q13" s="6" t="inlineStr"/>
    </row>
    <row r="14">
      <c r="A14" s="11" t="inlineStr">
        <is>
          <t>2022-08-30</t>
        </is>
      </c>
      <c r="B14" s="11" t="inlineStr">
        <is>
          <t>MA2301</t>
        </is>
      </c>
      <c r="C14" s="11" t="inlineStr">
        <is>
          <t>2023-01</t>
        </is>
      </c>
      <c r="D14" s="12" t="n">
        <v>2550</v>
      </c>
      <c r="E14" s="12" t="n">
        <v>2589</v>
      </c>
      <c r="F14" s="12">
        <f>D14-E14</f>
        <v/>
      </c>
      <c r="G14" s="13">
        <f>IF(D14=0,"",(D14-E14)/D14)</f>
        <v/>
      </c>
      <c r="H14" s="14" t="n">
        <v>1043019</v>
      </c>
      <c r="I14" s="15" t="n"/>
      <c r="J14" s="15" t="n"/>
      <c r="K14" s="11" t="n"/>
      <c r="L14" s="11" t="n">
        <v>91</v>
      </c>
      <c r="M14" s="11" t="inlineStr">
        <is>
          <t>结构不明</t>
        </is>
      </c>
      <c r="N14" s="11" t="n">
        <v>1</v>
      </c>
      <c r="O14" s="11" t="n">
        <v>0</v>
      </c>
      <c r="P14" s="12" t="n">
        <v>47</v>
      </c>
      <c r="Q14" s="11" t="inlineStr"/>
    </row>
    <row r="15">
      <c r="A15" s="6" t="inlineStr">
        <is>
          <t>2022-08-31</t>
        </is>
      </c>
      <c r="B15" s="6" t="inlineStr">
        <is>
          <t>MA2301</t>
        </is>
      </c>
      <c r="C15" s="6" t="inlineStr">
        <is>
          <t>2023-01</t>
        </is>
      </c>
      <c r="D15" s="7" t="n">
        <v>2540</v>
      </c>
      <c r="E15" s="7" t="n">
        <v>2574</v>
      </c>
      <c r="F15" s="7">
        <f>D15-E15</f>
        <v/>
      </c>
      <c r="G15" s="8">
        <f>IF(D15=0,"",(D15-E15)/D15)</f>
        <v/>
      </c>
      <c r="H15" s="9" t="n">
        <v>1077235</v>
      </c>
      <c r="I15" s="10" t="n"/>
      <c r="J15" s="10" t="n"/>
      <c r="K15" s="6" t="n"/>
      <c r="L15" s="6" t="n">
        <v>90</v>
      </c>
      <c r="M15" s="6" t="inlineStr">
        <is>
          <t>结构不明</t>
        </is>
      </c>
      <c r="N15" s="6" t="n">
        <v>1</v>
      </c>
      <c r="O15" s="6" t="n">
        <v>0</v>
      </c>
      <c r="P15" s="7" t="n">
        <v>70</v>
      </c>
      <c r="Q15" s="6" t="inlineStr"/>
    </row>
    <row r="16">
      <c r="A16" s="11" t="inlineStr">
        <is>
          <t>2022-09-01</t>
        </is>
      </c>
      <c r="B16" s="11" t="inlineStr">
        <is>
          <t>MA2301</t>
        </is>
      </c>
      <c r="C16" s="11" t="inlineStr">
        <is>
          <t>2023-01</t>
        </is>
      </c>
      <c r="D16" s="12" t="n">
        <v>2528</v>
      </c>
      <c r="E16" s="12" t="n">
        <v>2566</v>
      </c>
      <c r="F16" s="12">
        <f>D16-E16</f>
        <v/>
      </c>
      <c r="G16" s="13">
        <f>IF(D16=0,"",(D16-E16)/D16)</f>
        <v/>
      </c>
      <c r="H16" s="14" t="n">
        <v>1038401</v>
      </c>
      <c r="I16" s="15" t="n"/>
      <c r="J16" s="15" t="n"/>
      <c r="K16" s="11" t="n"/>
      <c r="L16" s="11" t="n">
        <v>89</v>
      </c>
      <c r="M16" s="11" t="inlineStr">
        <is>
          <t>结构不明</t>
        </is>
      </c>
      <c r="N16" s="11" t="n">
        <v>1</v>
      </c>
      <c r="O16" s="11" t="n">
        <v>0</v>
      </c>
      <c r="P16" s="12" t="n">
        <v>64</v>
      </c>
      <c r="Q16" s="11" t="inlineStr"/>
    </row>
    <row r="17">
      <c r="A17" s="6" t="inlineStr">
        <is>
          <t>2022-09-02</t>
        </is>
      </c>
      <c r="B17" s="6" t="inlineStr">
        <is>
          <t>MA2301</t>
        </is>
      </c>
      <c r="C17" s="6" t="inlineStr">
        <is>
          <t>2023-01</t>
        </is>
      </c>
      <c r="D17" s="7" t="n">
        <v>2553.75</v>
      </c>
      <c r="E17" s="7" t="n">
        <v>2585</v>
      </c>
      <c r="F17" s="7">
        <f>D17-E17</f>
        <v/>
      </c>
      <c r="G17" s="8">
        <f>IF(D17=0,"",(D17-E17)/D17)</f>
        <v/>
      </c>
      <c r="H17" s="9" t="n">
        <v>1175383</v>
      </c>
      <c r="I17" s="10" t="n"/>
      <c r="J17" s="10" t="n"/>
      <c r="K17" s="6" t="n"/>
      <c r="L17" s="6" t="n">
        <v>88</v>
      </c>
      <c r="M17" s="6" t="inlineStr">
        <is>
          <t>结构不明</t>
        </is>
      </c>
      <c r="N17" s="6" t="n">
        <v>1</v>
      </c>
      <c r="O17" s="6" t="n">
        <v>0</v>
      </c>
      <c r="P17" s="7" t="n">
        <v>65</v>
      </c>
      <c r="Q17" s="6" t="inlineStr"/>
    </row>
    <row r="18">
      <c r="A18" s="11" t="inlineStr">
        <is>
          <t>2022-09-05</t>
        </is>
      </c>
      <c r="B18" s="11" t="inlineStr">
        <is>
          <t>MA2301</t>
        </is>
      </c>
      <c r="C18" s="11" t="inlineStr">
        <is>
          <t>2023-01</t>
        </is>
      </c>
      <c r="D18" s="12" t="n">
        <v>2598.75</v>
      </c>
      <c r="E18" s="12" t="n">
        <v>2621</v>
      </c>
      <c r="F18" s="12">
        <f>D18-E18</f>
        <v/>
      </c>
      <c r="G18" s="13">
        <f>IF(D18=0,"",(D18-E18)/D18)</f>
        <v/>
      </c>
      <c r="H18" s="14" t="n">
        <v>1096098</v>
      </c>
      <c r="I18" s="15" t="n"/>
      <c r="J18" s="15" t="n"/>
      <c r="K18" s="11" t="n"/>
      <c r="L18" s="11" t="n">
        <v>87</v>
      </c>
      <c r="M18" s="11" t="inlineStr">
        <is>
          <t>结构不明</t>
        </is>
      </c>
      <c r="N18" s="11" t="n">
        <v>1</v>
      </c>
      <c r="O18" s="11" t="n">
        <v>0</v>
      </c>
      <c r="P18" s="12" t="n">
        <v>61</v>
      </c>
      <c r="Q18" s="11" t="inlineStr"/>
    </row>
    <row r="19">
      <c r="A19" s="6" t="inlineStr">
        <is>
          <t>2022-09-06</t>
        </is>
      </c>
      <c r="B19" s="6" t="inlineStr">
        <is>
          <t>MA2301</t>
        </is>
      </c>
      <c r="C19" s="6" t="inlineStr">
        <is>
          <t>2023-01</t>
        </is>
      </c>
      <c r="D19" s="7" t="n">
        <v>2672</v>
      </c>
      <c r="E19" s="7" t="n">
        <v>2704</v>
      </c>
      <c r="F19" s="7">
        <f>D19-E19</f>
        <v/>
      </c>
      <c r="G19" s="8">
        <f>IF(D19=0,"",(D19-E19)/D19)</f>
        <v/>
      </c>
      <c r="H19" s="9" t="n">
        <v>1251405</v>
      </c>
      <c r="I19" s="10" t="n"/>
      <c r="J19" s="10" t="n"/>
      <c r="K19" s="6" t="n"/>
      <c r="L19" s="6" t="n">
        <v>86</v>
      </c>
      <c r="M19" s="6" t="inlineStr">
        <is>
          <t>结构不明</t>
        </is>
      </c>
      <c r="N19" s="6" t="n">
        <v>1</v>
      </c>
      <c r="O19" s="6" t="n">
        <v>0</v>
      </c>
      <c r="P19" s="7" t="n">
        <v>104</v>
      </c>
      <c r="Q19" s="6" t="inlineStr"/>
    </row>
    <row r="20">
      <c r="A20" s="11" t="inlineStr">
        <is>
          <t>2022-09-07</t>
        </is>
      </c>
      <c r="B20" s="11" t="inlineStr">
        <is>
          <t>MA2301</t>
        </is>
      </c>
      <c r="C20" s="11" t="inlineStr">
        <is>
          <t>2023-01</t>
        </is>
      </c>
      <c r="D20" s="12" t="n">
        <v>2648</v>
      </c>
      <c r="E20" s="12" t="n">
        <v>2674</v>
      </c>
      <c r="F20" s="12">
        <f>D20-E20</f>
        <v/>
      </c>
      <c r="G20" s="13">
        <f>IF(D20=0,"",(D20-E20)/D20)</f>
        <v/>
      </c>
      <c r="H20" s="14" t="n">
        <v>1133567</v>
      </c>
      <c r="I20" s="15" t="n"/>
      <c r="J20" s="15" t="n"/>
      <c r="K20" s="11" t="n"/>
      <c r="L20" s="11" t="n">
        <v>85</v>
      </c>
      <c r="M20" s="11" t="inlineStr">
        <is>
          <t>结构不明</t>
        </is>
      </c>
      <c r="N20" s="11" t="n">
        <v>1</v>
      </c>
      <c r="O20" s="11" t="n">
        <v>0</v>
      </c>
      <c r="P20" s="12" t="n">
        <v>74</v>
      </c>
      <c r="Q20" s="11" t="inlineStr"/>
    </row>
    <row r="21">
      <c r="A21" s="6" t="inlineStr">
        <is>
          <t>2022-09-08</t>
        </is>
      </c>
      <c r="B21" s="6" t="inlineStr">
        <is>
          <t>MA2301</t>
        </is>
      </c>
      <c r="C21" s="6" t="inlineStr">
        <is>
          <t>2023-01</t>
        </is>
      </c>
      <c r="D21" s="7" t="n">
        <v>2668.75</v>
      </c>
      <c r="E21" s="7" t="n">
        <v>2692</v>
      </c>
      <c r="F21" s="7">
        <f>D21-E21</f>
        <v/>
      </c>
      <c r="G21" s="8">
        <f>IF(D21=0,"",(D21-E21)/D21)</f>
        <v/>
      </c>
      <c r="H21" s="9" t="n">
        <v>1237415</v>
      </c>
      <c r="I21" s="10" t="n"/>
      <c r="J21" s="10" t="n"/>
      <c r="K21" s="6" t="n"/>
      <c r="L21" s="6" t="n">
        <v>84</v>
      </c>
      <c r="M21" s="6" t="inlineStr">
        <is>
          <t>结构不明</t>
        </is>
      </c>
      <c r="N21" s="6" t="n">
        <v>1</v>
      </c>
      <c r="O21" s="6" t="n">
        <v>0</v>
      </c>
      <c r="P21" s="7" t="n">
        <v>80</v>
      </c>
      <c r="Q21" s="6" t="inlineStr"/>
    </row>
    <row r="22">
      <c r="A22" s="11" t="inlineStr">
        <is>
          <t>2022-09-09</t>
        </is>
      </c>
      <c r="B22" s="11" t="inlineStr">
        <is>
          <t>MA2301</t>
        </is>
      </c>
      <c r="C22" s="11" t="inlineStr">
        <is>
          <t>2023-01</t>
        </is>
      </c>
      <c r="D22" s="12" t="n">
        <v>2712.5</v>
      </c>
      <c r="E22" s="12" t="n">
        <v>2740</v>
      </c>
      <c r="F22" s="12">
        <f>D22-E22</f>
        <v/>
      </c>
      <c r="G22" s="13">
        <f>IF(D22=0,"",(D22-E22)/D22)</f>
        <v/>
      </c>
      <c r="H22" s="14" t="n">
        <v>1189239</v>
      </c>
      <c r="I22" s="15" t="n"/>
      <c r="J22" s="15" t="n"/>
      <c r="K22" s="11" t="n"/>
      <c r="L22" s="11" t="n">
        <v>83</v>
      </c>
      <c r="M22" s="11" t="inlineStr">
        <is>
          <t>结构不明</t>
        </is>
      </c>
      <c r="N22" s="11" t="n">
        <v>1</v>
      </c>
      <c r="O22" s="11" t="n">
        <v>0</v>
      </c>
      <c r="P22" s="12" t="n">
        <v>90</v>
      </c>
      <c r="Q22" s="11" t="inlineStr"/>
    </row>
    <row r="23">
      <c r="A23" s="6" t="inlineStr">
        <is>
          <t>2022-09-14</t>
        </is>
      </c>
      <c r="B23" s="6" t="inlineStr">
        <is>
          <t>MA2301</t>
        </is>
      </c>
      <c r="C23" s="6" t="inlineStr">
        <is>
          <t>2023-01</t>
        </is>
      </c>
      <c r="D23" s="7" t="n">
        <v>2711.25</v>
      </c>
      <c r="E23" s="7" t="n">
        <v>2724</v>
      </c>
      <c r="F23" s="7">
        <f>D23-E23</f>
        <v/>
      </c>
      <c r="G23" s="8">
        <f>IF(D23=0,"",(D23-E23)/D23)</f>
        <v/>
      </c>
      <c r="H23" s="9" t="n">
        <v>1311043</v>
      </c>
      <c r="I23" s="10" t="n"/>
      <c r="J23" s="10" t="n"/>
      <c r="K23" s="6" t="n"/>
      <c r="L23" s="6" t="n">
        <v>81</v>
      </c>
      <c r="M23" s="6" t="inlineStr">
        <is>
          <t>结构不明</t>
        </is>
      </c>
      <c r="N23" s="6" t="n">
        <v>1</v>
      </c>
      <c r="O23" s="6" t="n">
        <v>0</v>
      </c>
      <c r="P23" s="7" t="n">
        <v>43</v>
      </c>
      <c r="Q23" s="6" t="inlineStr"/>
    </row>
    <row r="24">
      <c r="A24" s="11" t="inlineStr">
        <is>
          <t>2022-09-15</t>
        </is>
      </c>
      <c r="B24" s="11" t="inlineStr">
        <is>
          <t>MA2301</t>
        </is>
      </c>
      <c r="C24" s="11" t="inlineStr">
        <is>
          <t>2023-01</t>
        </is>
      </c>
      <c r="D24" s="12" t="n">
        <v>2721.25</v>
      </c>
      <c r="E24" s="12" t="n">
        <v>2716</v>
      </c>
      <c r="F24" s="12">
        <f>D24-E24</f>
        <v/>
      </c>
      <c r="G24" s="13">
        <f>IF(D24=0,"",(D24-E24)/D24)</f>
        <v/>
      </c>
      <c r="H24" s="14" t="n">
        <v>1177333</v>
      </c>
      <c r="I24" s="15" t="n"/>
      <c r="J24" s="15" t="n"/>
      <c r="K24" s="11" t="n"/>
      <c r="L24" s="11" t="n">
        <v>80</v>
      </c>
      <c r="M24" s="11" t="inlineStr">
        <is>
          <t>结构不明</t>
        </is>
      </c>
      <c r="N24" s="11" t="n">
        <v>1</v>
      </c>
      <c r="O24" s="11" t="n">
        <v>0</v>
      </c>
      <c r="P24" s="12" t="n">
        <v>-74</v>
      </c>
      <c r="Q24" s="11" t="inlineStr"/>
    </row>
    <row r="25">
      <c r="A25" s="6" t="inlineStr">
        <is>
          <t>2022-09-16</t>
        </is>
      </c>
      <c r="B25" s="6" t="inlineStr">
        <is>
          <t>MA2301</t>
        </is>
      </c>
      <c r="C25" s="6" t="inlineStr">
        <is>
          <t>2023-01</t>
        </is>
      </c>
      <c r="D25" s="7" t="n">
        <v>2770</v>
      </c>
      <c r="E25" s="7" t="n">
        <v>2749</v>
      </c>
      <c r="F25" s="7">
        <f>D25-E25</f>
        <v/>
      </c>
      <c r="G25" s="8">
        <f>IF(D25=0,"",(D25-E25)/D25)</f>
        <v/>
      </c>
      <c r="H25" s="9" t="n">
        <v>1354472</v>
      </c>
      <c r="I25" s="10" t="n">
        <v>0.975</v>
      </c>
      <c r="J25" s="10">
        <f>IF(COUNT(G-225:G24)&lt;20,"",IF(COUNTIF(G-225:G24,"&lt;"&amp;G25)&gt;=COUNT(G-225:G24),(COUNT(G-225:G24)-0.5)/COUNT(G-225:G24),IF(COUNTIF(G-225:G24,G25)&gt;0,(COUNTIF(G-225:G24,"&lt;"&amp;G25)+0.5*COUNTIF(G-225:G24,G25))/COUNT(G-225:G24),COUNTIF(G-225:G24,"&lt;"&amp;G25)/COUNT(G-225:G24))))</f>
        <v/>
      </c>
      <c r="K25" s="6" t="inlineStr">
        <is>
          <t>高分位</t>
        </is>
      </c>
      <c r="L25" s="6" t="n">
        <v>79</v>
      </c>
      <c r="M25" s="6" t="inlineStr">
        <is>
          <t>Contango(远强)</t>
        </is>
      </c>
      <c r="N25" s="6" t="n">
        <v>1</v>
      </c>
      <c r="O25" s="6" t="n">
        <v>0</v>
      </c>
      <c r="P25" s="7" t="n">
        <v>-1</v>
      </c>
      <c r="Q25" s="6" t="inlineStr"/>
    </row>
    <row r="26">
      <c r="A26" s="11" t="inlineStr">
        <is>
          <t>2022-09-19</t>
        </is>
      </c>
      <c r="B26" s="11" t="inlineStr">
        <is>
          <t>MA2301</t>
        </is>
      </c>
      <c r="C26" s="11" t="inlineStr">
        <is>
          <t>2023-01</t>
        </is>
      </c>
      <c r="D26" s="12" t="n">
        <v>2786.25</v>
      </c>
      <c r="E26" s="12" t="n">
        <v>2695</v>
      </c>
      <c r="F26" s="12">
        <f>D26-E26</f>
        <v/>
      </c>
      <c r="G26" s="13">
        <f>IF(D26=0,"",(D26-E26)/D26)</f>
        <v/>
      </c>
      <c r="H26" s="14" t="n">
        <v>1261127</v>
      </c>
      <c r="I26" s="15" t="n">
        <v>0.9762</v>
      </c>
      <c r="J26" s="15">
        <f>IF(COUNT(G-224:G25)&lt;20,"",IF(COUNTIF(G-224:G25,"&lt;"&amp;G26)&gt;=COUNT(G-224:G25),(COUNT(G-224:G25)-0.5)/COUNT(G-224:G25),IF(COUNTIF(G-224:G25,G26)&gt;0,(COUNTIF(G-224:G25,"&lt;"&amp;G26)+0.5*COUNTIF(G-224:G25,G26))/COUNT(G-224:G25),COUNTIF(G-224:G25,"&lt;"&amp;G26)/COUNT(G-224:G25))))</f>
        <v/>
      </c>
      <c r="K26" s="11" t="inlineStr">
        <is>
          <t>高分位</t>
        </is>
      </c>
      <c r="L26" s="11" t="n">
        <v>78</v>
      </c>
      <c r="M26" s="11" t="inlineStr">
        <is>
          <t>Contango(远强)</t>
        </is>
      </c>
      <c r="N26" s="11" t="n">
        <v>1</v>
      </c>
      <c r="O26" s="11" t="n">
        <v>0</v>
      </c>
      <c r="P26" s="12" t="n">
        <v>-6</v>
      </c>
      <c r="Q26" s="11" t="inlineStr"/>
    </row>
    <row r="27">
      <c r="A27" s="6" t="inlineStr">
        <is>
          <t>2022-09-20</t>
        </is>
      </c>
      <c r="B27" s="6" t="inlineStr">
        <is>
          <t>MA2301</t>
        </is>
      </c>
      <c r="C27" s="6" t="inlineStr">
        <is>
          <t>2023-01</t>
        </is>
      </c>
      <c r="D27" s="7" t="n">
        <v>2710</v>
      </c>
      <c r="E27" s="7" t="n">
        <v>2660</v>
      </c>
      <c r="F27" s="7">
        <f>D27-E27</f>
        <v/>
      </c>
      <c r="G27" s="8">
        <f>IF(D27=0,"",(D27-E27)/D27)</f>
        <v/>
      </c>
      <c r="H27" s="9" t="n">
        <v>1332262</v>
      </c>
      <c r="I27" s="10" t="n">
        <v>0.9545</v>
      </c>
      <c r="J27" s="10">
        <f>IF(COUNT(G-223:G26)&lt;20,"",IF(COUNTIF(G-223:G26,"&lt;"&amp;G27)&gt;=COUNT(G-223:G26),(COUNT(G-223:G26)-0.5)/COUNT(G-223:G26),IF(COUNTIF(G-223:G26,G27)&gt;0,(COUNTIF(G-223:G26,"&lt;"&amp;G27)+0.5*COUNTIF(G-223:G26,G27))/COUNT(G-223:G26),COUNTIF(G-223:G26,"&lt;"&amp;G27)/COUNT(G-223:G26))))</f>
        <v/>
      </c>
      <c r="K27" s="6" t="inlineStr">
        <is>
          <t>高分位</t>
        </is>
      </c>
      <c r="L27" s="6" t="n">
        <v>77</v>
      </c>
      <c r="M27" s="6" t="inlineStr">
        <is>
          <t>Contango(远强)</t>
        </is>
      </c>
      <c r="N27" s="6" t="n">
        <v>1</v>
      </c>
      <c r="O27" s="6" t="n">
        <v>0</v>
      </c>
      <c r="P27" s="7" t="n">
        <v>-5</v>
      </c>
      <c r="Q27" s="6" t="inlineStr"/>
    </row>
    <row r="28">
      <c r="A28" s="11" t="inlineStr">
        <is>
          <t>2022-09-21</t>
        </is>
      </c>
      <c r="B28" s="11" t="inlineStr">
        <is>
          <t>MA2301</t>
        </is>
      </c>
      <c r="C28" s="11" t="inlineStr">
        <is>
          <t>2023-01</t>
        </is>
      </c>
      <c r="D28" s="12" t="n">
        <v>2762</v>
      </c>
      <c r="E28" s="12" t="n">
        <v>2696</v>
      </c>
      <c r="F28" s="12">
        <f>D28-E28</f>
        <v/>
      </c>
      <c r="G28" s="13">
        <f>IF(D28=0,"",(D28-E28)/D28)</f>
        <v/>
      </c>
      <c r="H28" s="14" t="n">
        <v>1161651</v>
      </c>
      <c r="I28" s="15" t="n">
        <v>0.9565</v>
      </c>
      <c r="J28" s="15">
        <f>IF(COUNT(G-222:G27)&lt;20,"",IF(COUNTIF(G-222:G27,"&lt;"&amp;G28)&gt;=COUNT(G-222:G27),(COUNT(G-222:G27)-0.5)/COUNT(G-222:G27),IF(COUNTIF(G-222:G27,G28)&gt;0,(COUNTIF(G-222:G27,"&lt;"&amp;G28)+0.5*COUNTIF(G-222:G27,G28))/COUNT(G-222:G27),COUNTIF(G-222:G27,"&lt;"&amp;G28)/COUNT(G-222:G27))))</f>
        <v/>
      </c>
      <c r="K28" s="11" t="inlineStr">
        <is>
          <t>高分位</t>
        </is>
      </c>
      <c r="L28" s="11" t="n">
        <v>76</v>
      </c>
      <c r="M28" s="11" t="inlineStr">
        <is>
          <t>Contango(远强)</t>
        </is>
      </c>
      <c r="N28" s="11" t="n">
        <v>1</v>
      </c>
      <c r="O28" s="11" t="n">
        <v>0</v>
      </c>
      <c r="P28" s="12" t="n">
        <v>-4</v>
      </c>
      <c r="Q28" s="11" t="inlineStr"/>
    </row>
    <row r="29">
      <c r="A29" s="6" t="inlineStr">
        <is>
          <t>2022-09-22</t>
        </is>
      </c>
      <c r="B29" s="6" t="inlineStr">
        <is>
          <t>MA2301</t>
        </is>
      </c>
      <c r="C29" s="6" t="inlineStr">
        <is>
          <t>2023-01</t>
        </is>
      </c>
      <c r="D29" s="7" t="n">
        <v>2823.75</v>
      </c>
      <c r="E29" s="7" t="n">
        <v>2727</v>
      </c>
      <c r="F29" s="7">
        <f>D29-E29</f>
        <v/>
      </c>
      <c r="G29" s="8">
        <f>IF(D29=0,"",(D29-E29)/D29)</f>
        <v/>
      </c>
      <c r="H29" s="9" t="n">
        <v>1297166</v>
      </c>
      <c r="I29" s="10" t="n">
        <v>0.9792</v>
      </c>
      <c r="J29" s="10">
        <f>IF(COUNT(G-221:G28)&lt;20,"",IF(COUNTIF(G-221:G28,"&lt;"&amp;G29)&gt;=COUNT(G-221:G28),(COUNT(G-221:G28)-0.5)/COUNT(G-221:G28),IF(COUNTIF(G-221:G28,G29)&gt;0,(COUNTIF(G-221:G28,"&lt;"&amp;G29)+0.5*COUNTIF(G-221:G28,G29))/COUNT(G-221:G28),COUNTIF(G-221:G28,"&lt;"&amp;G29)/COUNT(G-221:G28))))</f>
        <v/>
      </c>
      <c r="K29" s="6" t="inlineStr">
        <is>
          <t>高分位</t>
        </is>
      </c>
      <c r="L29" s="6" t="n">
        <v>75</v>
      </c>
      <c r="M29" s="6" t="inlineStr">
        <is>
          <t>Contango(远强)</t>
        </is>
      </c>
      <c r="N29" s="6" t="n">
        <v>1</v>
      </c>
      <c r="O29" s="6" t="n">
        <v>0</v>
      </c>
      <c r="P29" s="7" t="n">
        <v>-15</v>
      </c>
      <c r="Q29" s="6" t="inlineStr"/>
    </row>
    <row r="30">
      <c r="A30" s="11" t="inlineStr">
        <is>
          <t>2022-09-23</t>
        </is>
      </c>
      <c r="B30" s="11" t="inlineStr">
        <is>
          <t>MA2301</t>
        </is>
      </c>
      <c r="C30" s="11" t="inlineStr">
        <is>
          <t>2023-01</t>
        </is>
      </c>
      <c r="D30" s="12" t="n">
        <v>2766</v>
      </c>
      <c r="E30" s="12" t="n">
        <v>2639</v>
      </c>
      <c r="F30" s="12">
        <f>D30-E30</f>
        <v/>
      </c>
      <c r="G30" s="13">
        <f>IF(D30=0,"",(D30-E30)/D30)</f>
        <v/>
      </c>
      <c r="H30" s="14" t="n">
        <v>1174864</v>
      </c>
      <c r="I30" s="15" t="n">
        <v>0.98</v>
      </c>
      <c r="J30" s="15">
        <f>IF(COUNT(G-220:G29)&lt;20,"",IF(COUNTIF(G-220:G29,"&lt;"&amp;G30)&gt;=COUNT(G-220:G29),(COUNT(G-220:G29)-0.5)/COUNT(G-220:G29),IF(COUNTIF(G-220:G29,G30)&gt;0,(COUNTIF(G-220:G29,"&lt;"&amp;G30)+0.5*COUNTIF(G-220:G29,G30))/COUNT(G-220:G29),COUNTIF(G-220:G29,"&lt;"&amp;G30)/COUNT(G-220:G29))))</f>
        <v/>
      </c>
      <c r="K30" s="11" t="inlineStr">
        <is>
          <t>高分位</t>
        </is>
      </c>
      <c r="L30" s="11" t="n">
        <v>74</v>
      </c>
      <c r="M30" s="11" t="inlineStr">
        <is>
          <t>Contango(远强)</t>
        </is>
      </c>
      <c r="N30" s="11" t="n">
        <v>1</v>
      </c>
      <c r="O30" s="11" t="n">
        <v>0</v>
      </c>
      <c r="P30" s="12" t="n">
        <v>-10</v>
      </c>
      <c r="Q30" s="11" t="inlineStr"/>
    </row>
    <row r="31">
      <c r="A31" s="6" t="inlineStr">
        <is>
          <t>2022-09-26</t>
        </is>
      </c>
      <c r="B31" s="6" t="inlineStr">
        <is>
          <t>MA2301</t>
        </is>
      </c>
      <c r="C31" s="6" t="inlineStr">
        <is>
          <t>2023-01</t>
        </is>
      </c>
      <c r="D31" s="7" t="n">
        <v>2740</v>
      </c>
      <c r="E31" s="7" t="n">
        <v>2647</v>
      </c>
      <c r="F31" s="7">
        <f>D31-E31</f>
        <v/>
      </c>
      <c r="G31" s="8">
        <f>IF(D31=0,"",(D31-E31)/D31)</f>
        <v/>
      </c>
      <c r="H31" s="9" t="n">
        <v>1214648</v>
      </c>
      <c r="I31" s="10" t="n">
        <v>0.9231</v>
      </c>
      <c r="J31" s="10">
        <f>IF(COUNT(G-219:G30)&lt;20,"",IF(COUNTIF(G-219:G30,"&lt;"&amp;G31)&gt;=COUNT(G-219:G30),(COUNT(G-219:G30)-0.5)/COUNT(G-219:G30),IF(COUNTIF(G-219:G30,G31)&gt;0,(COUNTIF(G-219:G30,"&lt;"&amp;G31)+0.5*COUNTIF(G-219:G30,G31))/COUNT(G-219:G30),COUNTIF(G-219:G30,"&lt;"&amp;G31)/COUNT(G-219:G30))))</f>
        <v/>
      </c>
      <c r="K31" s="6" t="inlineStr">
        <is>
          <t>高分位</t>
        </is>
      </c>
      <c r="L31" s="6" t="n">
        <v>73</v>
      </c>
      <c r="M31" s="6" t="inlineStr">
        <is>
          <t>Contango(远强)</t>
        </is>
      </c>
      <c r="N31" s="6" t="n">
        <v>1</v>
      </c>
      <c r="O31" s="6" t="n">
        <v>0</v>
      </c>
      <c r="P31" s="7" t="n">
        <v>-40</v>
      </c>
      <c r="Q31" s="6" t="inlineStr"/>
    </row>
    <row r="32">
      <c r="A32" s="11" t="inlineStr">
        <is>
          <t>2022-09-27</t>
        </is>
      </c>
      <c r="B32" s="11" t="inlineStr">
        <is>
          <t>MA2301</t>
        </is>
      </c>
      <c r="C32" s="11" t="inlineStr">
        <is>
          <t>2023-01</t>
        </is>
      </c>
      <c r="D32" s="12" t="n">
        <v>2840</v>
      </c>
      <c r="E32" s="12" t="n">
        <v>2739</v>
      </c>
      <c r="F32" s="12">
        <f>D32-E32</f>
        <v/>
      </c>
      <c r="G32" s="13">
        <f>IF(D32=0,"",(D32-E32)/D32)</f>
        <v/>
      </c>
      <c r="H32" s="14" t="n">
        <v>1181798</v>
      </c>
      <c r="I32" s="15" t="n">
        <v>0.963</v>
      </c>
      <c r="J32" s="15">
        <f>IF(COUNT(G-218:G31)&lt;20,"",IF(COUNTIF(G-218:G31,"&lt;"&amp;G32)&gt;=COUNT(G-218:G31),(COUNT(G-218:G31)-0.5)/COUNT(G-218:G31),IF(COUNTIF(G-218:G31,G32)&gt;0,(COUNTIF(G-218:G31,"&lt;"&amp;G32)+0.5*COUNTIF(G-218:G31,G32))/COUNT(G-218:G31),COUNTIF(G-218:G31,"&lt;"&amp;G32)/COUNT(G-218:G31))))</f>
        <v/>
      </c>
      <c r="K32" s="11" t="inlineStr">
        <is>
          <t>高分位</t>
        </is>
      </c>
      <c r="L32" s="11" t="n">
        <v>72</v>
      </c>
      <c r="M32" s="11" t="inlineStr">
        <is>
          <t>Contango(远强)</t>
        </is>
      </c>
      <c r="N32" s="11" t="n">
        <v>1</v>
      </c>
      <c r="O32" s="11" t="n">
        <v>0</v>
      </c>
      <c r="P32" s="12" t="n">
        <v>-70</v>
      </c>
      <c r="Q32" s="11" t="inlineStr"/>
    </row>
    <row r="33">
      <c r="A33" s="6" t="inlineStr">
        <is>
          <t>2022-09-28</t>
        </is>
      </c>
      <c r="B33" s="6" t="inlineStr">
        <is>
          <t>MA2301</t>
        </is>
      </c>
      <c r="C33" s="6" t="inlineStr">
        <is>
          <t>2023-01</t>
        </is>
      </c>
      <c r="D33" s="7" t="n">
        <v>2850</v>
      </c>
      <c r="E33" s="7" t="n">
        <v>2734</v>
      </c>
      <c r="F33" s="7">
        <f>D33-E33</f>
        <v/>
      </c>
      <c r="G33" s="8">
        <f>IF(D33=0,"",(D33-E33)/D33)</f>
        <v/>
      </c>
      <c r="H33" s="9" t="n">
        <v>1171830</v>
      </c>
      <c r="I33" s="10" t="n">
        <v>0.9643</v>
      </c>
      <c r="J33" s="10">
        <f>IF(COUNT(G-217:G32)&lt;20,"",IF(COUNTIF(G-217:G32,"&lt;"&amp;G33)&gt;=COUNT(G-217:G32),(COUNT(G-217:G32)-0.5)/COUNT(G-217:G32),IF(COUNTIF(G-217:G32,G33)&gt;0,(COUNTIF(G-217:G32,"&lt;"&amp;G33)+0.5*COUNTIF(G-217:G32,G33))/COUNT(G-217:G32),COUNTIF(G-217:G32,"&lt;"&amp;G33)/COUNT(G-217:G32))))</f>
        <v/>
      </c>
      <c r="K33" s="6" t="inlineStr">
        <is>
          <t>高分位</t>
        </is>
      </c>
      <c r="L33" s="6" t="n">
        <v>71</v>
      </c>
      <c r="M33" s="6" t="inlineStr">
        <is>
          <t>Contango(远强)</t>
        </is>
      </c>
      <c r="N33" s="6" t="n">
        <v>1</v>
      </c>
      <c r="O33" s="6" t="n">
        <v>0</v>
      </c>
      <c r="P33" s="7" t="n">
        <v>-66</v>
      </c>
      <c r="Q33" s="6" t="inlineStr"/>
    </row>
    <row r="34">
      <c r="A34" s="11" t="inlineStr">
        <is>
          <t>2022-09-29</t>
        </is>
      </c>
      <c r="B34" s="11" t="inlineStr">
        <is>
          <t>MA2301</t>
        </is>
      </c>
      <c r="C34" s="11" t="inlineStr">
        <is>
          <t>2023-01</t>
        </is>
      </c>
      <c r="D34" s="12" t="n">
        <v>3042.5</v>
      </c>
      <c r="E34" s="12" t="n">
        <v>2815</v>
      </c>
      <c r="F34" s="12">
        <f>D34-E34</f>
        <v/>
      </c>
      <c r="G34" s="13">
        <f>IF(D34=0,"",(D34-E34)/D34)</f>
        <v/>
      </c>
      <c r="H34" s="14" t="n">
        <v>1167903</v>
      </c>
      <c r="I34" s="15" t="n">
        <v>0.9828</v>
      </c>
      <c r="J34" s="15">
        <f>IF(COUNT(G-216:G33)&lt;20,"",IF(COUNTIF(G-216:G33,"&lt;"&amp;G34)&gt;=COUNT(G-216:G33),(COUNT(G-216:G33)-0.5)/COUNT(G-216:G33),IF(COUNTIF(G-216:G33,G34)&gt;0,(COUNTIF(G-216:G33,"&lt;"&amp;G34)+0.5*COUNTIF(G-216:G33,G34))/COUNT(G-216:G33),COUNTIF(G-216:G33,"&lt;"&amp;G34)/COUNT(G-216:G33))))</f>
        <v/>
      </c>
      <c r="K34" s="11" t="inlineStr">
        <is>
          <t>高分位</t>
        </is>
      </c>
      <c r="L34" s="11" t="n">
        <v>70</v>
      </c>
      <c r="M34" s="11" t="inlineStr">
        <is>
          <t>Contango(远强)</t>
        </is>
      </c>
      <c r="N34" s="11" t="n">
        <v>1</v>
      </c>
      <c r="O34" s="11" t="n">
        <v>0</v>
      </c>
      <c r="P34" s="12" t="n">
        <v>-83</v>
      </c>
      <c r="Q34" s="11" t="inlineStr"/>
    </row>
    <row r="35">
      <c r="A35" s="6" t="inlineStr">
        <is>
          <t>2022-09-30</t>
        </is>
      </c>
      <c r="B35" s="6" t="inlineStr">
        <is>
          <t>MA2301</t>
        </is>
      </c>
      <c r="C35" s="6" t="inlineStr">
        <is>
          <t>2023-01</t>
        </is>
      </c>
      <c r="D35" s="7" t="n">
        <v>3012.5</v>
      </c>
      <c r="E35" s="7" t="n">
        <v>2817</v>
      </c>
      <c r="F35" s="7">
        <f>D35-E35</f>
        <v/>
      </c>
      <c r="G35" s="8">
        <f>IF(D35=0,"",(D35-E35)/D35)</f>
        <v/>
      </c>
      <c r="H35" s="9" t="n">
        <v>1013058</v>
      </c>
      <c r="I35" s="10" t="n">
        <v>0.9667</v>
      </c>
      <c r="J35" s="10">
        <f>IF(COUNT(G-215:G34)&lt;20,"",IF(COUNTIF(G-215:G34,"&lt;"&amp;G35)&gt;=COUNT(G-215:G34),(COUNT(G-215:G34)-0.5)/COUNT(G-215:G34),IF(COUNTIF(G-215:G34,G35)&gt;0,(COUNTIF(G-215:G34,"&lt;"&amp;G35)+0.5*COUNTIF(G-215:G34,G35))/COUNT(G-215:G34),COUNTIF(G-215:G34,"&lt;"&amp;G35)/COUNT(G-215:G34))))</f>
        <v/>
      </c>
      <c r="K35" s="6" t="inlineStr">
        <is>
          <t>高分位</t>
        </is>
      </c>
      <c r="L35" s="6" t="n">
        <v>69</v>
      </c>
      <c r="M35" s="6" t="inlineStr">
        <is>
          <t>Contango(远强)</t>
        </is>
      </c>
      <c r="N35" s="6" t="n">
        <v>1</v>
      </c>
      <c r="O35" s="6" t="n">
        <v>0</v>
      </c>
      <c r="P35" s="7" t="n">
        <v>-63</v>
      </c>
      <c r="Q35" s="6" t="inlineStr"/>
    </row>
    <row r="36">
      <c r="A36" s="11" t="inlineStr">
        <is>
          <t>2022-10-11</t>
        </is>
      </c>
      <c r="B36" s="11" t="inlineStr">
        <is>
          <t>MA2301</t>
        </is>
      </c>
      <c r="C36" s="11" t="inlineStr">
        <is>
          <t>2023-01</t>
        </is>
      </c>
      <c r="D36" s="12" t="n">
        <v>2917.5</v>
      </c>
      <c r="E36" s="12" t="n">
        <v>2776</v>
      </c>
      <c r="F36" s="12">
        <f>D36-E36</f>
        <v/>
      </c>
      <c r="G36" s="13">
        <f>IF(D36=0,"",(D36-E36)/D36)</f>
        <v/>
      </c>
      <c r="H36" s="14" t="n">
        <v>1127038</v>
      </c>
      <c r="I36" s="15" t="n">
        <v>0.9355</v>
      </c>
      <c r="J36" s="15">
        <f>IF(COUNT(G-214:G35)&lt;20,"",IF(COUNTIF(G-214:G35,"&lt;"&amp;G36)&gt;=COUNT(G-214:G35),(COUNT(G-214:G35)-0.5)/COUNT(G-214:G35),IF(COUNTIF(G-214:G35,G36)&gt;0,(COUNTIF(G-214:G35,"&lt;"&amp;G36)+0.5*COUNTIF(G-214:G35,G36))/COUNT(G-214:G35),COUNTIF(G-214:G35,"&lt;"&amp;G36)/COUNT(G-214:G35))))</f>
        <v/>
      </c>
      <c r="K36" s="11" t="inlineStr">
        <is>
          <t>高分位</t>
        </is>
      </c>
      <c r="L36" s="11" t="n">
        <v>67</v>
      </c>
      <c r="M36" s="11" t="inlineStr">
        <is>
          <t>Contango(远强)</t>
        </is>
      </c>
      <c r="N36" s="11" t="n">
        <v>1</v>
      </c>
      <c r="O36" s="11" t="n">
        <v>0</v>
      </c>
      <c r="P36" s="12" t="n">
        <v>-63</v>
      </c>
      <c r="Q36" s="11" t="inlineStr"/>
    </row>
    <row r="37">
      <c r="A37" s="6" t="inlineStr">
        <is>
          <t>2022-10-12</t>
        </is>
      </c>
      <c r="B37" s="6" t="inlineStr">
        <is>
          <t>MA2301</t>
        </is>
      </c>
      <c r="C37" s="6" t="inlineStr">
        <is>
          <t>2023-01</t>
        </is>
      </c>
      <c r="D37" s="7" t="n">
        <v>2870</v>
      </c>
      <c r="E37" s="7" t="n">
        <v>2763</v>
      </c>
      <c r="F37" s="7">
        <f>D37-E37</f>
        <v/>
      </c>
      <c r="G37" s="8">
        <f>IF(D37=0,"",(D37-E37)/D37)</f>
        <v/>
      </c>
      <c r="H37" s="9" t="n">
        <v>1054674</v>
      </c>
      <c r="I37" s="10" t="n">
        <v>0.8438</v>
      </c>
      <c r="J37" s="10">
        <f>IF(COUNT(G-213:G36)&lt;20,"",IF(COUNTIF(G-213:G36,"&lt;"&amp;G37)&gt;=COUNT(G-213:G36),(COUNT(G-213:G36)-0.5)/COUNT(G-213:G36),IF(COUNTIF(G-213:G36,G37)&gt;0,(COUNTIF(G-213:G36,"&lt;"&amp;G37)+0.5*COUNTIF(G-213:G36,G37))/COUNT(G-213:G36),COUNTIF(G-213:G36,"&lt;"&amp;G37)/COUNT(G-213:G36))))</f>
        <v/>
      </c>
      <c r="K37" s="6" t="inlineStr">
        <is>
          <t>中间分位</t>
        </is>
      </c>
      <c r="L37" s="6" t="n">
        <v>66</v>
      </c>
      <c r="M37" s="6" t="inlineStr">
        <is>
          <t>Contango(远强)</t>
        </is>
      </c>
      <c r="N37" s="6" t="n">
        <v>1</v>
      </c>
      <c r="O37" s="6" t="n">
        <v>0</v>
      </c>
      <c r="P37" s="7" t="n">
        <v>-38</v>
      </c>
      <c r="Q37" s="6" t="inlineStr"/>
    </row>
    <row r="38">
      <c r="A38" s="11" t="inlineStr">
        <is>
          <t>2022-10-13</t>
        </is>
      </c>
      <c r="B38" s="11" t="inlineStr">
        <is>
          <t>MA2301</t>
        </is>
      </c>
      <c r="C38" s="11" t="inlineStr">
        <is>
          <t>2023-01</t>
        </is>
      </c>
      <c r="D38" s="12" t="n">
        <v>2850</v>
      </c>
      <c r="E38" s="12" t="n">
        <v>2722</v>
      </c>
      <c r="F38" s="12">
        <f>D38-E38</f>
        <v/>
      </c>
      <c r="G38" s="13">
        <f>IF(D38=0,"",(D38-E38)/D38)</f>
        <v/>
      </c>
      <c r="H38" s="14" t="n">
        <v>1128089</v>
      </c>
      <c r="I38" s="15" t="n">
        <v>0.8788</v>
      </c>
      <c r="J38" s="15">
        <f>IF(COUNT(G-212:G37)&lt;20,"",IF(COUNTIF(G-212:G37,"&lt;"&amp;G38)&gt;=COUNT(G-212:G37),(COUNT(G-212:G37)-0.5)/COUNT(G-212:G37),IF(COUNTIF(G-212:G37,G38)&gt;0,(COUNTIF(G-212:G37,"&lt;"&amp;G38)+0.5*COUNTIF(G-212:G37,G38))/COUNT(G-212:G37),COUNTIF(G-212:G37,"&lt;"&amp;G38)/COUNT(G-212:G37))))</f>
        <v/>
      </c>
      <c r="K38" s="11" t="inlineStr">
        <is>
          <t>中间分位</t>
        </is>
      </c>
      <c r="L38" s="11" t="n">
        <v>65</v>
      </c>
      <c r="M38" s="11" t="inlineStr">
        <is>
          <t>Contango(远强)</t>
        </is>
      </c>
      <c r="N38" s="11" t="n">
        <v>1</v>
      </c>
      <c r="O38" s="11" t="n">
        <v>0</v>
      </c>
      <c r="P38" s="12" t="n">
        <v>-57</v>
      </c>
      <c r="Q38" s="11" t="inlineStr"/>
    </row>
    <row r="39">
      <c r="A39" s="6" t="inlineStr">
        <is>
          <t>2022-10-14</t>
        </is>
      </c>
      <c r="B39" s="6" t="inlineStr">
        <is>
          <t>MA2301</t>
        </is>
      </c>
      <c r="C39" s="6" t="inlineStr">
        <is>
          <t>2023-01</t>
        </is>
      </c>
      <c r="D39" s="7" t="n">
        <v>2862.5</v>
      </c>
      <c r="E39" s="7" t="n">
        <v>2734</v>
      </c>
      <c r="F39" s="7">
        <f>D39-E39</f>
        <v/>
      </c>
      <c r="G39" s="8">
        <f>IF(D39=0,"",(D39-E39)/D39)</f>
        <v/>
      </c>
      <c r="H39" s="9" t="n">
        <v>1065424</v>
      </c>
      <c r="I39" s="10" t="n">
        <v>0.8529</v>
      </c>
      <c r="J39" s="10">
        <f>IF(COUNT(G-211:G38)&lt;20,"",IF(COUNTIF(G-211:G38,"&lt;"&amp;G39)&gt;=COUNT(G-211:G38),(COUNT(G-211:G38)-0.5)/COUNT(G-211:G38),IF(COUNTIF(G-211:G38,G39)&gt;0,(COUNTIF(G-211:G38,"&lt;"&amp;G39)+0.5*COUNTIF(G-211:G38,G39))/COUNT(G-211:G38),COUNTIF(G-211:G38,"&lt;"&amp;G39)/COUNT(G-211:G38))))</f>
        <v/>
      </c>
      <c r="K39" s="6" t="inlineStr">
        <is>
          <t>中间分位</t>
        </is>
      </c>
      <c r="L39" s="6" t="n">
        <v>64</v>
      </c>
      <c r="M39" s="6" t="inlineStr">
        <is>
          <t>Contango(远强)</t>
        </is>
      </c>
      <c r="N39" s="6" t="n">
        <v>1</v>
      </c>
      <c r="O39" s="6" t="n">
        <v>0</v>
      </c>
      <c r="P39" s="7" t="n">
        <v>-85</v>
      </c>
      <c r="Q39" s="6" t="inlineStr"/>
    </row>
    <row r="40">
      <c r="A40" s="11" t="inlineStr">
        <is>
          <t>2022-10-17</t>
        </is>
      </c>
      <c r="B40" s="11" t="inlineStr">
        <is>
          <t>MA2301</t>
        </is>
      </c>
      <c r="C40" s="11" t="inlineStr">
        <is>
          <t>2023-01</t>
        </is>
      </c>
      <c r="D40" s="12" t="n">
        <v>2812.5</v>
      </c>
      <c r="E40" s="12" t="n">
        <v>2667</v>
      </c>
      <c r="F40" s="12">
        <f>D40-E40</f>
        <v/>
      </c>
      <c r="G40" s="13">
        <f>IF(D40=0,"",(D40-E40)/D40)</f>
        <v/>
      </c>
      <c r="H40" s="14" t="n">
        <v>1194529</v>
      </c>
      <c r="I40" s="15" t="n">
        <v>0.9429</v>
      </c>
      <c r="J40" s="15">
        <f>IF(COUNT(G-210:G39)&lt;20,"",IF(COUNTIF(G-210:G39,"&lt;"&amp;G40)&gt;=COUNT(G-210:G39),(COUNT(G-210:G39)-0.5)/COUNT(G-210:G39),IF(COUNTIF(G-210:G39,G40)&gt;0,(COUNTIF(G-210:G39,"&lt;"&amp;G40)+0.5*COUNTIF(G-210:G39,G40))/COUNT(G-210:G39),COUNTIF(G-210:G39,"&lt;"&amp;G40)/COUNT(G-210:G39))))</f>
        <v/>
      </c>
      <c r="K40" s="11" t="inlineStr">
        <is>
          <t>高分位</t>
        </is>
      </c>
      <c r="L40" s="11" t="n">
        <v>63</v>
      </c>
      <c r="M40" s="11" t="inlineStr">
        <is>
          <t>Contango(远强)</t>
        </is>
      </c>
      <c r="N40" s="11" t="n">
        <v>1</v>
      </c>
      <c r="O40" s="11" t="n">
        <v>0</v>
      </c>
      <c r="P40" s="12" t="n">
        <v>-111</v>
      </c>
      <c r="Q40" s="11" t="inlineStr"/>
    </row>
    <row r="41">
      <c r="A41" s="6" t="inlineStr">
        <is>
          <t>2022-10-18</t>
        </is>
      </c>
      <c r="B41" s="6" t="inlineStr">
        <is>
          <t>MA2301</t>
        </is>
      </c>
      <c r="C41" s="6" t="inlineStr">
        <is>
          <t>2023-01</t>
        </is>
      </c>
      <c r="D41" s="7" t="n">
        <v>2800</v>
      </c>
      <c r="E41" s="7" t="n">
        <v>2667</v>
      </c>
      <c r="F41" s="7">
        <f>D41-E41</f>
        <v/>
      </c>
      <c r="G41" s="8">
        <f>IF(D41=0,"",(D41-E41)/D41)</f>
        <v/>
      </c>
      <c r="H41" s="9" t="n">
        <v>1045855</v>
      </c>
      <c r="I41" s="10" t="n">
        <v>0.8889</v>
      </c>
      <c r="J41" s="10">
        <f>IF(COUNT(G-209:G40)&lt;20,"",IF(COUNTIF(G-209:G40,"&lt;"&amp;G41)&gt;=COUNT(G-209:G40),(COUNT(G-209:G40)-0.5)/COUNT(G-209:G40),IF(COUNTIF(G-209:G40,G41)&gt;0,(COUNTIF(G-209:G40,"&lt;"&amp;G41)+0.5*COUNTIF(G-209:G40,G41))/COUNT(G-209:G40),COUNTIF(G-209:G40,"&lt;"&amp;G41)/COUNT(G-209:G40))))</f>
        <v/>
      </c>
      <c r="K41" s="6" t="inlineStr">
        <is>
          <t>中间分位</t>
        </is>
      </c>
      <c r="L41" s="6" t="n">
        <v>62</v>
      </c>
      <c r="M41" s="6" t="inlineStr">
        <is>
          <t>Contango(远强)</t>
        </is>
      </c>
      <c r="N41" s="6" t="n">
        <v>1</v>
      </c>
      <c r="O41" s="6" t="n">
        <v>0</v>
      </c>
      <c r="P41" s="7" t="n">
        <v>-111</v>
      </c>
      <c r="Q41" s="6" t="inlineStr"/>
    </row>
    <row r="42">
      <c r="A42" s="11" t="inlineStr">
        <is>
          <t>2022-10-19</t>
        </is>
      </c>
      <c r="B42" s="11" t="inlineStr">
        <is>
          <t>MA2301</t>
        </is>
      </c>
      <c r="C42" s="11" t="inlineStr">
        <is>
          <t>2023-01</t>
        </is>
      </c>
      <c r="D42" s="12" t="n">
        <v>2886</v>
      </c>
      <c r="E42" s="12" t="n">
        <v>2674</v>
      </c>
      <c r="F42" s="12">
        <f>D42-E42</f>
        <v/>
      </c>
      <c r="G42" s="13">
        <f>IF(D42=0,"",(D42-E42)/D42)</f>
        <v/>
      </c>
      <c r="H42" s="14" t="n">
        <v>1119537</v>
      </c>
      <c r="I42" s="15" t="n">
        <v>0.973</v>
      </c>
      <c r="J42" s="15">
        <f>IF(COUNT(G-208:G41)&lt;20,"",IF(COUNTIF(G-208:G41,"&lt;"&amp;G42)&gt;=COUNT(G-208:G41),(COUNT(G-208:G41)-0.5)/COUNT(G-208:G41),IF(COUNTIF(G-208:G41,G42)&gt;0,(COUNTIF(G-208:G41,"&lt;"&amp;G42)+0.5*COUNTIF(G-208:G41,G42))/COUNT(G-208:G41),COUNTIF(G-208:G41,"&lt;"&amp;G42)/COUNT(G-208:G41))))</f>
        <v/>
      </c>
      <c r="K42" s="11" t="inlineStr">
        <is>
          <t>高分位</t>
        </is>
      </c>
      <c r="L42" s="11" t="n">
        <v>61</v>
      </c>
      <c r="M42" s="11" t="inlineStr">
        <is>
          <t>Contango(远强)</t>
        </is>
      </c>
      <c r="N42" s="11" t="n">
        <v>1</v>
      </c>
      <c r="O42" s="11" t="n">
        <v>0</v>
      </c>
      <c r="P42" s="12" t="n">
        <v>-108</v>
      </c>
      <c r="Q42" s="11" t="inlineStr"/>
    </row>
    <row r="43">
      <c r="A43" s="6" t="inlineStr">
        <is>
          <t>2022-10-20</t>
        </is>
      </c>
      <c r="B43" s="6" t="inlineStr">
        <is>
          <t>MA2301</t>
        </is>
      </c>
      <c r="C43" s="6" t="inlineStr">
        <is>
          <t>2023-01</t>
        </is>
      </c>
      <c r="D43" s="7" t="n">
        <v>2898</v>
      </c>
      <c r="E43" s="7" t="n">
        <v>2699</v>
      </c>
      <c r="F43" s="7">
        <f>D43-E43</f>
        <v/>
      </c>
      <c r="G43" s="8">
        <f>IF(D43=0,"",(D43-E43)/D43)</f>
        <v/>
      </c>
      <c r="H43" s="9" t="n">
        <v>1121299</v>
      </c>
      <c r="I43" s="10" t="n">
        <v>0.9474</v>
      </c>
      <c r="J43" s="10">
        <f>IF(COUNT(G-207:G42)&lt;20,"",IF(COUNTIF(G-207:G42,"&lt;"&amp;G43)&gt;=COUNT(G-207:G42),(COUNT(G-207:G42)-0.5)/COUNT(G-207:G42),IF(COUNTIF(G-207:G42,G43)&gt;0,(COUNTIF(G-207:G42,"&lt;"&amp;G43)+0.5*COUNTIF(G-207:G42,G43))/COUNT(G-207:G42),COUNTIF(G-207:G42,"&lt;"&amp;G43)/COUNT(G-207:G42))))</f>
        <v/>
      </c>
      <c r="K43" s="6" t="inlineStr">
        <is>
          <t>高分位</t>
        </is>
      </c>
      <c r="L43" s="6" t="n">
        <v>60</v>
      </c>
      <c r="M43" s="6" t="inlineStr">
        <is>
          <t>Contango(远强)</t>
        </is>
      </c>
      <c r="N43" s="6" t="n">
        <v>1</v>
      </c>
      <c r="O43" s="6" t="n">
        <v>0</v>
      </c>
      <c r="P43" s="7" t="n">
        <v>-78</v>
      </c>
      <c r="Q43" s="6" t="inlineStr"/>
    </row>
    <row r="44">
      <c r="A44" s="11" t="inlineStr">
        <is>
          <t>2022-10-21</t>
        </is>
      </c>
      <c r="B44" s="11" t="inlineStr">
        <is>
          <t>MA2301</t>
        </is>
      </c>
      <c r="C44" s="11" t="inlineStr">
        <is>
          <t>2023-01</t>
        </is>
      </c>
      <c r="D44" s="12" t="n">
        <v>2894</v>
      </c>
      <c r="E44" s="12" t="n">
        <v>2632</v>
      </c>
      <c r="F44" s="12">
        <f>D44-E44</f>
        <v/>
      </c>
      <c r="G44" s="13">
        <f>IF(D44=0,"",(D44-E44)/D44)</f>
        <v/>
      </c>
      <c r="H44" s="14" t="n">
        <v>1118467</v>
      </c>
      <c r="I44" s="15" t="n">
        <v>0.9872</v>
      </c>
      <c r="J44" s="15">
        <f>IF(COUNT(G-206:G43)&lt;20,"",IF(COUNTIF(G-206:G43,"&lt;"&amp;G44)&gt;=COUNT(G-206:G43),(COUNT(G-206:G43)-0.5)/COUNT(G-206:G43),IF(COUNTIF(G-206:G43,G44)&gt;0,(COUNTIF(G-206:G43,"&lt;"&amp;G44)+0.5*COUNTIF(G-206:G43,G44))/COUNT(G-206:G43),COUNTIF(G-206:G43,"&lt;"&amp;G44)/COUNT(G-206:G43))))</f>
        <v/>
      </c>
      <c r="K44" s="11" t="inlineStr">
        <is>
          <t>高分位</t>
        </is>
      </c>
      <c r="L44" s="11" t="n">
        <v>59</v>
      </c>
      <c r="M44" s="11" t="inlineStr">
        <is>
          <t>Contango(远强)</t>
        </is>
      </c>
      <c r="N44" s="11" t="n">
        <v>1</v>
      </c>
      <c r="O44" s="11" t="n">
        <v>0</v>
      </c>
      <c r="P44" s="12" t="n">
        <v>-93</v>
      </c>
      <c r="Q44" s="11" t="inlineStr"/>
    </row>
    <row r="45">
      <c r="A45" s="6" t="inlineStr">
        <is>
          <t>2022-10-24</t>
        </is>
      </c>
      <c r="B45" s="6" t="inlineStr">
        <is>
          <t>MA2301</t>
        </is>
      </c>
      <c r="C45" s="6" t="inlineStr">
        <is>
          <t>2023-01</t>
        </is>
      </c>
      <c r="D45" s="7" t="n">
        <v>2972</v>
      </c>
      <c r="E45" s="7" t="n">
        <v>2647</v>
      </c>
      <c r="F45" s="7">
        <f>D45-E45</f>
        <v/>
      </c>
      <c r="G45" s="8">
        <f>IF(D45=0,"",(D45-E45)/D45)</f>
        <v/>
      </c>
      <c r="H45" s="9" t="n">
        <v>1111923</v>
      </c>
      <c r="I45" s="10" t="n">
        <v>0.9875</v>
      </c>
      <c r="J45" s="10">
        <f>IF(COUNT(G-205:G44)&lt;20,"",IF(COUNTIF(G-205:G44,"&lt;"&amp;G45)&gt;=COUNT(G-205:G44),(COUNT(G-205:G44)-0.5)/COUNT(G-205:G44),IF(COUNTIF(G-205:G44,G45)&gt;0,(COUNTIF(G-205:G44,"&lt;"&amp;G45)+0.5*COUNTIF(G-205:G44,G45))/COUNT(G-205:G44),COUNTIF(G-205:G44,"&lt;"&amp;G45)/COUNT(G-205:G44))))</f>
        <v/>
      </c>
      <c r="K45" s="6" t="inlineStr">
        <is>
          <t>高分位</t>
        </is>
      </c>
      <c r="L45" s="6" t="n">
        <v>58</v>
      </c>
      <c r="M45" s="6" t="inlineStr">
        <is>
          <t>Contango(远强)</t>
        </is>
      </c>
      <c r="N45" s="6" t="n">
        <v>1</v>
      </c>
      <c r="O45" s="6" t="n">
        <v>0</v>
      </c>
      <c r="P45" s="7" t="n">
        <v>-121</v>
      </c>
      <c r="Q45" s="6" t="inlineStr"/>
    </row>
    <row r="46">
      <c r="A46" s="11" t="inlineStr">
        <is>
          <t>2022-10-25</t>
        </is>
      </c>
      <c r="B46" s="11" t="inlineStr">
        <is>
          <t>MA2301</t>
        </is>
      </c>
      <c r="C46" s="11" t="inlineStr">
        <is>
          <t>2023-01</t>
        </is>
      </c>
      <c r="D46" s="12" t="n">
        <v>2924</v>
      </c>
      <c r="E46" s="12" t="n">
        <v>2588</v>
      </c>
      <c r="F46" s="12">
        <f>D46-E46</f>
        <v/>
      </c>
      <c r="G46" s="13">
        <f>IF(D46=0,"",(D46-E46)/D46)</f>
        <v/>
      </c>
      <c r="H46" s="14" t="n">
        <v>1195164</v>
      </c>
      <c r="I46" s="15" t="n">
        <v>0.9878</v>
      </c>
      <c r="J46" s="15">
        <f>IF(COUNT(G-204:G45)&lt;20,"",IF(COUNTIF(G-204:G45,"&lt;"&amp;G46)&gt;=COUNT(G-204:G45),(COUNT(G-204:G45)-0.5)/COUNT(G-204:G45),IF(COUNTIF(G-204:G45,G46)&gt;0,(COUNTIF(G-204:G45,"&lt;"&amp;G46)+0.5*COUNTIF(G-204:G45,G46))/COUNT(G-204:G45),COUNTIF(G-204:G45,"&lt;"&amp;G46)/COUNT(G-204:G45))))</f>
        <v/>
      </c>
      <c r="K46" s="11" t="inlineStr">
        <is>
          <t>高分位</t>
        </is>
      </c>
      <c r="L46" s="11" t="n">
        <v>57</v>
      </c>
      <c r="M46" s="11" t="inlineStr">
        <is>
          <t>Contango(远强)</t>
        </is>
      </c>
      <c r="N46" s="11" t="n">
        <v>1</v>
      </c>
      <c r="O46" s="11" t="n">
        <v>0</v>
      </c>
      <c r="P46" s="12" t="n">
        <v>-134</v>
      </c>
      <c r="Q46" s="11" t="inlineStr"/>
    </row>
    <row r="47">
      <c r="A47" s="6" t="inlineStr">
        <is>
          <t>2022-10-26</t>
        </is>
      </c>
      <c r="B47" s="6" t="inlineStr">
        <is>
          <t>MA2301</t>
        </is>
      </c>
      <c r="C47" s="6" t="inlineStr">
        <is>
          <t>2023-01</t>
        </is>
      </c>
      <c r="D47" s="7" t="n">
        <v>2844</v>
      </c>
      <c r="E47" s="7" t="n">
        <v>2564</v>
      </c>
      <c r="F47" s="7">
        <f>D47-E47</f>
        <v/>
      </c>
      <c r="G47" s="8">
        <f>IF(D47=0,"",(D47-E47)/D47)</f>
        <v/>
      </c>
      <c r="H47" s="9" t="n">
        <v>1117102</v>
      </c>
      <c r="I47" s="10" t="n">
        <v>0.9524</v>
      </c>
      <c r="J47" s="10">
        <f>IF(COUNT(G-203:G46)&lt;20,"",IF(COUNTIF(G-203:G46,"&lt;"&amp;G47)&gt;=COUNT(G-203:G46),(COUNT(G-203:G46)-0.5)/COUNT(G-203:G46),IF(COUNTIF(G-203:G46,G47)&gt;0,(COUNTIF(G-203:G46,"&lt;"&amp;G47)+0.5*COUNTIF(G-203:G46,G47))/COUNT(G-203:G46),COUNTIF(G-203:G46,"&lt;"&amp;G47)/COUNT(G-203:G46))))</f>
        <v/>
      </c>
      <c r="K47" s="6" t="inlineStr">
        <is>
          <t>高分位</t>
        </is>
      </c>
      <c r="L47" s="6" t="n">
        <v>56</v>
      </c>
      <c r="M47" s="6" t="inlineStr">
        <is>
          <t>Contango(远强)</t>
        </is>
      </c>
      <c r="N47" s="6" t="n">
        <v>1</v>
      </c>
      <c r="O47" s="6" t="n">
        <v>0</v>
      </c>
      <c r="P47" s="7" t="n">
        <v>-130</v>
      </c>
      <c r="Q47" s="6" t="inlineStr"/>
    </row>
    <row r="48">
      <c r="A48" s="11" t="inlineStr">
        <is>
          <t>2022-10-27</t>
        </is>
      </c>
      <c r="B48" s="11" t="inlineStr">
        <is>
          <t>MA2301</t>
        </is>
      </c>
      <c r="C48" s="11" t="inlineStr">
        <is>
          <t>2023-01</t>
        </is>
      </c>
      <c r="D48" s="12" t="n">
        <v>2808</v>
      </c>
      <c r="E48" s="12" t="n">
        <v>2536</v>
      </c>
      <c r="F48" s="12">
        <f>D48-E48</f>
        <v/>
      </c>
      <c r="G48" s="13">
        <f>IF(D48=0,"",(D48-E48)/D48)</f>
        <v/>
      </c>
      <c r="H48" s="14" t="n">
        <v>1258064</v>
      </c>
      <c r="I48" s="15" t="n">
        <v>0.9302</v>
      </c>
      <c r="J48" s="15">
        <f>IF(COUNT(G-202:G47)&lt;20,"",IF(COUNTIF(G-202:G47,"&lt;"&amp;G48)&gt;=COUNT(G-202:G47),(COUNT(G-202:G47)-0.5)/COUNT(G-202:G47),IF(COUNTIF(G-202:G47,G48)&gt;0,(COUNTIF(G-202:G47,"&lt;"&amp;G48)+0.5*COUNTIF(G-202:G47,G48))/COUNT(G-202:G47),COUNTIF(G-202:G47,"&lt;"&amp;G48)/COUNT(G-202:G47))))</f>
        <v/>
      </c>
      <c r="K48" s="11" t="inlineStr">
        <is>
          <t>高分位</t>
        </is>
      </c>
      <c r="L48" s="11" t="n">
        <v>55</v>
      </c>
      <c r="M48" s="11" t="inlineStr">
        <is>
          <t>Contango(远强)</t>
        </is>
      </c>
      <c r="N48" s="11" t="n">
        <v>1</v>
      </c>
      <c r="O48" s="11" t="n">
        <v>0</v>
      </c>
      <c r="P48" s="12" t="n">
        <v>-120</v>
      </c>
      <c r="Q48" s="11" t="inlineStr"/>
    </row>
    <row r="49">
      <c r="A49" s="6" t="inlineStr">
        <is>
          <t>2022-10-28</t>
        </is>
      </c>
      <c r="B49" s="6" t="inlineStr">
        <is>
          <t>MA2301</t>
        </is>
      </c>
      <c r="C49" s="6" t="inlineStr">
        <is>
          <t>2023-01</t>
        </is>
      </c>
      <c r="D49" s="7" t="n">
        <v>2800</v>
      </c>
      <c r="E49" s="7" t="n">
        <v>2534</v>
      </c>
      <c r="F49" s="7">
        <f>D49-E49</f>
        <v/>
      </c>
      <c r="G49" s="8">
        <f>IF(D49=0,"",(D49-E49)/D49)</f>
        <v/>
      </c>
      <c r="H49" s="9" t="n">
        <v>1146112</v>
      </c>
      <c r="I49" s="10" t="n">
        <v>0.9091</v>
      </c>
      <c r="J49" s="10">
        <f>IF(COUNT(G-201:G48)&lt;20,"",IF(COUNTIF(G-201:G48,"&lt;"&amp;G49)&gt;=COUNT(G-201:G48),(COUNT(G-201:G48)-0.5)/COUNT(G-201:G48),IF(COUNTIF(G-201:G48,G49)&gt;0,(COUNTIF(G-201:G48,"&lt;"&amp;G49)+0.5*COUNTIF(G-201:G48,G49))/COUNT(G-201:G48),COUNTIF(G-201:G48,"&lt;"&amp;G49)/COUNT(G-201:G48))))</f>
        <v/>
      </c>
      <c r="K49" s="6" t="inlineStr">
        <is>
          <t>高分位</t>
        </is>
      </c>
      <c r="L49" s="6" t="n">
        <v>54</v>
      </c>
      <c r="M49" s="6" t="inlineStr">
        <is>
          <t>Contango(远强)</t>
        </is>
      </c>
      <c r="N49" s="6" t="n">
        <v>1</v>
      </c>
      <c r="O49" s="6" t="n">
        <v>0</v>
      </c>
      <c r="P49" s="7" t="n">
        <v>-125</v>
      </c>
      <c r="Q49" s="6" t="inlineStr"/>
    </row>
    <row r="50">
      <c r="A50" s="11" t="inlineStr">
        <is>
          <t>2022-10-31</t>
        </is>
      </c>
      <c r="B50" s="11" t="inlineStr">
        <is>
          <t>MA2301</t>
        </is>
      </c>
      <c r="C50" s="11" t="inlineStr">
        <is>
          <t>2023-01</t>
        </is>
      </c>
      <c r="D50" s="12" t="n">
        <v>2800</v>
      </c>
      <c r="E50" s="12" t="n">
        <v>2476</v>
      </c>
      <c r="F50" s="12">
        <f>D50-E50</f>
        <v/>
      </c>
      <c r="G50" s="13">
        <f>IF(D50=0,"",(D50-E50)/D50)</f>
        <v/>
      </c>
      <c r="H50" s="14" t="n">
        <v>1224322</v>
      </c>
      <c r="I50" s="15" t="n">
        <v>0.9889</v>
      </c>
      <c r="J50" s="15">
        <f>IF(COUNT(G-200:G49)&lt;20,"",IF(COUNTIF(G-200:G49,"&lt;"&amp;G50)&gt;=COUNT(G-200:G49),(COUNT(G-200:G49)-0.5)/COUNT(G-200:G49),IF(COUNTIF(G-200:G49,G50)&gt;0,(COUNTIF(G-200:G49,"&lt;"&amp;G50)+0.5*COUNTIF(G-200:G49,G50))/COUNT(G-200:G49),COUNTIF(G-200:G49,"&lt;"&amp;G50)/COUNT(G-200:G49))))</f>
        <v/>
      </c>
      <c r="K50" s="11" t="inlineStr">
        <is>
          <t>高分位</t>
        </is>
      </c>
      <c r="L50" s="11" t="n">
        <v>53</v>
      </c>
      <c r="M50" s="11" t="inlineStr">
        <is>
          <t>Contango(远强)</t>
        </is>
      </c>
      <c r="N50" s="11" t="n">
        <v>1</v>
      </c>
      <c r="O50" s="11" t="n">
        <v>0</v>
      </c>
      <c r="P50" s="12" t="n">
        <v>-151</v>
      </c>
      <c r="Q50" s="11" t="inlineStr"/>
    </row>
    <row r="51">
      <c r="A51" s="6" t="inlineStr">
        <is>
          <t>2022-11-01</t>
        </is>
      </c>
      <c r="B51" s="6" t="inlineStr">
        <is>
          <t>MA2301</t>
        </is>
      </c>
      <c r="C51" s="6" t="inlineStr">
        <is>
          <t>2023-01</t>
        </is>
      </c>
      <c r="D51" s="7" t="n">
        <v>2790</v>
      </c>
      <c r="E51" s="7" t="n">
        <v>2554</v>
      </c>
      <c r="F51" s="7">
        <f>D51-E51</f>
        <v/>
      </c>
      <c r="G51" s="8">
        <f>IF(D51=0,"",(D51-E51)/D51)</f>
        <v/>
      </c>
      <c r="H51" s="9" t="n">
        <v>1134151</v>
      </c>
      <c r="I51" s="10" t="n">
        <v>0.8478</v>
      </c>
      <c r="J51" s="10">
        <f>IF(COUNT(G-199:G50)&lt;20,"",IF(COUNTIF(G-199:G50,"&lt;"&amp;G51)&gt;=COUNT(G-199:G50),(COUNT(G-199:G50)-0.5)/COUNT(G-199:G50),IF(COUNTIF(G-199:G50,G51)&gt;0,(COUNTIF(G-199:G50,"&lt;"&amp;G51)+0.5*COUNTIF(G-199:G50,G51))/COUNT(G-199:G50),COUNTIF(G-199:G50,"&lt;"&amp;G51)/COUNT(G-199:G50))))</f>
        <v/>
      </c>
      <c r="K51" s="6" t="inlineStr">
        <is>
          <t>中间分位</t>
        </is>
      </c>
      <c r="L51" s="6" t="n">
        <v>52</v>
      </c>
      <c r="M51" s="6" t="inlineStr">
        <is>
          <t>Contango(远强)</t>
        </is>
      </c>
      <c r="N51" s="6" t="n">
        <v>1</v>
      </c>
      <c r="O51" s="6" t="n">
        <v>0</v>
      </c>
      <c r="P51" s="7" t="n">
        <v>-156</v>
      </c>
      <c r="Q51" s="6" t="inlineStr"/>
    </row>
    <row r="52">
      <c r="A52" s="11" t="inlineStr">
        <is>
          <t>2022-11-02</t>
        </is>
      </c>
      <c r="B52" s="11" t="inlineStr">
        <is>
          <t>MA2301</t>
        </is>
      </c>
      <c r="C52" s="11" t="inlineStr">
        <is>
          <t>2023-01</t>
        </is>
      </c>
      <c r="D52" s="12" t="n">
        <v>2836</v>
      </c>
      <c r="E52" s="12" t="n">
        <v>2563</v>
      </c>
      <c r="F52" s="12">
        <f>D52-E52</f>
        <v/>
      </c>
      <c r="G52" s="13">
        <f>IF(D52=0,"",(D52-E52)/D52)</f>
        <v/>
      </c>
      <c r="H52" s="14" t="n">
        <v>1203887</v>
      </c>
      <c r="I52" s="15" t="n">
        <v>0.8935999999999999</v>
      </c>
      <c r="J52" s="15">
        <f>IF(COUNT(G-198:G51)&lt;20,"",IF(COUNTIF(G-198:G51,"&lt;"&amp;G52)&gt;=COUNT(G-198:G51),(COUNT(G-198:G51)-0.5)/COUNT(G-198:G51),IF(COUNTIF(G-198:G51,G52)&gt;0,(COUNTIF(G-198:G51,"&lt;"&amp;G52)+0.5*COUNTIF(G-198:G51,G52))/COUNT(G-198:G51),COUNTIF(G-198:G51,"&lt;"&amp;G52)/COUNT(G-198:G51))))</f>
        <v/>
      </c>
      <c r="K52" s="11" t="inlineStr">
        <is>
          <t>中间分位</t>
        </is>
      </c>
      <c r="L52" s="11" t="n">
        <v>51</v>
      </c>
      <c r="M52" s="11" t="inlineStr">
        <is>
          <t>Contango(远强)</t>
        </is>
      </c>
      <c r="N52" s="11" t="n">
        <v>1</v>
      </c>
      <c r="O52" s="11" t="n">
        <v>0</v>
      </c>
      <c r="P52" s="12" t="n">
        <v>-162</v>
      </c>
      <c r="Q52" s="11" t="inlineStr"/>
    </row>
    <row r="53">
      <c r="A53" s="6" t="inlineStr">
        <is>
          <t>2022-11-03</t>
        </is>
      </c>
      <c r="B53" s="6" t="inlineStr">
        <is>
          <t>MA2301</t>
        </is>
      </c>
      <c r="C53" s="6" t="inlineStr">
        <is>
          <t>2023-01</t>
        </is>
      </c>
      <c r="D53" s="7" t="n">
        <v>2842.5</v>
      </c>
      <c r="E53" s="7" t="n">
        <v>2554</v>
      </c>
      <c r="F53" s="7">
        <f>D53-E53</f>
        <v/>
      </c>
      <c r="G53" s="8">
        <f>IF(D53=0,"",(D53-E53)/D53)</f>
        <v/>
      </c>
      <c r="H53" s="9" t="n">
        <v>1144449</v>
      </c>
      <c r="I53" s="10" t="n">
        <v>0.9375</v>
      </c>
      <c r="J53" s="10">
        <f>IF(COUNT(G-197:G52)&lt;20,"",IF(COUNTIF(G-197:G52,"&lt;"&amp;G53)&gt;=COUNT(G-197:G52),(COUNT(G-197:G52)-0.5)/COUNT(G-197:G52),IF(COUNTIF(G-197:G52,G53)&gt;0,(COUNTIF(G-197:G52,"&lt;"&amp;G53)+0.5*COUNTIF(G-197:G52,G53))/COUNT(G-197:G52),COUNTIF(G-197:G52,"&lt;"&amp;G53)/COUNT(G-197:G52))))</f>
        <v/>
      </c>
      <c r="K53" s="6" t="inlineStr">
        <is>
          <t>高分位</t>
        </is>
      </c>
      <c r="L53" s="6" t="n">
        <v>50</v>
      </c>
      <c r="M53" s="6" t="inlineStr">
        <is>
          <t>Contango(远强)</t>
        </is>
      </c>
      <c r="N53" s="6" t="n">
        <v>1</v>
      </c>
      <c r="O53" s="6" t="n">
        <v>0</v>
      </c>
      <c r="P53" s="7" t="n">
        <v>-204</v>
      </c>
      <c r="Q53" s="6" t="inlineStr"/>
    </row>
    <row r="54">
      <c r="A54" s="11" t="inlineStr">
        <is>
          <t>2022-11-04</t>
        </is>
      </c>
      <c r="B54" s="11" t="inlineStr">
        <is>
          <t>MA2301</t>
        </is>
      </c>
      <c r="C54" s="11" t="inlineStr">
        <is>
          <t>2023-01</t>
        </is>
      </c>
      <c r="D54" s="12" t="n">
        <v>2851</v>
      </c>
      <c r="E54" s="12" t="n">
        <v>2613</v>
      </c>
      <c r="F54" s="12">
        <f>D54-E54</f>
        <v/>
      </c>
      <c r="G54" s="13">
        <f>IF(D54=0,"",(D54-E54)/D54)</f>
        <v/>
      </c>
      <c r="H54" s="14" t="n">
        <v>1161636</v>
      </c>
      <c r="I54" s="15" t="n">
        <v>0.7959000000000001</v>
      </c>
      <c r="J54" s="15">
        <f>IF(COUNT(G-196:G53)&lt;20,"",IF(COUNTIF(G-196:G53,"&lt;"&amp;G54)&gt;=COUNT(G-196:G53),(COUNT(G-196:G53)-0.5)/COUNT(G-196:G53),IF(COUNTIF(G-196:G53,G54)&gt;0,(COUNTIF(G-196:G53,"&lt;"&amp;G54)+0.5*COUNTIF(G-196:G53,G54))/COUNT(G-196:G53),COUNTIF(G-196:G53,"&lt;"&amp;G54)/COUNT(G-196:G53))))</f>
        <v/>
      </c>
      <c r="K54" s="11" t="inlineStr">
        <is>
          <t>中间分位</t>
        </is>
      </c>
      <c r="L54" s="11" t="n">
        <v>49</v>
      </c>
      <c r="M54" s="11" t="inlineStr">
        <is>
          <t>Contango(远强)</t>
        </is>
      </c>
      <c r="N54" s="11" t="n">
        <v>1</v>
      </c>
      <c r="O54" s="11" t="n">
        <v>0</v>
      </c>
      <c r="P54" s="12" t="n">
        <v>-150</v>
      </c>
      <c r="Q54" s="11" t="inlineStr"/>
    </row>
    <row r="55">
      <c r="A55" s="6" t="inlineStr">
        <is>
          <t>2022-11-07</t>
        </is>
      </c>
      <c r="B55" s="6" t="inlineStr">
        <is>
          <t>MA2301</t>
        </is>
      </c>
      <c r="C55" s="6" t="inlineStr">
        <is>
          <t>2023-01</t>
        </is>
      </c>
      <c r="D55" s="7" t="n">
        <v>2864</v>
      </c>
      <c r="E55" s="7" t="n">
        <v>2585</v>
      </c>
      <c r="F55" s="7">
        <f>D55-E55</f>
        <v/>
      </c>
      <c r="G55" s="8">
        <f>IF(D55=0,"",(D55-E55)/D55)</f>
        <v/>
      </c>
      <c r="H55" s="9" t="n">
        <v>1035879</v>
      </c>
      <c r="I55" s="10" t="n">
        <v>0.9</v>
      </c>
      <c r="J55" s="10">
        <f>IF(COUNT(G-195:G54)&lt;20,"",IF(COUNTIF(G-195:G54,"&lt;"&amp;G55)&gt;=COUNT(G-195:G54),(COUNT(G-195:G54)-0.5)/COUNT(G-195:G54),IF(COUNTIF(G-195:G54,G55)&gt;0,(COUNTIF(G-195:G54,"&lt;"&amp;G55)+0.5*COUNTIF(G-195:G54,G55))/COUNT(G-195:G54),COUNTIF(G-195:G54,"&lt;"&amp;G55)/COUNT(G-195:G54))))</f>
        <v/>
      </c>
      <c r="K55" s="6" t="inlineStr">
        <is>
          <t>高分位</t>
        </is>
      </c>
      <c r="L55" s="6" t="n">
        <v>48</v>
      </c>
      <c r="M55" s="6" t="inlineStr">
        <is>
          <t>Contango(远强)</t>
        </is>
      </c>
      <c r="N55" s="6" t="n">
        <v>1</v>
      </c>
      <c r="O55" s="6" t="n">
        <v>0</v>
      </c>
      <c r="P55" s="7" t="n">
        <v>-185</v>
      </c>
      <c r="Q55" s="6" t="inlineStr"/>
    </row>
    <row r="56">
      <c r="A56" s="11" t="inlineStr">
        <is>
          <t>2022-11-08</t>
        </is>
      </c>
      <c r="B56" s="11" t="inlineStr">
        <is>
          <t>MA2301</t>
        </is>
      </c>
      <c r="C56" s="11" t="inlineStr">
        <is>
          <t>2023-01</t>
        </is>
      </c>
      <c r="D56" s="12" t="n">
        <v>2828</v>
      </c>
      <c r="E56" s="12" t="n">
        <v>2587</v>
      </c>
      <c r="F56" s="12">
        <f>D56-E56</f>
        <v/>
      </c>
      <c r="G56" s="13">
        <f>IF(D56=0,"",(D56-E56)/D56)</f>
        <v/>
      </c>
      <c r="H56" s="14" t="n">
        <v>1071325</v>
      </c>
      <c r="I56" s="15" t="n">
        <v>0.8038999999999999</v>
      </c>
      <c r="J56" s="15">
        <f>IF(COUNT(G-194:G55)&lt;20,"",IF(COUNTIF(G-194:G55,"&lt;"&amp;G56)&gt;=COUNT(G-194:G55),(COUNT(G-194:G55)-0.5)/COUNT(G-194:G55),IF(COUNTIF(G-194:G55,G56)&gt;0,(COUNTIF(G-194:G55,"&lt;"&amp;G56)+0.5*COUNTIF(G-194:G55,G56))/COUNT(G-194:G55),COUNTIF(G-194:G55,"&lt;"&amp;G56)/COUNT(G-194:G55))))</f>
        <v/>
      </c>
      <c r="K56" s="11" t="inlineStr">
        <is>
          <t>中间分位</t>
        </is>
      </c>
      <c r="L56" s="11" t="n">
        <v>47</v>
      </c>
      <c r="M56" s="11" t="inlineStr">
        <is>
          <t>Contango(远强)</t>
        </is>
      </c>
      <c r="N56" s="11" t="n">
        <v>1</v>
      </c>
      <c r="O56" s="11" t="n">
        <v>0</v>
      </c>
      <c r="P56" s="12" t="n">
        <v>-137</v>
      </c>
      <c r="Q56" s="11" t="inlineStr"/>
    </row>
    <row r="57">
      <c r="A57" s="6" t="inlineStr">
        <is>
          <t>2022-11-09</t>
        </is>
      </c>
      <c r="B57" s="6" t="inlineStr">
        <is>
          <t>MA2301</t>
        </is>
      </c>
      <c r="C57" s="6" t="inlineStr">
        <is>
          <t>2023-01</t>
        </is>
      </c>
      <c r="D57" s="7" t="n">
        <v>2824</v>
      </c>
      <c r="E57" s="7" t="n">
        <v>2537</v>
      </c>
      <c r="F57" s="7">
        <f>D57-E57</f>
        <v/>
      </c>
      <c r="G57" s="8">
        <f>IF(D57=0,"",(D57-E57)/D57)</f>
        <v/>
      </c>
      <c r="H57" s="9" t="n">
        <v>1149684</v>
      </c>
      <c r="I57" s="10" t="n">
        <v>0.9423</v>
      </c>
      <c r="J57" s="10">
        <f>IF(COUNT(G-193:G56)&lt;20,"",IF(COUNTIF(G-193:G56,"&lt;"&amp;G57)&gt;=COUNT(G-193:G56),(COUNT(G-193:G56)-0.5)/COUNT(G-193:G56),IF(COUNTIF(G-193:G56,G57)&gt;0,(COUNTIF(G-193:G56,"&lt;"&amp;G57)+0.5*COUNTIF(G-193:G56,G57))/COUNT(G-193:G56),COUNTIF(G-193:G56,"&lt;"&amp;G57)/COUNT(G-193:G56))))</f>
        <v/>
      </c>
      <c r="K57" s="6" t="inlineStr">
        <is>
          <t>高分位</t>
        </is>
      </c>
      <c r="L57" s="6" t="n">
        <v>46</v>
      </c>
      <c r="M57" s="6" t="inlineStr">
        <is>
          <t>Contango(远强)</t>
        </is>
      </c>
      <c r="N57" s="6" t="n">
        <v>1</v>
      </c>
      <c r="O57" s="6" t="n">
        <v>0</v>
      </c>
      <c r="P57" s="7" t="n">
        <v>-198</v>
      </c>
      <c r="Q57" s="6" t="inlineStr"/>
    </row>
    <row r="58">
      <c r="A58" s="11" t="inlineStr">
        <is>
          <t>2022-11-10</t>
        </is>
      </c>
      <c r="B58" s="11" t="inlineStr">
        <is>
          <t>MA2301</t>
        </is>
      </c>
      <c r="C58" s="11" t="inlineStr">
        <is>
          <t>2023-01</t>
        </is>
      </c>
      <c r="D58" s="12" t="n">
        <v>2747.5</v>
      </c>
      <c r="E58" s="12" t="n">
        <v>2472</v>
      </c>
      <c r="F58" s="12">
        <f>D58-E58</f>
        <v/>
      </c>
      <c r="G58" s="13">
        <f>IF(D58=0,"",(D58-E58)/D58)</f>
        <v/>
      </c>
      <c r="H58" s="14" t="n">
        <v>1194281</v>
      </c>
      <c r="I58" s="15" t="n">
        <v>0.9056999999999999</v>
      </c>
      <c r="J58" s="15">
        <f>IF(COUNT(G-192:G57)&lt;20,"",IF(COUNTIF(G-192:G57,"&lt;"&amp;G58)&gt;=COUNT(G-192:G57),(COUNT(G-192:G57)-0.5)/COUNT(G-192:G57),IF(COUNTIF(G-192:G57,G58)&gt;0,(COUNTIF(G-192:G57,"&lt;"&amp;G58)+0.5*COUNTIF(G-192:G57,G58))/COUNT(G-192:G57),COUNTIF(G-192:G57,"&lt;"&amp;G58)/COUNT(G-192:G57))))</f>
        <v/>
      </c>
      <c r="K58" s="11" t="inlineStr">
        <is>
          <t>高分位</t>
        </is>
      </c>
      <c r="L58" s="11" t="n">
        <v>45</v>
      </c>
      <c r="M58" s="11" t="inlineStr">
        <is>
          <t>Contango(远强)</t>
        </is>
      </c>
      <c r="N58" s="11" t="n">
        <v>1</v>
      </c>
      <c r="O58" s="11" t="n">
        <v>0</v>
      </c>
      <c r="P58" s="12" t="n">
        <v>-100</v>
      </c>
      <c r="Q58" s="11" t="inlineStr"/>
    </row>
    <row r="59">
      <c r="A59" s="6" t="inlineStr">
        <is>
          <t>2022-11-11</t>
        </is>
      </c>
      <c r="B59" s="6" t="inlineStr">
        <is>
          <t>MA2301</t>
        </is>
      </c>
      <c r="C59" s="6" t="inlineStr">
        <is>
          <t>2023-01</t>
        </is>
      </c>
      <c r="D59" s="7" t="n">
        <v>2691.67</v>
      </c>
      <c r="E59" s="7" t="n">
        <v>2556</v>
      </c>
      <c r="F59" s="7">
        <f>D59-E59</f>
        <v/>
      </c>
      <c r="G59" s="8">
        <f>IF(D59=0,"",(D59-E59)/D59)</f>
        <v/>
      </c>
      <c r="H59" s="9" t="n">
        <v>1116595</v>
      </c>
      <c r="I59" s="10" t="n">
        <v>0.6296</v>
      </c>
      <c r="J59" s="10">
        <f>IF(COUNT(G-191:G58)&lt;20,"",IF(COUNTIF(G-191:G58,"&lt;"&amp;G59)&gt;=COUNT(G-191:G58),(COUNT(G-191:G58)-0.5)/COUNT(G-191:G58),IF(COUNTIF(G-191:G58,G59)&gt;0,(COUNTIF(G-191:G58,"&lt;"&amp;G59)+0.5*COUNTIF(G-191:G58,G59))/COUNT(G-191:G58),COUNTIF(G-191:G58,"&lt;"&amp;G59)/COUNT(G-191:G58))))</f>
        <v/>
      </c>
      <c r="K59" s="6" t="inlineStr">
        <is>
          <t>中间分位</t>
        </is>
      </c>
      <c r="L59" s="6" t="n">
        <v>44</v>
      </c>
      <c r="M59" s="6" t="inlineStr">
        <is>
          <t>Contango(远强)</t>
        </is>
      </c>
      <c r="N59" s="6" t="n">
        <v>1</v>
      </c>
      <c r="O59" s="6" t="n">
        <v>0</v>
      </c>
      <c r="P59" s="7" t="n">
        <v>-87</v>
      </c>
      <c r="Q59" s="6" t="inlineStr"/>
    </row>
    <row r="60">
      <c r="A60" s="11" t="inlineStr">
        <is>
          <t>2022-11-14</t>
        </is>
      </c>
      <c r="B60" s="11" t="inlineStr">
        <is>
          <t>MA2301</t>
        </is>
      </c>
      <c r="C60" s="11" t="inlineStr">
        <is>
          <t>2023-01</t>
        </is>
      </c>
      <c r="D60" s="12" t="n">
        <v>2777.5</v>
      </c>
      <c r="E60" s="12" t="n">
        <v>2570</v>
      </c>
      <c r="F60" s="12">
        <f>D60-E60</f>
        <v/>
      </c>
      <c r="G60" s="13">
        <f>IF(D60=0,"",(D60-E60)/D60)</f>
        <v/>
      </c>
      <c r="H60" s="14" t="n">
        <v>982423</v>
      </c>
      <c r="I60" s="15" t="n">
        <v>0.7091</v>
      </c>
      <c r="J60" s="15">
        <f>IF(COUNT(G-190:G59)&lt;20,"",IF(COUNTIF(G-190:G59,"&lt;"&amp;G60)&gt;=COUNT(G-190:G59),(COUNT(G-190:G59)-0.5)/COUNT(G-190:G59),IF(COUNTIF(G-190:G59,G60)&gt;0,(COUNTIF(G-190:G59,"&lt;"&amp;G60)+0.5*COUNTIF(G-190:G59,G60))/COUNT(G-190:G59),COUNTIF(G-190:G59,"&lt;"&amp;G60)/COUNT(G-190:G59))))</f>
        <v/>
      </c>
      <c r="K60" s="11" t="inlineStr">
        <is>
          <t>中间分位</t>
        </is>
      </c>
      <c r="L60" s="11" t="n">
        <v>43</v>
      </c>
      <c r="M60" s="11" t="inlineStr">
        <is>
          <t>Contango(远强)</t>
        </is>
      </c>
      <c r="N60" s="11" t="n">
        <v>1</v>
      </c>
      <c r="O60" s="11" t="n">
        <v>0</v>
      </c>
      <c r="P60" s="12" t="n">
        <v>-78</v>
      </c>
      <c r="Q60" s="11" t="inlineStr"/>
    </row>
    <row r="61">
      <c r="A61" s="6" t="inlineStr">
        <is>
          <t>2022-11-15</t>
        </is>
      </c>
      <c r="B61" s="6" t="inlineStr">
        <is>
          <t>MA2301</t>
        </is>
      </c>
      <c r="C61" s="6" t="inlineStr">
        <is>
          <t>2023-01</t>
        </is>
      </c>
      <c r="D61" s="7" t="n">
        <v>2799.17</v>
      </c>
      <c r="E61" s="7" t="n">
        <v>2594</v>
      </c>
      <c r="F61" s="7">
        <f>D61-E61</f>
        <v/>
      </c>
      <c r="G61" s="8">
        <f>IF(D61=0,"",(D61-E61)/D61)</f>
        <v/>
      </c>
      <c r="H61" s="9" t="n">
        <v>1012052</v>
      </c>
      <c r="I61" s="10" t="n">
        <v>0.6786</v>
      </c>
      <c r="J61" s="10">
        <f>IF(COUNT(G-189:G60)&lt;20,"",IF(COUNTIF(G-189:G60,"&lt;"&amp;G61)&gt;=COUNT(G-189:G60),(COUNT(G-189:G60)-0.5)/COUNT(G-189:G60),IF(COUNTIF(G-189:G60,G61)&gt;0,(COUNTIF(G-189:G60,"&lt;"&amp;G61)+0.5*COUNTIF(G-189:G60,G61))/COUNT(G-189:G60),COUNTIF(G-189:G60,"&lt;"&amp;G61)/COUNT(G-189:G60))))</f>
        <v/>
      </c>
      <c r="K61" s="6" t="inlineStr">
        <is>
          <t>中间分位</t>
        </is>
      </c>
      <c r="L61" s="6" t="n">
        <v>42</v>
      </c>
      <c r="M61" s="6" t="inlineStr">
        <is>
          <t>结构不明</t>
        </is>
      </c>
      <c r="N61" s="6" t="n">
        <v>1</v>
      </c>
      <c r="O61" s="6" t="n">
        <v>0</v>
      </c>
      <c r="P61" s="7" t="n">
        <v>-77</v>
      </c>
      <c r="Q61" s="6" t="inlineStr"/>
    </row>
    <row r="62">
      <c r="A62" s="11" t="inlineStr">
        <is>
          <t>2022-11-16</t>
        </is>
      </c>
      <c r="B62" s="11" t="inlineStr">
        <is>
          <t>MA2301</t>
        </is>
      </c>
      <c r="C62" s="11" t="inlineStr">
        <is>
          <t>2023-01</t>
        </is>
      </c>
      <c r="D62" s="12" t="n">
        <v>2799.17</v>
      </c>
      <c r="E62" s="12" t="n">
        <v>2610</v>
      </c>
      <c r="F62" s="12">
        <f>D62-E62</f>
        <v/>
      </c>
      <c r="G62" s="13">
        <f>IF(D62=0,"",(D62-E62)/D62)</f>
        <v/>
      </c>
      <c r="H62" s="14" t="n">
        <v>907492</v>
      </c>
      <c r="I62" s="15" t="n">
        <v>0.6491</v>
      </c>
      <c r="J62" s="15">
        <f>IF(COUNT(G-188:G61)&lt;20,"",IF(COUNTIF(G-188:G61,"&lt;"&amp;G62)&gt;=COUNT(G-188:G61),(COUNT(G-188:G61)-0.5)/COUNT(G-188:G61),IF(COUNTIF(G-188:G61,G62)&gt;0,(COUNTIF(G-188:G61,"&lt;"&amp;G62)+0.5*COUNTIF(G-188:G61,G62))/COUNT(G-188:G61),COUNTIF(G-188:G61,"&lt;"&amp;G62)/COUNT(G-188:G61))))</f>
        <v/>
      </c>
      <c r="K62" s="11" t="inlineStr">
        <is>
          <t>中间分位</t>
        </is>
      </c>
      <c r="L62" s="11" t="n">
        <v>41</v>
      </c>
      <c r="M62" s="11" t="inlineStr">
        <is>
          <t>结构不明</t>
        </is>
      </c>
      <c r="N62" s="11" t="n">
        <v>1</v>
      </c>
      <c r="O62" s="11" t="n">
        <v>0</v>
      </c>
      <c r="P62" s="12" t="n">
        <v>-74</v>
      </c>
      <c r="Q62" s="11" t="inlineStr"/>
    </row>
    <row r="63">
      <c r="A63" s="6" t="inlineStr">
        <is>
          <t>2022-11-17</t>
        </is>
      </c>
      <c r="B63" s="6" t="inlineStr">
        <is>
          <t>MA2301</t>
        </is>
      </c>
      <c r="C63" s="6" t="inlineStr">
        <is>
          <t>2023-01</t>
        </is>
      </c>
      <c r="D63" s="7" t="n">
        <v>2827.5</v>
      </c>
      <c r="E63" s="7" t="n">
        <v>2541</v>
      </c>
      <c r="F63" s="7">
        <f>D63-E63</f>
        <v/>
      </c>
      <c r="G63" s="8">
        <f>IF(D63=0,"",(D63-E63)/D63)</f>
        <v/>
      </c>
      <c r="H63" s="9" t="n">
        <v>1119776</v>
      </c>
      <c r="I63" s="10" t="n">
        <v>0.9137999999999999</v>
      </c>
      <c r="J63" s="10">
        <f>IF(COUNT(G-187:G62)&lt;20,"",IF(COUNTIF(G-187:G62,"&lt;"&amp;G63)&gt;=COUNT(G-187:G62),(COUNT(G-187:G62)-0.5)/COUNT(G-187:G62),IF(COUNTIF(G-187:G62,G63)&gt;0,(COUNTIF(G-187:G62,"&lt;"&amp;G63)+0.5*COUNTIF(G-187:G62,G63))/COUNT(G-187:G62),COUNTIF(G-187:G62,"&lt;"&amp;G63)/COUNT(G-187:G62))))</f>
        <v/>
      </c>
      <c r="K63" s="6" t="inlineStr">
        <is>
          <t>高分位</t>
        </is>
      </c>
      <c r="L63" s="6" t="n">
        <v>40</v>
      </c>
      <c r="M63" s="6" t="inlineStr">
        <is>
          <t>Contango(远强)</t>
        </is>
      </c>
      <c r="N63" s="6" t="n">
        <v>1</v>
      </c>
      <c r="O63" s="6" t="n">
        <v>0</v>
      </c>
      <c r="P63" s="7" t="n">
        <v>-90</v>
      </c>
      <c r="Q63" s="6" t="inlineStr"/>
    </row>
    <row r="64">
      <c r="A64" s="11" t="inlineStr">
        <is>
          <t>2022-11-18</t>
        </is>
      </c>
      <c r="B64" s="11" t="inlineStr">
        <is>
          <t>MA2301</t>
        </is>
      </c>
      <c r="C64" s="11" t="inlineStr">
        <is>
          <t>2023-01</t>
        </is>
      </c>
      <c r="D64" s="12" t="n">
        <v>2800</v>
      </c>
      <c r="E64" s="12" t="n">
        <v>2598</v>
      </c>
      <c r="F64" s="12">
        <f>D64-E64</f>
        <v/>
      </c>
      <c r="G64" s="13">
        <f>IF(D64=0,"",(D64-E64)/D64)</f>
        <v/>
      </c>
      <c r="H64" s="14" t="n">
        <v>1116341</v>
      </c>
      <c r="I64" s="15" t="n">
        <v>0.661</v>
      </c>
      <c r="J64" s="15">
        <f>IF(COUNT(G-186:G63)&lt;20,"",IF(COUNTIF(G-186:G63,"&lt;"&amp;G64)&gt;=COUNT(G-186:G63),(COUNT(G-186:G63)-0.5)/COUNT(G-186:G63),IF(COUNTIF(G-186:G63,G64)&gt;0,(COUNTIF(G-186:G63,"&lt;"&amp;G64)+0.5*COUNTIF(G-186:G63,G64))/COUNT(G-186:G63),COUNTIF(G-186:G63,"&lt;"&amp;G64)/COUNT(G-186:G63))))</f>
        <v/>
      </c>
      <c r="K64" s="11" t="inlineStr">
        <is>
          <t>中间分位</t>
        </is>
      </c>
      <c r="L64" s="11" t="n">
        <v>39</v>
      </c>
      <c r="M64" s="11" t="inlineStr">
        <is>
          <t>Contango(远强)</t>
        </is>
      </c>
      <c r="N64" s="11" t="n">
        <v>1</v>
      </c>
      <c r="O64" s="11" t="n">
        <v>0</v>
      </c>
      <c r="P64" s="12" t="n">
        <v>-90</v>
      </c>
      <c r="Q64" s="11" t="inlineStr"/>
    </row>
    <row r="65">
      <c r="A65" s="6" t="inlineStr">
        <is>
          <t>2022-11-21</t>
        </is>
      </c>
      <c r="B65" s="6" t="inlineStr">
        <is>
          <t>MA2301</t>
        </is>
      </c>
      <c r="C65" s="6" t="inlineStr">
        <is>
          <t>2023-01</t>
        </is>
      </c>
      <c r="D65" s="7" t="n">
        <v>2838.33</v>
      </c>
      <c r="E65" s="7" t="n">
        <v>2532</v>
      </c>
      <c r="F65" s="7">
        <f>D65-E65</f>
        <v/>
      </c>
      <c r="G65" s="8">
        <f>IF(D65=0,"",(D65-E65)/D65)</f>
        <v/>
      </c>
      <c r="H65" s="9" t="n">
        <v>1114063</v>
      </c>
      <c r="I65" s="10" t="n">
        <v>0.95</v>
      </c>
      <c r="J65" s="10">
        <f>IF(COUNT(G-185:G64)&lt;20,"",IF(COUNTIF(G-185:G64,"&lt;"&amp;G65)&gt;=COUNT(G-185:G64),(COUNT(G-185:G64)-0.5)/COUNT(G-185:G64),IF(COUNTIF(G-185:G64,G65)&gt;0,(COUNTIF(G-185:G64,"&lt;"&amp;G65)+0.5*COUNTIF(G-185:G64,G65))/COUNT(G-185:G64),COUNTIF(G-185:G64,"&lt;"&amp;G65)/COUNT(G-185:G64))))</f>
        <v/>
      </c>
      <c r="K65" s="6" t="inlineStr">
        <is>
          <t>高分位</t>
        </is>
      </c>
      <c r="L65" s="6" t="n">
        <v>38</v>
      </c>
      <c r="M65" s="6" t="inlineStr">
        <is>
          <t>Contango(远强)</t>
        </is>
      </c>
      <c r="N65" s="6" t="n">
        <v>1</v>
      </c>
      <c r="O65" s="6" t="n">
        <v>0</v>
      </c>
      <c r="P65" s="7" t="n">
        <v>-112</v>
      </c>
      <c r="Q65" s="6" t="inlineStr"/>
    </row>
    <row r="66">
      <c r="A66" s="11" t="inlineStr">
        <is>
          <t>2022-11-22</t>
        </is>
      </c>
      <c r="B66" s="11" t="inlineStr">
        <is>
          <t>MA2301</t>
        </is>
      </c>
      <c r="C66" s="11" t="inlineStr">
        <is>
          <t>2023-01</t>
        </is>
      </c>
      <c r="D66" s="12" t="n">
        <v>2793.33</v>
      </c>
      <c r="E66" s="12" t="n">
        <v>2542</v>
      </c>
      <c r="F66" s="12">
        <f>D66-E66</f>
        <v/>
      </c>
      <c r="G66" s="13">
        <f>IF(D66=0,"",(D66-E66)/D66)</f>
        <v/>
      </c>
      <c r="H66" s="14" t="n">
        <v>1070613</v>
      </c>
      <c r="I66" s="15" t="n">
        <v>0.7705</v>
      </c>
      <c r="J66" s="15">
        <f>IF(COUNT(G-184:G65)&lt;20,"",IF(COUNTIF(G-184:G65,"&lt;"&amp;G66)&gt;=COUNT(G-184:G65),(COUNT(G-184:G65)-0.5)/COUNT(G-184:G65),IF(COUNTIF(G-184:G65,G66)&gt;0,(COUNTIF(G-184:G65,"&lt;"&amp;G66)+0.5*COUNTIF(G-184:G65,G66))/COUNT(G-184:G65),COUNTIF(G-184:G65,"&lt;"&amp;G66)/COUNT(G-184:G65))))</f>
        <v/>
      </c>
      <c r="K66" s="11" t="inlineStr">
        <is>
          <t>中间分位</t>
        </is>
      </c>
      <c r="L66" s="11" t="n">
        <v>37</v>
      </c>
      <c r="M66" s="11" t="inlineStr">
        <is>
          <t>Contango(远强)</t>
        </is>
      </c>
      <c r="N66" s="11" t="n">
        <v>1</v>
      </c>
      <c r="O66" s="11" t="n">
        <v>0</v>
      </c>
      <c r="P66" s="12" t="n">
        <v>-116</v>
      </c>
      <c r="Q66" s="11" t="inlineStr"/>
    </row>
    <row r="67">
      <c r="A67" s="6" t="inlineStr">
        <is>
          <t>2022-11-23</t>
        </is>
      </c>
      <c r="B67" s="6" t="inlineStr">
        <is>
          <t>MA2301</t>
        </is>
      </c>
      <c r="C67" s="6" t="inlineStr">
        <is>
          <t>2023-01</t>
        </is>
      </c>
      <c r="D67" s="7" t="n">
        <v>2797.5</v>
      </c>
      <c r="E67" s="7" t="n">
        <v>2542</v>
      </c>
      <c r="F67" s="7">
        <f>D67-E67</f>
        <v/>
      </c>
      <c r="G67" s="8">
        <f>IF(D67=0,"",(D67-E67)/D67)</f>
        <v/>
      </c>
      <c r="H67" s="9" t="n">
        <v>1068566</v>
      </c>
      <c r="I67" s="10" t="n">
        <v>0.7903</v>
      </c>
      <c r="J67" s="10">
        <f>IF(COUNT(G-183:G66)&lt;20,"",IF(COUNTIF(G-183:G66,"&lt;"&amp;G67)&gt;=COUNT(G-183:G66),(COUNT(G-183:G66)-0.5)/COUNT(G-183:G66),IF(COUNTIF(G-183:G66,G67)&gt;0,(COUNTIF(G-183:G66,"&lt;"&amp;G67)+0.5*COUNTIF(G-183:G66,G67))/COUNT(G-183:G66),COUNTIF(G-183:G66,"&lt;"&amp;G67)/COUNT(G-183:G66))))</f>
        <v/>
      </c>
      <c r="K67" s="6" t="inlineStr">
        <is>
          <t>中间分位</t>
        </is>
      </c>
      <c r="L67" s="6" t="n">
        <v>36</v>
      </c>
      <c r="M67" s="6" t="inlineStr">
        <is>
          <t>Contango(远强)</t>
        </is>
      </c>
      <c r="N67" s="6" t="n">
        <v>1</v>
      </c>
      <c r="O67" s="6" t="n">
        <v>0</v>
      </c>
      <c r="P67" s="7" t="n">
        <v>-103</v>
      </c>
      <c r="Q67" s="6" t="inlineStr"/>
    </row>
    <row r="68">
      <c r="A68" s="11" t="inlineStr">
        <is>
          <t>2022-11-24</t>
        </is>
      </c>
      <c r="B68" s="11" t="inlineStr">
        <is>
          <t>MA2301</t>
        </is>
      </c>
      <c r="C68" s="11" t="inlineStr">
        <is>
          <t>2023-01</t>
        </is>
      </c>
      <c r="D68" s="12" t="n">
        <v>2782.5</v>
      </c>
      <c r="E68" s="12" t="n">
        <v>2582</v>
      </c>
      <c r="F68" s="12">
        <f>D68-E68</f>
        <v/>
      </c>
      <c r="G68" s="13">
        <f>IF(D68=0,"",(D68-E68)/D68)</f>
        <v/>
      </c>
      <c r="H68" s="14" t="n">
        <v>1052284</v>
      </c>
      <c r="I68" s="15" t="n">
        <v>0.619</v>
      </c>
      <c r="J68" s="15">
        <f>IF(COUNT(G-182:G67)&lt;20,"",IF(COUNTIF(G-182:G67,"&lt;"&amp;G68)&gt;=COUNT(G-182:G67),(COUNT(G-182:G67)-0.5)/COUNT(G-182:G67),IF(COUNTIF(G-182:G67,G68)&gt;0,(COUNTIF(G-182:G67,"&lt;"&amp;G68)+0.5*COUNTIF(G-182:G67,G68))/COUNT(G-182:G67),COUNTIF(G-182:G67,"&lt;"&amp;G68)/COUNT(G-182:G67))))</f>
        <v/>
      </c>
      <c r="K68" s="11" t="inlineStr">
        <is>
          <t>中间分位</t>
        </is>
      </c>
      <c r="L68" s="11" t="n">
        <v>35</v>
      </c>
      <c r="M68" s="11" t="inlineStr">
        <is>
          <t>Contango(远强)</t>
        </is>
      </c>
      <c r="N68" s="11" t="n">
        <v>1</v>
      </c>
      <c r="O68" s="11" t="n">
        <v>0</v>
      </c>
      <c r="P68" s="12" t="n">
        <v>-91</v>
      </c>
      <c r="Q68" s="11" t="inlineStr"/>
    </row>
    <row r="69">
      <c r="A69" s="6" t="inlineStr">
        <is>
          <t>2022-11-25</t>
        </is>
      </c>
      <c r="B69" s="6" t="inlineStr">
        <is>
          <t>MA2301</t>
        </is>
      </c>
      <c r="C69" s="6" t="inlineStr">
        <is>
          <t>2023-01</t>
        </is>
      </c>
      <c r="D69" s="7" t="n">
        <v>2785.83</v>
      </c>
      <c r="E69" s="7" t="n">
        <v>2637</v>
      </c>
      <c r="F69" s="7">
        <f>D69-E69</f>
        <v/>
      </c>
      <c r="G69" s="8">
        <f>IF(D69=0,"",(D69-E69)/D69)</f>
        <v/>
      </c>
      <c r="H69" s="9" t="n">
        <v>1095248</v>
      </c>
      <c r="I69" s="10" t="n">
        <v>0.5625</v>
      </c>
      <c r="J69" s="10">
        <f>IF(COUNT(G-181:G68)&lt;20,"",IF(COUNTIF(G-181:G68,"&lt;"&amp;G69)&gt;=COUNT(G-181:G68),(COUNT(G-181:G68)-0.5)/COUNT(G-181:G68),IF(COUNTIF(G-181:G68,G69)&gt;0,(COUNTIF(G-181:G68,"&lt;"&amp;G69)+0.5*COUNTIF(G-181:G68,G69))/COUNT(G-181:G68),COUNTIF(G-181:G68,"&lt;"&amp;G69)/COUNT(G-181:G68))))</f>
        <v/>
      </c>
      <c r="K69" s="6" t="inlineStr">
        <is>
          <t>中间分位</t>
        </is>
      </c>
      <c r="L69" s="6" t="n">
        <v>34</v>
      </c>
      <c r="M69" s="6" t="inlineStr">
        <is>
          <t>结构不明</t>
        </is>
      </c>
      <c r="N69" s="6" t="n">
        <v>1</v>
      </c>
      <c r="O69" s="6" t="n">
        <v>0</v>
      </c>
      <c r="P69" s="7" t="n">
        <v>-78</v>
      </c>
      <c r="Q69" s="6" t="inlineStr"/>
    </row>
    <row r="70">
      <c r="A70" s="11" t="inlineStr">
        <is>
          <t>2022-11-28</t>
        </is>
      </c>
      <c r="B70" s="11" t="inlineStr">
        <is>
          <t>MA2301</t>
        </is>
      </c>
      <c r="C70" s="11" t="inlineStr">
        <is>
          <t>2023-01</t>
        </is>
      </c>
      <c r="D70" s="12" t="n">
        <v>2811.67</v>
      </c>
      <c r="E70" s="12" t="n">
        <v>2560</v>
      </c>
      <c r="F70" s="12">
        <f>D70-E70</f>
        <v/>
      </c>
      <c r="G70" s="13">
        <f>IF(D70=0,"",(D70-E70)/D70)</f>
        <v/>
      </c>
      <c r="H70" s="14" t="n">
        <v>1087776</v>
      </c>
      <c r="I70" s="15" t="n">
        <v>0.7538</v>
      </c>
      <c r="J70" s="15">
        <f>IF(COUNT(G-180:G69)&lt;20,"",IF(COUNTIF(G-180:G69,"&lt;"&amp;G70)&gt;=COUNT(G-180:G69),(COUNT(G-180:G69)-0.5)/COUNT(G-180:G69),IF(COUNTIF(G-180:G69,G70)&gt;0,(COUNTIF(G-180:G69,"&lt;"&amp;G70)+0.5*COUNTIF(G-180:G69,G70))/COUNT(G-180:G69),COUNTIF(G-180:G69,"&lt;"&amp;G70)/COUNT(G-180:G69))))</f>
        <v/>
      </c>
      <c r="K70" s="11" t="inlineStr">
        <is>
          <t>中间分位</t>
        </is>
      </c>
      <c r="L70" s="11" t="n">
        <v>33</v>
      </c>
      <c r="M70" s="11" t="inlineStr">
        <is>
          <t>Contango(远强)</t>
        </is>
      </c>
      <c r="N70" s="11" t="n">
        <v>1</v>
      </c>
      <c r="O70" s="11" t="n">
        <v>0</v>
      </c>
      <c r="P70" s="12" t="n">
        <v>-92</v>
      </c>
      <c r="Q70" s="11" t="inlineStr"/>
    </row>
    <row r="71">
      <c r="A71" s="6" t="inlineStr">
        <is>
          <t>2022-11-29</t>
        </is>
      </c>
      <c r="B71" s="6" t="inlineStr">
        <is>
          <t>MA2301</t>
        </is>
      </c>
      <c r="C71" s="6" t="inlineStr">
        <is>
          <t>2023-01</t>
        </is>
      </c>
      <c r="D71" s="7" t="n">
        <v>2751.67</v>
      </c>
      <c r="E71" s="7" t="n">
        <v>2616</v>
      </c>
      <c r="F71" s="7">
        <f>D71-E71</f>
        <v/>
      </c>
      <c r="G71" s="8">
        <f>IF(D71=0,"",(D71-E71)/D71)</f>
        <v/>
      </c>
      <c r="H71" s="9" t="n">
        <v>949804</v>
      </c>
      <c r="I71" s="10" t="n">
        <v>0.5152</v>
      </c>
      <c r="J71" s="10">
        <f>IF(COUNT(G-179:G70)&lt;20,"",IF(COUNTIF(G-179:G70,"&lt;"&amp;G71)&gt;=COUNT(G-179:G70),(COUNT(G-179:G70)-0.5)/COUNT(G-179:G70),IF(COUNTIF(G-179:G70,G71)&gt;0,(COUNTIF(G-179:G70,"&lt;"&amp;G71)+0.5*COUNTIF(G-179:G70,G71))/COUNT(G-179:G70),COUNTIF(G-179:G70,"&lt;"&amp;G71)/COUNT(G-179:G70))))</f>
        <v/>
      </c>
      <c r="K71" s="6" t="inlineStr">
        <is>
          <t>中间分位</t>
        </is>
      </c>
      <c r="L71" s="6" t="n">
        <v>32</v>
      </c>
      <c r="M71" s="6" t="inlineStr">
        <is>
          <t>结构不明</t>
        </is>
      </c>
      <c r="N71" s="6" t="n">
        <v>1</v>
      </c>
      <c r="O71" s="6" t="n">
        <v>0</v>
      </c>
      <c r="P71" s="7" t="n">
        <v>-54</v>
      </c>
      <c r="Q71" s="6" t="inlineStr"/>
    </row>
    <row r="72">
      <c r="A72" s="11" t="inlineStr">
        <is>
          <t>2022-11-30</t>
        </is>
      </c>
      <c r="B72" s="11" t="inlineStr">
        <is>
          <t>MA2301</t>
        </is>
      </c>
      <c r="C72" s="11" t="inlineStr">
        <is>
          <t>2023-01</t>
        </is>
      </c>
      <c r="D72" s="12" t="n">
        <v>2785.83</v>
      </c>
      <c r="E72" s="12" t="n">
        <v>2593</v>
      </c>
      <c r="F72" s="12">
        <f>D72-E72</f>
        <v/>
      </c>
      <c r="G72" s="13">
        <f>IF(D72=0,"",(D72-E72)/D72)</f>
        <v/>
      </c>
      <c r="H72" s="14" t="n">
        <v>1022993</v>
      </c>
      <c r="I72" s="15" t="n">
        <v>0.6119</v>
      </c>
      <c r="J72" s="15">
        <f>IF(COUNT(G-178:G71)&lt;20,"",IF(COUNTIF(G-178:G71,"&lt;"&amp;G72)&gt;=COUNT(G-178:G71),(COUNT(G-178:G71)-0.5)/COUNT(G-178:G71),IF(COUNTIF(G-178:G71,G72)&gt;0,(COUNTIF(G-178:G71,"&lt;"&amp;G72)+0.5*COUNTIF(G-178:G71,G72))/COUNT(G-178:G71),COUNTIF(G-178:G71,"&lt;"&amp;G72)/COUNT(G-178:G71))))</f>
        <v/>
      </c>
      <c r="K72" s="11" t="inlineStr">
        <is>
          <t>中间分位</t>
        </is>
      </c>
      <c r="L72" s="11" t="n">
        <v>31</v>
      </c>
      <c r="M72" s="11" t="inlineStr">
        <is>
          <t>结构不明</t>
        </is>
      </c>
      <c r="N72" s="11" t="n">
        <v>1</v>
      </c>
      <c r="O72" s="11" t="n">
        <v>0</v>
      </c>
      <c r="P72" s="12" t="n">
        <v>-47</v>
      </c>
      <c r="Q72" s="11" t="inlineStr"/>
    </row>
    <row r="73">
      <c r="A73" s="6" t="inlineStr">
        <is>
          <t>2022-12-01</t>
        </is>
      </c>
      <c r="B73" s="6" t="inlineStr">
        <is>
          <t>MA2301</t>
        </is>
      </c>
      <c r="C73" s="6" t="inlineStr">
        <is>
          <t>2023-01</t>
        </is>
      </c>
      <c r="D73" s="7" t="n">
        <v>2731.67</v>
      </c>
      <c r="E73" s="7" t="n">
        <v>2572</v>
      </c>
      <c r="F73" s="7">
        <f>D73-E73</f>
        <v/>
      </c>
      <c r="G73" s="8">
        <f>IF(D73=0,"",(D73-E73)/D73)</f>
        <v/>
      </c>
      <c r="H73" s="9" t="n">
        <v>987687</v>
      </c>
      <c r="I73" s="10" t="n">
        <v>0.5588</v>
      </c>
      <c r="J73" s="10">
        <f>IF(COUNT(G-177:G72)&lt;20,"",IF(COUNTIF(G-177:G72,"&lt;"&amp;G73)&gt;=COUNT(G-177:G72),(COUNT(G-177:G72)-0.5)/COUNT(G-177:G72),IF(COUNTIF(G-177:G72,G73)&gt;0,(COUNTIF(G-177:G72,"&lt;"&amp;G73)+0.5*COUNTIF(G-177:G72,G73))/COUNT(G-177:G72),COUNTIF(G-177:G72,"&lt;"&amp;G73)/COUNT(G-177:G72))))</f>
        <v/>
      </c>
      <c r="K73" s="6" t="inlineStr">
        <is>
          <t>中间分位</t>
        </is>
      </c>
      <c r="L73" s="6" t="n">
        <v>30</v>
      </c>
      <c r="M73" s="6" t="inlineStr">
        <is>
          <t>结构不明</t>
        </is>
      </c>
      <c r="N73" s="6" t="n">
        <v>1</v>
      </c>
      <c r="O73" s="6" t="n">
        <v>0</v>
      </c>
      <c r="P73" s="7" t="n">
        <v>-60</v>
      </c>
      <c r="Q73" s="6" t="inlineStr"/>
    </row>
    <row r="74">
      <c r="A74" s="11" t="inlineStr">
        <is>
          <t>2022-12-02</t>
        </is>
      </c>
      <c r="B74" s="11" t="inlineStr">
        <is>
          <t>MA2301</t>
        </is>
      </c>
      <c r="C74" s="11" t="inlineStr">
        <is>
          <t>2023-01</t>
        </is>
      </c>
      <c r="D74" s="12" t="n">
        <v>2681.67</v>
      </c>
      <c r="E74" s="12" t="n">
        <v>2594</v>
      </c>
      <c r="F74" s="12">
        <f>D74-E74</f>
        <v/>
      </c>
      <c r="G74" s="13">
        <f>IF(D74=0,"",(D74-E74)/D74)</f>
        <v/>
      </c>
      <c r="H74" s="14" t="n">
        <v>953440</v>
      </c>
      <c r="I74" s="15" t="n">
        <v>0.3333</v>
      </c>
      <c r="J74" s="15">
        <f>IF(COUNT(G-176:G73)&lt;20,"",IF(COUNTIF(G-176:G73,"&lt;"&amp;G74)&gt;=COUNT(G-176:G73),(COUNT(G-176:G73)-0.5)/COUNT(G-176:G73),IF(COUNTIF(G-176:G73,G74)&gt;0,(COUNTIF(G-176:G73,"&lt;"&amp;G74)+0.5*COUNTIF(G-176:G73,G74))/COUNT(G-176:G73),COUNTIF(G-176:G73,"&lt;"&amp;G74)/COUNT(G-176:G73))))</f>
        <v/>
      </c>
      <c r="K74" s="11" t="inlineStr">
        <is>
          <t>中间分位</t>
        </is>
      </c>
      <c r="L74" s="11" t="n">
        <v>29</v>
      </c>
      <c r="M74" s="11" t="inlineStr">
        <is>
          <t>Back(近强)</t>
        </is>
      </c>
      <c r="N74" s="11" t="n">
        <v>1</v>
      </c>
      <c r="O74" s="11" t="n">
        <v>0</v>
      </c>
      <c r="P74" s="12" t="n">
        <v>-26</v>
      </c>
      <c r="Q74" s="11" t="inlineStr"/>
    </row>
    <row r="75">
      <c r="A75" s="6" t="inlineStr">
        <is>
          <t>2022-12-05</t>
        </is>
      </c>
      <c r="B75" s="6" t="inlineStr">
        <is>
          <t>MA2301</t>
        </is>
      </c>
      <c r="C75" s="6" t="inlineStr">
        <is>
          <t>2023-01</t>
        </is>
      </c>
      <c r="D75" s="7" t="n">
        <v>2670</v>
      </c>
      <c r="E75" s="7" t="n">
        <v>2534</v>
      </c>
      <c r="F75" s="7">
        <f>D75-E75</f>
        <v/>
      </c>
      <c r="G75" s="8">
        <f>IF(D75=0,"",(D75-E75)/D75)</f>
        <v/>
      </c>
      <c r="H75" s="9" t="n">
        <v>1053326</v>
      </c>
      <c r="I75" s="10" t="n">
        <v>0.5286</v>
      </c>
      <c r="J75" s="10">
        <f>IF(COUNT(G-175:G74)&lt;20,"",IF(COUNTIF(G-175:G74,"&lt;"&amp;G75)&gt;=COUNT(G-175:G74),(COUNT(G-175:G74)-0.5)/COUNT(G-175:G74),IF(COUNTIF(G-175:G74,G75)&gt;0,(COUNTIF(G-175:G74,"&lt;"&amp;G75)+0.5*COUNTIF(G-175:G74,G75))/COUNT(G-175:G74),COUNTIF(G-175:G74,"&lt;"&amp;G75)/COUNT(G-175:G74))))</f>
        <v/>
      </c>
      <c r="K75" s="6" t="inlineStr">
        <is>
          <t>中间分位</t>
        </is>
      </c>
      <c r="L75" s="6" t="n">
        <v>28</v>
      </c>
      <c r="M75" s="6" t="inlineStr">
        <is>
          <t>Back(近强)</t>
        </is>
      </c>
      <c r="N75" s="6" t="n">
        <v>1</v>
      </c>
      <c r="O75" s="6" t="n">
        <v>0</v>
      </c>
      <c r="P75" s="7" t="n">
        <v>-36</v>
      </c>
      <c r="Q75" s="6" t="inlineStr"/>
    </row>
    <row r="76">
      <c r="A76" s="11" t="inlineStr">
        <is>
          <t>2022-12-06</t>
        </is>
      </c>
      <c r="B76" s="11" t="inlineStr">
        <is>
          <t>MA2301</t>
        </is>
      </c>
      <c r="C76" s="11" t="inlineStr">
        <is>
          <t>2023-01</t>
        </is>
      </c>
      <c r="D76" s="12" t="n">
        <v>2670</v>
      </c>
      <c r="E76" s="12" t="n">
        <v>2502</v>
      </c>
      <c r="F76" s="12">
        <f>D76-E76</f>
        <v/>
      </c>
      <c r="G76" s="13">
        <f>IF(D76=0,"",(D76-E76)/D76)</f>
        <v/>
      </c>
      <c r="H76" s="14" t="n">
        <v>949964</v>
      </c>
      <c r="I76" s="15" t="n">
        <v>0.5775</v>
      </c>
      <c r="J76" s="15">
        <f>IF(COUNT(G-174:G75)&lt;20,"",IF(COUNTIF(G-174:G75,"&lt;"&amp;G76)&gt;=COUNT(G-174:G75),(COUNT(G-174:G75)-0.5)/COUNT(G-174:G75),IF(COUNTIF(G-174:G75,G76)&gt;0,(COUNTIF(G-174:G75,"&lt;"&amp;G76)+0.5*COUNTIF(G-174:G75,G76))/COUNT(G-174:G75),COUNTIF(G-174:G75,"&lt;"&amp;G76)/COUNT(G-174:G75))))</f>
        <v/>
      </c>
      <c r="K76" s="11" t="inlineStr">
        <is>
          <t>中间分位</t>
        </is>
      </c>
      <c r="L76" s="11" t="n">
        <v>27</v>
      </c>
      <c r="M76" s="11" t="inlineStr">
        <is>
          <t>Back(近强)</t>
        </is>
      </c>
      <c r="N76" s="11" t="n">
        <v>1</v>
      </c>
      <c r="O76" s="11" t="n">
        <v>0</v>
      </c>
      <c r="P76" s="12" t="n">
        <v>-38</v>
      </c>
      <c r="Q76" s="11" t="inlineStr"/>
    </row>
    <row r="77">
      <c r="A77" s="6" t="inlineStr">
        <is>
          <t>2022-12-07</t>
        </is>
      </c>
      <c r="B77" s="6" t="inlineStr">
        <is>
          <t>MA2301</t>
        </is>
      </c>
      <c r="C77" s="6" t="inlineStr">
        <is>
          <t>2023-01</t>
        </is>
      </c>
      <c r="D77" s="7" t="n">
        <v>2671.67</v>
      </c>
      <c r="E77" s="7" t="n">
        <v>2451</v>
      </c>
      <c r="F77" s="7">
        <f>D77-E77</f>
        <v/>
      </c>
      <c r="G77" s="8">
        <f>IF(D77=0,"",(D77-E77)/D77)</f>
        <v/>
      </c>
      <c r="H77" s="9" t="n">
        <v>1097883</v>
      </c>
      <c r="I77" s="10" t="n">
        <v>0.7222</v>
      </c>
      <c r="J77" s="10">
        <f>IF(COUNT(G-173:G76)&lt;20,"",IF(COUNTIF(G-173:G76,"&lt;"&amp;G77)&gt;=COUNT(G-173:G76),(COUNT(G-173:G76)-0.5)/COUNT(G-173:G76),IF(COUNTIF(G-173:G76,G77)&gt;0,(COUNTIF(G-173:G76,"&lt;"&amp;G77)+0.5*COUNTIF(G-173:G76,G77))/COUNT(G-173:G76),COUNTIF(G-173:G76,"&lt;"&amp;G77)/COUNT(G-173:G76))))</f>
        <v/>
      </c>
      <c r="K77" s="6" t="inlineStr">
        <is>
          <t>中间分位</t>
        </is>
      </c>
      <c r="L77" s="6" t="n">
        <v>26</v>
      </c>
      <c r="M77" s="6" t="inlineStr">
        <is>
          <t>结构不明</t>
        </is>
      </c>
      <c r="N77" s="6" t="n">
        <v>1</v>
      </c>
      <c r="O77" s="6" t="n">
        <v>0</v>
      </c>
      <c r="P77" s="7" t="n">
        <v>-75</v>
      </c>
      <c r="Q77" s="6" t="inlineStr"/>
    </row>
    <row r="78">
      <c r="A78" s="11" t="inlineStr">
        <is>
          <t>2022-12-08</t>
        </is>
      </c>
      <c r="B78" s="11" t="inlineStr">
        <is>
          <t>MA2301</t>
        </is>
      </c>
      <c r="C78" s="11" t="inlineStr">
        <is>
          <t>2023-01</t>
        </is>
      </c>
      <c r="D78" s="12" t="n">
        <v>2621.67</v>
      </c>
      <c r="E78" s="12" t="n">
        <v>2474</v>
      </c>
      <c r="F78" s="12">
        <f>D78-E78</f>
        <v/>
      </c>
      <c r="G78" s="13">
        <f>IF(D78=0,"",(D78-E78)/D78)</f>
        <v/>
      </c>
      <c r="H78" s="14" t="n">
        <v>870231</v>
      </c>
      <c r="I78" s="15" t="n">
        <v>0.5479000000000001</v>
      </c>
      <c r="J78" s="15">
        <f>IF(COUNT(G-172:G77)&lt;20,"",IF(COUNTIF(G-172:G77,"&lt;"&amp;G78)&gt;=COUNT(G-172:G77),(COUNT(G-172:G77)-0.5)/COUNT(G-172:G77),IF(COUNTIF(G-172:G77,G78)&gt;0,(COUNTIF(G-172:G77,"&lt;"&amp;G78)+0.5*COUNTIF(G-172:G77,G78))/COUNT(G-172:G77),COUNTIF(G-172:G77,"&lt;"&amp;G78)/COUNT(G-172:G77))))</f>
        <v/>
      </c>
      <c r="K78" s="11" t="inlineStr">
        <is>
          <t>中间分位</t>
        </is>
      </c>
      <c r="L78" s="11" t="n">
        <v>25</v>
      </c>
      <c r="M78" s="11" t="inlineStr">
        <is>
          <t>结构不明</t>
        </is>
      </c>
      <c r="N78" s="11" t="n">
        <v>1</v>
      </c>
      <c r="O78" s="11" t="n">
        <v>0</v>
      </c>
      <c r="P78" s="12" t="n">
        <v>-46</v>
      </c>
      <c r="Q78" s="11" t="inlineStr"/>
    </row>
    <row r="79">
      <c r="A79" s="6" t="inlineStr">
        <is>
          <t>2022-12-09</t>
        </is>
      </c>
      <c r="B79" s="6" t="inlineStr">
        <is>
          <t>MA2301</t>
        </is>
      </c>
      <c r="C79" s="6" t="inlineStr">
        <is>
          <t>2023-01</t>
        </is>
      </c>
      <c r="D79" s="7" t="n">
        <v>2631.67</v>
      </c>
      <c r="E79" s="7" t="n">
        <v>2494</v>
      </c>
      <c r="F79" s="7">
        <f>D79-E79</f>
        <v/>
      </c>
      <c r="G79" s="8">
        <f>IF(D79=0,"",(D79-E79)/D79)</f>
        <v/>
      </c>
      <c r="H79" s="9" t="n">
        <v>894870</v>
      </c>
      <c r="I79" s="10" t="n">
        <v>0.527</v>
      </c>
      <c r="J79" s="10">
        <f>IF(COUNT(G-171:G78)&lt;20,"",IF(COUNTIF(G-171:G78,"&lt;"&amp;G79)&gt;=COUNT(G-171:G78),(COUNT(G-171:G78)-0.5)/COUNT(G-171:G78),IF(COUNTIF(G-171:G78,G79)&gt;0,(COUNTIF(G-171:G78,"&lt;"&amp;G79)+0.5*COUNTIF(G-171:G78,G79))/COUNT(G-171:G78),COUNTIF(G-171:G78,"&lt;"&amp;G79)/COUNT(G-171:G78))))</f>
        <v/>
      </c>
      <c r="K79" s="6" t="inlineStr">
        <is>
          <t>中间分位</t>
        </is>
      </c>
      <c r="L79" s="6" t="n">
        <v>24</v>
      </c>
      <c r="M79" s="6" t="inlineStr">
        <is>
          <t>Contango(远强)</t>
        </is>
      </c>
      <c r="N79" s="6" t="n">
        <v>1</v>
      </c>
      <c r="O79" s="6" t="n">
        <v>0</v>
      </c>
      <c r="P79" s="7" t="n">
        <v>-94</v>
      </c>
      <c r="Q79" s="6" t="inlineStr"/>
    </row>
    <row r="80">
      <c r="A80" s="11" t="inlineStr">
        <is>
          <t>2022-12-12</t>
        </is>
      </c>
      <c r="B80" s="11" t="inlineStr">
        <is>
          <t>MA2301</t>
        </is>
      </c>
      <c r="C80" s="11" t="inlineStr">
        <is>
          <t>2023-01</t>
        </is>
      </c>
      <c r="D80" s="12" t="n">
        <v>2680</v>
      </c>
      <c r="E80" s="12" t="n">
        <v>2527</v>
      </c>
      <c r="F80" s="12">
        <f>D80-E80</f>
        <v/>
      </c>
      <c r="G80" s="13">
        <f>IF(D80=0,"",(D80-E80)/D80)</f>
        <v/>
      </c>
      <c r="H80" s="14" t="n">
        <v>725618</v>
      </c>
      <c r="I80" s="15" t="n">
        <v>0.5600000000000001</v>
      </c>
      <c r="J80" s="15">
        <f>IF(COUNT(G-170:G79)&lt;20,"",IF(COUNTIF(G-170:G79,"&lt;"&amp;G80)&gt;=COUNT(G-170:G79),(COUNT(G-170:G79)-0.5)/COUNT(G-170:G79),IF(COUNTIF(G-170:G79,G80)&gt;0,(COUNTIF(G-170:G79,"&lt;"&amp;G80)+0.5*COUNTIF(G-170:G79,G80))/COUNT(G-170:G79),COUNTIF(G-170:G79,"&lt;"&amp;G80)/COUNT(G-170:G79))))</f>
        <v/>
      </c>
      <c r="K80" s="11" t="inlineStr">
        <is>
          <t>中间分位</t>
        </is>
      </c>
      <c r="L80" s="11" t="n">
        <v>23</v>
      </c>
      <c r="M80" s="11" t="inlineStr">
        <is>
          <t>结构不明</t>
        </is>
      </c>
      <c r="N80" s="11" t="n">
        <v>1</v>
      </c>
      <c r="O80" s="11" t="n">
        <v>0</v>
      </c>
      <c r="P80" s="12" t="n">
        <v>-72</v>
      </c>
      <c r="Q80" s="11" t="inlineStr"/>
    </row>
    <row r="81">
      <c r="A81" s="6" t="inlineStr">
        <is>
          <t>2022-12-13</t>
        </is>
      </c>
      <c r="B81" s="6" t="inlineStr">
        <is>
          <t>MA2301</t>
        </is>
      </c>
      <c r="C81" s="6" t="inlineStr">
        <is>
          <t>2023-01</t>
        </is>
      </c>
      <c r="D81" s="7" t="n">
        <v>2690</v>
      </c>
      <c r="E81" s="7" t="n">
        <v>2542</v>
      </c>
      <c r="F81" s="7">
        <f>D81-E81</f>
        <v/>
      </c>
      <c r="G81" s="8">
        <f>IF(D81=0,"",(D81-E81)/D81)</f>
        <v/>
      </c>
      <c r="H81" s="9" t="n">
        <v>611183</v>
      </c>
      <c r="I81" s="10" t="n">
        <v>0.5395</v>
      </c>
      <c r="J81" s="10">
        <f>IF(COUNT(G-169:G80)&lt;20,"",IF(COUNTIF(G-169:G80,"&lt;"&amp;G81)&gt;=COUNT(G-169:G80),(COUNT(G-169:G80)-0.5)/COUNT(G-169:G80),IF(COUNTIF(G-169:G80,G81)&gt;0,(COUNTIF(G-169:G80,"&lt;"&amp;G81)+0.5*COUNTIF(G-169:G80,G81))/COUNT(G-169:G80),COUNTIF(G-169:G80,"&lt;"&amp;G81)/COUNT(G-169:G80))))</f>
        <v/>
      </c>
      <c r="K81" s="6" t="inlineStr">
        <is>
          <t>中间分位</t>
        </is>
      </c>
      <c r="L81" s="6" t="n">
        <v>22</v>
      </c>
      <c r="M81" s="6" t="inlineStr">
        <is>
          <t>结构不明</t>
        </is>
      </c>
      <c r="N81" s="6" t="n">
        <v>1</v>
      </c>
      <c r="O81" s="6" t="n">
        <v>0</v>
      </c>
      <c r="P81" s="7" t="n">
        <v>-59</v>
      </c>
      <c r="Q81" s="6" t="inlineStr"/>
    </row>
    <row r="82">
      <c r="A82" s="11" t="inlineStr">
        <is>
          <t>2022-12-14</t>
        </is>
      </c>
      <c r="B82" s="11" t="inlineStr">
        <is>
          <t>MA2305</t>
        </is>
      </c>
      <c r="C82" s="11" t="inlineStr">
        <is>
          <t>2023-05</t>
        </is>
      </c>
      <c r="D82" s="12" t="n">
        <v>2685.83</v>
      </c>
      <c r="E82" s="12" t="n">
        <v>2582</v>
      </c>
      <c r="F82" s="12">
        <f>D82-E82</f>
        <v/>
      </c>
      <c r="G82" s="13">
        <f>IF(D82=0,"",(D82-E82)/D82)</f>
        <v/>
      </c>
      <c r="H82" s="14" t="n">
        <v>617213</v>
      </c>
      <c r="I82" s="15" t="n">
        <v>0.3766</v>
      </c>
      <c r="J82" s="15">
        <f>IF(COUNT(G-168:G81)&lt;20,"",IF(COUNTIF(G-168:G81,"&lt;"&amp;G82)&gt;=COUNT(G-168:G81),(COUNT(G-168:G81)-0.5)/COUNT(G-168:G81),IF(COUNTIF(G-168:G81,G82)&gt;0,(COUNTIF(G-168:G81,"&lt;"&amp;G82)+0.5*COUNTIF(G-168:G81,G82))/COUNT(G-168:G81),COUNTIF(G-168:G81,"&lt;"&amp;G82)/COUNT(G-168:G81))))</f>
        <v/>
      </c>
      <c r="K82" s="11" t="inlineStr">
        <is>
          <t>中间分位</t>
        </is>
      </c>
      <c r="L82" s="11" t="n">
        <v>100</v>
      </c>
      <c r="M82" s="11" t="inlineStr">
        <is>
          <t>Contango(远强)</t>
        </is>
      </c>
      <c r="N82" s="11" t="n">
        <v>1</v>
      </c>
      <c r="O82" s="11" t="n">
        <v>1</v>
      </c>
      <c r="P82" s="12" t="n">
        <v>-108</v>
      </c>
      <c r="Q82" s="11" t="inlineStr"/>
    </row>
    <row r="83">
      <c r="A83" s="6" t="inlineStr">
        <is>
          <t>2022-12-15</t>
        </is>
      </c>
      <c r="B83" s="6" t="inlineStr">
        <is>
          <t>MA2305</t>
        </is>
      </c>
      <c r="C83" s="6" t="inlineStr">
        <is>
          <t>2023-05</t>
        </is>
      </c>
      <c r="D83" s="7" t="n">
        <v>2685.83</v>
      </c>
      <c r="E83" s="7" t="n">
        <v>2626</v>
      </c>
      <c r="F83" s="7">
        <f>D83-E83</f>
        <v/>
      </c>
      <c r="G83" s="8">
        <f>IF(D83=0,"",(D83-E83)/D83)</f>
        <v/>
      </c>
      <c r="H83" s="9" t="n">
        <v>756444</v>
      </c>
      <c r="I83" s="10" t="n">
        <v>0.2821</v>
      </c>
      <c r="J83" s="10">
        <f>IF(COUNT(G-167:G82)&lt;20,"",IF(COUNTIF(G-167:G82,"&lt;"&amp;G83)&gt;=COUNT(G-167:G82),(COUNT(G-167:G82)-0.5)/COUNT(G-167:G82),IF(COUNTIF(G-167:G82,G83)&gt;0,(COUNTIF(G-167:G82,"&lt;"&amp;G83)+0.5*COUNTIF(G-167:G82,G83))/COUNT(G-167:G82),COUNTIF(G-167:G82,"&lt;"&amp;G83)/COUNT(G-167:G82))))</f>
        <v/>
      </c>
      <c r="K83" s="6" t="inlineStr">
        <is>
          <t>中间分位</t>
        </is>
      </c>
      <c r="L83" s="6" t="n">
        <v>99</v>
      </c>
      <c r="M83" s="6" t="inlineStr">
        <is>
          <t>Back(近强)</t>
        </is>
      </c>
      <c r="N83" s="6" t="n">
        <v>1</v>
      </c>
      <c r="O83" s="6" t="n">
        <v>0</v>
      </c>
      <c r="P83" s="7" t="n">
        <v>36</v>
      </c>
      <c r="Q83" s="6" t="inlineStr"/>
    </row>
    <row r="84">
      <c r="A84" s="11" t="inlineStr">
        <is>
          <t>2022-12-16</t>
        </is>
      </c>
      <c r="B84" s="11" t="inlineStr">
        <is>
          <t>MA2305</t>
        </is>
      </c>
      <c r="C84" s="11" t="inlineStr">
        <is>
          <t>2023-05</t>
        </is>
      </c>
      <c r="D84" s="12" t="n">
        <v>2678.33</v>
      </c>
      <c r="E84" s="12" t="n">
        <v>2616</v>
      </c>
      <c r="F84" s="12">
        <f>D84-E84</f>
        <v/>
      </c>
      <c r="G84" s="13">
        <f>IF(D84=0,"",(D84-E84)/D84)</f>
        <v/>
      </c>
      <c r="H84" s="14" t="n">
        <v>885475</v>
      </c>
      <c r="I84" s="15" t="n">
        <v>0.2911</v>
      </c>
      <c r="J84" s="15">
        <f>IF(COUNT(G-166:G83)&lt;20,"",IF(COUNTIF(G-166:G83,"&lt;"&amp;G84)&gt;=COUNT(G-166:G83),(COUNT(G-166:G83)-0.5)/COUNT(G-166:G83),IF(COUNTIF(G-166:G83,G84)&gt;0,(COUNTIF(G-166:G83,"&lt;"&amp;G84)+0.5*COUNTIF(G-166:G83,G84))/COUNT(G-166:G83),COUNTIF(G-166:G83,"&lt;"&amp;G84)/COUNT(G-166:G83))))</f>
        <v/>
      </c>
      <c r="K84" s="11" t="inlineStr">
        <is>
          <t>中间分位</t>
        </is>
      </c>
      <c r="L84" s="11" t="n">
        <v>98</v>
      </c>
      <c r="M84" s="11" t="inlineStr">
        <is>
          <t>Back(近强)</t>
        </is>
      </c>
      <c r="N84" s="11" t="n">
        <v>1</v>
      </c>
      <c r="O84" s="11" t="n">
        <v>0</v>
      </c>
      <c r="P84" s="12" t="n">
        <v>49</v>
      </c>
      <c r="Q84" s="11" t="inlineStr"/>
    </row>
    <row r="85">
      <c r="A85" s="6" t="inlineStr">
        <is>
          <t>2022-12-19</t>
        </is>
      </c>
      <c r="B85" s="6" t="inlineStr">
        <is>
          <t>MA2305</t>
        </is>
      </c>
      <c r="C85" s="6" t="inlineStr">
        <is>
          <t>2023-05</t>
        </is>
      </c>
      <c r="D85" s="7" t="n">
        <v>2655.83</v>
      </c>
      <c r="E85" s="7" t="n">
        <v>2571</v>
      </c>
      <c r="F85" s="7">
        <f>D85-E85</f>
        <v/>
      </c>
      <c r="G85" s="8">
        <f>IF(D85=0,"",(D85-E85)/D85)</f>
        <v/>
      </c>
      <c r="H85" s="9" t="n">
        <v>976993</v>
      </c>
      <c r="I85" s="10" t="n">
        <v>0.3125</v>
      </c>
      <c r="J85" s="10">
        <f>IF(COUNT(G-165:G84)&lt;20,"",IF(COUNTIF(G-165:G84,"&lt;"&amp;G85)&gt;=COUNT(G-165:G84),(COUNT(G-165:G84)-0.5)/COUNT(G-165:G84),IF(COUNTIF(G-165:G84,G85)&gt;0,(COUNTIF(G-165:G84,"&lt;"&amp;G85)+0.5*COUNTIF(G-165:G84,G85))/COUNT(G-165:G84),COUNTIF(G-165:G84,"&lt;"&amp;G85)/COUNT(G-165:G84))))</f>
        <v/>
      </c>
      <c r="K85" s="6" t="inlineStr">
        <is>
          <t>中间分位</t>
        </is>
      </c>
      <c r="L85" s="6" t="n">
        <v>97</v>
      </c>
      <c r="M85" s="6" t="inlineStr">
        <is>
          <t>Back(近强)</t>
        </is>
      </c>
      <c r="N85" s="6" t="n">
        <v>1</v>
      </c>
      <c r="O85" s="6" t="n">
        <v>0</v>
      </c>
      <c r="P85" s="7" t="n">
        <v>23</v>
      </c>
      <c r="Q85" s="6" t="inlineStr"/>
    </row>
    <row r="86">
      <c r="A86" s="11" t="inlineStr">
        <is>
          <t>2022-12-20</t>
        </is>
      </c>
      <c r="B86" s="11" t="inlineStr">
        <is>
          <t>MA2305</t>
        </is>
      </c>
      <c r="C86" s="11" t="inlineStr">
        <is>
          <t>2023-05</t>
        </is>
      </c>
      <c r="D86" s="12" t="n">
        <v>2633.33</v>
      </c>
      <c r="E86" s="12" t="n">
        <v>2549</v>
      </c>
      <c r="F86" s="12">
        <f>D86-E86</f>
        <v/>
      </c>
      <c r="G86" s="13">
        <f>IF(D86=0,"",(D86-E86)/D86)</f>
        <v/>
      </c>
      <c r="H86" s="14" t="n">
        <v>913041</v>
      </c>
      <c r="I86" s="15" t="n">
        <v>0.321</v>
      </c>
      <c r="J86" s="15">
        <f>IF(COUNT(G-164:G85)&lt;20,"",IF(COUNTIF(G-164:G85,"&lt;"&amp;G86)&gt;=COUNT(G-164:G85),(COUNT(G-164:G85)-0.5)/COUNT(G-164:G85),IF(COUNTIF(G-164:G85,G86)&gt;0,(COUNTIF(G-164:G85,"&lt;"&amp;G86)+0.5*COUNTIF(G-164:G85,G86))/COUNT(G-164:G85),COUNTIF(G-164:G85,"&lt;"&amp;G86)/COUNT(G-164:G85))))</f>
        <v/>
      </c>
      <c r="K86" s="11" t="inlineStr">
        <is>
          <t>中间分位</t>
        </is>
      </c>
      <c r="L86" s="11" t="n">
        <v>96</v>
      </c>
      <c r="M86" s="11" t="inlineStr">
        <is>
          <t>Back(近强)</t>
        </is>
      </c>
      <c r="N86" s="11" t="n">
        <v>1</v>
      </c>
      <c r="O86" s="11" t="n">
        <v>0</v>
      </c>
      <c r="P86" s="12" t="n">
        <v>5</v>
      </c>
      <c r="Q86" s="11" t="inlineStr"/>
    </row>
    <row r="87">
      <c r="A87" s="6" t="inlineStr">
        <is>
          <t>2022-12-21</t>
        </is>
      </c>
      <c r="B87" s="6" t="inlineStr">
        <is>
          <t>MA2305</t>
        </is>
      </c>
      <c r="C87" s="6" t="inlineStr">
        <is>
          <t>2023-05</t>
        </is>
      </c>
      <c r="D87" s="7" t="n">
        <v>2640</v>
      </c>
      <c r="E87" s="7" t="n">
        <v>2570</v>
      </c>
      <c r="F87" s="7">
        <f>D87-E87</f>
        <v/>
      </c>
      <c r="G87" s="8">
        <f>IF(D87=0,"",(D87-E87)/D87)</f>
        <v/>
      </c>
      <c r="H87" s="9" t="n">
        <v>949618</v>
      </c>
      <c r="I87" s="10" t="n">
        <v>0.3049</v>
      </c>
      <c r="J87" s="10">
        <f>IF(COUNT(G-163:G86)&lt;20,"",IF(COUNTIF(G-163:G86,"&lt;"&amp;G87)&gt;=COUNT(G-163:G86),(COUNT(G-163:G86)-0.5)/COUNT(G-163:G86),IF(COUNTIF(G-163:G86,G87)&gt;0,(COUNTIF(G-163:G86,"&lt;"&amp;G87)+0.5*COUNTIF(G-163:G86,G87))/COUNT(G-163:G86),COUNTIF(G-163:G86,"&lt;"&amp;G87)/COUNT(G-163:G86))))</f>
        <v/>
      </c>
      <c r="K87" s="6" t="inlineStr">
        <is>
          <t>中间分位</t>
        </is>
      </c>
      <c r="L87" s="6" t="n">
        <v>95</v>
      </c>
      <c r="M87" s="6" t="inlineStr">
        <is>
          <t>Back(近强)</t>
        </is>
      </c>
      <c r="N87" s="6" t="n">
        <v>1</v>
      </c>
      <c r="O87" s="6" t="n">
        <v>0</v>
      </c>
      <c r="P87" s="7" t="n">
        <v>16</v>
      </c>
      <c r="Q87" s="6" t="inlineStr"/>
    </row>
    <row r="88">
      <c r="A88" s="11" t="inlineStr">
        <is>
          <t>2022-12-22</t>
        </is>
      </c>
      <c r="B88" s="11" t="inlineStr">
        <is>
          <t>MA2305</t>
        </is>
      </c>
      <c r="C88" s="11" t="inlineStr">
        <is>
          <t>2023-05</t>
        </is>
      </c>
      <c r="D88" s="12" t="n">
        <v>2611.67</v>
      </c>
      <c r="E88" s="12" t="n">
        <v>2531</v>
      </c>
      <c r="F88" s="12">
        <f>D88-E88</f>
        <v/>
      </c>
      <c r="G88" s="13">
        <f>IF(D88=0,"",(D88-E88)/D88)</f>
        <v/>
      </c>
      <c r="H88" s="14" t="n">
        <v>947193</v>
      </c>
      <c r="I88" s="15" t="n">
        <v>0.3133</v>
      </c>
      <c r="J88" s="15">
        <f>IF(COUNT(G-162:G87)&lt;20,"",IF(COUNTIF(G-162:G87,"&lt;"&amp;G88)&gt;=COUNT(G-162:G87),(COUNT(G-162:G87)-0.5)/COUNT(G-162:G87),IF(COUNTIF(G-162:G87,G88)&gt;0,(COUNTIF(G-162:G87,"&lt;"&amp;G88)+0.5*COUNTIF(G-162:G87,G88))/COUNT(G-162:G87),COUNTIF(G-162:G87,"&lt;"&amp;G88)/COUNT(G-162:G87))))</f>
        <v/>
      </c>
      <c r="K88" s="11" t="inlineStr">
        <is>
          <t>中间分位</t>
        </is>
      </c>
      <c r="L88" s="11" t="n">
        <v>94</v>
      </c>
      <c r="M88" s="11" t="inlineStr">
        <is>
          <t>Back(近强)</t>
        </is>
      </c>
      <c r="N88" s="11" t="n">
        <v>1</v>
      </c>
      <c r="O88" s="11" t="n">
        <v>0</v>
      </c>
      <c r="P88" s="12" t="n">
        <v>-5</v>
      </c>
      <c r="Q88" s="11" t="inlineStr"/>
    </row>
    <row r="89">
      <c r="A89" s="6" t="inlineStr">
        <is>
          <t>2022-12-23</t>
        </is>
      </c>
      <c r="B89" s="6" t="inlineStr">
        <is>
          <t>MA2305</t>
        </is>
      </c>
      <c r="C89" s="6" t="inlineStr">
        <is>
          <t>2023-05</t>
        </is>
      </c>
      <c r="D89" s="7" t="n">
        <v>2600</v>
      </c>
      <c r="E89" s="7" t="n">
        <v>2495</v>
      </c>
      <c r="F89" s="7">
        <f>D89-E89</f>
        <v/>
      </c>
      <c r="G89" s="8">
        <f>IF(D89=0,"",(D89-E89)/D89)</f>
        <v/>
      </c>
      <c r="H89" s="9" t="n">
        <v>1102314</v>
      </c>
      <c r="I89" s="10" t="n">
        <v>0.4286</v>
      </c>
      <c r="J89" s="10">
        <f>IF(COUNT(G-161:G88)&lt;20,"",IF(COUNTIF(G-161:G88,"&lt;"&amp;G89)&gt;=COUNT(G-161:G88),(COUNT(G-161:G88)-0.5)/COUNT(G-161:G88),IF(COUNTIF(G-161:G88,G89)&gt;0,(COUNTIF(G-161:G88,"&lt;"&amp;G89)+0.5*COUNTIF(G-161:G88,G89))/COUNT(G-161:G88),COUNTIF(G-161:G88,"&lt;"&amp;G89)/COUNT(G-161:G88))))</f>
        <v/>
      </c>
      <c r="K89" s="6" t="inlineStr">
        <is>
          <t>中间分位</t>
        </is>
      </c>
      <c r="L89" s="6" t="n">
        <v>93</v>
      </c>
      <c r="M89" s="6" t="inlineStr">
        <is>
          <t>Back(近强)</t>
        </is>
      </c>
      <c r="N89" s="6" t="n">
        <v>1</v>
      </c>
      <c r="O89" s="6" t="n">
        <v>0</v>
      </c>
      <c r="P89" s="7" t="n">
        <v>-34</v>
      </c>
      <c r="Q89" s="6" t="inlineStr"/>
    </row>
    <row r="90">
      <c r="A90" s="11" t="inlineStr">
        <is>
          <t>2022-12-26</t>
        </is>
      </c>
      <c r="B90" s="11" t="inlineStr">
        <is>
          <t>MA2305</t>
        </is>
      </c>
      <c r="C90" s="11" t="inlineStr">
        <is>
          <t>2023-05</t>
        </is>
      </c>
      <c r="D90" s="12" t="n">
        <v>2566.67</v>
      </c>
      <c r="E90" s="12" t="n">
        <v>2498</v>
      </c>
      <c r="F90" s="12">
        <f>D90-E90</f>
        <v/>
      </c>
      <c r="G90" s="13">
        <f>IF(D90=0,"",(D90-E90)/D90)</f>
        <v/>
      </c>
      <c r="H90" s="14" t="n">
        <v>1062018</v>
      </c>
      <c r="I90" s="15" t="n">
        <v>0.3059</v>
      </c>
      <c r="J90" s="15">
        <f>IF(COUNT(G-160:G89)&lt;20,"",IF(COUNTIF(G-160:G89,"&lt;"&amp;G90)&gt;=COUNT(G-160:G89),(COUNT(G-160:G89)-0.5)/COUNT(G-160:G89),IF(COUNTIF(G-160:G89,G90)&gt;0,(COUNTIF(G-160:G89,"&lt;"&amp;G90)+0.5*COUNTIF(G-160:G89,G90))/COUNT(G-160:G89),COUNTIF(G-160:G89,"&lt;"&amp;G90)/COUNT(G-160:G89))))</f>
        <v/>
      </c>
      <c r="K90" s="11" t="inlineStr">
        <is>
          <t>中间分位</t>
        </is>
      </c>
      <c r="L90" s="11" t="n">
        <v>92</v>
      </c>
      <c r="M90" s="11" t="inlineStr">
        <is>
          <t>Back(近强)</t>
        </is>
      </c>
      <c r="N90" s="11" t="n">
        <v>1</v>
      </c>
      <c r="O90" s="11" t="n">
        <v>0</v>
      </c>
      <c r="P90" s="12" t="n">
        <v>-28</v>
      </c>
      <c r="Q90" s="11" t="inlineStr"/>
    </row>
    <row r="91">
      <c r="A91" s="6" t="inlineStr">
        <is>
          <t>2022-12-27</t>
        </is>
      </c>
      <c r="B91" s="6" t="inlineStr">
        <is>
          <t>MA2305</t>
        </is>
      </c>
      <c r="C91" s="6" t="inlineStr">
        <is>
          <t>2023-05</t>
        </is>
      </c>
      <c r="D91" s="7" t="n">
        <v>2558.33</v>
      </c>
      <c r="E91" s="7" t="n">
        <v>2550</v>
      </c>
      <c r="F91" s="7">
        <f>D91-E91</f>
        <v/>
      </c>
      <c r="G91" s="8">
        <f>IF(D91=0,"",(D91-E91)/D91)</f>
        <v/>
      </c>
      <c r="H91" s="9" t="n">
        <v>1100053</v>
      </c>
      <c r="I91" s="10" t="n">
        <v>0.2093</v>
      </c>
      <c r="J91" s="10">
        <f>IF(COUNT(G-159:G90)&lt;20,"",IF(COUNTIF(G-159:G90,"&lt;"&amp;G91)&gt;=COUNT(G-159:G90),(COUNT(G-159:G90)-0.5)/COUNT(G-159:G90),IF(COUNTIF(G-159:G90,G91)&gt;0,(COUNTIF(G-159:G90,"&lt;"&amp;G91)+0.5*COUNTIF(G-159:G90,G91))/COUNT(G-159:G90),COUNTIF(G-159:G90,"&lt;"&amp;G91)/COUNT(G-159:G90))))</f>
        <v/>
      </c>
      <c r="K91" s="6" t="inlineStr">
        <is>
          <t>中间分位</t>
        </is>
      </c>
      <c r="L91" s="6" t="n">
        <v>91</v>
      </c>
      <c r="M91" s="6" t="inlineStr">
        <is>
          <t>Back(近强)</t>
        </is>
      </c>
      <c r="N91" s="6" t="n">
        <v>1</v>
      </c>
      <c r="O91" s="6" t="n">
        <v>0</v>
      </c>
      <c r="P91" s="7" t="n">
        <v>6</v>
      </c>
      <c r="Q91" s="6" t="inlineStr"/>
    </row>
    <row r="92">
      <c r="A92" s="11" t="inlineStr">
        <is>
          <t>2022-12-28</t>
        </is>
      </c>
      <c r="B92" s="11" t="inlineStr">
        <is>
          <t>MA2305</t>
        </is>
      </c>
      <c r="C92" s="11" t="inlineStr">
        <is>
          <t>2023-05</t>
        </is>
      </c>
      <c r="D92" s="12" t="n">
        <v>2621.67</v>
      </c>
      <c r="E92" s="12" t="n">
        <v>2566</v>
      </c>
      <c r="F92" s="12">
        <f>D92-E92</f>
        <v/>
      </c>
      <c r="G92" s="13">
        <f>IF(D92=0,"",(D92-E92)/D92)</f>
        <v/>
      </c>
      <c r="H92" s="14" t="n">
        <v>963766</v>
      </c>
      <c r="I92" s="15" t="n">
        <v>0.2644</v>
      </c>
      <c r="J92" s="15">
        <f>IF(COUNT(G-158:G91)&lt;20,"",IF(COUNTIF(G-158:G91,"&lt;"&amp;G92)&gt;=COUNT(G-158:G91),(COUNT(G-158:G91)-0.5)/COUNT(G-158:G91),IF(COUNTIF(G-158:G91,G92)&gt;0,(COUNTIF(G-158:G91,"&lt;"&amp;G92)+0.5*COUNTIF(G-158:G91,G92))/COUNT(G-158:G91),COUNTIF(G-158:G91,"&lt;"&amp;G92)/COUNT(G-158:G91))))</f>
        <v/>
      </c>
      <c r="K92" s="11" t="inlineStr">
        <is>
          <t>中间分位</t>
        </is>
      </c>
      <c r="L92" s="11" t="n">
        <v>90</v>
      </c>
      <c r="M92" s="11" t="inlineStr">
        <is>
          <t>Back(近强)</t>
        </is>
      </c>
      <c r="N92" s="11" t="n">
        <v>1</v>
      </c>
      <c r="O92" s="11" t="n">
        <v>0</v>
      </c>
      <c r="P92" s="12" t="n">
        <v>11</v>
      </c>
      <c r="Q92" s="11" t="inlineStr"/>
    </row>
    <row r="93">
      <c r="A93" s="6" t="inlineStr">
        <is>
          <t>2022-12-29</t>
        </is>
      </c>
      <c r="B93" s="6" t="inlineStr">
        <is>
          <t>MA2305</t>
        </is>
      </c>
      <c r="C93" s="6" t="inlineStr">
        <is>
          <t>2023-05</t>
        </is>
      </c>
      <c r="D93" s="7" t="n">
        <v>2630</v>
      </c>
      <c r="E93" s="7" t="n">
        <v>2568</v>
      </c>
      <c r="F93" s="7">
        <f>D93-E93</f>
        <v/>
      </c>
      <c r="G93" s="8">
        <f>IF(D93=0,"",(D93-E93)/D93)</f>
        <v/>
      </c>
      <c r="H93" s="9" t="n">
        <v>968380</v>
      </c>
      <c r="I93" s="10" t="n">
        <v>0.2955</v>
      </c>
      <c r="J93" s="10">
        <f>IF(COUNT(G-157:G92)&lt;20,"",IF(COUNTIF(G-157:G92,"&lt;"&amp;G93)&gt;=COUNT(G-157:G92),(COUNT(G-157:G92)-0.5)/COUNT(G-157:G92),IF(COUNTIF(G-157:G92,G93)&gt;0,(COUNTIF(G-157:G92,"&lt;"&amp;G93)+0.5*COUNTIF(G-157:G92,G93))/COUNT(G-157:G92),COUNTIF(G-157:G92,"&lt;"&amp;G93)/COUNT(G-157:G92))))</f>
        <v/>
      </c>
      <c r="K93" s="6" t="inlineStr">
        <is>
          <t>中间分位</t>
        </is>
      </c>
      <c r="L93" s="6" t="n">
        <v>89</v>
      </c>
      <c r="M93" s="6" t="inlineStr">
        <is>
          <t>Back(近强)</t>
        </is>
      </c>
      <c r="N93" s="6" t="n">
        <v>1</v>
      </c>
      <c r="O93" s="6" t="n">
        <v>0</v>
      </c>
      <c r="P93" s="7" t="n">
        <v>14</v>
      </c>
      <c r="Q93" s="6" t="inlineStr"/>
    </row>
    <row r="94">
      <c r="A94" s="11" t="inlineStr">
        <is>
          <t>2022-12-30</t>
        </is>
      </c>
      <c r="B94" s="11" t="inlineStr">
        <is>
          <t>MA2305</t>
        </is>
      </c>
      <c r="C94" s="11" t="inlineStr">
        <is>
          <t>2023-05</t>
        </is>
      </c>
      <c r="D94" s="12" t="n">
        <v>2631.67</v>
      </c>
      <c r="E94" s="12" t="n">
        <v>2653</v>
      </c>
      <c r="F94" s="12">
        <f>D94-E94</f>
        <v/>
      </c>
      <c r="G94" s="13">
        <f>IF(D94=0,"",(D94-E94)/D94)</f>
        <v/>
      </c>
      <c r="H94" s="14" t="n">
        <v>1053011</v>
      </c>
      <c r="I94" s="15" t="n">
        <v>0.1685</v>
      </c>
      <c r="J94" s="15">
        <f>IF(COUNT(G-156:G93)&lt;20,"",IF(COUNTIF(G-156:G93,"&lt;"&amp;G94)&gt;=COUNT(G-156:G93),(COUNT(G-156:G93)-0.5)/COUNT(G-156:G93),IF(COUNTIF(G-156:G93,G94)&gt;0,(COUNTIF(G-156:G93,"&lt;"&amp;G94)+0.5*COUNTIF(G-156:G93,G94))/COUNT(G-156:G93),COUNTIF(G-156:G93,"&lt;"&amp;G94)/COUNT(G-156:G93))))</f>
        <v/>
      </c>
      <c r="K94" s="11" t="inlineStr">
        <is>
          <t>中间分位</t>
        </is>
      </c>
      <c r="L94" s="11" t="n">
        <v>88</v>
      </c>
      <c r="M94" s="11" t="inlineStr">
        <is>
          <t>Back(近强)</t>
        </is>
      </c>
      <c r="N94" s="11" t="n">
        <v>1</v>
      </c>
      <c r="O94" s="11" t="n">
        <v>0</v>
      </c>
      <c r="P94" s="12" t="n">
        <v>28</v>
      </c>
      <c r="Q94" s="11" t="inlineStr"/>
    </row>
    <row r="95">
      <c r="A95" s="6" t="inlineStr">
        <is>
          <t>2023-01-03</t>
        </is>
      </c>
      <c r="B95" s="6" t="inlineStr">
        <is>
          <t>MA2305</t>
        </is>
      </c>
      <c r="C95" s="6" t="inlineStr">
        <is>
          <t>2023-05</t>
        </is>
      </c>
      <c r="D95" s="7" t="n">
        <v>2698.33</v>
      </c>
      <c r="E95" s="7" t="n">
        <v>2669</v>
      </c>
      <c r="F95" s="7">
        <f>D95-E95</f>
        <v/>
      </c>
      <c r="G95" s="8">
        <f>IF(D95=0,"",(D95-E95)/D95)</f>
        <v/>
      </c>
      <c r="H95" s="9" t="n">
        <v>1072969</v>
      </c>
      <c r="I95" s="10" t="n">
        <v>0.2556</v>
      </c>
      <c r="J95" s="10">
        <f>IF(COUNT(G-155:G94)&lt;20,"",IF(COUNTIF(G-155:G94,"&lt;"&amp;G95)&gt;=COUNT(G-155:G94),(COUNT(G-155:G94)-0.5)/COUNT(G-155:G94),IF(COUNTIF(G-155:G94,G95)&gt;0,(COUNTIF(G-155:G94,"&lt;"&amp;G95)+0.5*COUNTIF(G-155:G94,G95))/COUNT(G-155:G94),COUNTIF(G-155:G94,"&lt;"&amp;G95)/COUNT(G-155:G94))))</f>
        <v/>
      </c>
      <c r="K95" s="6" t="inlineStr">
        <is>
          <t>中间分位</t>
        </is>
      </c>
      <c r="L95" s="6" t="n">
        <v>87</v>
      </c>
      <c r="M95" s="6" t="inlineStr">
        <is>
          <t>Back(近强)</t>
        </is>
      </c>
      <c r="N95" s="6" t="n">
        <v>1</v>
      </c>
      <c r="O95" s="6" t="n">
        <v>0</v>
      </c>
      <c r="P95" s="7" t="n">
        <v>18</v>
      </c>
      <c r="Q95" s="6" t="inlineStr"/>
    </row>
    <row r="96">
      <c r="A96" s="11" t="inlineStr">
        <is>
          <t>2023-01-04</t>
        </is>
      </c>
      <c r="B96" s="11" t="inlineStr">
        <is>
          <t>MA2305</t>
        </is>
      </c>
      <c r="C96" s="11" t="inlineStr">
        <is>
          <t>2023-05</t>
        </is>
      </c>
      <c r="D96" s="12" t="n">
        <v>2708.33</v>
      </c>
      <c r="E96" s="12" t="n">
        <v>2638</v>
      </c>
      <c r="F96" s="12">
        <f>D96-E96</f>
        <v/>
      </c>
      <c r="G96" s="13">
        <f>IF(D96=0,"",(D96-E96)/D96)</f>
        <v/>
      </c>
      <c r="H96" s="14" t="n">
        <v>1148851</v>
      </c>
      <c r="I96" s="15" t="n">
        <v>0.3297</v>
      </c>
      <c r="J96" s="15">
        <f>IF(COUNT(G-154:G95)&lt;20,"",IF(COUNTIF(G-154:G95,"&lt;"&amp;G96)&gt;=COUNT(G-154:G95),(COUNT(G-154:G95)-0.5)/COUNT(G-154:G95),IF(COUNTIF(G-154:G95,G96)&gt;0,(COUNTIF(G-154:G95,"&lt;"&amp;G96)+0.5*COUNTIF(G-154:G95,G96))/COUNT(G-154:G95),COUNTIF(G-154:G95,"&lt;"&amp;G96)/COUNT(G-154:G95))))</f>
        <v/>
      </c>
      <c r="K96" s="11" t="inlineStr">
        <is>
          <t>中间分位</t>
        </is>
      </c>
      <c r="L96" s="11" t="n">
        <v>86</v>
      </c>
      <c r="M96" s="11" t="inlineStr">
        <is>
          <t>Back(近强)</t>
        </is>
      </c>
      <c r="N96" s="11" t="n">
        <v>1</v>
      </c>
      <c r="O96" s="11" t="n">
        <v>0</v>
      </c>
      <c r="P96" s="12" t="n">
        <v>40</v>
      </c>
      <c r="Q96" s="11" t="inlineStr"/>
    </row>
    <row r="97">
      <c r="A97" s="6" t="inlineStr">
        <is>
          <t>2023-01-05</t>
        </is>
      </c>
      <c r="B97" s="6" t="inlineStr">
        <is>
          <t>MA2305</t>
        </is>
      </c>
      <c r="C97" s="6" t="inlineStr">
        <is>
          <t>2023-05</t>
        </is>
      </c>
      <c r="D97" s="7" t="n">
        <v>2684.17</v>
      </c>
      <c r="E97" s="7" t="n">
        <v>2630</v>
      </c>
      <c r="F97" s="7">
        <f>D97-E97</f>
        <v/>
      </c>
      <c r="G97" s="8">
        <f>IF(D97=0,"",(D97-E97)/D97)</f>
        <v/>
      </c>
      <c r="H97" s="9" t="n">
        <v>1089879</v>
      </c>
      <c r="I97" s="10" t="n">
        <v>0.2717</v>
      </c>
      <c r="J97" s="10">
        <f>IF(COUNT(G-153:G96)&lt;20,"",IF(COUNTIF(G-153:G96,"&lt;"&amp;G97)&gt;=COUNT(G-153:G96),(COUNT(G-153:G96)-0.5)/COUNT(G-153:G96),IF(COUNTIF(G-153:G96,G97)&gt;0,(COUNTIF(G-153:G96,"&lt;"&amp;G97)+0.5*COUNTIF(G-153:G96,G97))/COUNT(G-153:G96),COUNTIF(G-153:G96,"&lt;"&amp;G97)/COUNT(G-153:G96))))</f>
        <v/>
      </c>
      <c r="K97" s="6" t="inlineStr">
        <is>
          <t>中间分位</t>
        </is>
      </c>
      <c r="L97" s="6" t="n">
        <v>85</v>
      </c>
      <c r="M97" s="6" t="inlineStr">
        <is>
          <t>Back(近强)</t>
        </is>
      </c>
      <c r="N97" s="6" t="n">
        <v>1</v>
      </c>
      <c r="O97" s="6" t="n">
        <v>0</v>
      </c>
      <c r="P97" s="7" t="n">
        <v>65</v>
      </c>
      <c r="Q97" s="6" t="inlineStr"/>
    </row>
    <row r="98">
      <c r="A98" s="11" t="inlineStr">
        <is>
          <t>2023-01-06</t>
        </is>
      </c>
      <c r="B98" s="11" t="inlineStr">
        <is>
          <t>MA2305</t>
        </is>
      </c>
      <c r="C98" s="11" t="inlineStr">
        <is>
          <t>2023-05</t>
        </is>
      </c>
      <c r="D98" s="12" t="n">
        <v>2671.67</v>
      </c>
      <c r="E98" s="12" t="n">
        <v>2632</v>
      </c>
      <c r="F98" s="12">
        <f>D98-E98</f>
        <v/>
      </c>
      <c r="G98" s="13">
        <f>IF(D98=0,"",(D98-E98)/D98)</f>
        <v/>
      </c>
      <c r="H98" s="14" t="n">
        <v>1157579</v>
      </c>
      <c r="I98" s="15" t="n">
        <v>0.2581</v>
      </c>
      <c r="J98" s="15">
        <f>IF(COUNT(G-152:G97)&lt;20,"",IF(COUNTIF(G-152:G97,"&lt;"&amp;G98)&gt;=COUNT(G-152:G97),(COUNT(G-152:G97)-0.5)/COUNT(G-152:G97),IF(COUNTIF(G-152:G97,G98)&gt;0,(COUNTIF(G-152:G97,"&lt;"&amp;G98)+0.5*COUNTIF(G-152:G97,G98))/COUNT(G-152:G97),COUNTIF(G-152:G97,"&lt;"&amp;G98)/COUNT(G-152:G97))))</f>
        <v/>
      </c>
      <c r="K98" s="11" t="inlineStr">
        <is>
          <t>中间分位</t>
        </is>
      </c>
      <c r="L98" s="11" t="n">
        <v>84</v>
      </c>
      <c r="M98" s="11" t="inlineStr">
        <is>
          <t>Back(近强)</t>
        </is>
      </c>
      <c r="N98" s="11" t="n">
        <v>1</v>
      </c>
      <c r="O98" s="11" t="n">
        <v>0</v>
      </c>
      <c r="P98" s="12" t="n">
        <v>90</v>
      </c>
      <c r="Q98" s="11" t="inlineStr"/>
    </row>
    <row r="99">
      <c r="A99" s="6" t="inlineStr">
        <is>
          <t>2023-01-09</t>
        </is>
      </c>
      <c r="B99" s="6" t="inlineStr">
        <is>
          <t>MA2305</t>
        </is>
      </c>
      <c r="C99" s="6" t="inlineStr">
        <is>
          <t>2023-05</t>
        </is>
      </c>
      <c r="D99" s="7" t="n">
        <v>2680</v>
      </c>
      <c r="E99" s="7" t="n">
        <v>2597</v>
      </c>
      <c r="F99" s="7">
        <f>D99-E99</f>
        <v/>
      </c>
      <c r="G99" s="8">
        <f>IF(D99=0,"",(D99-E99)/D99)</f>
        <v/>
      </c>
      <c r="H99" s="9" t="n">
        <v>1158625</v>
      </c>
      <c r="I99" s="10" t="n">
        <v>0.383</v>
      </c>
      <c r="J99" s="10">
        <f>IF(COUNT(G-151:G98)&lt;20,"",IF(COUNTIF(G-151:G98,"&lt;"&amp;G99)&gt;=COUNT(G-151:G98),(COUNT(G-151:G98)-0.5)/COUNT(G-151:G98),IF(COUNTIF(G-151:G98,G99)&gt;0,(COUNTIF(G-151:G98,"&lt;"&amp;G99)+0.5*COUNTIF(G-151:G98,G99))/COUNT(G-151:G98),COUNTIF(G-151:G98,"&lt;"&amp;G99)/COUNT(G-151:G98))))</f>
        <v/>
      </c>
      <c r="K99" s="6" t="inlineStr">
        <is>
          <t>中间分位</t>
        </is>
      </c>
      <c r="L99" s="6" t="n">
        <v>83</v>
      </c>
      <c r="M99" s="6" t="inlineStr">
        <is>
          <t>Back(近强)</t>
        </is>
      </c>
      <c r="N99" s="6" t="n">
        <v>1</v>
      </c>
      <c r="O99" s="6" t="n">
        <v>0</v>
      </c>
      <c r="P99" s="7" t="n">
        <v>-3</v>
      </c>
      <c r="Q99" s="6" t="inlineStr"/>
    </row>
    <row r="100">
      <c r="A100" s="11" t="inlineStr">
        <is>
          <t>2023-01-10</t>
        </is>
      </c>
      <c r="B100" s="11" t="inlineStr">
        <is>
          <t>MA2305</t>
        </is>
      </c>
      <c r="C100" s="11" t="inlineStr">
        <is>
          <t>2023-05</t>
        </is>
      </c>
      <c r="D100" s="12" t="n">
        <v>2646.67</v>
      </c>
      <c r="E100" s="12" t="n">
        <v>2624</v>
      </c>
      <c r="F100" s="12">
        <f>D100-E100</f>
        <v/>
      </c>
      <c r="G100" s="13">
        <f>IF(D100=0,"",(D100-E100)/D100)</f>
        <v/>
      </c>
      <c r="H100" s="14" t="n">
        <v>1123058</v>
      </c>
      <c r="I100" s="15" t="n">
        <v>0.2421</v>
      </c>
      <c r="J100" s="15">
        <f>IF(COUNT(G-150:G99)&lt;20,"",IF(COUNTIF(G-150:G99,"&lt;"&amp;G100)&gt;=COUNT(G-150:G99),(COUNT(G-150:G99)-0.5)/COUNT(G-150:G99),IF(COUNTIF(G-150:G99,G100)&gt;0,(COUNTIF(G-150:G99,"&lt;"&amp;G100)+0.5*COUNTIF(G-150:G99,G100))/COUNT(G-150:G99),COUNTIF(G-150:G99,"&lt;"&amp;G100)/COUNT(G-150:G99))))</f>
        <v/>
      </c>
      <c r="K100" s="11" t="inlineStr">
        <is>
          <t>中间分位</t>
        </is>
      </c>
      <c r="L100" s="11" t="n">
        <v>82</v>
      </c>
      <c r="M100" s="11" t="inlineStr">
        <is>
          <t>Back(近强)</t>
        </is>
      </c>
      <c r="N100" s="11" t="n">
        <v>1</v>
      </c>
      <c r="O100" s="11" t="n">
        <v>0</v>
      </c>
      <c r="P100" s="12" t="n">
        <v>20</v>
      </c>
      <c r="Q100" s="11" t="inlineStr"/>
    </row>
    <row r="101">
      <c r="A101" s="6" t="inlineStr">
        <is>
          <t>2023-01-11</t>
        </is>
      </c>
      <c r="B101" s="6" t="inlineStr">
        <is>
          <t>MA2305</t>
        </is>
      </c>
      <c r="C101" s="6" t="inlineStr">
        <is>
          <t>2023-05</t>
        </is>
      </c>
      <c r="D101" s="7" t="n">
        <v>2660</v>
      </c>
      <c r="E101" s="7" t="n">
        <v>2634</v>
      </c>
      <c r="F101" s="7">
        <f>D101-E101</f>
        <v/>
      </c>
      <c r="G101" s="8">
        <f>IF(D101=0,"",(D101-E101)/D101)</f>
        <v/>
      </c>
      <c r="H101" s="9" t="n">
        <v>1106742</v>
      </c>
      <c r="I101" s="10" t="n">
        <v>0.25</v>
      </c>
      <c r="J101" s="10">
        <f>IF(COUNT(G-149:G100)&lt;20,"",IF(COUNTIF(G-149:G100,"&lt;"&amp;G101)&gt;=COUNT(G-149:G100),(COUNT(G-149:G100)-0.5)/COUNT(G-149:G100),IF(COUNTIF(G-149:G100,G101)&gt;0,(COUNTIF(G-149:G100,"&lt;"&amp;G101)+0.5*COUNTIF(G-149:G100,G101))/COUNT(G-149:G100),COUNTIF(G-149:G100,"&lt;"&amp;G101)/COUNT(G-149:G100))))</f>
        <v/>
      </c>
      <c r="K101" s="6" t="inlineStr">
        <is>
          <t>中间分位</t>
        </is>
      </c>
      <c r="L101" s="6" t="n">
        <v>81</v>
      </c>
      <c r="M101" s="6" t="inlineStr">
        <is>
          <t>Back(近强)</t>
        </is>
      </c>
      <c r="N101" s="6" t="n">
        <v>1</v>
      </c>
      <c r="O101" s="6" t="n">
        <v>0</v>
      </c>
      <c r="P101" s="7" t="n">
        <v>14</v>
      </c>
      <c r="Q101" s="6" t="inlineStr"/>
    </row>
    <row r="102">
      <c r="A102" s="11" t="inlineStr">
        <is>
          <t>2023-01-12</t>
        </is>
      </c>
      <c r="B102" s="11" t="inlineStr">
        <is>
          <t>MA2305</t>
        </is>
      </c>
      <c r="C102" s="11" t="inlineStr">
        <is>
          <t>2023-05</t>
        </is>
      </c>
      <c r="D102" s="12" t="n">
        <v>2653.33</v>
      </c>
      <c r="E102" s="12" t="n">
        <v>2622</v>
      </c>
      <c r="F102" s="12">
        <f>D102-E102</f>
        <v/>
      </c>
      <c r="G102" s="13">
        <f>IF(D102=0,"",(D102-E102)/D102)</f>
        <v/>
      </c>
      <c r="H102" s="14" t="n">
        <v>1186164</v>
      </c>
      <c r="I102" s="15" t="n">
        <v>0.268</v>
      </c>
      <c r="J102" s="15">
        <f>IF(COUNT(G-148:G101)&lt;20,"",IF(COUNTIF(G-148:G101,"&lt;"&amp;G102)&gt;=COUNT(G-148:G101),(COUNT(G-148:G101)-0.5)/COUNT(G-148:G101),IF(COUNTIF(G-148:G101,G102)&gt;0,(COUNTIF(G-148:G101,"&lt;"&amp;G102)+0.5*COUNTIF(G-148:G101,G102))/COUNT(G-148:G101),COUNTIF(G-148:G101,"&lt;"&amp;G102)/COUNT(G-148:G101))))</f>
        <v/>
      </c>
      <c r="K102" s="11" t="inlineStr">
        <is>
          <t>中间分位</t>
        </is>
      </c>
      <c r="L102" s="11" t="n">
        <v>80</v>
      </c>
      <c r="M102" s="11" t="inlineStr">
        <is>
          <t>Back(近强)</t>
        </is>
      </c>
      <c r="N102" s="11" t="n">
        <v>1</v>
      </c>
      <c r="O102" s="11" t="n">
        <v>0</v>
      </c>
      <c r="P102" s="12" t="n">
        <v>1</v>
      </c>
      <c r="Q102" s="11" t="inlineStr"/>
    </row>
    <row r="103">
      <c r="A103" s="6" t="inlineStr">
        <is>
          <t>2023-01-13</t>
        </is>
      </c>
      <c r="B103" s="6" t="inlineStr">
        <is>
          <t>MA2305</t>
        </is>
      </c>
      <c r="C103" s="6" t="inlineStr">
        <is>
          <t>2023-05</t>
        </is>
      </c>
      <c r="D103" s="7" t="n">
        <v>2635.83</v>
      </c>
      <c r="E103" s="7" t="n">
        <v>2653</v>
      </c>
      <c r="F103" s="7">
        <f>D103-E103</f>
        <v/>
      </c>
      <c r="G103" s="8">
        <f>IF(D103=0,"",(D103-E103)/D103)</f>
        <v/>
      </c>
      <c r="H103" s="9" t="n">
        <v>1162272</v>
      </c>
      <c r="I103" s="10" t="n">
        <v>0.1633</v>
      </c>
      <c r="J103" s="10">
        <f>IF(COUNT(G-147:G102)&lt;20,"",IF(COUNTIF(G-147:G102,"&lt;"&amp;G103)&gt;=COUNT(G-147:G102),(COUNT(G-147:G102)-0.5)/COUNT(G-147:G102),IF(COUNTIF(G-147:G102,G103)&gt;0,(COUNTIF(G-147:G102,"&lt;"&amp;G103)+0.5*COUNTIF(G-147:G102,G103))/COUNT(G-147:G102),COUNTIF(G-147:G102,"&lt;"&amp;G103)/COUNT(G-147:G102))))</f>
        <v/>
      </c>
      <c r="K103" s="6" t="inlineStr">
        <is>
          <t>中间分位</t>
        </is>
      </c>
      <c r="L103" s="6" t="n">
        <v>79</v>
      </c>
      <c r="M103" s="6" t="inlineStr">
        <is>
          <t>Back(近强)</t>
        </is>
      </c>
      <c r="N103" s="6" t="n">
        <v>1</v>
      </c>
      <c r="O103" s="6" t="n">
        <v>0</v>
      </c>
      <c r="P103" s="7" t="n">
        <v>109</v>
      </c>
      <c r="Q103" s="6" t="inlineStr"/>
    </row>
    <row r="104">
      <c r="A104" s="11" t="inlineStr">
        <is>
          <t>2023-01-16</t>
        </is>
      </c>
      <c r="B104" s="11" t="inlineStr">
        <is>
          <t>MA2305</t>
        </is>
      </c>
      <c r="C104" s="11" t="inlineStr">
        <is>
          <t>2023-05</t>
        </is>
      </c>
      <c r="D104" s="12" t="n">
        <v>2651.67</v>
      </c>
      <c r="E104" s="12" t="n">
        <v>2625</v>
      </c>
      <c r="F104" s="12">
        <f>D104-E104</f>
        <v/>
      </c>
      <c r="G104" s="13">
        <f>IF(D104=0,"",(D104-E104)/D104)</f>
        <v/>
      </c>
      <c r="H104" s="14" t="n">
        <v>1083812</v>
      </c>
      <c r="I104" s="15" t="n">
        <v>0.2626</v>
      </c>
      <c r="J104" s="15">
        <f>IF(COUNT(G-146:G103)&lt;20,"",IF(COUNTIF(G-146:G103,"&lt;"&amp;G104)&gt;=COUNT(G-146:G103),(COUNT(G-146:G103)-0.5)/COUNT(G-146:G103),IF(COUNTIF(G-146:G103,G104)&gt;0,(COUNTIF(G-146:G103,"&lt;"&amp;G104)+0.5*COUNTIF(G-146:G103,G104))/COUNT(G-146:G103),COUNTIF(G-146:G103,"&lt;"&amp;G104)/COUNT(G-146:G103))))</f>
        <v/>
      </c>
      <c r="K104" s="11" t="inlineStr">
        <is>
          <t>中间分位</t>
        </is>
      </c>
      <c r="L104" s="11" t="n">
        <v>78</v>
      </c>
      <c r="M104" s="11" t="inlineStr">
        <is>
          <t>Back(近强)</t>
        </is>
      </c>
      <c r="N104" s="11" t="n">
        <v>1</v>
      </c>
      <c r="O104" s="11" t="n">
        <v>0</v>
      </c>
      <c r="P104" s="12" t="n">
        <v>23</v>
      </c>
      <c r="Q104" s="11" t="inlineStr"/>
    </row>
    <row r="105">
      <c r="A105" s="6" t="inlineStr">
        <is>
          <t>2023-01-17</t>
        </is>
      </c>
      <c r="B105" s="6" t="inlineStr">
        <is>
          <t>MA2305</t>
        </is>
      </c>
      <c r="C105" s="6" t="inlineStr">
        <is>
          <t>2023-05</t>
        </is>
      </c>
      <c r="D105" s="7" t="n">
        <v>2625.83</v>
      </c>
      <c r="E105" s="7" t="n">
        <v>2680</v>
      </c>
      <c r="F105" s="7">
        <f>D105-E105</f>
        <v/>
      </c>
      <c r="G105" s="8">
        <f>IF(D105=0,"",(D105-E105)/D105)</f>
        <v/>
      </c>
      <c r="H105" s="9" t="n">
        <v>1164948</v>
      </c>
      <c r="I105" s="10" t="n">
        <v>0</v>
      </c>
      <c r="J105" s="10">
        <f>IF(COUNT(G-145:G104)&lt;20,"",IF(COUNTIF(G-145:G104,"&lt;"&amp;G105)&gt;=COUNT(G-145:G104),(COUNT(G-145:G104)-0.5)/COUNT(G-145:G104),IF(COUNTIF(G-145:G104,G105)&gt;0,(COUNTIF(G-145:G104,"&lt;"&amp;G105)+0.5*COUNTIF(G-145:G104,G105))/COUNT(G-145:G104),COUNTIF(G-145:G104,"&lt;"&amp;G105)/COUNT(G-145:G104))))</f>
        <v/>
      </c>
      <c r="K105" s="6" t="inlineStr">
        <is>
          <t>低分位</t>
        </is>
      </c>
      <c r="L105" s="6" t="n">
        <v>77</v>
      </c>
      <c r="M105" s="6" t="inlineStr">
        <is>
          <t>Back(近强)</t>
        </is>
      </c>
      <c r="N105" s="6" t="n">
        <v>1</v>
      </c>
      <c r="O105" s="6" t="n">
        <v>0</v>
      </c>
      <c r="P105" s="7" t="n">
        <v>12</v>
      </c>
      <c r="Q105" s="6" t="inlineStr"/>
    </row>
    <row r="106">
      <c r="A106" s="11" t="inlineStr">
        <is>
          <t>2023-01-18</t>
        </is>
      </c>
      <c r="B106" s="11" t="inlineStr">
        <is>
          <t>MA2305</t>
        </is>
      </c>
      <c r="C106" s="11" t="inlineStr">
        <is>
          <t>2023-05</t>
        </is>
      </c>
      <c r="D106" s="12" t="n">
        <v>2671.67</v>
      </c>
      <c r="E106" s="12" t="n">
        <v>2693</v>
      </c>
      <c r="F106" s="12">
        <f>D106-E106</f>
        <v/>
      </c>
      <c r="G106" s="13">
        <f>IF(D106=0,"",(D106-E106)/D106)</f>
        <v/>
      </c>
      <c r="H106" s="14" t="n">
        <v>1092887</v>
      </c>
      <c r="I106" s="15" t="n">
        <v>0.1683</v>
      </c>
      <c r="J106" s="15">
        <f>IF(COUNT(G-144:G105)&lt;20,"",IF(COUNTIF(G-144:G105,"&lt;"&amp;G106)&gt;=COUNT(G-144:G105),(COUNT(G-144:G105)-0.5)/COUNT(G-144:G105),IF(COUNTIF(G-144:G105,G106)&gt;0,(COUNTIF(G-144:G105,"&lt;"&amp;G106)+0.5*COUNTIF(G-144:G105,G106))/COUNT(G-144:G105),COUNTIF(G-144:G105,"&lt;"&amp;G106)/COUNT(G-144:G105))))</f>
        <v/>
      </c>
      <c r="K106" s="11" t="inlineStr">
        <is>
          <t>中间分位</t>
        </is>
      </c>
      <c r="L106" s="11" t="n">
        <v>76</v>
      </c>
      <c r="M106" s="11" t="inlineStr">
        <is>
          <t>Back(近强)</t>
        </is>
      </c>
      <c r="N106" s="11" t="n">
        <v>1</v>
      </c>
      <c r="O106" s="11" t="n">
        <v>0</v>
      </c>
      <c r="P106" s="12" t="n">
        <v>-4</v>
      </c>
      <c r="Q106" s="11" t="inlineStr"/>
    </row>
    <row r="107">
      <c r="A107" s="6" t="inlineStr">
        <is>
          <t>2023-01-19</t>
        </is>
      </c>
      <c r="B107" s="6" t="inlineStr">
        <is>
          <t>MA2305</t>
        </is>
      </c>
      <c r="C107" s="6" t="inlineStr">
        <is>
          <t>2023-05</t>
        </is>
      </c>
      <c r="D107" s="7" t="n">
        <v>2690</v>
      </c>
      <c r="E107" s="7" t="n">
        <v>2733</v>
      </c>
      <c r="F107" s="7">
        <f>D107-E107</f>
        <v/>
      </c>
      <c r="G107" s="8">
        <f>IF(D107=0,"",(D107-E107)/D107)</f>
        <v/>
      </c>
      <c r="H107" s="9" t="n">
        <v>1106896</v>
      </c>
      <c r="I107" s="10" t="n">
        <v>0.0588</v>
      </c>
      <c r="J107" s="10">
        <f>IF(COUNT(G-143:G106)&lt;20,"",IF(COUNTIF(G-143:G106,"&lt;"&amp;G107)&gt;=COUNT(G-143:G106),(COUNT(G-143:G106)-0.5)/COUNT(G-143:G106),IF(COUNTIF(G-143:G106,G107)&gt;0,(COUNTIF(G-143:G106,"&lt;"&amp;G107)+0.5*COUNTIF(G-143:G106,G107))/COUNT(G-143:G106),COUNTIF(G-143:G106,"&lt;"&amp;G107)/COUNT(G-143:G106))))</f>
        <v/>
      </c>
      <c r="K107" s="6" t="inlineStr">
        <is>
          <t>低分位</t>
        </is>
      </c>
      <c r="L107" s="6" t="n">
        <v>75</v>
      </c>
      <c r="M107" s="6" t="inlineStr">
        <is>
          <t>Back(近强)</t>
        </is>
      </c>
      <c r="N107" s="6" t="n">
        <v>1</v>
      </c>
      <c r="O107" s="6" t="n">
        <v>0</v>
      </c>
      <c r="P107" s="7" t="n">
        <v>1</v>
      </c>
      <c r="Q107" s="6" t="inlineStr"/>
    </row>
    <row r="108">
      <c r="A108" s="11" t="inlineStr">
        <is>
          <t>2023-01-20</t>
        </is>
      </c>
      <c r="B108" s="11" t="inlineStr">
        <is>
          <t>MA2305</t>
        </is>
      </c>
      <c r="C108" s="11" t="inlineStr">
        <is>
          <t>2023-05</t>
        </is>
      </c>
      <c r="D108" s="12" t="n">
        <v>2690</v>
      </c>
      <c r="E108" s="12" t="n">
        <v>2775</v>
      </c>
      <c r="F108" s="12">
        <f>D108-E108</f>
        <v/>
      </c>
      <c r="G108" s="13">
        <f>IF(D108=0,"",(D108-E108)/D108)</f>
        <v/>
      </c>
      <c r="H108" s="14" t="n">
        <v>1002167</v>
      </c>
      <c r="I108" s="15" t="n">
        <v>0</v>
      </c>
      <c r="J108" s="15">
        <f>IF(COUNT(G-142:G107)&lt;20,"",IF(COUNTIF(G-142:G107,"&lt;"&amp;G108)&gt;=COUNT(G-142:G107),(COUNT(G-142:G107)-0.5)/COUNT(G-142:G107),IF(COUNTIF(G-142:G107,G108)&gt;0,(COUNTIF(G-142:G107,"&lt;"&amp;G108)+0.5*COUNTIF(G-142:G107,G108))/COUNT(G-142:G107),COUNTIF(G-142:G107,"&lt;"&amp;G108)/COUNT(G-142:G107))))</f>
        <v/>
      </c>
      <c r="K108" s="11" t="inlineStr">
        <is>
          <t>低分位</t>
        </is>
      </c>
      <c r="L108" s="11" t="n">
        <v>74</v>
      </c>
      <c r="M108" s="11" t="inlineStr">
        <is>
          <t>Back(近强)</t>
        </is>
      </c>
      <c r="N108" s="11" t="n">
        <v>1</v>
      </c>
      <c r="O108" s="11" t="n">
        <v>0</v>
      </c>
      <c r="P108" s="12" t="n">
        <v>-3</v>
      </c>
      <c r="Q108" s="11" t="inlineStr"/>
    </row>
    <row r="109">
      <c r="A109" s="6" t="inlineStr">
        <is>
          <t>2023-01-30</t>
        </is>
      </c>
      <c r="B109" s="6" t="inlineStr">
        <is>
          <t>MA2305</t>
        </is>
      </c>
      <c r="C109" s="6" t="inlineStr">
        <is>
          <t>2023-05</t>
        </is>
      </c>
      <c r="D109" s="7" t="n">
        <v>2806.67</v>
      </c>
      <c r="E109" s="7" t="n">
        <v>2755</v>
      </c>
      <c r="F109" s="7">
        <f>D109-E109</f>
        <v/>
      </c>
      <c r="G109" s="8">
        <f>IF(D109=0,"",(D109-E109)/D109)</f>
        <v/>
      </c>
      <c r="H109" s="9" t="n">
        <v>1096343</v>
      </c>
      <c r="I109" s="10" t="n">
        <v>0.3269</v>
      </c>
      <c r="J109" s="10">
        <f>IF(COUNT(G-141:G108)&lt;20,"",IF(COUNTIF(G-141:G108,"&lt;"&amp;G109)&gt;=COUNT(G-141:G108),(COUNT(G-141:G108)-0.5)/COUNT(G-141:G108),IF(COUNTIF(G-141:G108,G109)&gt;0,(COUNTIF(G-141:G108,"&lt;"&amp;G109)+0.5*COUNTIF(G-141:G108,G109))/COUNT(G-141:G108),COUNTIF(G-141:G108,"&lt;"&amp;G109)/COUNT(G-141:G108))))</f>
        <v/>
      </c>
      <c r="K109" s="6" t="inlineStr">
        <is>
          <t>中间分位</t>
        </is>
      </c>
      <c r="L109" s="6" t="n">
        <v>73</v>
      </c>
      <c r="M109" s="6" t="inlineStr">
        <is>
          <t>结构不明</t>
        </is>
      </c>
      <c r="N109" s="6" t="n">
        <v>1</v>
      </c>
      <c r="O109" s="6" t="n">
        <v>0</v>
      </c>
      <c r="P109" s="7" t="n">
        <v>-17</v>
      </c>
      <c r="Q109" s="6" t="inlineStr"/>
    </row>
    <row r="110">
      <c r="A110" s="11" t="inlineStr">
        <is>
          <t>2023-01-31</t>
        </is>
      </c>
      <c r="B110" s="11" t="inlineStr">
        <is>
          <t>MA2305</t>
        </is>
      </c>
      <c r="C110" s="11" t="inlineStr">
        <is>
          <t>2023-05</t>
        </is>
      </c>
      <c r="D110" s="12" t="n">
        <v>2768.75</v>
      </c>
      <c r="E110" s="12" t="n">
        <v>2753</v>
      </c>
      <c r="F110" s="12">
        <f>D110-E110</f>
        <v/>
      </c>
      <c r="G110" s="13">
        <f>IF(D110=0,"",(D110-E110)/D110)</f>
        <v/>
      </c>
      <c r="H110" s="14" t="n">
        <v>1191909</v>
      </c>
      <c r="I110" s="15" t="n">
        <v>0.2571</v>
      </c>
      <c r="J110" s="15">
        <f>IF(COUNT(G-140:G109)&lt;20,"",IF(COUNTIF(G-140:G109,"&lt;"&amp;G110)&gt;=COUNT(G-140:G109),(COUNT(G-140:G109)-0.5)/COUNT(G-140:G109),IF(COUNTIF(G-140:G109,G110)&gt;0,(COUNTIF(G-140:G109,"&lt;"&amp;G110)+0.5*COUNTIF(G-140:G109,G110))/COUNT(G-140:G109),COUNTIF(G-140:G109,"&lt;"&amp;G110)/COUNT(G-140:G109))))</f>
        <v/>
      </c>
      <c r="K110" s="11" t="inlineStr">
        <is>
          <t>中间分位</t>
        </is>
      </c>
      <c r="L110" s="11" t="n">
        <v>72</v>
      </c>
      <c r="M110" s="11" t="inlineStr">
        <is>
          <t>结构不明</t>
        </is>
      </c>
      <c r="N110" s="11" t="n">
        <v>1</v>
      </c>
      <c r="O110" s="11" t="n">
        <v>0</v>
      </c>
      <c r="P110" s="12" t="n">
        <v>-20</v>
      </c>
      <c r="Q110" s="11" t="inlineStr"/>
    </row>
    <row r="111">
      <c r="A111" s="6" t="inlineStr">
        <is>
          <t>2023-02-01</t>
        </is>
      </c>
      <c r="B111" s="6" t="inlineStr">
        <is>
          <t>MA2305</t>
        </is>
      </c>
      <c r="C111" s="6" t="inlineStr">
        <is>
          <t>2023-05</t>
        </is>
      </c>
      <c r="D111" s="7" t="n">
        <v>2760</v>
      </c>
      <c r="E111" s="7" t="n">
        <v>2758</v>
      </c>
      <c r="F111" s="7">
        <f>D111-E111</f>
        <v/>
      </c>
      <c r="G111" s="8">
        <f>IF(D111=0,"",(D111-E111)/D111)</f>
        <v/>
      </c>
      <c r="H111" s="9" t="n">
        <v>1293846</v>
      </c>
      <c r="I111" s="10" t="n">
        <v>0.217</v>
      </c>
      <c r="J111" s="10">
        <f>IF(COUNT(G-139:G110)&lt;20,"",IF(COUNTIF(G-139:G110,"&lt;"&amp;G111)&gt;=COUNT(G-139:G110),(COUNT(G-139:G110)-0.5)/COUNT(G-139:G110),IF(COUNTIF(G-139:G110,G111)&gt;0,(COUNTIF(G-139:G110,"&lt;"&amp;G111)+0.5*COUNTIF(G-139:G110,G111))/COUNT(G-139:G110),COUNTIF(G-139:G110,"&lt;"&amp;G111)/COUNT(G-139:G110))))</f>
        <v/>
      </c>
      <c r="K111" s="6" t="inlineStr">
        <is>
          <t>中间分位</t>
        </is>
      </c>
      <c r="L111" s="6" t="n">
        <v>71</v>
      </c>
      <c r="M111" s="6" t="inlineStr">
        <is>
          <t>结构不明</t>
        </is>
      </c>
      <c r="N111" s="6" t="n">
        <v>1</v>
      </c>
      <c r="O111" s="6" t="n">
        <v>0</v>
      </c>
      <c r="P111" s="7" t="n">
        <v>-42</v>
      </c>
      <c r="Q111" s="6" t="inlineStr"/>
    </row>
    <row r="112">
      <c r="A112" s="11" t="inlineStr">
        <is>
          <t>2023-02-02</t>
        </is>
      </c>
      <c r="B112" s="11" t="inlineStr">
        <is>
          <t>MA2305</t>
        </is>
      </c>
      <c r="C112" s="11" t="inlineStr">
        <is>
          <t>2023-05</t>
        </is>
      </c>
      <c r="D112" s="12" t="n">
        <v>2780</v>
      </c>
      <c r="E112" s="12" t="n">
        <v>2690</v>
      </c>
      <c r="F112" s="12">
        <f>D112-E112</f>
        <v/>
      </c>
      <c r="G112" s="13">
        <f>IF(D112=0,"",(D112-E112)/D112)</f>
        <v/>
      </c>
      <c r="H112" s="14" t="n">
        <v>1312920</v>
      </c>
      <c r="I112" s="15" t="n">
        <v>0.4766</v>
      </c>
      <c r="J112" s="15">
        <f>IF(COUNT(G-138:G111)&lt;20,"",IF(COUNTIF(G-138:G111,"&lt;"&amp;G112)&gt;=COUNT(G-138:G111),(COUNT(G-138:G111)-0.5)/COUNT(G-138:G111),IF(COUNTIF(G-138:G111,G112)&gt;0,(COUNTIF(G-138:G111,"&lt;"&amp;G112)+0.5*COUNTIF(G-138:G111,G112))/COUNT(G-138:G111),COUNTIF(G-138:G111,"&lt;"&amp;G112)/COUNT(G-138:G111))))</f>
        <v/>
      </c>
      <c r="K112" s="11" t="inlineStr">
        <is>
          <t>中间分位</t>
        </is>
      </c>
      <c r="L112" s="11" t="n">
        <v>70</v>
      </c>
      <c r="M112" s="11" t="inlineStr">
        <is>
          <t>结构不明</t>
        </is>
      </c>
      <c r="N112" s="11" t="n">
        <v>1</v>
      </c>
      <c r="O112" s="11" t="n">
        <v>0</v>
      </c>
      <c r="P112" s="12" t="n">
        <v>-52</v>
      </c>
      <c r="Q112" s="11" t="inlineStr"/>
    </row>
    <row r="113">
      <c r="A113" s="6" t="inlineStr">
        <is>
          <t>2023-02-03</t>
        </is>
      </c>
      <c r="B113" s="6" t="inlineStr">
        <is>
          <t>MA2305</t>
        </is>
      </c>
      <c r="C113" s="6" t="inlineStr">
        <is>
          <t>2023-05</t>
        </is>
      </c>
      <c r="D113" s="7" t="n">
        <v>2723.33</v>
      </c>
      <c r="E113" s="7" t="n">
        <v>2675</v>
      </c>
      <c r="F113" s="7">
        <f>D113-E113</f>
        <v/>
      </c>
      <c r="G113" s="8">
        <f>IF(D113=0,"",(D113-E113)/D113)</f>
        <v/>
      </c>
      <c r="H113" s="9" t="n">
        <v>1177060</v>
      </c>
      <c r="I113" s="10" t="n">
        <v>0.3333</v>
      </c>
      <c r="J113" s="10">
        <f>IF(COUNT(G-137:G112)&lt;20,"",IF(COUNTIF(G-137:G112,"&lt;"&amp;G113)&gt;=COUNT(G-137:G112),(COUNT(G-137:G112)-0.5)/COUNT(G-137:G112),IF(COUNTIF(G-137:G112,G113)&gt;0,(COUNTIF(G-137:G112,"&lt;"&amp;G113)+0.5*COUNTIF(G-137:G112,G113))/COUNT(G-137:G112),COUNTIF(G-137:G112,"&lt;"&amp;G113)/COUNT(G-137:G112))))</f>
        <v/>
      </c>
      <c r="K113" s="6" t="inlineStr">
        <is>
          <t>中间分位</t>
        </is>
      </c>
      <c r="L113" s="6" t="n">
        <v>69</v>
      </c>
      <c r="M113" s="6" t="inlineStr">
        <is>
          <t>Contango(远强)</t>
        </is>
      </c>
      <c r="N113" s="6" t="n">
        <v>1</v>
      </c>
      <c r="O113" s="6" t="n">
        <v>0</v>
      </c>
      <c r="P113" s="7" t="n">
        <v>-64</v>
      </c>
      <c r="Q113" s="6" t="inlineStr"/>
    </row>
    <row r="114">
      <c r="A114" s="11" t="inlineStr">
        <is>
          <t>2023-02-06</t>
        </is>
      </c>
      <c r="B114" s="11" t="inlineStr">
        <is>
          <t>MA2305</t>
        </is>
      </c>
      <c r="C114" s="11" t="inlineStr">
        <is>
          <t>2023-05</t>
        </is>
      </c>
      <c r="D114" s="12" t="n">
        <v>2704.29</v>
      </c>
      <c r="E114" s="12" t="n">
        <v>2677</v>
      </c>
      <c r="F114" s="12">
        <f>D114-E114</f>
        <v/>
      </c>
      <c r="G114" s="13">
        <f>IF(D114=0,"",(D114-E114)/D114)</f>
        <v/>
      </c>
      <c r="H114" s="14" t="n">
        <v>1260724</v>
      </c>
      <c r="I114" s="15" t="n">
        <v>0.3028</v>
      </c>
      <c r="J114" s="15">
        <f>IF(COUNT(G-136:G113)&lt;20,"",IF(COUNTIF(G-136:G113,"&lt;"&amp;G114)&gt;=COUNT(G-136:G113),(COUNT(G-136:G113)-0.5)/COUNT(G-136:G113),IF(COUNTIF(G-136:G113,G114)&gt;0,(COUNTIF(G-136:G113,"&lt;"&amp;G114)+0.5*COUNTIF(G-136:G113,G114))/COUNT(G-136:G113),COUNTIF(G-136:G113,"&lt;"&amp;G114)/COUNT(G-136:G113))))</f>
        <v/>
      </c>
      <c r="K114" s="11" t="inlineStr">
        <is>
          <t>中间分位</t>
        </is>
      </c>
      <c r="L114" s="11" t="n">
        <v>68</v>
      </c>
      <c r="M114" s="11" t="inlineStr">
        <is>
          <t>结构不明</t>
        </is>
      </c>
      <c r="N114" s="11" t="n">
        <v>1</v>
      </c>
      <c r="O114" s="11" t="n">
        <v>0</v>
      </c>
      <c r="P114" s="12" t="n">
        <v>-49</v>
      </c>
      <c r="Q114" s="11" t="inlineStr"/>
    </row>
    <row r="115">
      <c r="A115" s="6" t="inlineStr">
        <is>
          <t>2023-02-07</t>
        </is>
      </c>
      <c r="B115" s="6" t="inlineStr">
        <is>
          <t>MA2305</t>
        </is>
      </c>
      <c r="C115" s="6" t="inlineStr">
        <is>
          <t>2023-05</t>
        </is>
      </c>
      <c r="D115" s="7" t="n">
        <v>2717.14</v>
      </c>
      <c r="E115" s="7" t="n">
        <v>2668</v>
      </c>
      <c r="F115" s="7">
        <f>D115-E115</f>
        <v/>
      </c>
      <c r="G115" s="8">
        <f>IF(D115=0,"",(D115-E115)/D115)</f>
        <v/>
      </c>
      <c r="H115" s="9" t="n">
        <v>1249400</v>
      </c>
      <c r="I115" s="10" t="n">
        <v>0.3455</v>
      </c>
      <c r="J115" s="10">
        <f>IF(COUNT(G-135:G114)&lt;20,"",IF(COUNTIF(G-135:G114,"&lt;"&amp;G115)&gt;=COUNT(G-135:G114),(COUNT(G-135:G114)-0.5)/COUNT(G-135:G114),IF(COUNTIF(G-135:G114,G115)&gt;0,(COUNTIF(G-135:G114,"&lt;"&amp;G115)+0.5*COUNTIF(G-135:G114,G115))/COUNT(G-135:G114),COUNTIF(G-135:G114,"&lt;"&amp;G115)/COUNT(G-135:G114))))</f>
        <v/>
      </c>
      <c r="K115" s="6" t="inlineStr">
        <is>
          <t>中间分位</t>
        </is>
      </c>
      <c r="L115" s="6" t="n">
        <v>67</v>
      </c>
      <c r="M115" s="6" t="inlineStr">
        <is>
          <t>结构不明</t>
        </is>
      </c>
      <c r="N115" s="6" t="n">
        <v>1</v>
      </c>
      <c r="O115" s="6" t="n">
        <v>0</v>
      </c>
      <c r="P115" s="7" t="n">
        <v>-54</v>
      </c>
      <c r="Q115" s="6" t="inlineStr"/>
    </row>
    <row r="116">
      <c r="A116" s="11" t="inlineStr">
        <is>
          <t>2023-02-08</t>
        </is>
      </c>
      <c r="B116" s="11" t="inlineStr">
        <is>
          <t>MA2305</t>
        </is>
      </c>
      <c r="C116" s="11" t="inlineStr">
        <is>
          <t>2023-05</t>
        </is>
      </c>
      <c r="D116" s="12" t="n">
        <v>2712.86</v>
      </c>
      <c r="E116" s="12" t="n">
        <v>2645</v>
      </c>
      <c r="F116" s="12">
        <f>D116-E116</f>
        <v/>
      </c>
      <c r="G116" s="13">
        <f>IF(D116=0,"",(D116-E116)/D116)</f>
        <v/>
      </c>
      <c r="H116" s="14" t="n">
        <v>1294824</v>
      </c>
      <c r="I116" s="15" t="n">
        <v>0.4234</v>
      </c>
      <c r="J116" s="15">
        <f>IF(COUNT(G-134:G115)&lt;20,"",IF(COUNTIF(G-134:G115,"&lt;"&amp;G116)&gt;=COUNT(G-134:G115),(COUNT(G-134:G115)-0.5)/COUNT(G-134:G115),IF(COUNTIF(G-134:G115,G116)&gt;0,(COUNTIF(G-134:G115,"&lt;"&amp;G116)+0.5*COUNTIF(G-134:G115,G116))/COUNT(G-134:G115),COUNTIF(G-134:G115,"&lt;"&amp;G116)/COUNT(G-134:G115))))</f>
        <v/>
      </c>
      <c r="K116" s="11" t="inlineStr">
        <is>
          <t>中间分位</t>
        </is>
      </c>
      <c r="L116" s="11" t="n">
        <v>66</v>
      </c>
      <c r="M116" s="11" t="inlineStr">
        <is>
          <t>结构不明</t>
        </is>
      </c>
      <c r="N116" s="11" t="n">
        <v>1</v>
      </c>
      <c r="O116" s="11" t="n">
        <v>0</v>
      </c>
      <c r="P116" s="12" t="n">
        <v>-52</v>
      </c>
      <c r="Q116" s="11" t="inlineStr"/>
    </row>
    <row r="117">
      <c r="A117" s="6" t="inlineStr">
        <is>
          <t>2023-02-09</t>
        </is>
      </c>
      <c r="B117" s="6" t="inlineStr">
        <is>
          <t>MA2305</t>
        </is>
      </c>
      <c r="C117" s="6" t="inlineStr">
        <is>
          <t>2023-05</t>
        </is>
      </c>
      <c r="D117" s="7" t="n">
        <v>2692.86</v>
      </c>
      <c r="E117" s="7" t="n">
        <v>2650</v>
      </c>
      <c r="F117" s="7">
        <f>D117-E117</f>
        <v/>
      </c>
      <c r="G117" s="8">
        <f>IF(D117=0,"",(D117-E117)/D117)</f>
        <v/>
      </c>
      <c r="H117" s="9" t="n">
        <v>1175291</v>
      </c>
      <c r="I117" s="10" t="n">
        <v>0.3304</v>
      </c>
      <c r="J117" s="10">
        <f>IF(COUNT(G-133:G116)&lt;20,"",IF(COUNTIF(G-133:G116,"&lt;"&amp;G117)&gt;=COUNT(G-133:G116),(COUNT(G-133:G116)-0.5)/COUNT(G-133:G116),IF(COUNTIF(G-133:G116,G117)&gt;0,(COUNTIF(G-133:G116,"&lt;"&amp;G117)+0.5*COUNTIF(G-133:G116,G117))/COUNT(G-133:G116),COUNTIF(G-133:G116,"&lt;"&amp;G117)/COUNT(G-133:G116))))</f>
        <v/>
      </c>
      <c r="K117" s="6" t="inlineStr">
        <is>
          <t>中间分位</t>
        </is>
      </c>
      <c r="L117" s="6" t="n">
        <v>65</v>
      </c>
      <c r="M117" s="6" t="inlineStr">
        <is>
          <t>结构不明</t>
        </is>
      </c>
      <c r="N117" s="6" t="n">
        <v>1</v>
      </c>
      <c r="O117" s="6" t="n">
        <v>0</v>
      </c>
      <c r="P117" s="7" t="n">
        <v>-45</v>
      </c>
      <c r="Q117" s="6" t="inlineStr"/>
    </row>
    <row r="118">
      <c r="A118" s="11" t="inlineStr">
        <is>
          <t>2023-02-10</t>
        </is>
      </c>
      <c r="B118" s="11" t="inlineStr">
        <is>
          <t>MA2305</t>
        </is>
      </c>
      <c r="C118" s="11" t="inlineStr">
        <is>
          <t>2023-05</t>
        </is>
      </c>
      <c r="D118" s="12" t="n">
        <v>2711.43</v>
      </c>
      <c r="E118" s="12" t="n">
        <v>2598</v>
      </c>
      <c r="F118" s="12">
        <f>D118-E118</f>
        <v/>
      </c>
      <c r="G118" s="13">
        <f>IF(D118=0,"",(D118-E118)/D118)</f>
        <v/>
      </c>
      <c r="H118" s="14" t="n">
        <v>1374800</v>
      </c>
      <c r="I118" s="15" t="n">
        <v>0.5841</v>
      </c>
      <c r="J118" s="15">
        <f>IF(COUNT(G-132:G117)&lt;20,"",IF(COUNTIF(G-132:G117,"&lt;"&amp;G118)&gt;=COUNT(G-132:G117),(COUNT(G-132:G117)-0.5)/COUNT(G-132:G117),IF(COUNTIF(G-132:G117,G118)&gt;0,(COUNTIF(G-132:G117,"&lt;"&amp;G118)+0.5*COUNTIF(G-132:G117,G118))/COUNT(G-132:G117),COUNTIF(G-132:G117,"&lt;"&amp;G118)/COUNT(G-132:G117))))</f>
        <v/>
      </c>
      <c r="K118" s="11" t="inlineStr">
        <is>
          <t>中间分位</t>
        </is>
      </c>
      <c r="L118" s="11" t="n">
        <v>64</v>
      </c>
      <c r="M118" s="11" t="inlineStr">
        <is>
          <t>结构不明</t>
        </is>
      </c>
      <c r="N118" s="11" t="n">
        <v>1</v>
      </c>
      <c r="O118" s="11" t="n">
        <v>0</v>
      </c>
      <c r="P118" s="12" t="n">
        <v>-44</v>
      </c>
      <c r="Q118" s="11" t="inlineStr"/>
    </row>
    <row r="119">
      <c r="A119" s="6" t="inlineStr">
        <is>
          <t>2023-02-13</t>
        </is>
      </c>
      <c r="B119" s="6" t="inlineStr">
        <is>
          <t>MA2305</t>
        </is>
      </c>
      <c r="C119" s="6" t="inlineStr">
        <is>
          <t>2023-05</t>
        </is>
      </c>
      <c r="D119" s="7" t="n">
        <v>2689.29</v>
      </c>
      <c r="E119" s="7" t="n">
        <v>2553</v>
      </c>
      <c r="F119" s="7">
        <f>D119-E119</f>
        <v/>
      </c>
      <c r="G119" s="8">
        <f>IF(D119=0,"",(D119-E119)/D119)</f>
        <v/>
      </c>
      <c r="H119" s="9" t="n">
        <v>1300799</v>
      </c>
      <c r="I119" s="10" t="n">
        <v>0.6491</v>
      </c>
      <c r="J119" s="10">
        <f>IF(COUNT(G-131:G118)&lt;20,"",IF(COUNTIF(G-131:G118,"&lt;"&amp;G119)&gt;=COUNT(G-131:G118),(COUNT(G-131:G118)-0.5)/COUNT(G-131:G118),IF(COUNTIF(G-131:G118,G119)&gt;0,(COUNTIF(G-131:G118,"&lt;"&amp;G119)+0.5*COUNTIF(G-131:G118,G119))/COUNT(G-131:G118),COUNTIF(G-131:G118,"&lt;"&amp;G119)/COUNT(G-131:G118))))</f>
        <v/>
      </c>
      <c r="K119" s="6" t="inlineStr">
        <is>
          <t>中间分位</t>
        </is>
      </c>
      <c r="L119" s="6" t="n">
        <v>63</v>
      </c>
      <c r="M119" s="6" t="inlineStr">
        <is>
          <t>Contango(远强)</t>
        </is>
      </c>
      <c r="N119" s="6" t="n">
        <v>1</v>
      </c>
      <c r="O119" s="6" t="n">
        <v>0</v>
      </c>
      <c r="P119" s="7" t="n">
        <v>-87</v>
      </c>
      <c r="Q119" s="6" t="inlineStr"/>
    </row>
    <row r="120">
      <c r="A120" s="11" t="inlineStr">
        <is>
          <t>2023-02-14</t>
        </is>
      </c>
      <c r="B120" s="11" t="inlineStr">
        <is>
          <t>MA2305</t>
        </is>
      </c>
      <c r="C120" s="11" t="inlineStr">
        <is>
          <t>2023-05</t>
        </is>
      </c>
      <c r="D120" s="12" t="n">
        <v>2688.57</v>
      </c>
      <c r="E120" s="12" t="n">
        <v>2565</v>
      </c>
      <c r="F120" s="12">
        <f>D120-E120</f>
        <v/>
      </c>
      <c r="G120" s="13">
        <f>IF(D120=0,"",(D120-E120)/D120)</f>
        <v/>
      </c>
      <c r="H120" s="14" t="n">
        <v>1300250</v>
      </c>
      <c r="I120" s="15" t="n">
        <v>0.6087</v>
      </c>
      <c r="J120" s="15">
        <f>IF(COUNT(G-130:G119)&lt;20,"",IF(COUNTIF(G-130:G119,"&lt;"&amp;G120)&gt;=COUNT(G-130:G119),(COUNT(G-130:G119)-0.5)/COUNT(G-130:G119),IF(COUNTIF(G-130:G119,G120)&gt;0,(COUNTIF(G-130:G119,"&lt;"&amp;G120)+0.5*COUNTIF(G-130:G119,G120))/COUNT(G-130:G119),COUNTIF(G-130:G119,"&lt;"&amp;G120)/COUNT(G-130:G119))))</f>
        <v/>
      </c>
      <c r="K120" s="11" t="inlineStr">
        <is>
          <t>中间分位</t>
        </is>
      </c>
      <c r="L120" s="11" t="n">
        <v>62</v>
      </c>
      <c r="M120" s="11" t="inlineStr">
        <is>
          <t>Contango(远强)</t>
        </is>
      </c>
      <c r="N120" s="11" t="n">
        <v>1</v>
      </c>
      <c r="O120" s="11" t="n">
        <v>0</v>
      </c>
      <c r="P120" s="12" t="n">
        <v>-71</v>
      </c>
      <c r="Q120" s="11" t="inlineStr"/>
    </row>
    <row r="121">
      <c r="A121" s="6" t="inlineStr">
        <is>
          <t>2023-02-15</t>
        </is>
      </c>
      <c r="B121" s="6" t="inlineStr">
        <is>
          <t>MA2305</t>
        </is>
      </c>
      <c r="C121" s="6" t="inlineStr">
        <is>
          <t>2023-05</t>
        </is>
      </c>
      <c r="D121" s="7" t="n">
        <v>2691.43</v>
      </c>
      <c r="E121" s="7" t="n">
        <v>2554</v>
      </c>
      <c r="F121" s="7">
        <f>D121-E121</f>
        <v/>
      </c>
      <c r="G121" s="8">
        <f>IF(D121=0,"",(D121-E121)/D121)</f>
        <v/>
      </c>
      <c r="H121" s="9" t="n">
        <v>1311908</v>
      </c>
      <c r="I121" s="10" t="n">
        <v>0.6637999999999999</v>
      </c>
      <c r="J121" s="10">
        <f>IF(COUNT(G-129:G120)&lt;20,"",IF(COUNTIF(G-129:G120,"&lt;"&amp;G121)&gt;=COUNT(G-129:G120),(COUNT(G-129:G120)-0.5)/COUNT(G-129:G120),IF(COUNTIF(G-129:G120,G121)&gt;0,(COUNTIF(G-129:G120,"&lt;"&amp;G121)+0.5*COUNTIF(G-129:G120,G121))/COUNT(G-129:G120),COUNTIF(G-129:G120,"&lt;"&amp;G121)/COUNT(G-129:G120))))</f>
        <v/>
      </c>
      <c r="K121" s="6" t="inlineStr">
        <is>
          <t>中间分位</t>
        </is>
      </c>
      <c r="L121" s="6" t="n">
        <v>61</v>
      </c>
      <c r="M121" s="6" t="inlineStr">
        <is>
          <t>Contango(远强)</t>
        </is>
      </c>
      <c r="N121" s="6" t="n">
        <v>1</v>
      </c>
      <c r="O121" s="6" t="n">
        <v>0</v>
      </c>
      <c r="P121" s="7" t="n">
        <v>-71</v>
      </c>
      <c r="Q121" s="6" t="inlineStr"/>
    </row>
    <row r="122">
      <c r="A122" s="11" t="inlineStr">
        <is>
          <t>2023-02-16</t>
        </is>
      </c>
      <c r="B122" s="11" t="inlineStr">
        <is>
          <t>MA2305</t>
        </is>
      </c>
      <c r="C122" s="11" t="inlineStr">
        <is>
          <t>2023-05</t>
        </is>
      </c>
      <c r="D122" s="12" t="n">
        <v>2695.71</v>
      </c>
      <c r="E122" s="12" t="n">
        <v>2569</v>
      </c>
      <c r="F122" s="12">
        <f>D122-E122</f>
        <v/>
      </c>
      <c r="G122" s="13">
        <f>IF(D122=0,"",(D122-E122)/D122)</f>
        <v/>
      </c>
      <c r="H122" s="14" t="n">
        <v>1252641</v>
      </c>
      <c r="I122" s="15" t="n">
        <v>0.6068</v>
      </c>
      <c r="J122" s="15">
        <f>IF(COUNT(G-128:G121)&lt;20,"",IF(COUNTIF(G-128:G121,"&lt;"&amp;G122)&gt;=COUNT(G-128:G121),(COUNT(G-128:G121)-0.5)/COUNT(G-128:G121),IF(COUNTIF(G-128:G121,G122)&gt;0,(COUNTIF(G-128:G121,"&lt;"&amp;G122)+0.5*COUNTIF(G-128:G121,G122))/COUNT(G-128:G121),COUNTIF(G-128:G121,"&lt;"&amp;G122)/COUNT(G-128:G121))))</f>
        <v/>
      </c>
      <c r="K122" s="11" t="inlineStr">
        <is>
          <t>中间分位</t>
        </is>
      </c>
      <c r="L122" s="11" t="n">
        <v>60</v>
      </c>
      <c r="M122" s="11" t="inlineStr">
        <is>
          <t>Contango(远强)</t>
        </is>
      </c>
      <c r="N122" s="11" t="n">
        <v>1</v>
      </c>
      <c r="O122" s="11" t="n">
        <v>0</v>
      </c>
      <c r="P122" s="12" t="n">
        <v>-74</v>
      </c>
      <c r="Q122" s="11" t="inlineStr"/>
    </row>
    <row r="123">
      <c r="A123" s="6" t="inlineStr">
        <is>
          <t>2023-02-17</t>
        </is>
      </c>
      <c r="B123" s="6" t="inlineStr">
        <is>
          <t>MA2305</t>
        </is>
      </c>
      <c r="C123" s="6" t="inlineStr">
        <is>
          <t>2023-05</t>
        </is>
      </c>
      <c r="D123" s="7" t="n">
        <v>2711.43</v>
      </c>
      <c r="E123" s="7" t="n">
        <v>2560</v>
      </c>
      <c r="F123" s="7">
        <f>D123-E123</f>
        <v/>
      </c>
      <c r="G123" s="8">
        <f>IF(D123=0,"",(D123-E123)/D123)</f>
        <v/>
      </c>
      <c r="H123" s="9" t="n">
        <v>1304811</v>
      </c>
      <c r="I123" s="10" t="n">
        <v>0.7034</v>
      </c>
      <c r="J123" s="10">
        <f>IF(COUNT(G-127:G122)&lt;20,"",IF(COUNTIF(G-127:G122,"&lt;"&amp;G123)&gt;=COUNT(G-127:G122),(COUNT(G-127:G122)-0.5)/COUNT(G-127:G122),IF(COUNTIF(G-127:G122,G123)&gt;0,(COUNTIF(G-127:G122,"&lt;"&amp;G123)+0.5*COUNTIF(G-127:G122,G123))/COUNT(G-127:G122),COUNTIF(G-127:G122,"&lt;"&amp;G123)/COUNT(G-127:G122))))</f>
        <v/>
      </c>
      <c r="K123" s="6" t="inlineStr">
        <is>
          <t>中间分位</t>
        </is>
      </c>
      <c r="L123" s="6" t="n">
        <v>59</v>
      </c>
      <c r="M123" s="6" t="inlineStr">
        <is>
          <t>Contango(远强)</t>
        </is>
      </c>
      <c r="N123" s="6" t="n">
        <v>1</v>
      </c>
      <c r="O123" s="6" t="n">
        <v>0</v>
      </c>
      <c r="P123" s="7" t="n">
        <v>-67</v>
      </c>
      <c r="Q123" s="6" t="inlineStr"/>
    </row>
    <row r="124">
      <c r="A124" s="11" t="inlineStr">
        <is>
          <t>2023-02-20</t>
        </is>
      </c>
      <c r="B124" s="11" t="inlineStr">
        <is>
          <t>MA2305</t>
        </is>
      </c>
      <c r="C124" s="11" t="inlineStr">
        <is>
          <t>2023-05</t>
        </is>
      </c>
      <c r="D124" s="12" t="n">
        <v>2710</v>
      </c>
      <c r="E124" s="12" t="n">
        <v>2569</v>
      </c>
      <c r="F124" s="12">
        <f>D124-E124</f>
        <v/>
      </c>
      <c r="G124" s="13">
        <f>IF(D124=0,"",(D124-E124)/D124)</f>
        <v/>
      </c>
      <c r="H124" s="14" t="n">
        <v>1321474</v>
      </c>
      <c r="I124" s="15" t="n">
        <v>0.6723</v>
      </c>
      <c r="J124" s="15">
        <f>IF(COUNT(G-126:G123)&lt;20,"",IF(COUNTIF(G-126:G123,"&lt;"&amp;G124)&gt;=COUNT(G-126:G123),(COUNT(G-126:G123)-0.5)/COUNT(G-126:G123),IF(COUNTIF(G-126:G123,G124)&gt;0,(COUNTIF(G-126:G123,"&lt;"&amp;G124)+0.5*COUNTIF(G-126:G123,G124))/COUNT(G-126:G123),COUNTIF(G-126:G123,"&lt;"&amp;G124)/COUNT(G-126:G123))))</f>
        <v/>
      </c>
      <c r="K124" s="11" t="inlineStr">
        <is>
          <t>中间分位</t>
        </is>
      </c>
      <c r="L124" s="11" t="n">
        <v>58</v>
      </c>
      <c r="M124" s="11" t="inlineStr">
        <is>
          <t>Contango(远强)</t>
        </is>
      </c>
      <c r="N124" s="11" t="n">
        <v>1</v>
      </c>
      <c r="O124" s="11" t="n">
        <v>0</v>
      </c>
      <c r="P124" s="12" t="n">
        <v>-73</v>
      </c>
      <c r="Q124" s="11" t="inlineStr"/>
    </row>
    <row r="125">
      <c r="A125" s="6" t="inlineStr">
        <is>
          <t>2023-02-21</t>
        </is>
      </c>
      <c r="B125" s="6" t="inlineStr">
        <is>
          <t>MA2305</t>
        </is>
      </c>
      <c r="C125" s="6" t="inlineStr">
        <is>
          <t>2023-05</t>
        </is>
      </c>
      <c r="D125" s="7" t="n">
        <v>2690</v>
      </c>
      <c r="E125" s="7" t="n">
        <v>2604</v>
      </c>
      <c r="F125" s="7">
        <f>D125-E125</f>
        <v/>
      </c>
      <c r="G125" s="8">
        <f>IF(D125=0,"",(D125-E125)/D125)</f>
        <v/>
      </c>
      <c r="H125" s="9" t="n">
        <v>1262368</v>
      </c>
      <c r="I125" s="10" t="n">
        <v>0.4583</v>
      </c>
      <c r="J125" s="10">
        <f>IF(COUNT(G-125:G124)&lt;20,"",IF(COUNTIF(G-125:G124,"&lt;"&amp;G125)&gt;=COUNT(G-125:G124),(COUNT(G-125:G124)-0.5)/COUNT(G-125:G124),IF(COUNTIF(G-125:G124,G125)&gt;0,(COUNTIF(G-125:G124,"&lt;"&amp;G125)+0.5*COUNTIF(G-125:G124,G125))/COUNT(G-125:G124),COUNTIF(G-125:G124,"&lt;"&amp;G125)/COUNT(G-125:G124))))</f>
        <v/>
      </c>
      <c r="K125" s="6" t="inlineStr">
        <is>
          <t>中间分位</t>
        </is>
      </c>
      <c r="L125" s="6" t="n">
        <v>57</v>
      </c>
      <c r="M125" s="6" t="inlineStr">
        <is>
          <t>Contango(远强)</t>
        </is>
      </c>
      <c r="N125" s="6" t="n">
        <v>1</v>
      </c>
      <c r="O125" s="6" t="n">
        <v>0</v>
      </c>
      <c r="P125" s="7" t="n">
        <v>-67</v>
      </c>
      <c r="Q125" s="6" t="inlineStr"/>
    </row>
    <row r="126">
      <c r="A126" s="11" t="inlineStr">
        <is>
          <t>2023-02-22</t>
        </is>
      </c>
      <c r="B126" s="11" t="inlineStr">
        <is>
          <t>MA2305</t>
        </is>
      </c>
      <c r="C126" s="11" t="inlineStr">
        <is>
          <t>2023-05</t>
        </is>
      </c>
      <c r="D126" s="12" t="n">
        <v>2714.29</v>
      </c>
      <c r="E126" s="12" t="n">
        <v>2616</v>
      </c>
      <c r="F126" s="12">
        <f>D126-E126</f>
        <v/>
      </c>
      <c r="G126" s="13">
        <f>IF(D126=0,"",(D126-E126)/D126)</f>
        <v/>
      </c>
      <c r="H126" s="14" t="n">
        <v>1260815</v>
      </c>
      <c r="I126" s="15" t="n">
        <v>0.5207000000000001</v>
      </c>
      <c r="J126" s="15">
        <f>IF(COUNT(G-124:G125)&lt;20,"",IF(COUNTIF(G-124:G125,"&lt;"&amp;G126)&gt;=COUNT(G-124:G125),(COUNT(G-124:G125)-0.5)/COUNT(G-124:G125),IF(COUNTIF(G-124:G125,G126)&gt;0,(COUNTIF(G-124:G125,"&lt;"&amp;G126)+0.5*COUNTIF(G-124:G125,G126))/COUNT(G-124:G125),COUNTIF(G-124:G125,"&lt;"&amp;G126)/COUNT(G-124:G125))))</f>
        <v/>
      </c>
      <c r="K126" s="11" t="inlineStr">
        <is>
          <t>中间分位</t>
        </is>
      </c>
      <c r="L126" s="11" t="n">
        <v>56</v>
      </c>
      <c r="M126" s="11" t="inlineStr">
        <is>
          <t>Contango(远强)</t>
        </is>
      </c>
      <c r="N126" s="11" t="n">
        <v>1</v>
      </c>
      <c r="O126" s="11" t="n">
        <v>0</v>
      </c>
      <c r="P126" s="12" t="n">
        <v>-66</v>
      </c>
      <c r="Q126" s="11" t="inlineStr"/>
    </row>
    <row r="127">
      <c r="A127" s="6" t="inlineStr">
        <is>
          <t>2023-02-23</t>
        </is>
      </c>
      <c r="B127" s="6" t="inlineStr">
        <is>
          <t>MA2305</t>
        </is>
      </c>
      <c r="C127" s="6" t="inlineStr">
        <is>
          <t>2023-05</t>
        </is>
      </c>
      <c r="D127" s="7" t="n">
        <v>2717.14</v>
      </c>
      <c r="E127" s="7" t="n">
        <v>2659</v>
      </c>
      <c r="F127" s="7">
        <f>D127-E127</f>
        <v/>
      </c>
      <c r="G127" s="8">
        <f>IF(D127=0,"",(D127-E127)/D127)</f>
        <v/>
      </c>
      <c r="H127" s="9" t="n">
        <v>1407842</v>
      </c>
      <c r="I127" s="10" t="n">
        <v>0.3607</v>
      </c>
      <c r="J127" s="10">
        <f>IF(COUNT(G-123:G126)&lt;20,"",IF(COUNTIF(G-123:G126,"&lt;"&amp;G127)&gt;=COUNT(G-123:G126),(COUNT(G-123:G126)-0.5)/COUNT(G-123:G126),IF(COUNTIF(G-123:G126,G127)&gt;0,(COUNTIF(G-123:G126,"&lt;"&amp;G127)+0.5*COUNTIF(G-123:G126,G127))/COUNT(G-123:G126),COUNTIF(G-123:G126,"&lt;"&amp;G127)/COUNT(G-123:G126))))</f>
        <v/>
      </c>
      <c r="K127" s="6" t="inlineStr">
        <is>
          <t>中间分位</t>
        </is>
      </c>
      <c r="L127" s="6" t="n">
        <v>55</v>
      </c>
      <c r="M127" s="6" t="inlineStr">
        <is>
          <t>结构不明</t>
        </is>
      </c>
      <c r="N127" s="6" t="n">
        <v>1</v>
      </c>
      <c r="O127" s="6" t="n">
        <v>0</v>
      </c>
      <c r="P127" s="7" t="n">
        <v>-56</v>
      </c>
      <c r="Q127" s="6" t="inlineStr"/>
    </row>
    <row r="128">
      <c r="A128" s="11" t="inlineStr">
        <is>
          <t>2023-02-24</t>
        </is>
      </c>
      <c r="B128" s="11" t="inlineStr">
        <is>
          <t>MA2305</t>
        </is>
      </c>
      <c r="C128" s="11" t="inlineStr">
        <is>
          <t>2023-05</t>
        </is>
      </c>
      <c r="D128" s="12" t="n">
        <v>2762.5</v>
      </c>
      <c r="E128" s="12" t="n">
        <v>2671</v>
      </c>
      <c r="F128" s="12">
        <f>D128-E128</f>
        <v/>
      </c>
      <c r="G128" s="13">
        <f>IF(D128=0,"",(D128-E128)/D128)</f>
        <v/>
      </c>
      <c r="H128" s="14" t="n">
        <v>1309528</v>
      </c>
      <c r="I128" s="15" t="n">
        <v>0.4959</v>
      </c>
      <c r="J128" s="15">
        <f>IF(COUNT(G-122:G127)&lt;20,"",IF(COUNTIF(G-122:G127,"&lt;"&amp;G128)&gt;=COUNT(G-122:G127),(COUNT(G-122:G127)-0.5)/COUNT(G-122:G127),IF(COUNTIF(G-122:G127,G128)&gt;0,(COUNTIF(G-122:G127,"&lt;"&amp;G128)+0.5*COUNTIF(G-122:G127,G128))/COUNT(G-122:G127),COUNTIF(G-122:G127,"&lt;"&amp;G128)/COUNT(G-122:G127))))</f>
        <v/>
      </c>
      <c r="K128" s="11" t="inlineStr">
        <is>
          <t>中间分位</t>
        </is>
      </c>
      <c r="L128" s="11" t="n">
        <v>54</v>
      </c>
      <c r="M128" s="11" t="inlineStr">
        <is>
          <t>结构不明</t>
        </is>
      </c>
      <c r="N128" s="11" t="n">
        <v>1</v>
      </c>
      <c r="O128" s="11" t="n">
        <v>0</v>
      </c>
      <c r="P128" s="12" t="n">
        <v>-55</v>
      </c>
      <c r="Q128" s="11" t="inlineStr"/>
    </row>
    <row r="129">
      <c r="A129" s="6" t="inlineStr">
        <is>
          <t>2023-02-27</t>
        </is>
      </c>
      <c r="B129" s="6" t="inlineStr">
        <is>
          <t>MA2305</t>
        </is>
      </c>
      <c r="C129" s="6" t="inlineStr">
        <is>
          <t>2023-05</t>
        </is>
      </c>
      <c r="D129" s="7" t="n">
        <v>2790</v>
      </c>
      <c r="E129" s="7" t="n">
        <v>2652</v>
      </c>
      <c r="F129" s="7">
        <f>D129-E129</f>
        <v/>
      </c>
      <c r="G129" s="8">
        <f>IF(D129=0,"",(D129-E129)/D129)</f>
        <v/>
      </c>
      <c r="H129" s="9" t="n">
        <v>1387674</v>
      </c>
      <c r="I129" s="10" t="n">
        <v>0.6371</v>
      </c>
      <c r="J129" s="10">
        <f>IF(COUNT(G-121:G128)&lt;20,"",IF(COUNTIF(G-121:G128,"&lt;"&amp;G129)&gt;=COUNT(G-121:G128),(COUNT(G-121:G128)-0.5)/COUNT(G-121:G128),IF(COUNTIF(G-121:G128,G129)&gt;0,(COUNTIF(G-121:G128,"&lt;"&amp;G129)+0.5*COUNTIF(G-121:G128,G129))/COUNT(G-121:G128),COUNTIF(G-121:G128,"&lt;"&amp;G129)/COUNT(G-121:G128))))</f>
        <v/>
      </c>
      <c r="K129" s="6" t="inlineStr">
        <is>
          <t>中间分位</t>
        </is>
      </c>
      <c r="L129" s="6" t="n">
        <v>53</v>
      </c>
      <c r="M129" s="6" t="inlineStr">
        <is>
          <t>结构不明</t>
        </is>
      </c>
      <c r="N129" s="6" t="n">
        <v>1</v>
      </c>
      <c r="O129" s="6" t="n">
        <v>0</v>
      </c>
      <c r="P129" s="7" t="n">
        <v>-54</v>
      </c>
      <c r="Q129" s="6" t="inlineStr"/>
    </row>
    <row r="130">
      <c r="A130" s="11" t="inlineStr">
        <is>
          <t>2023-02-28</t>
        </is>
      </c>
      <c r="B130" s="11" t="inlineStr">
        <is>
          <t>MA2305</t>
        </is>
      </c>
      <c r="C130" s="11" t="inlineStr">
        <is>
          <t>2023-05</t>
        </is>
      </c>
      <c r="D130" s="12" t="n">
        <v>2780.83</v>
      </c>
      <c r="E130" s="12" t="n">
        <v>2627</v>
      </c>
      <c r="F130" s="12">
        <f>D130-E130</f>
        <v/>
      </c>
      <c r="G130" s="13">
        <f>IF(D130=0,"",(D130-E130)/D130)</f>
        <v/>
      </c>
      <c r="H130" s="14" t="n">
        <v>1285877</v>
      </c>
      <c r="I130" s="15" t="n">
        <v>0.712</v>
      </c>
      <c r="J130" s="15">
        <f>IF(COUNT(G-120:G129)&lt;20,"",IF(COUNTIF(G-120:G129,"&lt;"&amp;G130)&gt;=COUNT(G-120:G129),(COUNT(G-120:G129)-0.5)/COUNT(G-120:G129),IF(COUNTIF(G-120:G129,G130)&gt;0,(COUNTIF(G-120:G129,"&lt;"&amp;G130)+0.5*COUNTIF(G-120:G129,G130))/COUNT(G-120:G129),COUNTIF(G-120:G129,"&lt;"&amp;G130)/COUNT(G-120:G129))))</f>
        <v/>
      </c>
      <c r="K130" s="11" t="inlineStr">
        <is>
          <t>中间分位</t>
        </is>
      </c>
      <c r="L130" s="11" t="n">
        <v>52</v>
      </c>
      <c r="M130" s="11" t="inlineStr">
        <is>
          <t>结构不明</t>
        </is>
      </c>
      <c r="N130" s="11" t="n">
        <v>1</v>
      </c>
      <c r="O130" s="11" t="n">
        <v>0</v>
      </c>
      <c r="P130" s="12" t="n">
        <v>-53</v>
      </c>
      <c r="Q130" s="11" t="inlineStr"/>
    </row>
    <row r="131">
      <c r="A131" s="6" t="inlineStr">
        <is>
          <t>2023-03-01</t>
        </is>
      </c>
      <c r="B131" s="6" t="inlineStr">
        <is>
          <t>MA2305</t>
        </is>
      </c>
      <c r="C131" s="6" t="inlineStr">
        <is>
          <t>2023-05</t>
        </is>
      </c>
      <c r="D131" s="7" t="n">
        <v>2743.33</v>
      </c>
      <c r="E131" s="7" t="n">
        <v>2634</v>
      </c>
      <c r="F131" s="7">
        <f>D131-E131</f>
        <v/>
      </c>
      <c r="G131" s="8">
        <f>IF(D131=0,"",(D131-E131)/D131)</f>
        <v/>
      </c>
      <c r="H131" s="9" t="n">
        <v>1347040</v>
      </c>
      <c r="I131" s="10" t="n">
        <v>0.5397</v>
      </c>
      <c r="J131" s="10">
        <f>IF(COUNT(G-119:G130)&lt;20,"",IF(COUNTIF(G-119:G130,"&lt;"&amp;G131)&gt;=COUNT(G-119:G130),(COUNT(G-119:G130)-0.5)/COUNT(G-119:G130),IF(COUNTIF(G-119:G130,G131)&gt;0,(COUNTIF(G-119:G130,"&lt;"&amp;G131)+0.5*COUNTIF(G-119:G130,G131))/COUNT(G-119:G130),COUNTIF(G-119:G130,"&lt;"&amp;G131)/COUNT(G-119:G130))))</f>
        <v/>
      </c>
      <c r="K131" s="6" t="inlineStr">
        <is>
          <t>中间分位</t>
        </is>
      </c>
      <c r="L131" s="6" t="n">
        <v>51</v>
      </c>
      <c r="M131" s="6" t="inlineStr">
        <is>
          <t>结构不明</t>
        </is>
      </c>
      <c r="N131" s="6" t="n">
        <v>1</v>
      </c>
      <c r="O131" s="6" t="n">
        <v>0</v>
      </c>
      <c r="P131" s="7" t="n">
        <v>-56</v>
      </c>
      <c r="Q131" s="6" t="inlineStr"/>
    </row>
    <row r="132">
      <c r="A132" s="11" t="inlineStr">
        <is>
          <t>2023-03-02</t>
        </is>
      </c>
      <c r="B132" s="11" t="inlineStr">
        <is>
          <t>MA2305</t>
        </is>
      </c>
      <c r="C132" s="11" t="inlineStr">
        <is>
          <t>2023-05</t>
        </is>
      </c>
      <c r="D132" s="12" t="n">
        <v>2735.83</v>
      </c>
      <c r="E132" s="12" t="n">
        <v>2610</v>
      </c>
      <c r="F132" s="12">
        <f>D132-E132</f>
        <v/>
      </c>
      <c r="G132" s="13">
        <f>IF(D132=0,"",(D132-E132)/D132)</f>
        <v/>
      </c>
      <c r="H132" s="14" t="n">
        <v>1310157</v>
      </c>
      <c r="I132" s="15" t="n">
        <v>0.5984</v>
      </c>
      <c r="J132" s="15">
        <f>IF(COUNT(G-118:G131)&lt;20,"",IF(COUNTIF(G-118:G131,"&lt;"&amp;G132)&gt;=COUNT(G-118:G131),(COUNT(G-118:G131)-0.5)/COUNT(G-118:G131),IF(COUNTIF(G-118:G131,G132)&gt;0,(COUNTIF(G-118:G131,"&lt;"&amp;G132)+0.5*COUNTIF(G-118:G131,G132))/COUNT(G-118:G131),COUNTIF(G-118:G131,"&lt;"&amp;G132)/COUNT(G-118:G131))))</f>
        <v/>
      </c>
      <c r="K132" s="11" t="inlineStr">
        <is>
          <t>中间分位</t>
        </is>
      </c>
      <c r="L132" s="11" t="n">
        <v>50</v>
      </c>
      <c r="M132" s="11" t="inlineStr">
        <is>
          <t>Contango(远强)</t>
        </is>
      </c>
      <c r="N132" s="11" t="n">
        <v>1</v>
      </c>
      <c r="O132" s="11" t="n">
        <v>0</v>
      </c>
      <c r="P132" s="12" t="n">
        <v>-80</v>
      </c>
      <c r="Q132" s="11" t="inlineStr"/>
    </row>
    <row r="133">
      <c r="A133" s="6" t="inlineStr">
        <is>
          <t>2023-03-03</t>
        </is>
      </c>
      <c r="B133" s="6" t="inlineStr">
        <is>
          <t>MA2305</t>
        </is>
      </c>
      <c r="C133" s="6" t="inlineStr">
        <is>
          <t>2023-05</t>
        </is>
      </c>
      <c r="D133" s="7" t="n">
        <v>2701.67</v>
      </c>
      <c r="E133" s="7" t="n">
        <v>2608</v>
      </c>
      <c r="F133" s="7">
        <f>D133-E133</f>
        <v/>
      </c>
      <c r="G133" s="8">
        <f>IF(D133=0,"",(D133-E133)/D133)</f>
        <v/>
      </c>
      <c r="H133" s="9" t="n">
        <v>1418568</v>
      </c>
      <c r="I133" s="10" t="n">
        <v>0.5</v>
      </c>
      <c r="J133" s="10">
        <f>IF(COUNT(G-117:G132)&lt;20,"",IF(COUNTIF(G-117:G132,"&lt;"&amp;G133)&gt;=COUNT(G-117:G132),(COUNT(G-117:G132)-0.5)/COUNT(G-117:G132),IF(COUNTIF(G-117:G132,G133)&gt;0,(COUNTIF(G-117:G132,"&lt;"&amp;G133)+0.5*COUNTIF(G-117:G132,G133))/COUNT(G-117:G132),COUNTIF(G-117:G132,"&lt;"&amp;G133)/COUNT(G-117:G132))))</f>
        <v/>
      </c>
      <c r="K133" s="6" t="inlineStr">
        <is>
          <t>中间分位</t>
        </is>
      </c>
      <c r="L133" s="6" t="n">
        <v>49</v>
      </c>
      <c r="M133" s="6" t="inlineStr">
        <is>
          <t>Back(近强)</t>
        </is>
      </c>
      <c r="N133" s="6" t="n">
        <v>1</v>
      </c>
      <c r="O133" s="6" t="n">
        <v>0</v>
      </c>
      <c r="P133" s="7" t="n">
        <v>-22</v>
      </c>
      <c r="Q133" s="6" t="inlineStr"/>
    </row>
    <row r="134">
      <c r="A134" s="11" t="inlineStr">
        <is>
          <t>2023-03-06</t>
        </is>
      </c>
      <c r="B134" s="11" t="inlineStr">
        <is>
          <t>MA2305</t>
        </is>
      </c>
      <c r="C134" s="11" t="inlineStr">
        <is>
          <t>2023-05</t>
        </is>
      </c>
      <c r="D134" s="12" t="n">
        <v>2693.33</v>
      </c>
      <c r="E134" s="12" t="n">
        <v>2602</v>
      </c>
      <c r="F134" s="12">
        <f>D134-E134</f>
        <v/>
      </c>
      <c r="G134" s="13">
        <f>IF(D134=0,"",(D134-E134)/D134)</f>
        <v/>
      </c>
      <c r="H134" s="14" t="n">
        <v>1338419</v>
      </c>
      <c r="I134" s="15" t="n">
        <v>0.4806</v>
      </c>
      <c r="J134" s="15">
        <f>IF(COUNT(G-116:G133)&lt;20,"",IF(COUNTIF(G-116:G133,"&lt;"&amp;G134)&gt;=COUNT(G-116:G133),(COUNT(G-116:G133)-0.5)/COUNT(G-116:G133),IF(COUNTIF(G-116:G133,G134)&gt;0,(COUNTIF(G-116:G133,"&lt;"&amp;G134)+0.5*COUNTIF(G-116:G133,G134))/COUNT(G-116:G133),COUNTIF(G-116:G133,"&lt;"&amp;G134)/COUNT(G-116:G133))))</f>
        <v/>
      </c>
      <c r="K134" s="11" t="inlineStr">
        <is>
          <t>中间分位</t>
        </is>
      </c>
      <c r="L134" s="11" t="n">
        <v>48</v>
      </c>
      <c r="M134" s="11" t="inlineStr">
        <is>
          <t>结构不明</t>
        </is>
      </c>
      <c r="N134" s="11" t="n">
        <v>1</v>
      </c>
      <c r="O134" s="11" t="n">
        <v>0</v>
      </c>
      <c r="P134" s="12" t="n">
        <v>-41</v>
      </c>
      <c r="Q134" s="11" t="inlineStr"/>
    </row>
    <row r="135">
      <c r="A135" s="6" t="inlineStr">
        <is>
          <t>2023-03-07</t>
        </is>
      </c>
      <c r="B135" s="6" t="inlineStr">
        <is>
          <t>MA2305</t>
        </is>
      </c>
      <c r="C135" s="6" t="inlineStr">
        <is>
          <t>2023-05</t>
        </is>
      </c>
      <c r="D135" s="7" t="n">
        <v>2676.67</v>
      </c>
      <c r="E135" s="7" t="n">
        <v>2615</v>
      </c>
      <c r="F135" s="7">
        <f>D135-E135</f>
        <v/>
      </c>
      <c r="G135" s="8">
        <f>IF(D135=0,"",(D135-E135)/D135)</f>
        <v/>
      </c>
      <c r="H135" s="9" t="n">
        <v>1291349</v>
      </c>
      <c r="I135" s="10" t="n">
        <v>0.3538</v>
      </c>
      <c r="J135" s="10">
        <f>IF(COUNT(G-115:G134)&lt;20,"",IF(COUNTIF(G-115:G134,"&lt;"&amp;G135)&gt;=COUNT(G-115:G134),(COUNT(G-115:G134)-0.5)/COUNT(G-115:G134),IF(COUNTIF(G-115:G134,G135)&gt;0,(COUNTIF(G-115:G134,"&lt;"&amp;G135)+0.5*COUNTIF(G-115:G134,G135))/COUNT(G-115:G134),COUNTIF(G-115:G134,"&lt;"&amp;G135)/COUNT(G-115:G134))))</f>
        <v/>
      </c>
      <c r="K135" s="6" t="inlineStr">
        <is>
          <t>中间分位</t>
        </is>
      </c>
      <c r="L135" s="6" t="n">
        <v>47</v>
      </c>
      <c r="M135" s="6" t="inlineStr">
        <is>
          <t>Back(近强)</t>
        </is>
      </c>
      <c r="N135" s="6" t="n">
        <v>1</v>
      </c>
      <c r="O135" s="6" t="n">
        <v>0</v>
      </c>
      <c r="P135" s="7" t="n">
        <v>-13</v>
      </c>
      <c r="Q135" s="6" t="inlineStr"/>
    </row>
    <row r="136">
      <c r="A136" s="11" t="inlineStr">
        <is>
          <t>2023-03-08</t>
        </is>
      </c>
      <c r="B136" s="11" t="inlineStr">
        <is>
          <t>MA2305</t>
        </is>
      </c>
      <c r="C136" s="11" t="inlineStr">
        <is>
          <t>2023-05</t>
        </is>
      </c>
      <c r="D136" s="12" t="n">
        <v>2680.83</v>
      </c>
      <c r="E136" s="12" t="n">
        <v>2576</v>
      </c>
      <c r="F136" s="12">
        <f>D136-E136</f>
        <v/>
      </c>
      <c r="G136" s="13">
        <f>IF(D136=0,"",(D136-E136)/D136)</f>
        <v/>
      </c>
      <c r="H136" s="14" t="n">
        <v>1398068</v>
      </c>
      <c r="I136" s="15" t="n">
        <v>0.542</v>
      </c>
      <c r="J136" s="15">
        <f>IF(COUNT(G-114:G135)&lt;20,"",IF(COUNTIF(G-114:G135,"&lt;"&amp;G136)&gt;=COUNT(G-114:G135),(COUNT(G-114:G135)-0.5)/COUNT(G-114:G135),IF(COUNTIF(G-114:G135,G136)&gt;0,(COUNTIF(G-114:G135,"&lt;"&amp;G136)+0.5*COUNTIF(G-114:G135,G136))/COUNT(G-114:G135),COUNTIF(G-114:G135,"&lt;"&amp;G136)/COUNT(G-114:G135))))</f>
        <v/>
      </c>
      <c r="K136" s="11" t="inlineStr">
        <is>
          <t>中间分位</t>
        </is>
      </c>
      <c r="L136" s="11" t="n">
        <v>46</v>
      </c>
      <c r="M136" s="11" t="inlineStr">
        <is>
          <t>Back(近强)</t>
        </is>
      </c>
      <c r="N136" s="11" t="n">
        <v>1</v>
      </c>
      <c r="O136" s="11" t="n">
        <v>0</v>
      </c>
      <c r="P136" s="12" t="n">
        <v>-16</v>
      </c>
      <c r="Q136" s="11" t="inlineStr"/>
    </row>
    <row r="137">
      <c r="A137" s="6" t="inlineStr">
        <is>
          <t>2023-03-09</t>
        </is>
      </c>
      <c r="B137" s="6" t="inlineStr">
        <is>
          <t>MA2305</t>
        </is>
      </c>
      <c r="C137" s="6" t="inlineStr">
        <is>
          <t>2023-05</t>
        </is>
      </c>
      <c r="D137" s="7" t="n">
        <v>2645.83</v>
      </c>
      <c r="E137" s="7" t="n">
        <v>2575</v>
      </c>
      <c r="F137" s="7">
        <f>D137-E137</f>
        <v/>
      </c>
      <c r="G137" s="8">
        <f>IF(D137=0,"",(D137-E137)/D137)</f>
        <v/>
      </c>
      <c r="H137" s="9" t="n">
        <v>1279982</v>
      </c>
      <c r="I137" s="10" t="n">
        <v>0.4091</v>
      </c>
      <c r="J137" s="10">
        <f>IF(COUNT(G-113:G136)&lt;20,"",IF(COUNTIF(G-113:G136,"&lt;"&amp;G137)&gt;=COUNT(G-113:G136),(COUNT(G-113:G136)-0.5)/COUNT(G-113:G136),IF(COUNTIF(G-113:G136,G137)&gt;0,(COUNTIF(G-113:G136,"&lt;"&amp;G137)+0.5*COUNTIF(G-113:G136,G137))/COUNT(G-113:G136),COUNTIF(G-113:G136,"&lt;"&amp;G137)/COUNT(G-113:G136))))</f>
        <v/>
      </c>
      <c r="K137" s="6" t="inlineStr">
        <is>
          <t>中间分位</t>
        </is>
      </c>
      <c r="L137" s="6" t="n">
        <v>45</v>
      </c>
      <c r="M137" s="6" t="inlineStr">
        <is>
          <t>结构不明</t>
        </is>
      </c>
      <c r="N137" s="6" t="n">
        <v>1</v>
      </c>
      <c r="O137" s="6" t="n">
        <v>0</v>
      </c>
      <c r="P137" s="7" t="n">
        <v>-58</v>
      </c>
      <c r="Q137" s="6" t="inlineStr"/>
    </row>
    <row r="138">
      <c r="A138" s="11" t="inlineStr">
        <is>
          <t>2023-03-10</t>
        </is>
      </c>
      <c r="B138" s="11" t="inlineStr">
        <is>
          <t>MA2305</t>
        </is>
      </c>
      <c r="C138" s="11" t="inlineStr">
        <is>
          <t>2023-05</t>
        </is>
      </c>
      <c r="D138" s="12" t="n">
        <v>2638.33</v>
      </c>
      <c r="E138" s="12" t="n">
        <v>2541</v>
      </c>
      <c r="F138" s="12">
        <f>D138-E138</f>
        <v/>
      </c>
      <c r="G138" s="13">
        <f>IF(D138=0,"",(D138-E138)/D138)</f>
        <v/>
      </c>
      <c r="H138" s="14" t="n">
        <v>1379951</v>
      </c>
      <c r="I138" s="15" t="n">
        <v>0.5263</v>
      </c>
      <c r="J138" s="15">
        <f>IF(COUNT(G-112:G137)&lt;20,"",IF(COUNTIF(G-112:G137,"&lt;"&amp;G138)&gt;=COUNT(G-112:G137),(COUNT(G-112:G137)-0.5)/COUNT(G-112:G137),IF(COUNTIF(G-112:G137,G138)&gt;0,(COUNTIF(G-112:G137,"&lt;"&amp;G138)+0.5*COUNTIF(G-112:G137,G138))/COUNT(G-112:G137),COUNTIF(G-112:G137,"&lt;"&amp;G138)/COUNT(G-112:G137))))</f>
        <v/>
      </c>
      <c r="K138" s="11" t="inlineStr">
        <is>
          <t>中间分位</t>
        </is>
      </c>
      <c r="L138" s="11" t="n">
        <v>44</v>
      </c>
      <c r="M138" s="11" t="inlineStr">
        <is>
          <t>Back(近强)</t>
        </is>
      </c>
      <c r="N138" s="11" t="n">
        <v>1</v>
      </c>
      <c r="O138" s="11" t="n">
        <v>0</v>
      </c>
      <c r="P138" s="12" t="n">
        <v>-17</v>
      </c>
      <c r="Q138" s="11" t="inlineStr"/>
    </row>
    <row r="139">
      <c r="A139" s="6" t="inlineStr">
        <is>
          <t>2023-03-13</t>
        </is>
      </c>
      <c r="B139" s="6" t="inlineStr">
        <is>
          <t>MA2305</t>
        </is>
      </c>
      <c r="C139" s="6" t="inlineStr">
        <is>
          <t>2023-05</t>
        </is>
      </c>
      <c r="D139" s="7" t="n">
        <v>2620.83</v>
      </c>
      <c r="E139" s="7" t="n">
        <v>2580</v>
      </c>
      <c r="F139" s="7">
        <f>D139-E139</f>
        <v/>
      </c>
      <c r="G139" s="8">
        <f>IF(D139=0,"",(D139-E139)/D139)</f>
        <v/>
      </c>
      <c r="H139" s="9" t="n">
        <v>1310092</v>
      </c>
      <c r="I139" s="10" t="n">
        <v>0.2761</v>
      </c>
      <c r="J139" s="10">
        <f>IF(COUNT(G-111:G138)&lt;20,"",IF(COUNTIF(G-111:G138,"&lt;"&amp;G139)&gt;=COUNT(G-111:G138),(COUNT(G-111:G138)-0.5)/COUNT(G-111:G138),IF(COUNTIF(G-111:G138,G139)&gt;0,(COUNTIF(G-111:G138,"&lt;"&amp;G139)+0.5*COUNTIF(G-111:G138,G139))/COUNT(G-111:G138),COUNTIF(G-111:G138,"&lt;"&amp;G139)/COUNT(G-111:G138))))</f>
        <v/>
      </c>
      <c r="K139" s="6" t="inlineStr">
        <is>
          <t>中间分位</t>
        </is>
      </c>
      <c r="L139" s="6" t="n">
        <v>43</v>
      </c>
      <c r="M139" s="6" t="inlineStr">
        <is>
          <t>Back(近强)</t>
        </is>
      </c>
      <c r="N139" s="6" t="n">
        <v>1</v>
      </c>
      <c r="O139" s="6" t="n">
        <v>0</v>
      </c>
      <c r="P139" s="7" t="n">
        <v>-16</v>
      </c>
      <c r="Q139" s="6" t="inlineStr"/>
    </row>
    <row r="140">
      <c r="A140" s="11" t="inlineStr">
        <is>
          <t>2023-03-14</t>
        </is>
      </c>
      <c r="B140" s="11" t="inlineStr">
        <is>
          <t>MA2305</t>
        </is>
      </c>
      <c r="C140" s="11" t="inlineStr">
        <is>
          <t>2023-05</t>
        </is>
      </c>
      <c r="D140" s="12" t="n">
        <v>2647.5</v>
      </c>
      <c r="E140" s="12" t="n">
        <v>2576</v>
      </c>
      <c r="F140" s="12">
        <f>D140-E140</f>
        <v/>
      </c>
      <c r="G140" s="13">
        <f>IF(D140=0,"",(D140-E140)/D140)</f>
        <v/>
      </c>
      <c r="H140" s="14" t="n">
        <v>1351433</v>
      </c>
      <c r="I140" s="15" t="n">
        <v>0.4148</v>
      </c>
      <c r="J140" s="15">
        <f>IF(COUNT(G-110:G139)&lt;20,"",IF(COUNTIF(G-110:G139,"&lt;"&amp;G140)&gt;=COUNT(G-110:G139),(COUNT(G-110:G139)-0.5)/COUNT(G-110:G139),IF(COUNTIF(G-110:G139,G140)&gt;0,(COUNTIF(G-110:G139,"&lt;"&amp;G140)+0.5*COUNTIF(G-110:G139,G140))/COUNT(G-110:G139),COUNTIF(G-110:G139,"&lt;"&amp;G140)/COUNT(G-110:G139))))</f>
        <v/>
      </c>
      <c r="K140" s="11" t="inlineStr">
        <is>
          <t>中间分位</t>
        </is>
      </c>
      <c r="L140" s="11" t="n">
        <v>42</v>
      </c>
      <c r="M140" s="11" t="inlineStr">
        <is>
          <t>Back(近强)</t>
        </is>
      </c>
      <c r="N140" s="11" t="n">
        <v>1</v>
      </c>
      <c r="O140" s="11" t="n">
        <v>0</v>
      </c>
      <c r="P140" s="12" t="n">
        <v>-14</v>
      </c>
      <c r="Q140" s="11" t="inlineStr"/>
    </row>
    <row r="141">
      <c r="A141" s="6" t="inlineStr">
        <is>
          <t>2023-03-15</t>
        </is>
      </c>
      <c r="B141" s="6" t="inlineStr">
        <is>
          <t>MA2305</t>
        </is>
      </c>
      <c r="C141" s="6" t="inlineStr">
        <is>
          <t>2023-05</t>
        </is>
      </c>
      <c r="D141" s="7" t="n">
        <v>2640</v>
      </c>
      <c r="E141" s="7" t="n">
        <v>2554</v>
      </c>
      <c r="F141" s="7">
        <f>D141-E141</f>
        <v/>
      </c>
      <c r="G141" s="8">
        <f>IF(D141=0,"",(D141-E141)/D141)</f>
        <v/>
      </c>
      <c r="H141" s="9" t="n">
        <v>1278937</v>
      </c>
      <c r="I141" s="10" t="n">
        <v>0.4632</v>
      </c>
      <c r="J141" s="10">
        <f>IF(COUNT(G-109:G140)&lt;20,"",IF(COUNTIF(G-109:G140,"&lt;"&amp;G141)&gt;=COUNT(G-109:G140),(COUNT(G-109:G140)-0.5)/COUNT(G-109:G140),IF(COUNTIF(G-109:G140,G141)&gt;0,(COUNTIF(G-109:G140,"&lt;"&amp;G141)+0.5*COUNTIF(G-109:G140,G141))/COUNT(G-109:G140),COUNTIF(G-109:G140,"&lt;"&amp;G141)/COUNT(G-109:G140))))</f>
        <v/>
      </c>
      <c r="K141" s="6" t="inlineStr">
        <is>
          <t>中间分位</t>
        </is>
      </c>
      <c r="L141" s="6" t="n">
        <v>41</v>
      </c>
      <c r="M141" s="6" t="inlineStr">
        <is>
          <t>Back(近强)</t>
        </is>
      </c>
      <c r="N141" s="6" t="n">
        <v>1</v>
      </c>
      <c r="O141" s="6" t="n">
        <v>0</v>
      </c>
      <c r="P141" s="7" t="n">
        <v>-40</v>
      </c>
      <c r="Q141" s="6" t="inlineStr"/>
    </row>
    <row r="142">
      <c r="A142" s="11" t="inlineStr">
        <is>
          <t>2023-03-16</t>
        </is>
      </c>
      <c r="B142" s="11" t="inlineStr">
        <is>
          <t>MA2305</t>
        </is>
      </c>
      <c r="C142" s="11" t="inlineStr">
        <is>
          <t>2023-05</t>
        </is>
      </c>
      <c r="D142" s="12" t="n">
        <v>2629.17</v>
      </c>
      <c r="E142" s="12" t="n">
        <v>2471</v>
      </c>
      <c r="F142" s="12">
        <f>D142-E142</f>
        <v/>
      </c>
      <c r="G142" s="13">
        <f>IF(D142=0,"",(D142-E142)/D142)</f>
        <v/>
      </c>
      <c r="H142" s="14" t="n">
        <v>1392634</v>
      </c>
      <c r="I142" s="15" t="n">
        <v>0.7664</v>
      </c>
      <c r="J142" s="15">
        <f>IF(COUNT(G-108:G141)&lt;20,"",IF(COUNTIF(G-108:G141,"&lt;"&amp;G142)&gt;=COUNT(G-108:G141),(COUNT(G-108:G141)-0.5)/COUNT(G-108:G141),IF(COUNTIF(G-108:G141,G142)&gt;0,(COUNTIF(G-108:G141,"&lt;"&amp;G142)+0.5*COUNTIF(G-108:G141,G142))/COUNT(G-108:G141),COUNTIF(G-108:G141,"&lt;"&amp;G142)/COUNT(G-108:G141))))</f>
        <v/>
      </c>
      <c r="K142" s="11" t="inlineStr">
        <is>
          <t>中间分位</t>
        </is>
      </c>
      <c r="L142" s="11" t="n">
        <v>40</v>
      </c>
      <c r="M142" s="11" t="inlineStr">
        <is>
          <t>Back(近强)</t>
        </is>
      </c>
      <c r="N142" s="11" t="n">
        <v>1</v>
      </c>
      <c r="O142" s="11" t="n">
        <v>0</v>
      </c>
      <c r="P142" s="12" t="n">
        <v>-32</v>
      </c>
      <c r="Q142" s="11" t="inlineStr"/>
    </row>
    <row r="143">
      <c r="A143" s="6" t="inlineStr">
        <is>
          <t>2023-03-17</t>
        </is>
      </c>
      <c r="B143" s="6" t="inlineStr">
        <is>
          <t>MA2305</t>
        </is>
      </c>
      <c r="C143" s="6" t="inlineStr">
        <is>
          <t>2023-05</t>
        </is>
      </c>
      <c r="D143" s="7" t="n">
        <v>2575.83</v>
      </c>
      <c r="E143" s="7" t="n">
        <v>2507</v>
      </c>
      <c r="F143" s="7">
        <f>D143-E143</f>
        <v/>
      </c>
      <c r="G143" s="8">
        <f>IF(D143=0,"",(D143-E143)/D143)</f>
        <v/>
      </c>
      <c r="H143" s="9" t="n">
        <v>1299548</v>
      </c>
      <c r="I143" s="10" t="n">
        <v>0.3913</v>
      </c>
      <c r="J143" s="10">
        <f>IF(COUNT(G-107:G142)&lt;20,"",IF(COUNTIF(G-107:G142,"&lt;"&amp;G143)&gt;=COUNT(G-107:G142),(COUNT(G-107:G142)-0.5)/COUNT(G-107:G142),IF(COUNTIF(G-107:G142,G143)&gt;0,(COUNTIF(G-107:G142,"&lt;"&amp;G143)+0.5*COUNTIF(G-107:G142,G143))/COUNT(G-107:G142),COUNTIF(G-107:G142,"&lt;"&amp;G143)/COUNT(G-107:G142))))</f>
        <v/>
      </c>
      <c r="K143" s="6" t="inlineStr">
        <is>
          <t>中间分位</t>
        </is>
      </c>
      <c r="L143" s="6" t="n">
        <v>39</v>
      </c>
      <c r="M143" s="6" t="inlineStr">
        <is>
          <t>Back(近强)</t>
        </is>
      </c>
      <c r="N143" s="6" t="n">
        <v>1</v>
      </c>
      <c r="O143" s="6" t="n">
        <v>0</v>
      </c>
      <c r="P143" s="7" t="n">
        <v>-23</v>
      </c>
      <c r="Q143" s="6" t="inlineStr"/>
    </row>
    <row r="144">
      <c r="A144" s="11" t="inlineStr">
        <is>
          <t>2023-03-20</t>
        </is>
      </c>
      <c r="B144" s="11" t="inlineStr">
        <is>
          <t>MA2305</t>
        </is>
      </c>
      <c r="C144" s="11" t="inlineStr">
        <is>
          <t>2023-05</t>
        </is>
      </c>
      <c r="D144" s="12" t="n">
        <v>2611.67</v>
      </c>
      <c r="E144" s="12" t="n">
        <v>2520</v>
      </c>
      <c r="F144" s="12">
        <f>D144-E144</f>
        <v/>
      </c>
      <c r="G144" s="13">
        <f>IF(D144=0,"",(D144-E144)/D144)</f>
        <v/>
      </c>
      <c r="H144" s="14" t="n">
        <v>1295247</v>
      </c>
      <c r="I144" s="15" t="n">
        <v>0.518</v>
      </c>
      <c r="J144" s="15">
        <f>IF(COUNT(G-106:G143)&lt;20,"",IF(COUNTIF(G-106:G143,"&lt;"&amp;G144)&gt;=COUNT(G-106:G143),(COUNT(G-106:G143)-0.5)/COUNT(G-106:G143),IF(COUNTIF(G-106:G143,G144)&gt;0,(COUNTIF(G-106:G143,"&lt;"&amp;G144)+0.5*COUNTIF(G-106:G143,G144))/COUNT(G-106:G143),COUNTIF(G-106:G143,"&lt;"&amp;G144)/COUNT(G-106:G143))))</f>
        <v/>
      </c>
      <c r="K144" s="11" t="inlineStr">
        <is>
          <t>中间分位</t>
        </is>
      </c>
      <c r="L144" s="11" t="n">
        <v>38</v>
      </c>
      <c r="M144" s="11" t="inlineStr">
        <is>
          <t>Back(近强)</t>
        </is>
      </c>
      <c r="N144" s="11" t="n">
        <v>1</v>
      </c>
      <c r="O144" s="11" t="n">
        <v>0</v>
      </c>
      <c r="P144" s="12" t="n">
        <v>-32</v>
      </c>
      <c r="Q144" s="11" t="inlineStr"/>
    </row>
    <row r="145">
      <c r="A145" s="6" t="inlineStr">
        <is>
          <t>2023-03-21</t>
        </is>
      </c>
      <c r="B145" s="6" t="inlineStr">
        <is>
          <t>MA2305</t>
        </is>
      </c>
      <c r="C145" s="6" t="inlineStr">
        <is>
          <t>2023-05</t>
        </is>
      </c>
      <c r="D145" s="7" t="n">
        <v>2618.33</v>
      </c>
      <c r="E145" s="7" t="n">
        <v>2496</v>
      </c>
      <c r="F145" s="7">
        <f>D145-E145</f>
        <v/>
      </c>
      <c r="G145" s="8">
        <f>IF(D145=0,"",(D145-E145)/D145)</f>
        <v/>
      </c>
      <c r="H145" s="9" t="n">
        <v>1256435</v>
      </c>
      <c r="I145" s="10" t="n">
        <v>0.6286</v>
      </c>
      <c r="J145" s="10">
        <f>IF(COUNT(G-105:G144)&lt;20,"",IF(COUNTIF(G-105:G144,"&lt;"&amp;G145)&gt;=COUNT(G-105:G144),(COUNT(G-105:G144)-0.5)/COUNT(G-105:G144),IF(COUNTIF(G-105:G144,G145)&gt;0,(COUNTIF(G-105:G144,"&lt;"&amp;G145)+0.5*COUNTIF(G-105:G144,G145))/COUNT(G-105:G144),COUNTIF(G-105:G144,"&lt;"&amp;G145)/COUNT(G-105:G144))))</f>
        <v/>
      </c>
      <c r="K145" s="6" t="inlineStr">
        <is>
          <t>中间分位</t>
        </is>
      </c>
      <c r="L145" s="6" t="n">
        <v>37</v>
      </c>
      <c r="M145" s="6" t="inlineStr">
        <is>
          <t>Back(近强)</t>
        </is>
      </c>
      <c r="N145" s="6" t="n">
        <v>1</v>
      </c>
      <c r="O145" s="6" t="n">
        <v>0</v>
      </c>
      <c r="P145" s="7" t="n">
        <v>-31</v>
      </c>
      <c r="Q145" s="6" t="inlineStr"/>
    </row>
    <row r="146">
      <c r="A146" s="11" t="inlineStr">
        <is>
          <t>2023-03-22</t>
        </is>
      </c>
      <c r="B146" s="11" t="inlineStr">
        <is>
          <t>MA2305</t>
        </is>
      </c>
      <c r="C146" s="11" t="inlineStr">
        <is>
          <t>2023-05</t>
        </is>
      </c>
      <c r="D146" s="12" t="n">
        <v>2591.67</v>
      </c>
      <c r="E146" s="12" t="n">
        <v>2518</v>
      </c>
      <c r="F146" s="12">
        <f>D146-E146</f>
        <v/>
      </c>
      <c r="G146" s="13">
        <f>IF(D146=0,"",(D146-E146)/D146)</f>
        <v/>
      </c>
      <c r="H146" s="14" t="n">
        <v>1227433</v>
      </c>
      <c r="I146" s="15" t="n">
        <v>0.4113</v>
      </c>
      <c r="J146" s="15">
        <f>IF(COUNT(G-104:G145)&lt;20,"",IF(COUNTIF(G-104:G145,"&lt;"&amp;G146)&gt;=COUNT(G-104:G145),(COUNT(G-104:G145)-0.5)/COUNT(G-104:G145),IF(COUNTIF(G-104:G145,G146)&gt;0,(COUNTIF(G-104:G145,"&lt;"&amp;G146)+0.5*COUNTIF(G-104:G145,G146))/COUNT(G-104:G145),COUNTIF(G-104:G145,"&lt;"&amp;G146)/COUNT(G-104:G145))))</f>
        <v/>
      </c>
      <c r="K146" s="11" t="inlineStr">
        <is>
          <t>中间分位</t>
        </is>
      </c>
      <c r="L146" s="11" t="n">
        <v>36</v>
      </c>
      <c r="M146" s="11" t="inlineStr">
        <is>
          <t>结构不明</t>
        </is>
      </c>
      <c r="N146" s="11" t="n">
        <v>1</v>
      </c>
      <c r="O146" s="11" t="n">
        <v>0</v>
      </c>
      <c r="P146" s="12" t="n">
        <v>-45</v>
      </c>
      <c r="Q146" s="11" t="inlineStr"/>
    </row>
    <row r="147">
      <c r="A147" s="6" t="inlineStr">
        <is>
          <t>2023-03-23</t>
        </is>
      </c>
      <c r="B147" s="6" t="inlineStr">
        <is>
          <t>MA2305</t>
        </is>
      </c>
      <c r="C147" s="6" t="inlineStr">
        <is>
          <t>2023-05</t>
        </is>
      </c>
      <c r="D147" s="7" t="n">
        <v>2615</v>
      </c>
      <c r="E147" s="7" t="n">
        <v>2517</v>
      </c>
      <c r="F147" s="7">
        <f>D147-E147</f>
        <v/>
      </c>
      <c r="G147" s="8">
        <f>IF(D147=0,"",(D147-E147)/D147)</f>
        <v/>
      </c>
      <c r="H147" s="9" t="n">
        <v>1191593</v>
      </c>
      <c r="I147" s="10" t="n">
        <v>0.5493</v>
      </c>
      <c r="J147" s="10">
        <f>IF(COUNT(G-103:G146)&lt;20,"",IF(COUNTIF(G-103:G146,"&lt;"&amp;G147)&gt;=COUNT(G-103:G146),(COUNT(G-103:G146)-0.5)/COUNT(G-103:G146),IF(COUNTIF(G-103:G146,G147)&gt;0,(COUNTIF(G-103:G146,"&lt;"&amp;G147)+0.5*COUNTIF(G-103:G146,G147))/COUNT(G-103:G146),COUNTIF(G-103:G146,"&lt;"&amp;G147)/COUNT(G-103:G146))))</f>
        <v/>
      </c>
      <c r="K147" s="6" t="inlineStr">
        <is>
          <t>中间分位</t>
        </is>
      </c>
      <c r="L147" s="6" t="n">
        <v>35</v>
      </c>
      <c r="M147" s="6" t="inlineStr">
        <is>
          <t>结构不明</t>
        </is>
      </c>
      <c r="N147" s="6" t="n">
        <v>1</v>
      </c>
      <c r="O147" s="6" t="n">
        <v>0</v>
      </c>
      <c r="P147" s="7" t="n">
        <v>-46</v>
      </c>
      <c r="Q147" s="6" t="inlineStr"/>
    </row>
    <row r="148">
      <c r="A148" s="11" t="inlineStr">
        <is>
          <t>2023-03-24</t>
        </is>
      </c>
      <c r="B148" s="11" t="inlineStr">
        <is>
          <t>MA2305</t>
        </is>
      </c>
      <c r="C148" s="11" t="inlineStr">
        <is>
          <t>2023-05</t>
        </is>
      </c>
      <c r="D148" s="12" t="n">
        <v>2610</v>
      </c>
      <c r="E148" s="12" t="n">
        <v>2505</v>
      </c>
      <c r="F148" s="12">
        <f>D148-E148</f>
        <v/>
      </c>
      <c r="G148" s="13">
        <f>IF(D148=0,"",(D148-E148)/D148)</f>
        <v/>
      </c>
      <c r="H148" s="14" t="n">
        <v>1283330</v>
      </c>
      <c r="I148" s="15" t="n">
        <v>0.5734</v>
      </c>
      <c r="J148" s="15">
        <f>IF(COUNT(G-102:G147)&lt;20,"",IF(COUNTIF(G-102:G147,"&lt;"&amp;G148)&gt;=COUNT(G-102:G147),(COUNT(G-102:G147)-0.5)/COUNT(G-102:G147),IF(COUNTIF(G-102:G147,G148)&gt;0,(COUNTIF(G-102:G147,"&lt;"&amp;G148)+0.5*COUNTIF(G-102:G147,G148))/COUNT(G-102:G147),COUNTIF(G-102:G147,"&lt;"&amp;G148)/COUNT(G-102:G147))))</f>
        <v/>
      </c>
      <c r="K148" s="11" t="inlineStr">
        <is>
          <t>中间分位</t>
        </is>
      </c>
      <c r="L148" s="11" t="n">
        <v>34</v>
      </c>
      <c r="M148" s="11" t="inlineStr">
        <is>
          <t>Back(近强)</t>
        </is>
      </c>
      <c r="N148" s="11" t="n">
        <v>1</v>
      </c>
      <c r="O148" s="11" t="n">
        <v>0</v>
      </c>
      <c r="P148" s="12" t="n">
        <v>-25</v>
      </c>
      <c r="Q148" s="11" t="inlineStr"/>
    </row>
    <row r="149">
      <c r="A149" s="6" t="inlineStr">
        <is>
          <t>2023-03-27</t>
        </is>
      </c>
      <c r="B149" s="6" t="inlineStr">
        <is>
          <t>MA2305</t>
        </is>
      </c>
      <c r="C149" s="6" t="inlineStr">
        <is>
          <t>2023-05</t>
        </is>
      </c>
      <c r="D149" s="7" t="n">
        <v>2593.33</v>
      </c>
      <c r="E149" s="7" t="n">
        <v>2500</v>
      </c>
      <c r="F149" s="7">
        <f>D149-E149</f>
        <v/>
      </c>
      <c r="G149" s="8">
        <f>IF(D149=0,"",(D149-E149)/D149)</f>
        <v/>
      </c>
      <c r="H149" s="9" t="n">
        <v>1246803</v>
      </c>
      <c r="I149" s="10" t="n">
        <v>0.5208</v>
      </c>
      <c r="J149" s="10">
        <f>IF(COUNT(G-101:G148)&lt;20,"",IF(COUNTIF(G-101:G148,"&lt;"&amp;G149)&gt;=COUNT(G-101:G148),(COUNT(G-101:G148)-0.5)/COUNT(G-101:G148),IF(COUNTIF(G-101:G148,G149)&gt;0,(COUNTIF(G-101:G148,"&lt;"&amp;G149)+0.5*COUNTIF(G-101:G148,G149))/COUNT(G-101:G148),COUNTIF(G-101:G148,"&lt;"&amp;G149)/COUNT(G-101:G148))))</f>
        <v/>
      </c>
      <c r="K149" s="6" t="inlineStr">
        <is>
          <t>中间分位</t>
        </is>
      </c>
      <c r="L149" s="6" t="n">
        <v>33</v>
      </c>
      <c r="M149" s="6" t="inlineStr">
        <is>
          <t>Back(近强)</t>
        </is>
      </c>
      <c r="N149" s="6" t="n">
        <v>1</v>
      </c>
      <c r="O149" s="6" t="n">
        <v>0</v>
      </c>
      <c r="P149" s="7" t="n">
        <v>-34</v>
      </c>
      <c r="Q149" s="6" t="inlineStr"/>
    </row>
    <row r="150">
      <c r="A150" s="11" t="inlineStr">
        <is>
          <t>2023-03-28</t>
        </is>
      </c>
      <c r="B150" s="11" t="inlineStr">
        <is>
          <t>MA2305</t>
        </is>
      </c>
      <c r="C150" s="11" t="inlineStr">
        <is>
          <t>2023-05</t>
        </is>
      </c>
      <c r="D150" s="12" t="n">
        <v>2581.67</v>
      </c>
      <c r="E150" s="12" t="n">
        <v>2476</v>
      </c>
      <c r="F150" s="12">
        <f>D150-E150</f>
        <v/>
      </c>
      <c r="G150" s="13">
        <f>IF(D150=0,"",(D150-E150)/D150)</f>
        <v/>
      </c>
      <c r="H150" s="14" t="n">
        <v>1322360</v>
      </c>
      <c r="I150" s="15" t="n">
        <v>0.5931</v>
      </c>
      <c r="J150" s="15">
        <f>IF(COUNT(G-100:G149)&lt;20,"",IF(COUNTIF(G-100:G149,"&lt;"&amp;G150)&gt;=COUNT(G-100:G149),(COUNT(G-100:G149)-0.5)/COUNT(G-100:G149),IF(COUNTIF(G-100:G149,G150)&gt;0,(COUNTIF(G-100:G149,"&lt;"&amp;G150)+0.5*COUNTIF(G-100:G149,G150))/COUNT(G-100:G149),COUNTIF(G-100:G149,"&lt;"&amp;G150)/COUNT(G-100:G149))))</f>
        <v/>
      </c>
      <c r="K150" s="11" t="inlineStr">
        <is>
          <t>中间分位</t>
        </is>
      </c>
      <c r="L150" s="11" t="n">
        <v>32</v>
      </c>
      <c r="M150" s="11" t="inlineStr">
        <is>
          <t>Back(近强)</t>
        </is>
      </c>
      <c r="N150" s="11" t="n">
        <v>1</v>
      </c>
      <c r="O150" s="11" t="n">
        <v>0</v>
      </c>
      <c r="P150" s="12" t="n">
        <v>-25</v>
      </c>
      <c r="Q150" s="11" t="inlineStr"/>
    </row>
    <row r="151">
      <c r="A151" s="6" t="inlineStr">
        <is>
          <t>2023-03-29</t>
        </is>
      </c>
      <c r="B151" s="6" t="inlineStr">
        <is>
          <t>MA2305</t>
        </is>
      </c>
      <c r="C151" s="6" t="inlineStr">
        <is>
          <t>2023-05</t>
        </is>
      </c>
      <c r="D151" s="7" t="n">
        <v>2540</v>
      </c>
      <c r="E151" s="7" t="n">
        <v>2477</v>
      </c>
      <c r="F151" s="7">
        <f>D151-E151</f>
        <v/>
      </c>
      <c r="G151" s="8">
        <f>IF(D151=0,"",(D151-E151)/D151)</f>
        <v/>
      </c>
      <c r="H151" s="9" t="n">
        <v>1283494</v>
      </c>
      <c r="I151" s="10" t="n">
        <v>0.3493</v>
      </c>
      <c r="J151" s="10">
        <f>IF(COUNT(G-99:G150)&lt;20,"",IF(COUNTIF(G-99:G150,"&lt;"&amp;G151)&gt;=COUNT(G-99:G150),(COUNT(G-99:G150)-0.5)/COUNT(G-99:G150),IF(COUNTIF(G-99:G150,G151)&gt;0,(COUNTIF(G-99:G150,"&lt;"&amp;G151)+0.5*COUNTIF(G-99:G150,G151))/COUNT(G-99:G150),COUNTIF(G-99:G150,"&lt;"&amp;G151)/COUNT(G-99:G150))))</f>
        <v/>
      </c>
      <c r="K151" s="6" t="inlineStr">
        <is>
          <t>中间分位</t>
        </is>
      </c>
      <c r="L151" s="6" t="n">
        <v>31</v>
      </c>
      <c r="M151" s="6" t="inlineStr">
        <is>
          <t>Back(近强)</t>
        </is>
      </c>
      <c r="N151" s="6" t="n">
        <v>1</v>
      </c>
      <c r="O151" s="6" t="n">
        <v>0</v>
      </c>
      <c r="P151" s="7" t="n">
        <v>-23</v>
      </c>
      <c r="Q151" s="6" t="inlineStr"/>
    </row>
    <row r="152">
      <c r="A152" s="11" t="inlineStr">
        <is>
          <t>2023-03-30</t>
        </is>
      </c>
      <c r="B152" s="11" t="inlineStr">
        <is>
          <t>MA2305</t>
        </is>
      </c>
      <c r="C152" s="11" t="inlineStr">
        <is>
          <t>2023-05</t>
        </is>
      </c>
      <c r="D152" s="12" t="n">
        <v>2535</v>
      </c>
      <c r="E152" s="12" t="n">
        <v>2489</v>
      </c>
      <c r="F152" s="12">
        <f>D152-E152</f>
        <v/>
      </c>
      <c r="G152" s="13">
        <f>IF(D152=0,"",(D152-E152)/D152)</f>
        <v/>
      </c>
      <c r="H152" s="14" t="n">
        <v>1155557</v>
      </c>
      <c r="I152" s="15" t="n">
        <v>0.2789</v>
      </c>
      <c r="J152" s="15">
        <f>IF(COUNT(G-98:G151)&lt;20,"",IF(COUNTIF(G-98:G151,"&lt;"&amp;G152)&gt;=COUNT(G-98:G151),(COUNT(G-98:G151)-0.5)/COUNT(G-98:G151),IF(COUNTIF(G-98:G151,G152)&gt;0,(COUNTIF(G-98:G151,"&lt;"&amp;G152)+0.5*COUNTIF(G-98:G151,G152))/COUNT(G-98:G151),COUNTIF(G-98:G151,"&lt;"&amp;G152)/COUNT(G-98:G151))))</f>
        <v/>
      </c>
      <c r="K152" s="11" t="inlineStr">
        <is>
          <t>中间分位</t>
        </is>
      </c>
      <c r="L152" s="11" t="n">
        <v>30</v>
      </c>
      <c r="M152" s="11" t="inlineStr">
        <is>
          <t>Back(近强)</t>
        </is>
      </c>
      <c r="N152" s="11" t="n">
        <v>1</v>
      </c>
      <c r="O152" s="11" t="n">
        <v>0</v>
      </c>
      <c r="P152" s="12" t="n">
        <v>-20</v>
      </c>
      <c r="Q152" s="11" t="inlineStr"/>
    </row>
    <row r="153">
      <c r="A153" s="6" t="inlineStr">
        <is>
          <t>2023-03-31</t>
        </is>
      </c>
      <c r="B153" s="6" t="inlineStr">
        <is>
          <t>MA2305</t>
        </is>
      </c>
      <c r="C153" s="6" t="inlineStr">
        <is>
          <t>2023-05</t>
        </is>
      </c>
      <c r="D153" s="7" t="n">
        <v>2543.33</v>
      </c>
      <c r="E153" s="7" t="n">
        <v>2518</v>
      </c>
      <c r="F153" s="7">
        <f>D153-E153</f>
        <v/>
      </c>
      <c r="G153" s="8">
        <f>IF(D153=0,"",(D153-E153)/D153)</f>
        <v/>
      </c>
      <c r="H153" s="9" t="n">
        <v>1179921</v>
      </c>
      <c r="I153" s="10" t="n">
        <v>0.2162</v>
      </c>
      <c r="J153" s="10">
        <f>IF(COUNT(G-97:G152)&lt;20,"",IF(COUNTIF(G-97:G152,"&lt;"&amp;G153)&gt;=COUNT(G-97:G152),(COUNT(G-97:G152)-0.5)/COUNT(G-97:G152),IF(COUNTIF(G-97:G152,G153)&gt;0,(COUNTIF(G-97:G152,"&lt;"&amp;G153)+0.5*COUNTIF(G-97:G152,G153))/COUNT(G-97:G152),COUNTIF(G-97:G152,"&lt;"&amp;G153)/COUNT(G-97:G152))))</f>
        <v/>
      </c>
      <c r="K153" s="6" t="inlineStr">
        <is>
          <t>中间分位</t>
        </is>
      </c>
      <c r="L153" s="6" t="n">
        <v>29</v>
      </c>
      <c r="M153" s="6" t="inlineStr">
        <is>
          <t>Back(近强)</t>
        </is>
      </c>
      <c r="N153" s="6" t="n">
        <v>1</v>
      </c>
      <c r="O153" s="6" t="n">
        <v>0</v>
      </c>
      <c r="P153" s="7" t="n">
        <v>-16</v>
      </c>
      <c r="Q153" s="6" t="inlineStr"/>
    </row>
    <row r="154">
      <c r="A154" s="11" t="inlineStr">
        <is>
          <t>2023-04-03</t>
        </is>
      </c>
      <c r="B154" s="11" t="inlineStr">
        <is>
          <t>MA2305</t>
        </is>
      </c>
      <c r="C154" s="11" t="inlineStr">
        <is>
          <t>2023-05</t>
        </is>
      </c>
      <c r="D154" s="12" t="n">
        <v>2561.67</v>
      </c>
      <c r="E154" s="12" t="n">
        <v>2481</v>
      </c>
      <c r="F154" s="12">
        <f>D154-E154</f>
        <v/>
      </c>
      <c r="G154" s="13">
        <f>IF(D154=0,"",(D154-E154)/D154)</f>
        <v/>
      </c>
      <c r="H154" s="14" t="n">
        <v>1109863</v>
      </c>
      <c r="I154" s="15" t="n">
        <v>0.4295</v>
      </c>
      <c r="J154" s="15">
        <f>IF(COUNT(G-96:G153)&lt;20,"",IF(COUNTIF(G-96:G153,"&lt;"&amp;G154)&gt;=COUNT(G-96:G153),(COUNT(G-96:G153)-0.5)/COUNT(G-96:G153),IF(COUNTIF(G-96:G153,G154)&gt;0,(COUNTIF(G-96:G153,"&lt;"&amp;G154)+0.5*COUNTIF(G-96:G153,G154))/COUNT(G-96:G153),COUNTIF(G-96:G153,"&lt;"&amp;G154)/COUNT(G-96:G153))))</f>
        <v/>
      </c>
      <c r="K154" s="11" t="inlineStr">
        <is>
          <t>中间分位</t>
        </is>
      </c>
      <c r="L154" s="11" t="n">
        <v>28</v>
      </c>
      <c r="M154" s="11" t="inlineStr">
        <is>
          <t>Back(近强)</t>
        </is>
      </c>
      <c r="N154" s="11" t="n">
        <v>1</v>
      </c>
      <c r="O154" s="11" t="n">
        <v>0</v>
      </c>
      <c r="P154" s="12" t="n">
        <v>39</v>
      </c>
      <c r="Q154" s="11" t="inlineStr"/>
    </row>
    <row r="155">
      <c r="A155" s="6" t="inlineStr">
        <is>
          <t>2023-04-04</t>
        </is>
      </c>
      <c r="B155" s="6" t="inlineStr">
        <is>
          <t>MA2305</t>
        </is>
      </c>
      <c r="C155" s="6" t="inlineStr">
        <is>
          <t>2023-05</t>
        </is>
      </c>
      <c r="D155" s="7" t="n">
        <v>2535.83</v>
      </c>
      <c r="E155" s="7" t="n">
        <v>2475</v>
      </c>
      <c r="F155" s="7">
        <f>D155-E155</f>
        <v/>
      </c>
      <c r="G155" s="8">
        <f>IF(D155=0,"",(D155-E155)/D155)</f>
        <v/>
      </c>
      <c r="H155" s="9" t="n">
        <v>1014533</v>
      </c>
      <c r="I155" s="10" t="n">
        <v>0.3533</v>
      </c>
      <c r="J155" s="10">
        <f>IF(COUNT(G-95:G154)&lt;20,"",IF(COUNTIF(G-95:G154,"&lt;"&amp;G155)&gt;=COUNT(G-95:G154),(COUNT(G-95:G154)-0.5)/COUNT(G-95:G154),IF(COUNTIF(G-95:G154,G155)&gt;0,(COUNTIF(G-95:G154,"&lt;"&amp;G155)+0.5*COUNTIF(G-95:G154,G155))/COUNT(G-95:G154),COUNTIF(G-95:G154,"&lt;"&amp;G155)/COUNT(G-95:G154))))</f>
        <v/>
      </c>
      <c r="K155" s="6" t="inlineStr">
        <is>
          <t>中间分位</t>
        </is>
      </c>
      <c r="L155" s="6" t="n">
        <v>27</v>
      </c>
      <c r="M155" s="6" t="inlineStr">
        <is>
          <t>Back(近强)</t>
        </is>
      </c>
      <c r="N155" s="6" t="n">
        <v>1</v>
      </c>
      <c r="O155" s="6" t="n">
        <v>0</v>
      </c>
      <c r="P155" s="7" t="n">
        <v>-7</v>
      </c>
      <c r="Q155" s="6" t="inlineStr"/>
    </row>
    <row r="156">
      <c r="A156" s="11" t="inlineStr">
        <is>
          <t>2023-04-06</t>
        </is>
      </c>
      <c r="B156" s="11" t="inlineStr">
        <is>
          <t>MA2305</t>
        </is>
      </c>
      <c r="C156" s="11" t="inlineStr">
        <is>
          <t>2023-05</t>
        </is>
      </c>
      <c r="D156" s="12" t="n">
        <v>2510.83</v>
      </c>
      <c r="E156" s="12" t="n">
        <v>2416</v>
      </c>
      <c r="F156" s="12">
        <f>D156-E156</f>
        <v/>
      </c>
      <c r="G156" s="13">
        <f>IF(D156=0,"",(D156-E156)/D156)</f>
        <v/>
      </c>
      <c r="H156" s="14" t="n">
        <v>1125650</v>
      </c>
      <c r="I156" s="15" t="n">
        <v>0.5629</v>
      </c>
      <c r="J156" s="15">
        <f>IF(COUNT(G-94:G155)&lt;20,"",IF(COUNTIF(G-94:G155,"&lt;"&amp;G156)&gt;=COUNT(G-94:G155),(COUNT(G-94:G155)-0.5)/COUNT(G-94:G155),IF(COUNTIF(G-94:G155,G156)&gt;0,(COUNTIF(G-94:G155,"&lt;"&amp;G156)+0.5*COUNTIF(G-94:G155,G156))/COUNT(G-94:G155),COUNTIF(G-94:G155,"&lt;"&amp;G156)/COUNT(G-94:G155))))</f>
        <v/>
      </c>
      <c r="K156" s="11" t="inlineStr">
        <is>
          <t>中间分位</t>
        </is>
      </c>
      <c r="L156" s="11" t="n">
        <v>26</v>
      </c>
      <c r="M156" s="11" t="inlineStr">
        <is>
          <t>Back(近强)</t>
        </is>
      </c>
      <c r="N156" s="11" t="n">
        <v>1</v>
      </c>
      <c r="O156" s="11" t="n">
        <v>0</v>
      </c>
      <c r="P156" s="12" t="n">
        <v>-35</v>
      </c>
      <c r="Q156" s="11" t="inlineStr"/>
    </row>
    <row r="157">
      <c r="A157" s="6" t="inlineStr">
        <is>
          <t>2023-04-07</t>
        </is>
      </c>
      <c r="B157" s="6" t="inlineStr">
        <is>
          <t>MA2305</t>
        </is>
      </c>
      <c r="C157" s="6" t="inlineStr">
        <is>
          <t>2023-05</t>
        </is>
      </c>
      <c r="D157" s="7" t="n">
        <v>2473.33</v>
      </c>
      <c r="E157" s="7" t="n">
        <v>2414</v>
      </c>
      <c r="F157" s="7">
        <f>D157-E157</f>
        <v/>
      </c>
      <c r="G157" s="8">
        <f>IF(D157=0,"",(D157-E157)/D157)</f>
        <v/>
      </c>
      <c r="H157" s="9" t="n">
        <v>1058727</v>
      </c>
      <c r="I157" s="10" t="n">
        <v>0.3487</v>
      </c>
      <c r="J157" s="10">
        <f>IF(COUNT(G-93:G156)&lt;20,"",IF(COUNTIF(G-93:G156,"&lt;"&amp;G157)&gt;=COUNT(G-93:G156),(COUNT(G-93:G156)-0.5)/COUNT(G-93:G156),IF(COUNTIF(G-93:G156,G157)&gt;0,(COUNTIF(G-93:G156,"&lt;"&amp;G157)+0.5*COUNTIF(G-93:G156,G157))/COUNT(G-93:G156),COUNTIF(G-93:G156,"&lt;"&amp;G157)/COUNT(G-93:G156))))</f>
        <v/>
      </c>
      <c r="K157" s="6" t="inlineStr">
        <is>
          <t>中间分位</t>
        </is>
      </c>
      <c r="L157" s="6" t="n">
        <v>25</v>
      </c>
      <c r="M157" s="6" t="inlineStr">
        <is>
          <t>Back(近强)</t>
        </is>
      </c>
      <c r="N157" s="6" t="n">
        <v>1</v>
      </c>
      <c r="O157" s="6" t="n">
        <v>0</v>
      </c>
      <c r="P157" s="7" t="n">
        <v>17</v>
      </c>
      <c r="Q157" s="6" t="inlineStr"/>
    </row>
    <row r="158">
      <c r="A158" s="11" t="inlineStr">
        <is>
          <t>2023-04-10</t>
        </is>
      </c>
      <c r="B158" s="11" t="inlineStr">
        <is>
          <t>MA2305</t>
        </is>
      </c>
      <c r="C158" s="11" t="inlineStr">
        <is>
          <t>2023-05</t>
        </is>
      </c>
      <c r="D158" s="12" t="n">
        <v>2446.67</v>
      </c>
      <c r="E158" s="12" t="n">
        <v>2383</v>
      </c>
      <c r="F158" s="12">
        <f>D158-E158</f>
        <v/>
      </c>
      <c r="G158" s="13">
        <f>IF(D158=0,"",(D158-E158)/D158)</f>
        <v/>
      </c>
      <c r="H158" s="14" t="n">
        <v>1037807</v>
      </c>
      <c r="I158" s="15" t="n">
        <v>0.3791</v>
      </c>
      <c r="J158" s="15">
        <f>IF(COUNT(G-92:G157)&lt;20,"",IF(COUNTIF(G-92:G157,"&lt;"&amp;G158)&gt;=COUNT(G-92:G157),(COUNT(G-92:G157)-0.5)/COUNT(G-92:G157),IF(COUNTIF(G-92:G157,G158)&gt;0,(COUNTIF(G-92:G157,"&lt;"&amp;G158)+0.5*COUNTIF(G-92:G157,G158))/COUNT(G-92:G157),COUNTIF(G-92:G157,"&lt;"&amp;G158)/COUNT(G-92:G157))))</f>
        <v/>
      </c>
      <c r="K158" s="11" t="inlineStr">
        <is>
          <t>中间分位</t>
        </is>
      </c>
      <c r="L158" s="11" t="n">
        <v>24</v>
      </c>
      <c r="M158" s="11" t="inlineStr">
        <is>
          <t>Back(近强)</t>
        </is>
      </c>
      <c r="N158" s="11" t="n">
        <v>1</v>
      </c>
      <c r="O158" s="11" t="n">
        <v>0</v>
      </c>
      <c r="P158" s="12" t="n">
        <v>-1</v>
      </c>
      <c r="Q158" s="11" t="inlineStr"/>
    </row>
    <row r="159">
      <c r="A159" s="6" t="inlineStr">
        <is>
          <t>2023-04-11</t>
        </is>
      </c>
      <c r="B159" s="6" t="inlineStr">
        <is>
          <t>MA2309</t>
        </is>
      </c>
      <c r="C159" s="6" t="inlineStr">
        <is>
          <t>2023-09</t>
        </is>
      </c>
      <c r="D159" s="7" t="n">
        <v>2401.67</v>
      </c>
      <c r="E159" s="7" t="n">
        <v>2395</v>
      </c>
      <c r="F159" s="7">
        <f>D159-E159</f>
        <v/>
      </c>
      <c r="G159" s="8">
        <f>IF(D159=0,"",(D159-E159)/D159)</f>
        <v/>
      </c>
      <c r="H159" s="9" t="n">
        <v>915752</v>
      </c>
      <c r="I159" s="10" t="n">
        <v>0.1623</v>
      </c>
      <c r="J159" s="10">
        <f>IF(COUNT(G-91:G158)&lt;20,"",IF(COUNTIF(G-91:G158,"&lt;"&amp;G159)&gt;=COUNT(G-91:G158),(COUNT(G-91:G158)-0.5)/COUNT(G-91:G158),IF(COUNTIF(G-91:G158,G159)&gt;0,(COUNTIF(G-91:G158,"&lt;"&amp;G159)+0.5*COUNTIF(G-91:G158,G159))/COUNT(G-91:G158),COUNTIF(G-91:G158,"&lt;"&amp;G159)/COUNT(G-91:G158))))</f>
        <v/>
      </c>
      <c r="K159" s="6" t="inlineStr">
        <is>
          <t>中间分位</t>
        </is>
      </c>
      <c r="L159" s="6" t="n">
        <v>107</v>
      </c>
      <c r="M159" s="6" t="inlineStr">
        <is>
          <t>Back(近强)</t>
        </is>
      </c>
      <c r="N159" s="6" t="n">
        <v>1</v>
      </c>
      <c r="O159" s="6" t="n">
        <v>1</v>
      </c>
      <c r="P159" s="7" t="n">
        <v>-23</v>
      </c>
      <c r="Q159" s="6" t="inlineStr"/>
    </row>
    <row r="160">
      <c r="A160" s="11" t="inlineStr">
        <is>
          <t>2023-04-12</t>
        </is>
      </c>
      <c r="B160" s="11" t="inlineStr">
        <is>
          <t>MA2309</t>
        </is>
      </c>
      <c r="C160" s="11" t="inlineStr">
        <is>
          <t>2023-09</t>
        </is>
      </c>
      <c r="D160" s="12" t="n">
        <v>2426.67</v>
      </c>
      <c r="E160" s="12" t="n">
        <v>2387</v>
      </c>
      <c r="F160" s="12">
        <f>D160-E160</f>
        <v/>
      </c>
      <c r="G160" s="13">
        <f>IF(D160=0,"",(D160-E160)/D160)</f>
        <v/>
      </c>
      <c r="H160" s="14" t="n">
        <v>1015231</v>
      </c>
      <c r="I160" s="15" t="n">
        <v>0.2645</v>
      </c>
      <c r="J160" s="15">
        <f>IF(COUNT(G-90:G159)&lt;20,"",IF(COUNTIF(G-90:G159,"&lt;"&amp;G160)&gt;=COUNT(G-90:G159),(COUNT(G-90:G159)-0.5)/COUNT(G-90:G159),IF(COUNTIF(G-90:G159,G160)&gt;0,(COUNTIF(G-90:G159,"&lt;"&amp;G160)+0.5*COUNTIF(G-90:G159,G160))/COUNT(G-90:G159),COUNTIF(G-90:G159,"&lt;"&amp;G160)/COUNT(G-90:G159))))</f>
        <v/>
      </c>
      <c r="K160" s="11" t="inlineStr">
        <is>
          <t>中间分位</t>
        </is>
      </c>
      <c r="L160" s="11" t="n">
        <v>106</v>
      </c>
      <c r="M160" s="11" t="inlineStr">
        <is>
          <t>结构不明</t>
        </is>
      </c>
      <c r="N160" s="11" t="n">
        <v>1</v>
      </c>
      <c r="O160" s="11" t="n">
        <v>0</v>
      </c>
      <c r="P160" s="12" t="n">
        <v>-48</v>
      </c>
      <c r="Q160" s="11" t="inlineStr"/>
    </row>
    <row r="161">
      <c r="A161" s="6" t="inlineStr">
        <is>
          <t>2023-04-13</t>
        </is>
      </c>
      <c r="B161" s="6" t="inlineStr">
        <is>
          <t>MA2309</t>
        </is>
      </c>
      <c r="C161" s="6" t="inlineStr">
        <is>
          <t>2023-09</t>
        </is>
      </c>
      <c r="D161" s="7" t="n">
        <v>2446.67</v>
      </c>
      <c r="E161" s="7" t="n">
        <v>2390</v>
      </c>
      <c r="F161" s="7">
        <f>D161-E161</f>
        <v/>
      </c>
      <c r="G161" s="8">
        <f>IF(D161=0,"",(D161-E161)/D161)</f>
        <v/>
      </c>
      <c r="H161" s="9" t="n">
        <v>1085573</v>
      </c>
      <c r="I161" s="10" t="n">
        <v>0.3333</v>
      </c>
      <c r="J161" s="10">
        <f>IF(COUNT(G-89:G160)&lt;20,"",IF(COUNTIF(G-89:G160,"&lt;"&amp;G161)&gt;=COUNT(G-89:G160),(COUNT(G-89:G160)-0.5)/COUNT(G-89:G160),IF(COUNTIF(G-89:G160,G161)&gt;0,(COUNTIF(G-89:G160,"&lt;"&amp;G161)+0.5*COUNTIF(G-89:G160,G161))/COUNT(G-89:G160),COUNTIF(G-89:G160,"&lt;"&amp;G161)/COUNT(G-89:G160))))</f>
        <v/>
      </c>
      <c r="K161" s="6" t="inlineStr">
        <is>
          <t>中间分位</t>
        </is>
      </c>
      <c r="L161" s="6" t="n">
        <v>105</v>
      </c>
      <c r="M161" s="6" t="inlineStr">
        <is>
          <t>Contango(远强)</t>
        </is>
      </c>
      <c r="N161" s="6" t="n">
        <v>1</v>
      </c>
      <c r="O161" s="6" t="n">
        <v>0</v>
      </c>
      <c r="P161" s="7" t="n">
        <v>-59</v>
      </c>
      <c r="Q161" s="6" t="inlineStr"/>
    </row>
    <row r="162">
      <c r="A162" s="11" t="inlineStr">
        <is>
          <t>2023-04-14</t>
        </is>
      </c>
      <c r="B162" s="11" t="inlineStr">
        <is>
          <t>MA2309</t>
        </is>
      </c>
      <c r="C162" s="11" t="inlineStr">
        <is>
          <t>2023-09</t>
        </is>
      </c>
      <c r="D162" s="12" t="n">
        <v>2471.67</v>
      </c>
      <c r="E162" s="12" t="n">
        <v>2403</v>
      </c>
      <c r="F162" s="12">
        <f>D162-E162</f>
        <v/>
      </c>
      <c r="G162" s="13">
        <f>IF(D162=0,"",(D162-E162)/D162)</f>
        <v/>
      </c>
      <c r="H162" s="14" t="n">
        <v>1141672</v>
      </c>
      <c r="I162" s="15" t="n">
        <v>0.4268</v>
      </c>
      <c r="J162" s="15">
        <f>IF(COUNT(G-88:G161)&lt;20,"",IF(COUNTIF(G-88:G161,"&lt;"&amp;G162)&gt;=COUNT(G-88:G161),(COUNT(G-88:G161)-0.5)/COUNT(G-88:G161),IF(COUNTIF(G-88:G161,G162)&gt;0,(COUNTIF(G-88:G161,"&lt;"&amp;G162)+0.5*COUNTIF(G-88:G161,G162))/COUNT(G-88:G161),COUNTIF(G-88:G161,"&lt;"&amp;G162)/COUNT(G-88:G161))))</f>
        <v/>
      </c>
      <c r="K162" s="11" t="inlineStr">
        <is>
          <t>中间分位</t>
        </is>
      </c>
      <c r="L162" s="11" t="n">
        <v>104</v>
      </c>
      <c r="M162" s="11" t="inlineStr">
        <is>
          <t>Back(近强)</t>
        </is>
      </c>
      <c r="N162" s="11" t="n">
        <v>1</v>
      </c>
      <c r="O162" s="11" t="n">
        <v>0</v>
      </c>
      <c r="P162" s="12" t="n">
        <v>-7</v>
      </c>
      <c r="Q162" s="11" t="inlineStr"/>
    </row>
    <row r="163">
      <c r="A163" s="6" t="inlineStr">
        <is>
          <t>2023-04-17</t>
        </is>
      </c>
      <c r="B163" s="6" t="inlineStr">
        <is>
          <t>MA2309</t>
        </is>
      </c>
      <c r="C163" s="6" t="inlineStr">
        <is>
          <t>2023-09</t>
        </is>
      </c>
      <c r="D163" s="7" t="n">
        <v>2471.67</v>
      </c>
      <c r="E163" s="7" t="n">
        <v>2438</v>
      </c>
      <c r="F163" s="7">
        <f>D163-E163</f>
        <v/>
      </c>
      <c r="G163" s="8">
        <f>IF(D163=0,"",(D163-E163)/D163)</f>
        <v/>
      </c>
      <c r="H163" s="9" t="n">
        <v>1312372</v>
      </c>
      <c r="I163" s="10" t="n">
        <v>0.2405</v>
      </c>
      <c r="J163" s="10">
        <f>IF(COUNT(G-87:G162)&lt;20,"",IF(COUNTIF(G-87:G162,"&lt;"&amp;G163)&gt;=COUNT(G-87:G162),(COUNT(G-87:G162)-0.5)/COUNT(G-87:G162),IF(COUNTIF(G-87:G162,G163)&gt;0,(COUNTIF(G-87:G162,"&lt;"&amp;G163)+0.5*COUNTIF(G-87:G162,G163))/COUNT(G-87:G162),COUNTIF(G-87:G162,"&lt;"&amp;G163)/COUNT(G-87:G162))))</f>
        <v/>
      </c>
      <c r="K163" s="6" t="inlineStr">
        <is>
          <t>中间分位</t>
        </is>
      </c>
      <c r="L163" s="6" t="n">
        <v>103</v>
      </c>
      <c r="M163" s="6" t="inlineStr">
        <is>
          <t>结构不明</t>
        </is>
      </c>
      <c r="N163" s="6" t="n">
        <v>1</v>
      </c>
      <c r="O163" s="6" t="n">
        <v>0</v>
      </c>
      <c r="P163" s="7" t="n">
        <v>-52</v>
      </c>
      <c r="Q163" s="6" t="inlineStr"/>
    </row>
    <row r="164">
      <c r="A164" s="11" t="inlineStr">
        <is>
          <t>2023-04-18</t>
        </is>
      </c>
      <c r="B164" s="11" t="inlineStr">
        <is>
          <t>MA2309</t>
        </is>
      </c>
      <c r="C164" s="11" t="inlineStr">
        <is>
          <t>2023-09</t>
        </is>
      </c>
      <c r="D164" s="12" t="n">
        <v>2530</v>
      </c>
      <c r="E164" s="12" t="n">
        <v>2446</v>
      </c>
      <c r="F164" s="12">
        <f>D164-E164</f>
        <v/>
      </c>
      <c r="G164" s="13">
        <f>IF(D164=0,"",(D164-E164)/D164)</f>
        <v/>
      </c>
      <c r="H164" s="14" t="n">
        <v>1262730</v>
      </c>
      <c r="I164" s="15" t="n">
        <v>0.5094</v>
      </c>
      <c r="J164" s="15">
        <f>IF(COUNT(G-86:G163)&lt;20,"",IF(COUNTIF(G-86:G163,"&lt;"&amp;G164)&gt;=COUNT(G-86:G163),(COUNT(G-86:G163)-0.5)/COUNT(G-86:G163),IF(COUNTIF(G-86:G163,G164)&gt;0,(COUNTIF(G-86:G163,"&lt;"&amp;G164)+0.5*COUNTIF(G-86:G163,G164))/COUNT(G-86:G163),COUNTIF(G-86:G163,"&lt;"&amp;G164)/COUNT(G-86:G163))))</f>
        <v/>
      </c>
      <c r="K164" s="11" t="inlineStr">
        <is>
          <t>中间分位</t>
        </is>
      </c>
      <c r="L164" s="11" t="n">
        <v>102</v>
      </c>
      <c r="M164" s="11" t="inlineStr">
        <is>
          <t>结构不明</t>
        </is>
      </c>
      <c r="N164" s="11" t="n">
        <v>1</v>
      </c>
      <c r="O164" s="11" t="n">
        <v>0</v>
      </c>
      <c r="P164" s="12" t="n">
        <v>-43</v>
      </c>
      <c r="Q164" s="11" t="inlineStr"/>
    </row>
    <row r="165">
      <c r="A165" s="6" t="inlineStr">
        <is>
          <t>2023-04-19</t>
        </is>
      </c>
      <c r="B165" s="6" t="inlineStr">
        <is>
          <t>MA2309</t>
        </is>
      </c>
      <c r="C165" s="6" t="inlineStr">
        <is>
          <t>2023-09</t>
        </is>
      </c>
      <c r="D165" s="7" t="n">
        <v>2540.83</v>
      </c>
      <c r="E165" s="7" t="n">
        <v>2436</v>
      </c>
      <c r="F165" s="7">
        <f>D165-E165</f>
        <v/>
      </c>
      <c r="G165" s="8">
        <f>IF(D165=0,"",(D165-E165)/D165)</f>
        <v/>
      </c>
      <c r="H165" s="9" t="n">
        <v>1306213</v>
      </c>
      <c r="I165" s="10" t="n">
        <v>0.6312</v>
      </c>
      <c r="J165" s="10">
        <f>IF(COUNT(G-85:G164)&lt;20,"",IF(COUNTIF(G-85:G164,"&lt;"&amp;G165)&gt;=COUNT(G-85:G164),(COUNT(G-85:G164)-0.5)/COUNT(G-85:G164),IF(COUNTIF(G-85:G164,G165)&gt;0,(COUNTIF(G-85:G164,"&lt;"&amp;G165)+0.5*COUNTIF(G-85:G164,G165))/COUNT(G-85:G164),COUNTIF(G-85:G164,"&lt;"&amp;G165)/COUNT(G-85:G164))))</f>
        <v/>
      </c>
      <c r="K165" s="6" t="inlineStr">
        <is>
          <t>中间分位</t>
        </is>
      </c>
      <c r="L165" s="6" t="n">
        <v>101</v>
      </c>
      <c r="M165" s="6" t="inlineStr">
        <is>
          <t>Contango(远强)</t>
        </is>
      </c>
      <c r="N165" s="6" t="n">
        <v>1</v>
      </c>
      <c r="O165" s="6" t="n">
        <v>0</v>
      </c>
      <c r="P165" s="7" t="n">
        <v>-55</v>
      </c>
      <c r="Q165" s="6" t="inlineStr"/>
    </row>
    <row r="166">
      <c r="A166" s="11" t="inlineStr">
        <is>
          <t>2023-04-20</t>
        </is>
      </c>
      <c r="B166" s="11" t="inlineStr">
        <is>
          <t>MA2309</t>
        </is>
      </c>
      <c r="C166" s="11" t="inlineStr">
        <is>
          <t>2023-09</t>
        </is>
      </c>
      <c r="D166" s="12" t="n">
        <v>2550</v>
      </c>
      <c r="E166" s="12" t="n">
        <v>2465</v>
      </c>
      <c r="F166" s="12">
        <f>D166-E166</f>
        <v/>
      </c>
      <c r="G166" s="13">
        <f>IF(D166=0,"",(D166-E166)/D166)</f>
        <v/>
      </c>
      <c r="H166" s="14" t="n">
        <v>1413691</v>
      </c>
      <c r="I166" s="15" t="n">
        <v>0.5093</v>
      </c>
      <c r="J166" s="15">
        <f>IF(COUNT(G-84:G165)&lt;20,"",IF(COUNTIF(G-84:G165,"&lt;"&amp;G166)&gt;=COUNT(G-84:G165),(COUNT(G-84:G165)-0.5)/COUNT(G-84:G165),IF(COUNTIF(G-84:G165,G166)&gt;0,(COUNTIF(G-84:G165,"&lt;"&amp;G166)+0.5*COUNTIF(G-84:G165,G166))/COUNT(G-84:G165),COUNTIF(G-84:G165,"&lt;"&amp;G166)/COUNT(G-84:G165))))</f>
        <v/>
      </c>
      <c r="K166" s="11" t="inlineStr">
        <is>
          <t>中间分位</t>
        </is>
      </c>
      <c r="L166" s="11" t="n">
        <v>100</v>
      </c>
      <c r="M166" s="11" t="inlineStr">
        <is>
          <t>结构不明</t>
        </is>
      </c>
      <c r="N166" s="11" t="n">
        <v>1</v>
      </c>
      <c r="O166" s="11" t="n">
        <v>0</v>
      </c>
      <c r="P166" s="12" t="n">
        <v>-42</v>
      </c>
      <c r="Q166" s="11" t="inlineStr"/>
    </row>
    <row r="167">
      <c r="A167" s="6" t="inlineStr">
        <is>
          <t>2023-04-21</t>
        </is>
      </c>
      <c r="B167" s="6" t="inlineStr">
        <is>
          <t>MA2309</t>
        </is>
      </c>
      <c r="C167" s="6" t="inlineStr">
        <is>
          <t>2023-09</t>
        </is>
      </c>
      <c r="D167" s="7" t="n">
        <v>2550</v>
      </c>
      <c r="E167" s="7" t="n">
        <v>2472</v>
      </c>
      <c r="F167" s="7">
        <f>D167-E167</f>
        <v/>
      </c>
      <c r="G167" s="8">
        <f>IF(D167=0,"",(D167-E167)/D167)</f>
        <v/>
      </c>
      <c r="H167" s="9" t="n">
        <v>1291043</v>
      </c>
      <c r="I167" s="10" t="n">
        <v>0.4321</v>
      </c>
      <c r="J167" s="10">
        <f>IF(COUNT(G-83:G166)&lt;20,"",IF(COUNTIF(G-83:G166,"&lt;"&amp;G167)&gt;=COUNT(G-83:G166),(COUNT(G-83:G166)-0.5)/COUNT(G-83:G166),IF(COUNTIF(G-83:G166,G167)&gt;0,(COUNTIF(G-83:G166,"&lt;"&amp;G167)+0.5*COUNTIF(G-83:G166,G167))/COUNT(G-83:G166),COUNTIF(G-83:G166,"&lt;"&amp;G167)/COUNT(G-83:G166))))</f>
        <v/>
      </c>
      <c r="K167" s="6" t="inlineStr">
        <is>
          <t>中间分位</t>
        </is>
      </c>
      <c r="L167" s="6" t="n">
        <v>99</v>
      </c>
      <c r="M167" s="6" t="inlineStr">
        <is>
          <t>结构不明</t>
        </is>
      </c>
      <c r="N167" s="6" t="n">
        <v>1</v>
      </c>
      <c r="O167" s="6" t="n">
        <v>0</v>
      </c>
      <c r="P167" s="7" t="n">
        <v>-45</v>
      </c>
      <c r="Q167" s="6" t="inlineStr"/>
    </row>
    <row r="168">
      <c r="A168" s="11" t="inlineStr">
        <is>
          <t>2023-04-24</t>
        </is>
      </c>
      <c r="B168" s="11" t="inlineStr">
        <is>
          <t>MA2309</t>
        </is>
      </c>
      <c r="C168" s="11" t="inlineStr">
        <is>
          <t>2023-09</t>
        </is>
      </c>
      <c r="D168" s="12" t="n">
        <v>2571.67</v>
      </c>
      <c r="E168" s="12" t="n">
        <v>2411</v>
      </c>
      <c r="F168" s="12">
        <f>D168-E168</f>
        <v/>
      </c>
      <c r="G168" s="13">
        <f>IF(D168=0,"",(D168-E168)/D168)</f>
        <v/>
      </c>
      <c r="H168" s="14" t="n">
        <v>1349459</v>
      </c>
      <c r="I168" s="15" t="n">
        <v>0.8037</v>
      </c>
      <c r="J168" s="15">
        <f>IF(COUNT(G-82:G167)&lt;20,"",IF(COUNTIF(G-82:G167,"&lt;"&amp;G168)&gt;=COUNT(G-82:G167),(COUNT(G-82:G167)-0.5)/COUNT(G-82:G167),IF(COUNTIF(G-82:G167,G168)&gt;0,(COUNTIF(G-82:G167,"&lt;"&amp;G168)+0.5*COUNTIF(G-82:G167,G168))/COUNT(G-82:G167),COUNTIF(G-82:G167,"&lt;"&amp;G168)/COUNT(G-82:G167))))</f>
        <v/>
      </c>
      <c r="K168" s="11" t="inlineStr">
        <is>
          <t>中间分位</t>
        </is>
      </c>
      <c r="L168" s="11" t="n">
        <v>98</v>
      </c>
      <c r="M168" s="11" t="inlineStr">
        <is>
          <t>Contango(远强)</t>
        </is>
      </c>
      <c r="N168" s="11" t="n">
        <v>1</v>
      </c>
      <c r="O168" s="11" t="n">
        <v>0</v>
      </c>
      <c r="P168" s="12" t="n">
        <v>-71</v>
      </c>
      <c r="Q168" s="11" t="inlineStr"/>
    </row>
    <row r="169">
      <c r="A169" s="6" t="inlineStr">
        <is>
          <t>2023-04-26</t>
        </is>
      </c>
      <c r="B169" s="6" t="inlineStr">
        <is>
          <t>MA2309</t>
        </is>
      </c>
      <c r="C169" s="6" t="inlineStr">
        <is>
          <t>2023-09</t>
        </is>
      </c>
      <c r="D169" s="7" t="n">
        <v>2520</v>
      </c>
      <c r="E169" s="7" t="n">
        <v>2386</v>
      </c>
      <c r="F169" s="7">
        <f>D169-E169</f>
        <v/>
      </c>
      <c r="G169" s="8">
        <f>IF(D169=0,"",(D169-E169)/D169)</f>
        <v/>
      </c>
      <c r="H169" s="9" t="n">
        <v>1391368</v>
      </c>
      <c r="I169" s="10" t="n">
        <v>0.75</v>
      </c>
      <c r="J169" s="10">
        <f>IF(COUNT(G-81:G168)&lt;20,"",IF(COUNTIF(G-81:G168,"&lt;"&amp;G169)&gt;=COUNT(G-81:G168),(COUNT(G-81:G168)-0.5)/COUNT(G-81:G168),IF(COUNTIF(G-81:G168,G169)&gt;0,(COUNTIF(G-81:G168,"&lt;"&amp;G169)+0.5*COUNTIF(G-81:G168,G169))/COUNT(G-81:G168),COUNTIF(G-81:G168,"&lt;"&amp;G169)/COUNT(G-81:G168))))</f>
        <v/>
      </c>
      <c r="K169" s="6" t="inlineStr">
        <is>
          <t>中间分位</t>
        </is>
      </c>
      <c r="L169" s="6" t="n">
        <v>96</v>
      </c>
      <c r="M169" s="6" t="inlineStr">
        <is>
          <t>结构不明</t>
        </is>
      </c>
      <c r="N169" s="6" t="n">
        <v>1</v>
      </c>
      <c r="O169" s="6" t="n">
        <v>0</v>
      </c>
      <c r="P169" s="7" t="n">
        <v>-42</v>
      </c>
      <c r="Q169" s="6" t="inlineStr"/>
    </row>
    <row r="170">
      <c r="A170" s="11" t="inlineStr">
        <is>
          <t>2023-04-27</t>
        </is>
      </c>
      <c r="B170" s="11" t="inlineStr">
        <is>
          <t>MA2309</t>
        </is>
      </c>
      <c r="C170" s="11" t="inlineStr">
        <is>
          <t>2023-09</t>
        </is>
      </c>
      <c r="D170" s="12" t="n">
        <v>2491.67</v>
      </c>
      <c r="E170" s="12" t="n">
        <v>2330</v>
      </c>
      <c r="F170" s="12">
        <f>D170-E170</f>
        <v/>
      </c>
      <c r="G170" s="13">
        <f>IF(D170=0,"",(D170-E170)/D170)</f>
        <v/>
      </c>
      <c r="H170" s="14" t="n">
        <v>1403395</v>
      </c>
      <c r="I170" s="15" t="n">
        <v>0.8121</v>
      </c>
      <c r="J170" s="15">
        <f>IF(COUNT(G-80:G169)&lt;20,"",IF(COUNTIF(G-80:G169,"&lt;"&amp;G170)&gt;=COUNT(G-80:G169),(COUNT(G-80:G169)-0.5)/COUNT(G-80:G169),IF(COUNTIF(G-80:G169,G170)&gt;0,(COUNTIF(G-80:G169,"&lt;"&amp;G170)+0.5*COUNTIF(G-80:G169,G170))/COUNT(G-80:G169),COUNTIF(G-80:G169,"&lt;"&amp;G170)/COUNT(G-80:G169))))</f>
        <v/>
      </c>
      <c r="K170" s="11" t="inlineStr">
        <is>
          <t>中间分位</t>
        </is>
      </c>
      <c r="L170" s="11" t="n">
        <v>95</v>
      </c>
      <c r="M170" s="11" t="inlineStr">
        <is>
          <t>结构不明</t>
        </is>
      </c>
      <c r="N170" s="11" t="n">
        <v>1</v>
      </c>
      <c r="O170" s="11" t="n">
        <v>0</v>
      </c>
      <c r="P170" s="12" t="n">
        <v>-41</v>
      </c>
      <c r="Q170" s="11" t="inlineStr"/>
    </row>
    <row r="171">
      <c r="A171" s="6" t="inlineStr">
        <is>
          <t>2023-04-28</t>
        </is>
      </c>
      <c r="B171" s="6" t="inlineStr">
        <is>
          <t>MA2309</t>
        </is>
      </c>
      <c r="C171" s="6" t="inlineStr">
        <is>
          <t>2023-09</t>
        </is>
      </c>
      <c r="D171" s="7" t="n">
        <v>2488.33</v>
      </c>
      <c r="E171" s="7" t="n">
        <v>2334</v>
      </c>
      <c r="F171" s="7">
        <f>D171-E171</f>
        <v/>
      </c>
      <c r="G171" s="8">
        <f>IF(D171=0,"",(D171-E171)/D171)</f>
        <v/>
      </c>
      <c r="H171" s="9" t="n">
        <v>1365593</v>
      </c>
      <c r="I171" s="10" t="n">
        <v>0.7952</v>
      </c>
      <c r="J171" s="10">
        <f>IF(COUNT(G-79:G170)&lt;20,"",IF(COUNTIF(G-79:G170,"&lt;"&amp;G171)&gt;=COUNT(G-79:G170),(COUNT(G-79:G170)-0.5)/COUNT(G-79:G170),IF(COUNTIF(G-79:G170,G171)&gt;0,(COUNTIF(G-79:G170,"&lt;"&amp;G171)+0.5*COUNTIF(G-79:G170,G171))/COUNT(G-79:G170),COUNTIF(G-79:G170,"&lt;"&amp;G171)/COUNT(G-79:G170))))</f>
        <v/>
      </c>
      <c r="K171" s="6" t="inlineStr">
        <is>
          <t>中间分位</t>
        </is>
      </c>
      <c r="L171" s="6" t="n">
        <v>94</v>
      </c>
      <c r="M171" s="6" t="inlineStr">
        <is>
          <t>Back(近强)</t>
        </is>
      </c>
      <c r="N171" s="6" t="n">
        <v>1</v>
      </c>
      <c r="O171" s="6" t="n">
        <v>0</v>
      </c>
      <c r="P171" s="7" t="n">
        <v>-9</v>
      </c>
      <c r="Q171" s="6" t="inlineStr"/>
    </row>
    <row r="172">
      <c r="A172" s="11" t="inlineStr">
        <is>
          <t>2023-05-04</t>
        </is>
      </c>
      <c r="B172" s="11" t="inlineStr">
        <is>
          <t>MA2309</t>
        </is>
      </c>
      <c r="C172" s="11" t="inlineStr">
        <is>
          <t>2023-09</t>
        </is>
      </c>
      <c r="D172" s="12" t="n">
        <v>2423.33</v>
      </c>
      <c r="E172" s="12" t="n">
        <v>2304</v>
      </c>
      <c r="F172" s="12">
        <f>D172-E172</f>
        <v/>
      </c>
      <c r="G172" s="13">
        <f>IF(D172=0,"",(D172-E172)/D172)</f>
        <v/>
      </c>
      <c r="H172" s="14" t="n">
        <v>1422778</v>
      </c>
      <c r="I172" s="15" t="n">
        <v>0.6826</v>
      </c>
      <c r="J172" s="15">
        <f>IF(COUNT(G-78:G171)&lt;20,"",IF(COUNTIF(G-78:G171,"&lt;"&amp;G172)&gt;=COUNT(G-78:G171),(COUNT(G-78:G171)-0.5)/COUNT(G-78:G171),IF(COUNTIF(G-78:G171,G172)&gt;0,(COUNTIF(G-78:G171,"&lt;"&amp;G172)+0.5*COUNTIF(G-78:G171,G172))/COUNT(G-78:G171),COUNTIF(G-78:G171,"&lt;"&amp;G172)/COUNT(G-78:G171))))</f>
        <v/>
      </c>
      <c r="K172" s="11" t="inlineStr">
        <is>
          <t>中间分位</t>
        </is>
      </c>
      <c r="L172" s="11" t="n">
        <v>93</v>
      </c>
      <c r="M172" s="11" t="inlineStr">
        <is>
          <t>Back(近强)</t>
        </is>
      </c>
      <c r="N172" s="11" t="n">
        <v>1</v>
      </c>
      <c r="O172" s="11" t="n">
        <v>0</v>
      </c>
      <c r="P172" s="12" t="n">
        <v>-26</v>
      </c>
      <c r="Q172" s="11" t="inlineStr"/>
    </row>
    <row r="173">
      <c r="A173" s="6" t="inlineStr">
        <is>
          <t>2023-05-05</t>
        </is>
      </c>
      <c r="B173" s="6" t="inlineStr">
        <is>
          <t>MA2309</t>
        </is>
      </c>
      <c r="C173" s="6" t="inlineStr">
        <is>
          <t>2023-09</t>
        </is>
      </c>
      <c r="D173" s="7" t="n">
        <v>2411.67</v>
      </c>
      <c r="E173" s="7" t="n">
        <v>2281</v>
      </c>
      <c r="F173" s="7">
        <f>D173-E173</f>
        <v/>
      </c>
      <c r="G173" s="8">
        <f>IF(D173=0,"",(D173-E173)/D173)</f>
        <v/>
      </c>
      <c r="H173" s="9" t="n">
        <v>1572206</v>
      </c>
      <c r="I173" s="10" t="n">
        <v>0.75</v>
      </c>
      <c r="J173" s="10">
        <f>IF(COUNT(G-77:G172)&lt;20,"",IF(COUNTIF(G-77:G172,"&lt;"&amp;G173)&gt;=COUNT(G-77:G172),(COUNT(G-77:G172)-0.5)/COUNT(G-77:G172),IF(COUNTIF(G-77:G172,G173)&gt;0,(COUNTIF(G-77:G172,"&lt;"&amp;G173)+0.5*COUNTIF(G-77:G172,G173))/COUNT(G-77:G172),COUNTIF(G-77:G172,"&lt;"&amp;G173)/COUNT(G-77:G172))))</f>
        <v/>
      </c>
      <c r="K173" s="6" t="inlineStr">
        <is>
          <t>中间分位</t>
        </is>
      </c>
      <c r="L173" s="6" t="n">
        <v>92</v>
      </c>
      <c r="M173" s="6" t="inlineStr">
        <is>
          <t>结构不明</t>
        </is>
      </c>
      <c r="N173" s="6" t="n">
        <v>1</v>
      </c>
      <c r="O173" s="6" t="n">
        <v>0</v>
      </c>
      <c r="P173" s="7" t="n">
        <v>-38</v>
      </c>
      <c r="Q173" s="6" t="inlineStr"/>
    </row>
    <row r="174">
      <c r="A174" s="11" t="inlineStr">
        <is>
          <t>2023-05-08</t>
        </is>
      </c>
      <c r="B174" s="11" t="inlineStr">
        <is>
          <t>MA2309</t>
        </is>
      </c>
      <c r="C174" s="11" t="inlineStr">
        <is>
          <t>2023-09</t>
        </is>
      </c>
      <c r="D174" s="12" t="n">
        <v>2430</v>
      </c>
      <c r="E174" s="12" t="n">
        <v>2333</v>
      </c>
      <c r="F174" s="12">
        <f>D174-E174</f>
        <v/>
      </c>
      <c r="G174" s="13">
        <f>IF(D174=0,"",(D174-E174)/D174)</f>
        <v/>
      </c>
      <c r="H174" s="14" t="n">
        <v>1479356</v>
      </c>
      <c r="I174" s="15" t="n">
        <v>0.5858</v>
      </c>
      <c r="J174" s="15">
        <f>IF(COUNT(G-76:G173)&lt;20,"",IF(COUNTIF(G-76:G173,"&lt;"&amp;G174)&gt;=COUNT(G-76:G173),(COUNT(G-76:G173)-0.5)/COUNT(G-76:G173),IF(COUNTIF(G-76:G173,G174)&gt;0,(COUNTIF(G-76:G173,"&lt;"&amp;G174)+0.5*COUNTIF(G-76:G173,G174))/COUNT(G-76:G173),COUNTIF(G-76:G173,"&lt;"&amp;G174)/COUNT(G-76:G173))))</f>
        <v/>
      </c>
      <c r="K174" s="11" t="inlineStr">
        <is>
          <t>中间分位</t>
        </is>
      </c>
      <c r="L174" s="11" t="n">
        <v>91</v>
      </c>
      <c r="M174" s="11" t="inlineStr">
        <is>
          <t>Back(近强)</t>
        </is>
      </c>
      <c r="N174" s="11" t="n">
        <v>1</v>
      </c>
      <c r="O174" s="11" t="n">
        <v>0</v>
      </c>
      <c r="P174" s="12" t="n">
        <v>-16</v>
      </c>
      <c r="Q174" s="11" t="inlineStr"/>
    </row>
    <row r="175">
      <c r="A175" s="6" t="inlineStr">
        <is>
          <t>2023-05-09</t>
        </is>
      </c>
      <c r="B175" s="6" t="inlineStr">
        <is>
          <t>MA2309</t>
        </is>
      </c>
      <c r="C175" s="6" t="inlineStr">
        <is>
          <t>2023-09</t>
        </is>
      </c>
      <c r="D175" s="7" t="n">
        <v>2441.67</v>
      </c>
      <c r="E175" s="7" t="n">
        <v>2287</v>
      </c>
      <c r="F175" s="7">
        <f>D175-E175</f>
        <v/>
      </c>
      <c r="G175" s="8">
        <f>IF(D175=0,"",(D175-E175)/D175)</f>
        <v/>
      </c>
      <c r="H175" s="9" t="n">
        <v>1518287</v>
      </c>
      <c r="I175" s="10" t="n">
        <v>0.8118</v>
      </c>
      <c r="J175" s="10">
        <f>IF(COUNT(G-75:G174)&lt;20,"",IF(COUNTIF(G-75:G174,"&lt;"&amp;G175)&gt;=COUNT(G-75:G174),(COUNT(G-75:G174)-0.5)/COUNT(G-75:G174),IF(COUNTIF(G-75:G174,G175)&gt;0,(COUNTIF(G-75:G174,"&lt;"&amp;G175)+0.5*COUNTIF(G-75:G174,G175))/COUNT(G-75:G174),COUNTIF(G-75:G174,"&lt;"&amp;G175)/COUNT(G-75:G174))))</f>
        <v/>
      </c>
      <c r="K175" s="6" t="inlineStr">
        <is>
          <t>中间分位</t>
        </is>
      </c>
      <c r="L175" s="6" t="n">
        <v>90</v>
      </c>
      <c r="M175" s="6" t="inlineStr">
        <is>
          <t>Contango(远强)</t>
        </is>
      </c>
      <c r="N175" s="6" t="n">
        <v>1</v>
      </c>
      <c r="O175" s="6" t="n">
        <v>0</v>
      </c>
      <c r="P175" s="7" t="n">
        <v>-64</v>
      </c>
      <c r="Q175" s="6" t="inlineStr"/>
    </row>
    <row r="176">
      <c r="A176" s="11" t="inlineStr">
        <is>
          <t>2023-05-10</t>
        </is>
      </c>
      <c r="B176" s="11" t="inlineStr">
        <is>
          <t>MA2309</t>
        </is>
      </c>
      <c r="C176" s="11" t="inlineStr">
        <is>
          <t>2023-09</t>
        </is>
      </c>
      <c r="D176" s="12" t="n">
        <v>2401.67</v>
      </c>
      <c r="E176" s="12" t="n">
        <v>2264</v>
      </c>
      <c r="F176" s="12">
        <f>D176-E176</f>
        <v/>
      </c>
      <c r="G176" s="13">
        <f>IF(D176=0,"",(D176-E176)/D176)</f>
        <v/>
      </c>
      <c r="H176" s="14" t="n">
        <v>1574515</v>
      </c>
      <c r="I176" s="15" t="n">
        <v>0.7778</v>
      </c>
      <c r="J176" s="15">
        <f>IF(COUNT(G-74:G175)&lt;20,"",IF(COUNTIF(G-74:G175,"&lt;"&amp;G176)&gt;=COUNT(G-74:G175),(COUNT(G-74:G175)-0.5)/COUNT(G-74:G175),IF(COUNTIF(G-74:G175,G176)&gt;0,(COUNTIF(G-74:G175,"&lt;"&amp;G176)+0.5*COUNTIF(G-74:G175,G176))/COUNT(G-74:G175),COUNTIF(G-74:G175,"&lt;"&amp;G176)/COUNT(G-74:G175))))</f>
        <v/>
      </c>
      <c r="K176" s="11" t="inlineStr">
        <is>
          <t>中间分位</t>
        </is>
      </c>
      <c r="L176" s="11" t="n">
        <v>89</v>
      </c>
      <c r="M176" s="11" t="inlineStr">
        <is>
          <t>结构不明</t>
        </is>
      </c>
      <c r="N176" s="11" t="n">
        <v>1</v>
      </c>
      <c r="O176" s="11" t="n">
        <v>0</v>
      </c>
      <c r="P176" s="12" t="n">
        <v>-32</v>
      </c>
      <c r="Q176" s="11" t="inlineStr"/>
    </row>
    <row r="177">
      <c r="A177" s="6" t="inlineStr">
        <is>
          <t>2023-05-11</t>
        </is>
      </c>
      <c r="B177" s="6" t="inlineStr">
        <is>
          <t>MA2309</t>
        </is>
      </c>
      <c r="C177" s="6" t="inlineStr">
        <is>
          <t>2023-09</t>
        </is>
      </c>
      <c r="D177" s="7" t="n">
        <v>2370</v>
      </c>
      <c r="E177" s="7" t="n">
        <v>2260</v>
      </c>
      <c r="F177" s="7">
        <f>D177-E177</f>
        <v/>
      </c>
      <c r="G177" s="8">
        <f>IF(D177=0,"",(D177-E177)/D177)</f>
        <v/>
      </c>
      <c r="H177" s="9" t="n">
        <v>1600303</v>
      </c>
      <c r="I177" s="10" t="n">
        <v>0.6453</v>
      </c>
      <c r="J177" s="10">
        <f>IF(COUNT(G-73:G176)&lt;20,"",IF(COUNTIF(G-73:G176,"&lt;"&amp;G177)&gt;=COUNT(G-73:G176),(COUNT(G-73:G176)-0.5)/COUNT(G-73:G176),IF(COUNTIF(G-73:G176,G177)&gt;0,(COUNTIF(G-73:G176,"&lt;"&amp;G177)+0.5*COUNTIF(G-73:G176,G177))/COUNT(G-73:G176),COUNTIF(G-73:G176,"&lt;"&amp;G177)/COUNT(G-73:G176))))</f>
        <v/>
      </c>
      <c r="K177" s="6" t="inlineStr">
        <is>
          <t>中间分位</t>
        </is>
      </c>
      <c r="L177" s="6" t="n">
        <v>88</v>
      </c>
      <c r="M177" s="6" t="inlineStr">
        <is>
          <t>Back(近强)</t>
        </is>
      </c>
      <c r="N177" s="6" t="n">
        <v>1</v>
      </c>
      <c r="O177" s="6" t="n">
        <v>0</v>
      </c>
      <c r="P177" s="7" t="n">
        <v>-25</v>
      </c>
      <c r="Q177" s="6" t="inlineStr"/>
    </row>
    <row r="178">
      <c r="A178" s="11" t="inlineStr">
        <is>
          <t>2023-05-12</t>
        </is>
      </c>
      <c r="B178" s="11" t="inlineStr">
        <is>
          <t>MA2309</t>
        </is>
      </c>
      <c r="C178" s="11" t="inlineStr">
        <is>
          <t>2023-09</t>
        </is>
      </c>
      <c r="D178" s="12" t="n">
        <v>2360</v>
      </c>
      <c r="E178" s="12" t="n">
        <v>2216</v>
      </c>
      <c r="F178" s="12">
        <f>D178-E178</f>
        <v/>
      </c>
      <c r="G178" s="13">
        <f>IF(D178=0,"",(D178-E178)/D178)</f>
        <v/>
      </c>
      <c r="H178" s="14" t="n">
        <v>1592263</v>
      </c>
      <c r="I178" s="15" t="n">
        <v>0.7919</v>
      </c>
      <c r="J178" s="15">
        <f>IF(COUNT(G-72:G177)&lt;20,"",IF(COUNTIF(G-72:G177,"&lt;"&amp;G178)&gt;=COUNT(G-72:G177),(COUNT(G-72:G177)-0.5)/COUNT(G-72:G177),IF(COUNTIF(G-72:G177,G178)&gt;0,(COUNTIF(G-72:G177,"&lt;"&amp;G178)+0.5*COUNTIF(G-72:G177,G178))/COUNT(G-72:G177),COUNTIF(G-72:G177,"&lt;"&amp;G178)/COUNT(G-72:G177))))</f>
        <v/>
      </c>
      <c r="K178" s="11" t="inlineStr">
        <is>
          <t>中间分位</t>
        </is>
      </c>
      <c r="L178" s="11" t="n">
        <v>87</v>
      </c>
      <c r="M178" s="11" t="inlineStr">
        <is>
          <t>结构不明</t>
        </is>
      </c>
      <c r="N178" s="11" t="n">
        <v>1</v>
      </c>
      <c r="O178" s="11" t="n">
        <v>0</v>
      </c>
      <c r="P178" s="12" t="n">
        <v>-44</v>
      </c>
      <c r="Q178" s="11" t="inlineStr"/>
    </row>
    <row r="179">
      <c r="A179" s="6" t="inlineStr">
        <is>
          <t>2023-05-15</t>
        </is>
      </c>
      <c r="B179" s="6" t="inlineStr">
        <is>
          <t>MA2309</t>
        </is>
      </c>
      <c r="C179" s="6" t="inlineStr">
        <is>
          <t>2023-09</t>
        </is>
      </c>
      <c r="D179" s="7" t="n">
        <v>2327.5</v>
      </c>
      <c r="E179" s="7" t="n">
        <v>2236</v>
      </c>
      <c r="F179" s="7">
        <f>D179-E179</f>
        <v/>
      </c>
      <c r="G179" s="8">
        <f>IF(D179=0,"",(D179-E179)/D179)</f>
        <v/>
      </c>
      <c r="H179" s="9" t="n">
        <v>1623994</v>
      </c>
      <c r="I179" s="10" t="n">
        <v>0.5632</v>
      </c>
      <c r="J179" s="10">
        <f>IF(COUNT(G-71:G178)&lt;20,"",IF(COUNTIF(G-71:G178,"&lt;"&amp;G179)&gt;=COUNT(G-71:G178),(COUNT(G-71:G178)-0.5)/COUNT(G-71:G178),IF(COUNTIF(G-71:G178,G179)&gt;0,(COUNTIF(G-71:G178,"&lt;"&amp;G179)+0.5*COUNTIF(G-71:G178,G179))/COUNT(G-71:G178),COUNTIF(G-71:G178,"&lt;"&amp;G179)/COUNT(G-71:G178))))</f>
        <v/>
      </c>
      <c r="K179" s="6" t="inlineStr">
        <is>
          <t>中间分位</t>
        </is>
      </c>
      <c r="L179" s="6" t="n">
        <v>86</v>
      </c>
      <c r="M179" s="6" t="inlineStr">
        <is>
          <t>Back(近强)</t>
        </is>
      </c>
      <c r="N179" s="6" t="n">
        <v>1</v>
      </c>
      <c r="O179" s="6" t="n">
        <v>0</v>
      </c>
      <c r="P179" s="7" t="n">
        <v>-9</v>
      </c>
      <c r="Q179" s="6" t="inlineStr"/>
    </row>
    <row r="180">
      <c r="A180" s="11" t="inlineStr">
        <is>
          <t>2023-05-16</t>
        </is>
      </c>
      <c r="B180" s="11" t="inlineStr">
        <is>
          <t>MA2309</t>
        </is>
      </c>
      <c r="C180" s="11" t="inlineStr">
        <is>
          <t>2023-09</t>
        </is>
      </c>
      <c r="D180" s="12" t="n">
        <v>2335.83</v>
      </c>
      <c r="E180" s="12" t="n">
        <v>2249</v>
      </c>
      <c r="F180" s="12">
        <f>D180-E180</f>
        <v/>
      </c>
      <c r="G180" s="13">
        <f>IF(D180=0,"",(D180-E180)/D180)</f>
        <v/>
      </c>
      <c r="H180" s="14" t="n">
        <v>1557134</v>
      </c>
      <c r="I180" s="15" t="n">
        <v>0.5314</v>
      </c>
      <c r="J180" s="15">
        <f>IF(COUNT(G-70:G179)&lt;20,"",IF(COUNTIF(G-70:G179,"&lt;"&amp;G180)&gt;=COUNT(G-70:G179),(COUNT(G-70:G179)-0.5)/COUNT(G-70:G179),IF(COUNTIF(G-70:G179,G180)&gt;0,(COUNTIF(G-70:G179,"&lt;"&amp;G180)+0.5*COUNTIF(G-70:G179,G180))/COUNT(G-70:G179),COUNTIF(G-70:G179,"&lt;"&amp;G180)/COUNT(G-70:G179))))</f>
        <v/>
      </c>
      <c r="K180" s="11" t="inlineStr">
        <is>
          <t>中间分位</t>
        </is>
      </c>
      <c r="L180" s="11" t="n">
        <v>85</v>
      </c>
      <c r="M180" s="11" t="inlineStr">
        <is>
          <t>Back(近强)</t>
        </is>
      </c>
      <c r="N180" s="11" t="n">
        <v>1</v>
      </c>
      <c r="O180" s="11" t="n">
        <v>0</v>
      </c>
      <c r="P180" s="12" t="n">
        <v>-11</v>
      </c>
      <c r="Q180" s="11" t="inlineStr"/>
    </row>
    <row r="181">
      <c r="A181" s="6" t="inlineStr">
        <is>
          <t>2023-05-17</t>
        </is>
      </c>
      <c r="B181" s="6" t="inlineStr">
        <is>
          <t>MA2309</t>
        </is>
      </c>
      <c r="C181" s="6" t="inlineStr">
        <is>
          <t>2023-09</t>
        </is>
      </c>
      <c r="D181" s="7" t="n">
        <v>2345</v>
      </c>
      <c r="E181" s="7" t="n">
        <v>2276</v>
      </c>
      <c r="F181" s="7">
        <f>D181-E181</f>
        <v/>
      </c>
      <c r="G181" s="8">
        <f>IF(D181=0,"",(D181-E181)/D181)</f>
        <v/>
      </c>
      <c r="H181" s="9" t="n">
        <v>1524743</v>
      </c>
      <c r="I181" s="10" t="n">
        <v>0.3977</v>
      </c>
      <c r="J181" s="10">
        <f>IF(COUNT(G-69:G180)&lt;20,"",IF(COUNTIF(G-69:G180,"&lt;"&amp;G181)&gt;=COUNT(G-69:G180),(COUNT(G-69:G180)-0.5)/COUNT(G-69:G180),IF(COUNTIF(G-69:G180,G181)&gt;0,(COUNTIF(G-69:G180,"&lt;"&amp;G181)+0.5*COUNTIF(G-69:G180,G181))/COUNT(G-69:G180),COUNTIF(G-69:G180,"&lt;"&amp;G181)/COUNT(G-69:G180))))</f>
        <v/>
      </c>
      <c r="K181" s="6" t="inlineStr">
        <is>
          <t>中间分位</t>
        </is>
      </c>
      <c r="L181" s="6" t="n">
        <v>84</v>
      </c>
      <c r="M181" s="6" t="inlineStr">
        <is>
          <t>Back(近强)</t>
        </is>
      </c>
      <c r="N181" s="6" t="n">
        <v>1</v>
      </c>
      <c r="O181" s="6" t="n">
        <v>0</v>
      </c>
      <c r="P181" s="7" t="n">
        <v>-9</v>
      </c>
      <c r="Q181" s="6" t="inlineStr"/>
    </row>
    <row r="182">
      <c r="A182" s="11" t="inlineStr">
        <is>
          <t>2023-05-18</t>
        </is>
      </c>
      <c r="B182" s="11" t="inlineStr">
        <is>
          <t>MA2309</t>
        </is>
      </c>
      <c r="C182" s="11" t="inlineStr">
        <is>
          <t>2023-09</t>
        </is>
      </c>
      <c r="D182" s="12" t="n">
        <v>2365.83</v>
      </c>
      <c r="E182" s="12" t="n">
        <v>2240</v>
      </c>
      <c r="F182" s="12">
        <f>D182-E182</f>
        <v/>
      </c>
      <c r="G182" s="13">
        <f>IF(D182=0,"",(D182-E182)/D182)</f>
        <v/>
      </c>
      <c r="H182" s="14" t="n">
        <v>1554877</v>
      </c>
      <c r="I182" s="15" t="n">
        <v>0.7345</v>
      </c>
      <c r="J182" s="15">
        <f>IF(COUNT(G-68:G181)&lt;20,"",IF(COUNTIF(G-68:G181,"&lt;"&amp;G182)&gt;=COUNT(G-68:G181),(COUNT(G-68:G181)-0.5)/COUNT(G-68:G181),IF(COUNTIF(G-68:G181,G182)&gt;0,(COUNTIF(G-68:G181,"&lt;"&amp;G182)+0.5*COUNTIF(G-68:G181,G182))/COUNT(G-68:G181),COUNTIF(G-68:G181,"&lt;"&amp;G182)/COUNT(G-68:G181))))</f>
        <v/>
      </c>
      <c r="K182" s="11" t="inlineStr">
        <is>
          <t>中间分位</t>
        </is>
      </c>
      <c r="L182" s="11" t="n">
        <v>83</v>
      </c>
      <c r="M182" s="11" t="inlineStr">
        <is>
          <t>Back(近强)</t>
        </is>
      </c>
      <c r="N182" s="11" t="n">
        <v>1</v>
      </c>
      <c r="O182" s="11" t="n">
        <v>0</v>
      </c>
      <c r="P182" s="12" t="n">
        <v>-11</v>
      </c>
      <c r="Q182" s="11" t="inlineStr"/>
    </row>
    <row r="183">
      <c r="A183" s="6" t="inlineStr">
        <is>
          <t>2023-05-19</t>
        </is>
      </c>
      <c r="B183" s="6" t="inlineStr">
        <is>
          <t>MA2309</t>
        </is>
      </c>
      <c r="C183" s="6" t="inlineStr">
        <is>
          <t>2023-09</t>
        </is>
      </c>
      <c r="D183" s="7" t="n">
        <v>2343.33</v>
      </c>
      <c r="E183" s="7" t="n">
        <v>2167</v>
      </c>
      <c r="F183" s="7">
        <f>D183-E183</f>
        <v/>
      </c>
      <c r="G183" s="8">
        <f>IF(D183=0,"",(D183-E183)/D183)</f>
        <v/>
      </c>
      <c r="H183" s="9" t="n">
        <v>1786939</v>
      </c>
      <c r="I183" s="10" t="n">
        <v>0.882</v>
      </c>
      <c r="J183" s="10">
        <f>IF(COUNT(G-67:G182)&lt;20,"",IF(COUNTIF(G-67:G182,"&lt;"&amp;G183)&gt;=COUNT(G-67:G182),(COUNT(G-67:G182)-0.5)/COUNT(G-67:G182),IF(COUNTIF(G-67:G182,G183)&gt;0,(COUNTIF(G-67:G182,"&lt;"&amp;G183)+0.5*COUNTIF(G-67:G182,G183))/COUNT(G-67:G182),COUNTIF(G-67:G182,"&lt;"&amp;G183)/COUNT(G-67:G182))))</f>
        <v/>
      </c>
      <c r="K183" s="6" t="inlineStr">
        <is>
          <t>中间分位</t>
        </is>
      </c>
      <c r="L183" s="6" t="n">
        <v>82</v>
      </c>
      <c r="M183" s="6" t="inlineStr">
        <is>
          <t>Back(近强)</t>
        </is>
      </c>
      <c r="N183" s="6" t="n">
        <v>1</v>
      </c>
      <c r="O183" s="6" t="n">
        <v>0</v>
      </c>
      <c r="P183" s="7" t="n">
        <v>-8</v>
      </c>
      <c r="Q183" s="6" t="inlineStr"/>
    </row>
    <row r="184">
      <c r="A184" s="11" t="inlineStr">
        <is>
          <t>2023-05-22</t>
        </is>
      </c>
      <c r="B184" s="11" t="inlineStr">
        <is>
          <t>MA2309</t>
        </is>
      </c>
      <c r="C184" s="11" t="inlineStr">
        <is>
          <t>2023-09</t>
        </is>
      </c>
      <c r="D184" s="12" t="n">
        <v>2282.5</v>
      </c>
      <c r="E184" s="12" t="n">
        <v>2085</v>
      </c>
      <c r="F184" s="12">
        <f>D184-E184</f>
        <v/>
      </c>
      <c r="G184" s="13">
        <f>IF(D184=0,"",(D184-E184)/D184)</f>
        <v/>
      </c>
      <c r="H184" s="14" t="n">
        <v>1863415</v>
      </c>
      <c r="I184" s="15" t="n">
        <v>0.905</v>
      </c>
      <c r="J184" s="15">
        <f>IF(COUNT(G-66:G183)&lt;20,"",IF(COUNTIF(G-66:G183,"&lt;"&amp;G184)&gt;=COUNT(G-66:G183),(COUNT(G-66:G183)-0.5)/COUNT(G-66:G183),IF(COUNTIF(G-66:G183,G184)&gt;0,(COUNTIF(G-66:G183,"&lt;"&amp;G184)+0.5*COUNTIF(G-66:G183,G184))/COUNT(G-66:G183),COUNTIF(G-66:G183,"&lt;"&amp;G184)/COUNT(G-66:G183))))</f>
        <v/>
      </c>
      <c r="K184" s="11" t="inlineStr">
        <is>
          <t>高分位</t>
        </is>
      </c>
      <c r="L184" s="11" t="n">
        <v>81</v>
      </c>
      <c r="M184" s="11" t="inlineStr">
        <is>
          <t>Back(近强)</t>
        </is>
      </c>
      <c r="N184" s="11" t="n">
        <v>1</v>
      </c>
      <c r="O184" s="11" t="n">
        <v>0</v>
      </c>
      <c r="P184" s="12" t="n">
        <v>-17</v>
      </c>
      <c r="Q184" s="11" t="inlineStr"/>
    </row>
    <row r="185">
      <c r="A185" s="6" t="inlineStr">
        <is>
          <t>2023-05-23</t>
        </is>
      </c>
      <c r="B185" s="6" t="inlineStr">
        <is>
          <t>MA2309</t>
        </is>
      </c>
      <c r="C185" s="6" t="inlineStr">
        <is>
          <t>2023-09</t>
        </is>
      </c>
      <c r="D185" s="7" t="n">
        <v>2190.83</v>
      </c>
      <c r="E185" s="7" t="n">
        <v>2057</v>
      </c>
      <c r="F185" s="7">
        <f>D185-E185</f>
        <v/>
      </c>
      <c r="G185" s="8">
        <f>IF(D185=0,"",(D185-E185)/D185)</f>
        <v/>
      </c>
      <c r="H185" s="9" t="n">
        <v>1843141</v>
      </c>
      <c r="I185" s="10" t="n">
        <v>0.7889</v>
      </c>
      <c r="J185" s="10">
        <f>IF(COUNT(G-65:G184)&lt;20,"",IF(COUNTIF(G-65:G184,"&lt;"&amp;G185)&gt;=COUNT(G-65:G184),(COUNT(G-65:G184)-0.5)/COUNT(G-65:G184),IF(COUNTIF(G-65:G184,G185)&gt;0,(COUNTIF(G-65:G184,"&lt;"&amp;G185)+0.5*COUNTIF(G-65:G184,G185))/COUNT(G-65:G184),COUNTIF(G-65:G184,"&lt;"&amp;G185)/COUNT(G-65:G184))))</f>
        <v/>
      </c>
      <c r="K185" s="6" t="inlineStr">
        <is>
          <t>中间分位</t>
        </is>
      </c>
      <c r="L185" s="6" t="n">
        <v>80</v>
      </c>
      <c r="M185" s="6" t="inlineStr">
        <is>
          <t>结构不明</t>
        </is>
      </c>
      <c r="N185" s="6" t="n">
        <v>1</v>
      </c>
      <c r="O185" s="6" t="n">
        <v>0</v>
      </c>
      <c r="P185" s="7" t="n">
        <v>-29</v>
      </c>
      <c r="Q185" s="6" t="inlineStr"/>
    </row>
    <row r="186">
      <c r="A186" s="11" t="inlineStr">
        <is>
          <t>2023-05-24</t>
        </is>
      </c>
      <c r="B186" s="11" t="inlineStr">
        <is>
          <t>MA2309</t>
        </is>
      </c>
      <c r="C186" s="11" t="inlineStr">
        <is>
          <t>2023-09</t>
        </is>
      </c>
      <c r="D186" s="12" t="n">
        <v>2174.17</v>
      </c>
      <c r="E186" s="12" t="n">
        <v>2071</v>
      </c>
      <c r="F186" s="12">
        <f>D186-E186</f>
        <v/>
      </c>
      <c r="G186" s="13">
        <f>IF(D186=0,"",(D186-E186)/D186)</f>
        <v/>
      </c>
      <c r="H186" s="14" t="n">
        <v>1788254</v>
      </c>
      <c r="I186" s="15" t="n">
        <v>0.6464</v>
      </c>
      <c r="J186" s="15">
        <f>IF(COUNT(G-64:G185)&lt;20,"",IF(COUNTIF(G-64:G185,"&lt;"&amp;G186)&gt;=COUNT(G-64:G185),(COUNT(G-64:G185)-0.5)/COUNT(G-64:G185),IF(COUNTIF(G-64:G185,G186)&gt;0,(COUNTIF(G-64:G185,"&lt;"&amp;G186)+0.5*COUNTIF(G-64:G185,G186))/COUNT(G-64:G185),COUNTIF(G-64:G185,"&lt;"&amp;G186)/COUNT(G-64:G185))))</f>
        <v/>
      </c>
      <c r="K186" s="11" t="inlineStr">
        <is>
          <t>中间分位</t>
        </is>
      </c>
      <c r="L186" s="11" t="n">
        <v>79</v>
      </c>
      <c r="M186" s="11" t="inlineStr">
        <is>
          <t>结构不明</t>
        </is>
      </c>
      <c r="N186" s="11" t="n">
        <v>1</v>
      </c>
      <c r="O186" s="11" t="n">
        <v>0</v>
      </c>
      <c r="P186" s="12" t="n">
        <v>-39</v>
      </c>
      <c r="Q186" s="11" t="inlineStr"/>
    </row>
    <row r="187">
      <c r="A187" s="6" t="inlineStr">
        <is>
          <t>2023-05-25</t>
        </is>
      </c>
      <c r="B187" s="6" t="inlineStr">
        <is>
          <t>MA2309</t>
        </is>
      </c>
      <c r="C187" s="6" t="inlineStr">
        <is>
          <t>2023-09</t>
        </is>
      </c>
      <c r="D187" s="7" t="n">
        <v>2175.83</v>
      </c>
      <c r="E187" s="7" t="n">
        <v>2012</v>
      </c>
      <c r="F187" s="7">
        <f>D187-E187</f>
        <v/>
      </c>
      <c r="G187" s="8">
        <f>IF(D187=0,"",(D187-E187)/D187)</f>
        <v/>
      </c>
      <c r="H187" s="9" t="n">
        <v>1899995</v>
      </c>
      <c r="I187" s="10" t="n">
        <v>0.8791</v>
      </c>
      <c r="J187" s="10">
        <f>IF(COUNT(G-63:G186)&lt;20,"",IF(COUNTIF(G-63:G186,"&lt;"&amp;G187)&gt;=COUNT(G-63:G186),(COUNT(G-63:G186)-0.5)/COUNT(G-63:G186),IF(COUNTIF(G-63:G186,G187)&gt;0,(COUNTIF(G-63:G186,"&lt;"&amp;G187)+0.5*COUNTIF(G-63:G186,G187))/COUNT(G-63:G186),COUNTIF(G-63:G186,"&lt;"&amp;G187)/COUNT(G-63:G186))))</f>
        <v/>
      </c>
      <c r="K187" s="6" t="inlineStr">
        <is>
          <t>中间分位</t>
        </is>
      </c>
      <c r="L187" s="6" t="n">
        <v>78</v>
      </c>
      <c r="M187" s="6" t="inlineStr">
        <is>
          <t>结构不明</t>
        </is>
      </c>
      <c r="N187" s="6" t="n">
        <v>1</v>
      </c>
      <c r="O187" s="6" t="n">
        <v>0</v>
      </c>
      <c r="P187" s="7" t="n">
        <v>-33</v>
      </c>
      <c r="Q187" s="6" t="inlineStr"/>
    </row>
    <row r="188">
      <c r="A188" s="11" t="inlineStr">
        <is>
          <t>2023-05-26</t>
        </is>
      </c>
      <c r="B188" s="11" t="inlineStr">
        <is>
          <t>MA2309</t>
        </is>
      </c>
      <c r="C188" s="11" t="inlineStr">
        <is>
          <t>2023-09</t>
        </is>
      </c>
      <c r="D188" s="12" t="n">
        <v>2135.83</v>
      </c>
      <c r="E188" s="12" t="n">
        <v>2049</v>
      </c>
      <c r="F188" s="12">
        <f>D188-E188</f>
        <v/>
      </c>
      <c r="G188" s="13">
        <f>IF(D188=0,"",(D188-E188)/D188)</f>
        <v/>
      </c>
      <c r="H188" s="14" t="n">
        <v>2021781</v>
      </c>
      <c r="I188" s="15" t="n">
        <v>0.5738</v>
      </c>
      <c r="J188" s="15">
        <f>IF(COUNT(G-62:G187)&lt;20,"",IF(COUNTIF(G-62:G187,"&lt;"&amp;G188)&gt;=COUNT(G-62:G187),(COUNT(G-62:G187)-0.5)/COUNT(G-62:G187),IF(COUNTIF(G-62:G187,G188)&gt;0,(COUNTIF(G-62:G187,"&lt;"&amp;G188)+0.5*COUNTIF(G-62:G187,G188))/COUNT(G-62:G187),COUNTIF(G-62:G187,"&lt;"&amp;G188)/COUNT(G-62:G187))))</f>
        <v/>
      </c>
      <c r="K188" s="11" t="inlineStr">
        <is>
          <t>中间分位</t>
        </is>
      </c>
      <c r="L188" s="11" t="n">
        <v>77</v>
      </c>
      <c r="M188" s="11" t="inlineStr">
        <is>
          <t>Contango(远强)</t>
        </is>
      </c>
      <c r="N188" s="11" t="n">
        <v>1</v>
      </c>
      <c r="O188" s="11" t="n">
        <v>0</v>
      </c>
      <c r="P188" s="12" t="n">
        <v>-55</v>
      </c>
      <c r="Q188" s="11" t="inlineStr"/>
    </row>
    <row r="189">
      <c r="A189" s="6" t="inlineStr">
        <is>
          <t>2023-05-29</t>
        </is>
      </c>
      <c r="B189" s="6" t="inlineStr">
        <is>
          <t>MA2309</t>
        </is>
      </c>
      <c r="C189" s="6" t="inlineStr">
        <is>
          <t>2023-09</t>
        </is>
      </c>
      <c r="D189" s="7" t="n">
        <v>2194.17</v>
      </c>
      <c r="E189" s="7" t="n">
        <v>2051</v>
      </c>
      <c r="F189" s="7">
        <f>D189-E189</f>
        <v/>
      </c>
      <c r="G189" s="8">
        <f>IF(D189=0,"",(D189-E189)/D189)</f>
        <v/>
      </c>
      <c r="H189" s="9" t="n">
        <v>1932364</v>
      </c>
      <c r="I189" s="10" t="n">
        <v>0.8207</v>
      </c>
      <c r="J189" s="10">
        <f>IF(COUNT(G-61:G188)&lt;20,"",IF(COUNTIF(G-61:G188,"&lt;"&amp;G189)&gt;=COUNT(G-61:G188),(COUNT(G-61:G188)-0.5)/COUNT(G-61:G188),IF(COUNTIF(G-61:G188,G189)&gt;0,(COUNTIF(G-61:G188,"&lt;"&amp;G189)+0.5*COUNTIF(G-61:G188,G189))/COUNT(G-61:G188),COUNTIF(G-61:G188,"&lt;"&amp;G189)/COUNT(G-61:G188))))</f>
        <v/>
      </c>
      <c r="K189" s="6" t="inlineStr">
        <is>
          <t>中间分位</t>
        </is>
      </c>
      <c r="L189" s="6" t="n">
        <v>76</v>
      </c>
      <c r="M189" s="6" t="inlineStr">
        <is>
          <t>Contango(远强)</t>
        </is>
      </c>
      <c r="N189" s="6" t="n">
        <v>1</v>
      </c>
      <c r="O189" s="6" t="n">
        <v>0</v>
      </c>
      <c r="P189" s="7" t="n">
        <v>-57</v>
      </c>
      <c r="Q189" s="6" t="inlineStr"/>
    </row>
    <row r="190">
      <c r="A190" s="11" t="inlineStr">
        <is>
          <t>2023-05-30</t>
        </is>
      </c>
      <c r="B190" s="11" t="inlineStr">
        <is>
          <t>MA2309</t>
        </is>
      </c>
      <c r="C190" s="11" t="inlineStr">
        <is>
          <t>2023-09</t>
        </is>
      </c>
      <c r="D190" s="12" t="n">
        <v>2208.33</v>
      </c>
      <c r="E190" s="12" t="n">
        <v>2018</v>
      </c>
      <c r="F190" s="12">
        <f>D190-E190</f>
        <v/>
      </c>
      <c r="G190" s="13">
        <f>IF(D190=0,"",(D190-E190)/D190)</f>
        <v/>
      </c>
      <c r="H190" s="14" t="n">
        <v>1914403</v>
      </c>
      <c r="I190" s="15" t="n">
        <v>0.9026999999999999</v>
      </c>
      <c r="J190" s="15">
        <f>IF(COUNT(G-60:G189)&lt;20,"",IF(COUNTIF(G-60:G189,"&lt;"&amp;G190)&gt;=COUNT(G-60:G189),(COUNT(G-60:G189)-0.5)/COUNT(G-60:G189),IF(COUNTIF(G-60:G189,G190)&gt;0,(COUNTIF(G-60:G189,"&lt;"&amp;G190)+0.5*COUNTIF(G-60:G189,G190))/COUNT(G-60:G189),COUNTIF(G-60:G189,"&lt;"&amp;G190)/COUNT(G-60:G189))))</f>
        <v/>
      </c>
      <c r="K190" s="11" t="inlineStr">
        <is>
          <t>高分位</t>
        </is>
      </c>
      <c r="L190" s="11" t="n">
        <v>75</v>
      </c>
      <c r="M190" s="11" t="inlineStr">
        <is>
          <t>Contango(远强)</t>
        </is>
      </c>
      <c r="N190" s="11" t="n">
        <v>1</v>
      </c>
      <c r="O190" s="11" t="n">
        <v>0</v>
      </c>
      <c r="P190" s="12" t="n">
        <v>-59</v>
      </c>
      <c r="Q190" s="11" t="inlineStr"/>
    </row>
    <row r="191">
      <c r="A191" s="6" t="inlineStr">
        <is>
          <t>2023-05-31</t>
        </is>
      </c>
      <c r="B191" s="6" t="inlineStr">
        <is>
          <t>MA2309</t>
        </is>
      </c>
      <c r="C191" s="6" t="inlineStr">
        <is>
          <t>2023-09</t>
        </is>
      </c>
      <c r="D191" s="7" t="n">
        <v>2175</v>
      </c>
      <c r="E191" s="7" t="n">
        <v>2020</v>
      </c>
      <c r="F191" s="7">
        <f>D191-E191</f>
        <v/>
      </c>
      <c r="G191" s="8">
        <f>IF(D191=0,"",(D191-E191)/D191)</f>
        <v/>
      </c>
      <c r="H191" s="9" t="n">
        <v>1884523</v>
      </c>
      <c r="I191" s="10" t="n">
        <v>0.8333</v>
      </c>
      <c r="J191" s="10">
        <f>IF(COUNT(G-59:G190)&lt;20,"",IF(COUNTIF(G-59:G190,"&lt;"&amp;G191)&gt;=COUNT(G-59:G190),(COUNT(G-59:G190)-0.5)/COUNT(G-59:G190),IF(COUNTIF(G-59:G190,G191)&gt;0,(COUNTIF(G-59:G190,"&lt;"&amp;G191)+0.5*COUNTIF(G-59:G190,G191))/COUNT(G-59:G190),COUNTIF(G-59:G190,"&lt;"&amp;G191)/COUNT(G-59:G190))))</f>
        <v/>
      </c>
      <c r="K191" s="6" t="inlineStr">
        <is>
          <t>中间分位</t>
        </is>
      </c>
      <c r="L191" s="6" t="n">
        <v>74</v>
      </c>
      <c r="M191" s="6" t="inlineStr">
        <is>
          <t>Back(近强)</t>
        </is>
      </c>
      <c r="N191" s="6" t="n">
        <v>1</v>
      </c>
      <c r="O191" s="6" t="n">
        <v>0</v>
      </c>
      <c r="P191" s="7" t="n">
        <v>-20</v>
      </c>
      <c r="Q191" s="6" t="inlineStr"/>
    </row>
    <row r="192">
      <c r="A192" s="11" t="inlineStr">
        <is>
          <t>2023-06-01</t>
        </is>
      </c>
      <c r="B192" s="11" t="inlineStr">
        <is>
          <t>MA2309</t>
        </is>
      </c>
      <c r="C192" s="11" t="inlineStr">
        <is>
          <t>2023-09</t>
        </is>
      </c>
      <c r="D192" s="12" t="n">
        <v>2160</v>
      </c>
      <c r="E192" s="12" t="n">
        <v>2056</v>
      </c>
      <c r="F192" s="12">
        <f>D192-E192</f>
        <v/>
      </c>
      <c r="G192" s="13">
        <f>IF(D192=0,"",(D192-E192)/D192)</f>
        <v/>
      </c>
      <c r="H192" s="14" t="n">
        <v>1852032</v>
      </c>
      <c r="I192" s="15" t="n">
        <v>0.6417</v>
      </c>
      <c r="J192" s="15">
        <f>IF(COUNT(G-58:G191)&lt;20,"",IF(COUNTIF(G-58:G191,"&lt;"&amp;G192)&gt;=COUNT(G-58:G191),(COUNT(G-58:G191)-0.5)/COUNT(G-58:G191),IF(COUNTIF(G-58:G191,G192)&gt;0,(COUNTIF(G-58:G191,"&lt;"&amp;G192)+0.5*COUNTIF(G-58:G191,G192))/COUNT(G-58:G191),COUNTIF(G-58:G191,"&lt;"&amp;G192)/COUNT(G-58:G191))))</f>
        <v/>
      </c>
      <c r="K192" s="11" t="inlineStr">
        <is>
          <t>中间分位</t>
        </is>
      </c>
      <c r="L192" s="11" t="n">
        <v>73</v>
      </c>
      <c r="M192" s="11" t="inlineStr">
        <is>
          <t>Back(近强)</t>
        </is>
      </c>
      <c r="N192" s="11" t="n">
        <v>1</v>
      </c>
      <c r="O192" s="11" t="n">
        <v>0</v>
      </c>
      <c r="P192" s="12" t="n">
        <v>-18</v>
      </c>
      <c r="Q192" s="11" t="inlineStr"/>
    </row>
    <row r="193">
      <c r="A193" s="6" t="inlineStr">
        <is>
          <t>2023-06-02</t>
        </is>
      </c>
      <c r="B193" s="6" t="inlineStr">
        <is>
          <t>MA2309</t>
        </is>
      </c>
      <c r="C193" s="6" t="inlineStr">
        <is>
          <t>2023-09</t>
        </is>
      </c>
      <c r="D193" s="7" t="n">
        <v>2161.67</v>
      </c>
      <c r="E193" s="7" t="n">
        <v>2089</v>
      </c>
      <c r="F193" s="7">
        <f>D193-E193</f>
        <v/>
      </c>
      <c r="G193" s="8">
        <f>IF(D193=0,"",(D193-E193)/D193)</f>
        <v/>
      </c>
      <c r="H193" s="9" t="n">
        <v>1900656</v>
      </c>
      <c r="I193" s="10" t="n">
        <v>0.4521</v>
      </c>
      <c r="J193" s="10">
        <f>IF(COUNT(G-57:G192)&lt;20,"",IF(COUNTIF(G-57:G192,"&lt;"&amp;G193)&gt;=COUNT(G-57:G192),(COUNT(G-57:G192)-0.5)/COUNT(G-57:G192),IF(COUNTIF(G-57:G192,G193)&gt;0,(COUNTIF(G-57:G192,"&lt;"&amp;G193)+0.5*COUNTIF(G-57:G192,G193))/COUNT(G-57:G192),COUNTIF(G-57:G192,"&lt;"&amp;G193)/COUNT(G-57:G192))))</f>
        <v/>
      </c>
      <c r="K193" s="6" t="inlineStr">
        <is>
          <t>中间分位</t>
        </is>
      </c>
      <c r="L193" s="6" t="n">
        <v>72</v>
      </c>
      <c r="M193" s="6" t="inlineStr">
        <is>
          <t>结构不明</t>
        </is>
      </c>
      <c r="N193" s="6" t="n">
        <v>1</v>
      </c>
      <c r="O193" s="6" t="n">
        <v>0</v>
      </c>
      <c r="P193" s="7" t="n">
        <v>-22</v>
      </c>
      <c r="Q193" s="6" t="inlineStr"/>
    </row>
    <row r="194">
      <c r="A194" s="11" t="inlineStr">
        <is>
          <t>2023-06-05</t>
        </is>
      </c>
      <c r="B194" s="11" t="inlineStr">
        <is>
          <t>MA2309</t>
        </is>
      </c>
      <c r="C194" s="11" t="inlineStr">
        <is>
          <t>2023-09</t>
        </is>
      </c>
      <c r="D194" s="12" t="n">
        <v>2191.67</v>
      </c>
      <c r="E194" s="12" t="n">
        <v>2059</v>
      </c>
      <c r="F194" s="12">
        <f>D194-E194</f>
        <v/>
      </c>
      <c r="G194" s="13">
        <f>IF(D194=0,"",(D194-E194)/D194)</f>
        <v/>
      </c>
      <c r="H194" s="14" t="n">
        <v>1773896</v>
      </c>
      <c r="I194" s="15" t="n">
        <v>0.7672</v>
      </c>
      <c r="J194" s="15">
        <f>IF(COUNT(G-56:G193)&lt;20,"",IF(COUNTIF(G-56:G193,"&lt;"&amp;G194)&gt;=COUNT(G-56:G193),(COUNT(G-56:G193)-0.5)/COUNT(G-56:G193),IF(COUNTIF(G-56:G193,G194)&gt;0,(COUNTIF(G-56:G193,"&lt;"&amp;G194)+0.5*COUNTIF(G-56:G193,G194))/COUNT(G-56:G193),COUNTIF(G-56:G193,"&lt;"&amp;G194)/COUNT(G-56:G193))))</f>
        <v/>
      </c>
      <c r="K194" s="11" t="inlineStr">
        <is>
          <t>中间分位</t>
        </is>
      </c>
      <c r="L194" s="11" t="n">
        <v>71</v>
      </c>
      <c r="M194" s="11" t="inlineStr">
        <is>
          <t>结构不明</t>
        </is>
      </c>
      <c r="N194" s="11" t="n">
        <v>1</v>
      </c>
      <c r="O194" s="11" t="n">
        <v>0</v>
      </c>
      <c r="P194" s="12" t="n">
        <v>-30</v>
      </c>
      <c r="Q194" s="11" t="inlineStr"/>
    </row>
    <row r="195">
      <c r="A195" s="6" t="inlineStr">
        <is>
          <t>2023-06-06</t>
        </is>
      </c>
      <c r="B195" s="6" t="inlineStr">
        <is>
          <t>MA2309</t>
        </is>
      </c>
      <c r="C195" s="6" t="inlineStr">
        <is>
          <t>2023-09</t>
        </is>
      </c>
      <c r="D195" s="7" t="n">
        <v>2180</v>
      </c>
      <c r="E195" s="7" t="n">
        <v>2041</v>
      </c>
      <c r="F195" s="7">
        <f>D195-E195</f>
        <v/>
      </c>
      <c r="G195" s="8">
        <f>IF(D195=0,"",(D195-E195)/D195)</f>
        <v/>
      </c>
      <c r="H195" s="9" t="n">
        <v>1852436</v>
      </c>
      <c r="I195" s="10" t="n">
        <v>0.8</v>
      </c>
      <c r="J195" s="10">
        <f>IF(COUNT(G-55:G194)&lt;20,"",IF(COUNTIF(G-55:G194,"&lt;"&amp;G195)&gt;=COUNT(G-55:G194),(COUNT(G-55:G194)-0.5)/COUNT(G-55:G194),IF(COUNTIF(G-55:G194,G195)&gt;0,(COUNTIF(G-55:G194,"&lt;"&amp;G195)+0.5*COUNTIF(G-55:G194,G195))/COUNT(G-55:G194),COUNTIF(G-55:G194,"&lt;"&amp;G195)/COUNT(G-55:G194))))</f>
        <v/>
      </c>
      <c r="K195" s="6" t="inlineStr">
        <is>
          <t>中间分位</t>
        </is>
      </c>
      <c r="L195" s="6" t="n">
        <v>70</v>
      </c>
      <c r="M195" s="6" t="inlineStr">
        <is>
          <t>Contango(远强)</t>
        </is>
      </c>
      <c r="N195" s="6" t="n">
        <v>1</v>
      </c>
      <c r="O195" s="6" t="n">
        <v>0</v>
      </c>
      <c r="P195" s="7" t="n">
        <v>-41</v>
      </c>
      <c r="Q195" s="6" t="inlineStr"/>
    </row>
    <row r="196">
      <c r="A196" s="11" t="inlineStr">
        <is>
          <t>2023-06-07</t>
        </is>
      </c>
      <c r="B196" s="11" t="inlineStr">
        <is>
          <t>MA2309</t>
        </is>
      </c>
      <c r="C196" s="11" t="inlineStr">
        <is>
          <t>2023-09</t>
        </is>
      </c>
      <c r="D196" s="12" t="n">
        <v>2140</v>
      </c>
      <c r="E196" s="12" t="n">
        <v>2008</v>
      </c>
      <c r="F196" s="12">
        <f>D196-E196</f>
        <v/>
      </c>
      <c r="G196" s="13">
        <f>IF(D196=0,"",(D196-E196)/D196)</f>
        <v/>
      </c>
      <c r="H196" s="14" t="n">
        <v>1815507</v>
      </c>
      <c r="I196" s="15" t="n">
        <v>0.7749</v>
      </c>
      <c r="J196" s="15">
        <f>IF(COUNT(G-54:G195)&lt;20,"",IF(COUNTIF(G-54:G195,"&lt;"&amp;G196)&gt;=COUNT(G-54:G195),(COUNT(G-54:G195)-0.5)/COUNT(G-54:G195),IF(COUNTIF(G-54:G195,G196)&gt;0,(COUNTIF(G-54:G195,"&lt;"&amp;G196)+0.5*COUNTIF(G-54:G195,G196))/COUNT(G-54:G195),COUNTIF(G-54:G195,"&lt;"&amp;G196)/COUNT(G-54:G195))))</f>
        <v/>
      </c>
      <c r="K196" s="11" t="inlineStr">
        <is>
          <t>中间分位</t>
        </is>
      </c>
      <c r="L196" s="11" t="n">
        <v>69</v>
      </c>
      <c r="M196" s="11" t="inlineStr">
        <is>
          <t>Back(近强)</t>
        </is>
      </c>
      <c r="N196" s="11" t="n">
        <v>1</v>
      </c>
      <c r="O196" s="11" t="n">
        <v>0</v>
      </c>
      <c r="P196" s="12" t="n">
        <v>0</v>
      </c>
      <c r="Q196" s="11" t="inlineStr"/>
    </row>
    <row r="197">
      <c r="A197" s="6" t="inlineStr">
        <is>
          <t>2023-06-08</t>
        </is>
      </c>
      <c r="B197" s="6" t="inlineStr">
        <is>
          <t>MA2309</t>
        </is>
      </c>
      <c r="C197" s="6" t="inlineStr">
        <is>
          <t>2023-09</t>
        </is>
      </c>
      <c r="D197" s="7" t="n">
        <v>2114.17</v>
      </c>
      <c r="E197" s="7" t="n">
        <v>2041</v>
      </c>
      <c r="F197" s="7">
        <f>D197-E197</f>
        <v/>
      </c>
      <c r="G197" s="8">
        <f>IF(D197=0,"",(D197-E197)/D197)</f>
        <v/>
      </c>
      <c r="H197" s="9" t="n">
        <v>1861479</v>
      </c>
      <c r="I197" s="10" t="n">
        <v>0.4635</v>
      </c>
      <c r="J197" s="10">
        <f>IF(COUNT(G-53:G196)&lt;20,"",IF(COUNTIF(G-53:G196,"&lt;"&amp;G197)&gt;=COUNT(G-53:G196),(COUNT(G-53:G196)-0.5)/COUNT(G-53:G196),IF(COUNTIF(G-53:G196,G197)&gt;0,(COUNTIF(G-53:G196,"&lt;"&amp;G197)+0.5*COUNTIF(G-53:G196,G197))/COUNT(G-53:G196),COUNTIF(G-53:G196,"&lt;"&amp;G197)/COUNT(G-53:G196))))</f>
        <v/>
      </c>
      <c r="K197" s="6" t="inlineStr">
        <is>
          <t>中间分位</t>
        </is>
      </c>
      <c r="L197" s="6" t="n">
        <v>68</v>
      </c>
      <c r="M197" s="6" t="inlineStr">
        <is>
          <t>Back(近强)</t>
        </is>
      </c>
      <c r="N197" s="6" t="n">
        <v>1</v>
      </c>
      <c r="O197" s="6" t="n">
        <v>0</v>
      </c>
      <c r="P197" s="7" t="n">
        <v>0</v>
      </c>
      <c r="Q197" s="6" t="inlineStr"/>
    </row>
    <row r="198">
      <c r="A198" s="11" t="inlineStr">
        <is>
          <t>2023-06-09</t>
        </is>
      </c>
      <c r="B198" s="11" t="inlineStr">
        <is>
          <t>MA2309</t>
        </is>
      </c>
      <c r="C198" s="11" t="inlineStr">
        <is>
          <t>2023-09</t>
        </is>
      </c>
      <c r="D198" s="12" t="n">
        <v>2085.83</v>
      </c>
      <c r="E198" s="12" t="n">
        <v>2043</v>
      </c>
      <c r="F198" s="12">
        <f>D198-E198</f>
        <v/>
      </c>
      <c r="G198" s="13">
        <f>IF(D198=0,"",(D198-E198)/D198)</f>
        <v/>
      </c>
      <c r="H198" s="14" t="n">
        <v>1746621</v>
      </c>
      <c r="I198" s="15" t="n">
        <v>0.2539</v>
      </c>
      <c r="J198" s="15">
        <f>IF(COUNT(G-52:G197)&lt;20,"",IF(COUNTIF(G-52:G197,"&lt;"&amp;G198)&gt;=COUNT(G-52:G197),(COUNT(G-52:G197)-0.5)/COUNT(G-52:G197),IF(COUNTIF(G-52:G197,G198)&gt;0,(COUNTIF(G-52:G197,"&lt;"&amp;G198)+0.5*COUNTIF(G-52:G197,G198))/COUNT(G-52:G197),COUNTIF(G-52:G197,"&lt;"&amp;G198)/COUNT(G-52:G197))))</f>
        <v/>
      </c>
      <c r="K198" s="11" t="inlineStr">
        <is>
          <t>中间分位</t>
        </is>
      </c>
      <c r="L198" s="11" t="n">
        <v>67</v>
      </c>
      <c r="M198" s="11" t="inlineStr">
        <is>
          <t>Back(近强)</t>
        </is>
      </c>
      <c r="N198" s="11" t="n">
        <v>1</v>
      </c>
      <c r="O198" s="11" t="n">
        <v>0</v>
      </c>
      <c r="P198" s="12" t="n">
        <v>-4</v>
      </c>
      <c r="Q198" s="11" t="inlineStr"/>
    </row>
    <row r="199">
      <c r="A199" s="6" t="inlineStr">
        <is>
          <t>2023-06-12</t>
        </is>
      </c>
      <c r="B199" s="6" t="inlineStr">
        <is>
          <t>MA2309</t>
        </is>
      </c>
      <c r="C199" s="6" t="inlineStr">
        <is>
          <t>2023-09</t>
        </is>
      </c>
      <c r="D199" s="7" t="n">
        <v>2075</v>
      </c>
      <c r="E199" s="7" t="n">
        <v>1969</v>
      </c>
      <c r="F199" s="7">
        <f>D199-E199</f>
        <v/>
      </c>
      <c r="G199" s="8">
        <f>IF(D199=0,"",(D199-E199)/D199)</f>
        <v/>
      </c>
      <c r="H199" s="9" t="n">
        <v>2010597</v>
      </c>
      <c r="I199" s="10" t="n">
        <v>0.6804</v>
      </c>
      <c r="J199" s="10">
        <f>IF(COUNT(G-51:G198)&lt;20,"",IF(COUNTIF(G-51:G198,"&lt;"&amp;G199)&gt;=COUNT(G-51:G198),(COUNT(G-51:G198)-0.5)/COUNT(G-51:G198),IF(COUNTIF(G-51:G198,G199)&gt;0,(COUNTIF(G-51:G198,"&lt;"&amp;G199)+0.5*COUNTIF(G-51:G198,G199))/COUNT(G-51:G198),COUNTIF(G-51:G198,"&lt;"&amp;G199)/COUNT(G-51:G198))))</f>
        <v/>
      </c>
      <c r="K199" s="6" t="inlineStr">
        <is>
          <t>中间分位</t>
        </is>
      </c>
      <c r="L199" s="6" t="n">
        <v>66</v>
      </c>
      <c r="M199" s="6" t="inlineStr">
        <is>
          <t>Contango(远强)</t>
        </is>
      </c>
      <c r="N199" s="6" t="n">
        <v>1</v>
      </c>
      <c r="O199" s="6" t="n">
        <v>0</v>
      </c>
      <c r="P199" s="7" t="n">
        <v>-82</v>
      </c>
      <c r="Q199" s="6" t="inlineStr"/>
    </row>
    <row r="200">
      <c r="A200" s="11" t="inlineStr">
        <is>
          <t>2023-06-13</t>
        </is>
      </c>
      <c r="B200" s="11" t="inlineStr">
        <is>
          <t>MA2309</t>
        </is>
      </c>
      <c r="C200" s="11" t="inlineStr">
        <is>
          <t>2023-09</t>
        </is>
      </c>
      <c r="D200" s="12" t="n">
        <v>2015.83</v>
      </c>
      <c r="E200" s="12" t="n">
        <v>2011</v>
      </c>
      <c r="F200" s="12">
        <f>D200-E200</f>
        <v/>
      </c>
      <c r="G200" s="13">
        <f>IF(D200=0,"",(D200-E200)/D200)</f>
        <v/>
      </c>
      <c r="H200" s="14" t="n">
        <v>1905275</v>
      </c>
      <c r="I200" s="15" t="n">
        <v>0.1282</v>
      </c>
      <c r="J200" s="15">
        <f>IF(COUNT(G-50:G199)&lt;20,"",IF(COUNTIF(G-50:G199,"&lt;"&amp;G200)&gt;=COUNT(G-50:G199),(COUNT(G-50:G199)-0.5)/COUNT(G-50:G199),IF(COUNTIF(G-50:G199,G200)&gt;0,(COUNTIF(G-50:G199,"&lt;"&amp;G200)+0.5*COUNTIF(G-50:G199,G200))/COUNT(G-50:G199),COUNTIF(G-50:G199,"&lt;"&amp;G200)/COUNT(G-50:G199))))</f>
        <v/>
      </c>
      <c r="K200" s="11" t="inlineStr">
        <is>
          <t>中间分位</t>
        </is>
      </c>
      <c r="L200" s="11" t="n">
        <v>65</v>
      </c>
      <c r="M200" s="11" t="inlineStr">
        <is>
          <t>Back(近强)</t>
        </is>
      </c>
      <c r="N200" s="11" t="n">
        <v>1</v>
      </c>
      <c r="O200" s="11" t="n">
        <v>0</v>
      </c>
      <c r="P200" s="12" t="n">
        <v>-3</v>
      </c>
      <c r="Q200" s="11" t="inlineStr"/>
    </row>
    <row r="201">
      <c r="A201" s="6" t="inlineStr">
        <is>
          <t>2023-06-14</t>
        </is>
      </c>
      <c r="B201" s="6" t="inlineStr">
        <is>
          <t>MA2309</t>
        </is>
      </c>
      <c r="C201" s="6" t="inlineStr">
        <is>
          <t>2023-09</t>
        </is>
      </c>
      <c r="D201" s="7" t="n">
        <v>2050.83</v>
      </c>
      <c r="E201" s="7" t="n">
        <v>2014</v>
      </c>
      <c r="F201" s="7">
        <f>D201-E201</f>
        <v/>
      </c>
      <c r="G201" s="8">
        <f>IF(D201=0,"",(D201-E201)/D201)</f>
        <v/>
      </c>
      <c r="H201" s="9" t="n">
        <v>1907875</v>
      </c>
      <c r="I201" s="10" t="n">
        <v>0.2296</v>
      </c>
      <c r="J201" s="10">
        <f>IF(COUNT(G-49:G200)&lt;20,"",IF(COUNTIF(G-49:G200,"&lt;"&amp;G201)&gt;=COUNT(G-49:G200),(COUNT(G-49:G200)-0.5)/COUNT(G-49:G200),IF(COUNTIF(G-49:G200,G201)&gt;0,(COUNTIF(G-49:G200,"&lt;"&amp;G201)+0.5*COUNTIF(G-49:G200,G201))/COUNT(G-49:G200),COUNTIF(G-49:G200,"&lt;"&amp;G201)/COUNT(G-49:G200))))</f>
        <v/>
      </c>
      <c r="K201" s="6" t="inlineStr">
        <is>
          <t>中间分位</t>
        </is>
      </c>
      <c r="L201" s="6" t="n">
        <v>64</v>
      </c>
      <c r="M201" s="6" t="inlineStr">
        <is>
          <t>Back(近强)</t>
        </is>
      </c>
      <c r="N201" s="6" t="n">
        <v>1</v>
      </c>
      <c r="O201" s="6" t="n">
        <v>0</v>
      </c>
      <c r="P201" s="7" t="n">
        <v>4</v>
      </c>
      <c r="Q201" s="6" t="inlineStr"/>
    </row>
    <row r="202">
      <c r="A202" s="11" t="inlineStr">
        <is>
          <t>2023-06-15</t>
        </is>
      </c>
      <c r="B202" s="11" t="inlineStr">
        <is>
          <t>MA2309</t>
        </is>
      </c>
      <c r="C202" s="11" t="inlineStr">
        <is>
          <t>2023-09</t>
        </is>
      </c>
      <c r="D202" s="12" t="n">
        <v>2042.5</v>
      </c>
      <c r="E202" s="12" t="n">
        <v>2036</v>
      </c>
      <c r="F202" s="12">
        <f>D202-E202</f>
        <v/>
      </c>
      <c r="G202" s="13">
        <f>IF(D202=0,"",(D202-E202)/D202)</f>
        <v/>
      </c>
      <c r="H202" s="14" t="n">
        <v>1817293</v>
      </c>
      <c r="I202" s="15" t="n">
        <v>0.1371</v>
      </c>
      <c r="J202" s="15">
        <f>IF(COUNT(G-48:G201)&lt;20,"",IF(COUNTIF(G-48:G201,"&lt;"&amp;G202)&gt;=COUNT(G-48:G201),(COUNT(G-48:G201)-0.5)/COUNT(G-48:G201),IF(COUNTIF(G-48:G201,G202)&gt;0,(COUNTIF(G-48:G201,"&lt;"&amp;G202)+0.5*COUNTIF(G-48:G201,G202))/COUNT(G-48:G201),COUNTIF(G-48:G201,"&lt;"&amp;G202)/COUNT(G-48:G201))))</f>
        <v/>
      </c>
      <c r="K202" s="11" t="inlineStr">
        <is>
          <t>中间分位</t>
        </is>
      </c>
      <c r="L202" s="11" t="n">
        <v>63</v>
      </c>
      <c r="M202" s="11" t="inlineStr">
        <is>
          <t>Back(近强)</t>
        </is>
      </c>
      <c r="N202" s="11" t="n">
        <v>1</v>
      </c>
      <c r="O202" s="11" t="n">
        <v>0</v>
      </c>
      <c r="P202" s="12" t="n">
        <v>20</v>
      </c>
      <c r="Q202" s="11" t="inlineStr"/>
    </row>
    <row r="203">
      <c r="A203" s="6" t="inlineStr">
        <is>
          <t>2023-06-16</t>
        </is>
      </c>
      <c r="B203" s="6" t="inlineStr">
        <is>
          <t>MA2309</t>
        </is>
      </c>
      <c r="C203" s="6" t="inlineStr">
        <is>
          <t>2023-09</t>
        </is>
      </c>
      <c r="D203" s="7" t="n">
        <v>2060</v>
      </c>
      <c r="E203" s="7" t="n">
        <v>2058</v>
      </c>
      <c r="F203" s="7">
        <f>D203-E203</f>
        <v/>
      </c>
      <c r="G203" s="8">
        <f>IF(D203=0,"",(D203-E203)/D203)</f>
        <v/>
      </c>
      <c r="H203" s="9" t="n">
        <v>1811677</v>
      </c>
      <c r="I203" s="10" t="n">
        <v>0.1212</v>
      </c>
      <c r="J203" s="10">
        <f>IF(COUNT(G-47:G202)&lt;20,"",IF(COUNTIF(G-47:G202,"&lt;"&amp;G203)&gt;=COUNT(G-47:G202),(COUNT(G-47:G202)-0.5)/COUNT(G-47:G202),IF(COUNTIF(G-47:G202,G203)&gt;0,(COUNTIF(G-47:G202,"&lt;"&amp;G203)+0.5*COUNTIF(G-47:G202,G203))/COUNT(G-47:G202),COUNTIF(G-47:G202,"&lt;"&amp;G203)/COUNT(G-47:G202))))</f>
        <v/>
      </c>
      <c r="K203" s="6" t="inlineStr">
        <is>
          <t>中间分位</t>
        </is>
      </c>
      <c r="L203" s="6" t="n">
        <v>62</v>
      </c>
      <c r="M203" s="6" t="inlineStr">
        <is>
          <t>Back(近强)</t>
        </is>
      </c>
      <c r="N203" s="6" t="n">
        <v>1</v>
      </c>
      <c r="O203" s="6" t="n">
        <v>0</v>
      </c>
      <c r="P203" s="7" t="n">
        <v>19</v>
      </c>
      <c r="Q203" s="6" t="inlineStr"/>
    </row>
    <row r="204">
      <c r="A204" s="11" t="inlineStr">
        <is>
          <t>2023-06-19</t>
        </is>
      </c>
      <c r="B204" s="11" t="inlineStr">
        <is>
          <t>MA2309</t>
        </is>
      </c>
      <c r="C204" s="11" t="inlineStr">
        <is>
          <t>2023-09</t>
        </is>
      </c>
      <c r="D204" s="12" t="n">
        <v>2074.17</v>
      </c>
      <c r="E204" s="12" t="n">
        <v>2051</v>
      </c>
      <c r="F204" s="12">
        <f>D204-E204</f>
        <v/>
      </c>
      <c r="G204" s="13">
        <f>IF(D204=0,"",(D204-E204)/D204)</f>
        <v/>
      </c>
      <c r="H204" s="14" t="n">
        <v>1814393</v>
      </c>
      <c r="I204" s="15" t="n">
        <v>0.201</v>
      </c>
      <c r="J204" s="15">
        <f>IF(COUNT(G-46:G203)&lt;20,"",IF(COUNTIF(G-46:G203,"&lt;"&amp;G204)&gt;=COUNT(G-46:G203),(COUNT(G-46:G203)-0.5)/COUNT(G-46:G203),IF(COUNTIF(G-46:G203,G204)&gt;0,(COUNTIF(G-46:G203,"&lt;"&amp;G204)+0.5*COUNTIF(G-46:G203,G204))/COUNT(G-46:G203),COUNTIF(G-46:G203,"&lt;"&amp;G204)/COUNT(G-46:G203))))</f>
        <v/>
      </c>
      <c r="K204" s="11" t="inlineStr">
        <is>
          <t>中间分位</t>
        </is>
      </c>
      <c r="L204" s="11" t="n">
        <v>61</v>
      </c>
      <c r="M204" s="11" t="inlineStr">
        <is>
          <t>Back(近强)</t>
        </is>
      </c>
      <c r="N204" s="11" t="n">
        <v>1</v>
      </c>
      <c r="O204" s="11" t="n">
        <v>0</v>
      </c>
      <c r="P204" s="12" t="n">
        <v>22</v>
      </c>
      <c r="Q204" s="11" t="inlineStr"/>
    </row>
    <row r="205">
      <c r="A205" s="6" t="inlineStr">
        <is>
          <t>2023-06-20</t>
        </is>
      </c>
      <c r="B205" s="6" t="inlineStr">
        <is>
          <t>MA2309</t>
        </is>
      </c>
      <c r="C205" s="6" t="inlineStr">
        <is>
          <t>2023-09</t>
        </is>
      </c>
      <c r="D205" s="7" t="n">
        <v>2065.83</v>
      </c>
      <c r="E205" s="7" t="n">
        <v>2080</v>
      </c>
      <c r="F205" s="7">
        <f>D205-E205</f>
        <v/>
      </c>
      <c r="G205" s="8">
        <f>IF(D205=0,"",(D205-E205)/D205)</f>
        <v/>
      </c>
      <c r="H205" s="9" t="n">
        <v>1773055</v>
      </c>
      <c r="I205" s="10" t="n">
        <v>0.1</v>
      </c>
      <c r="J205" s="10">
        <f>IF(COUNT(G-45:G204)&lt;20,"",IF(COUNTIF(G-45:G204,"&lt;"&amp;G205)&gt;=COUNT(G-45:G204),(COUNT(G-45:G204)-0.5)/COUNT(G-45:G204),IF(COUNTIF(G-45:G204,G205)&gt;0,(COUNTIF(G-45:G204,"&lt;"&amp;G205)+0.5*COUNTIF(G-45:G204,G205))/COUNT(G-45:G204),COUNTIF(G-45:G204,"&lt;"&amp;G205)/COUNT(G-45:G204))))</f>
        <v/>
      </c>
      <c r="K205" s="6" t="inlineStr">
        <is>
          <t>低分位</t>
        </is>
      </c>
      <c r="L205" s="6" t="n">
        <v>60</v>
      </c>
      <c r="M205" s="6" t="inlineStr">
        <is>
          <t>Back(近强)</t>
        </is>
      </c>
      <c r="N205" s="6" t="n">
        <v>1</v>
      </c>
      <c r="O205" s="6" t="n">
        <v>0</v>
      </c>
      <c r="P205" s="7" t="n">
        <v>21</v>
      </c>
      <c r="Q205" s="6" t="inlineStr"/>
    </row>
    <row r="206">
      <c r="A206" s="11" t="inlineStr">
        <is>
          <t>2023-06-21</t>
        </is>
      </c>
      <c r="B206" s="11" t="inlineStr">
        <is>
          <t>MA2309</t>
        </is>
      </c>
      <c r="C206" s="11" t="inlineStr">
        <is>
          <t>2023-09</t>
        </is>
      </c>
      <c r="D206" s="12" t="n">
        <v>2091.67</v>
      </c>
      <c r="E206" s="12" t="n">
        <v>2075</v>
      </c>
      <c r="F206" s="12">
        <f>D206-E206</f>
        <v/>
      </c>
      <c r="G206" s="13">
        <f>IF(D206=0,"",(D206-E206)/D206)</f>
        <v/>
      </c>
      <c r="H206" s="14" t="n">
        <v>1733847</v>
      </c>
      <c r="I206" s="15" t="n">
        <v>0.1741</v>
      </c>
      <c r="J206" s="15">
        <f>IF(COUNT(G-44:G205)&lt;20,"",IF(COUNTIF(G-44:G205,"&lt;"&amp;G206)&gt;=COUNT(G-44:G205),(COUNT(G-44:G205)-0.5)/COUNT(G-44:G205),IF(COUNTIF(G-44:G205,G206)&gt;0,(COUNTIF(G-44:G205,"&lt;"&amp;G206)+0.5*COUNTIF(G-44:G205,G206))/COUNT(G-44:G205),COUNTIF(G-44:G205,"&lt;"&amp;G206)/COUNT(G-44:G205))))</f>
        <v/>
      </c>
      <c r="K206" s="11" t="inlineStr">
        <is>
          <t>中间分位</t>
        </is>
      </c>
      <c r="L206" s="11" t="n">
        <v>59</v>
      </c>
      <c r="M206" s="11" t="inlineStr">
        <is>
          <t>Back(近强)</t>
        </is>
      </c>
      <c r="N206" s="11" t="n">
        <v>1</v>
      </c>
      <c r="O206" s="11" t="n">
        <v>0</v>
      </c>
      <c r="P206" s="12" t="n">
        <v>12</v>
      </c>
      <c r="Q206" s="11" t="inlineStr"/>
    </row>
    <row r="207">
      <c r="A207" s="6" t="inlineStr">
        <is>
          <t>2023-06-26</t>
        </is>
      </c>
      <c r="B207" s="6" t="inlineStr">
        <is>
          <t>MA2309</t>
        </is>
      </c>
      <c r="C207" s="6" t="inlineStr">
        <is>
          <t>2023-09</t>
        </is>
      </c>
      <c r="D207" s="7" t="n">
        <v>2080</v>
      </c>
      <c r="E207" s="7" t="n">
        <v>2045</v>
      </c>
      <c r="F207" s="7">
        <f>D207-E207</f>
        <v/>
      </c>
      <c r="G207" s="8">
        <f>IF(D207=0,"",(D207-E207)/D207)</f>
        <v/>
      </c>
      <c r="H207" s="9" t="n">
        <v>1755793</v>
      </c>
      <c r="I207" s="10" t="n">
        <v>0.2426</v>
      </c>
      <c r="J207" s="10">
        <f>IF(COUNT(G-43:G206)&lt;20,"",IF(COUNTIF(G-43:G206,"&lt;"&amp;G207)&gt;=COUNT(G-43:G206),(COUNT(G-43:G206)-0.5)/COUNT(G-43:G206),IF(COUNTIF(G-43:G206,G207)&gt;0,(COUNTIF(G-43:G206,"&lt;"&amp;G207)+0.5*COUNTIF(G-43:G206,G207))/COUNT(G-43:G206),COUNTIF(G-43:G206,"&lt;"&amp;G207)/COUNT(G-43:G206))))</f>
        <v/>
      </c>
      <c r="K207" s="6" t="inlineStr">
        <is>
          <t>中间分位</t>
        </is>
      </c>
      <c r="L207" s="6" t="n">
        <v>58</v>
      </c>
      <c r="M207" s="6" t="inlineStr">
        <is>
          <t>Back(近强)</t>
        </is>
      </c>
      <c r="N207" s="6" t="n">
        <v>1</v>
      </c>
      <c r="O207" s="6" t="n">
        <v>0</v>
      </c>
      <c r="P207" s="7" t="n">
        <v>0</v>
      </c>
      <c r="Q207" s="6" t="inlineStr"/>
    </row>
    <row r="208">
      <c r="A208" s="11" t="inlineStr">
        <is>
          <t>2023-06-27</t>
        </is>
      </c>
      <c r="B208" s="11" t="inlineStr">
        <is>
          <t>MA2309</t>
        </is>
      </c>
      <c r="C208" s="11" t="inlineStr">
        <is>
          <t>2023-09</t>
        </is>
      </c>
      <c r="D208" s="12" t="n">
        <v>2074.17</v>
      </c>
      <c r="E208" s="12" t="n">
        <v>2091</v>
      </c>
      <c r="F208" s="12">
        <f>D208-E208</f>
        <v/>
      </c>
      <c r="G208" s="13">
        <f>IF(D208=0,"",(D208-E208)/D208)</f>
        <v/>
      </c>
      <c r="H208" s="14" t="n">
        <v>1831710</v>
      </c>
      <c r="I208" s="15" t="n">
        <v>0.0887</v>
      </c>
      <c r="J208" s="15">
        <f>IF(COUNT(G-42:G207)&lt;20,"",IF(COUNTIF(G-42:G207,"&lt;"&amp;G208)&gt;=COUNT(G-42:G207),(COUNT(G-42:G207)-0.5)/COUNT(G-42:G207),IF(COUNTIF(G-42:G207,G208)&gt;0,(COUNTIF(G-42:G207,"&lt;"&amp;G208)+0.5*COUNTIF(G-42:G207,G208))/COUNT(G-42:G207),COUNTIF(G-42:G207,"&lt;"&amp;G208)/COUNT(G-42:G207))))</f>
        <v/>
      </c>
      <c r="K208" s="11" t="inlineStr">
        <is>
          <t>低分位</t>
        </is>
      </c>
      <c r="L208" s="11" t="n">
        <v>57</v>
      </c>
      <c r="M208" s="11" t="inlineStr">
        <is>
          <t>Back(近强)</t>
        </is>
      </c>
      <c r="N208" s="11" t="n">
        <v>1</v>
      </c>
      <c r="O208" s="11" t="n">
        <v>0</v>
      </c>
      <c r="P208" s="12" t="n">
        <v>9</v>
      </c>
      <c r="Q208" s="11" t="inlineStr"/>
    </row>
    <row r="209">
      <c r="A209" s="6" t="inlineStr">
        <is>
          <t>2023-06-28</t>
        </is>
      </c>
      <c r="B209" s="6" t="inlineStr">
        <is>
          <t>MA2309</t>
        </is>
      </c>
      <c r="C209" s="6" t="inlineStr">
        <is>
          <t>2023-09</t>
        </is>
      </c>
      <c r="D209" s="7" t="n">
        <v>2114.17</v>
      </c>
      <c r="E209" s="7" t="n">
        <v>2098</v>
      </c>
      <c r="F209" s="7">
        <f>D209-E209</f>
        <v/>
      </c>
      <c r="G209" s="8">
        <f>IF(D209=0,"",(D209-E209)/D209)</f>
        <v/>
      </c>
      <c r="H209" s="9" t="n">
        <v>1780931</v>
      </c>
      <c r="I209" s="10" t="n">
        <v>0.1765</v>
      </c>
      <c r="J209" s="10">
        <f>IF(COUNT(G-41:G208)&lt;20,"",IF(COUNTIF(G-41:G208,"&lt;"&amp;G209)&gt;=COUNT(G-41:G208),(COUNT(G-41:G208)-0.5)/COUNT(G-41:G208),IF(COUNTIF(G-41:G208,G209)&gt;0,(COUNTIF(G-41:G208,"&lt;"&amp;G209)+0.5*COUNTIF(G-41:G208,G209))/COUNT(G-41:G208),COUNTIF(G-41:G208,"&lt;"&amp;G209)/COUNT(G-41:G208))))</f>
        <v/>
      </c>
      <c r="K209" s="6" t="inlineStr">
        <is>
          <t>中间分位</t>
        </is>
      </c>
      <c r="L209" s="6" t="n">
        <v>56</v>
      </c>
      <c r="M209" s="6" t="inlineStr">
        <is>
          <t>Back(近强)</t>
        </is>
      </c>
      <c r="N209" s="6" t="n">
        <v>1</v>
      </c>
      <c r="O209" s="6" t="n">
        <v>0</v>
      </c>
      <c r="P209" s="7" t="n">
        <v>1</v>
      </c>
      <c r="Q209" s="6" t="inlineStr"/>
    </row>
    <row r="210">
      <c r="A210" s="11" t="inlineStr">
        <is>
          <t>2023-06-29</t>
        </is>
      </c>
      <c r="B210" s="11" t="inlineStr">
        <is>
          <t>MA2309</t>
        </is>
      </c>
      <c r="C210" s="11" t="inlineStr">
        <is>
          <t>2023-09</t>
        </is>
      </c>
      <c r="D210" s="12" t="n">
        <v>2120</v>
      </c>
      <c r="E210" s="12" t="n">
        <v>2144</v>
      </c>
      <c r="F210" s="12">
        <f>D210-E210</f>
        <v/>
      </c>
      <c r="G210" s="13">
        <f>IF(D210=0,"",(D210-E210)/D210)</f>
        <v/>
      </c>
      <c r="H210" s="14" t="n">
        <v>1925785</v>
      </c>
      <c r="I210" s="15" t="n">
        <v>0.0683</v>
      </c>
      <c r="J210" s="15">
        <f>IF(COUNT(G-40:G209)&lt;20,"",IF(COUNTIF(G-40:G209,"&lt;"&amp;G210)&gt;=COUNT(G-40:G209),(COUNT(G-40:G209)-0.5)/COUNT(G-40:G209),IF(COUNTIF(G-40:G209,G210)&gt;0,(COUNTIF(G-40:G209,"&lt;"&amp;G210)+0.5*COUNTIF(G-40:G209,G210))/COUNT(G-40:G209),COUNTIF(G-40:G209,"&lt;"&amp;G210)/COUNT(G-40:G209))))</f>
        <v/>
      </c>
      <c r="K210" s="11" t="inlineStr">
        <is>
          <t>低分位</t>
        </is>
      </c>
      <c r="L210" s="11" t="n">
        <v>55</v>
      </c>
      <c r="M210" s="11" t="inlineStr">
        <is>
          <t>Back(近强)</t>
        </is>
      </c>
      <c r="N210" s="11" t="n">
        <v>1</v>
      </c>
      <c r="O210" s="11" t="n">
        <v>0</v>
      </c>
      <c r="P210" s="12" t="n">
        <v>-9</v>
      </c>
      <c r="Q210" s="11" t="inlineStr"/>
    </row>
    <row r="211">
      <c r="A211" s="6" t="inlineStr">
        <is>
          <t>2023-06-30</t>
        </is>
      </c>
      <c r="B211" s="6" t="inlineStr">
        <is>
          <t>MA2309</t>
        </is>
      </c>
      <c r="C211" s="6" t="inlineStr">
        <is>
          <t>2023-09</t>
        </is>
      </c>
      <c r="D211" s="7" t="n">
        <v>2161.67</v>
      </c>
      <c r="E211" s="7" t="n">
        <v>2161</v>
      </c>
      <c r="F211" s="7">
        <f>D211-E211</f>
        <v/>
      </c>
      <c r="G211" s="8">
        <f>IF(D211=0,"",(D211-E211)/D211)</f>
        <v/>
      </c>
      <c r="H211" s="9" t="n">
        <v>1771774</v>
      </c>
      <c r="I211" s="10" t="n">
        <v>0.1262</v>
      </c>
      <c r="J211" s="10">
        <f>IF(COUNT(G-39:G210)&lt;20,"",IF(COUNTIF(G-39:G210,"&lt;"&amp;G211)&gt;=COUNT(G-39:G210),(COUNT(G-39:G210)-0.5)/COUNT(G-39:G210),IF(COUNTIF(G-39:G210,G211)&gt;0,(COUNTIF(G-39:G210,"&lt;"&amp;G211)+0.5*COUNTIF(G-39:G210,G211))/COUNT(G-39:G210),COUNTIF(G-39:G210,"&lt;"&amp;G211)/COUNT(G-39:G210))))</f>
        <v/>
      </c>
      <c r="K211" s="6" t="inlineStr">
        <is>
          <t>中间分位</t>
        </is>
      </c>
      <c r="L211" s="6" t="n">
        <v>54</v>
      </c>
      <c r="M211" s="6" t="inlineStr">
        <is>
          <t>Back(近强)</t>
        </is>
      </c>
      <c r="N211" s="6" t="n">
        <v>1</v>
      </c>
      <c r="O211" s="6" t="n">
        <v>0</v>
      </c>
      <c r="P211" s="7" t="n">
        <v>-13</v>
      </c>
      <c r="Q211" s="6" t="inlineStr"/>
    </row>
    <row r="212">
      <c r="A212" s="11" t="inlineStr">
        <is>
          <t>2023-07-03</t>
        </is>
      </c>
      <c r="B212" s="11" t="inlineStr">
        <is>
          <t>MA2309</t>
        </is>
      </c>
      <c r="C212" s="11" t="inlineStr">
        <is>
          <t>2023-09</t>
        </is>
      </c>
      <c r="D212" s="12" t="n">
        <v>2180</v>
      </c>
      <c r="E212" s="12" t="n">
        <v>2164</v>
      </c>
      <c r="F212" s="12">
        <f>D212-E212</f>
        <v/>
      </c>
      <c r="G212" s="13">
        <f>IF(D212=0,"",(D212-E212)/D212)</f>
        <v/>
      </c>
      <c r="H212" s="14" t="n">
        <v>1759466</v>
      </c>
      <c r="I212" s="15" t="n">
        <v>0.1787</v>
      </c>
      <c r="J212" s="15">
        <f>IF(COUNT(G-38:G211)&lt;20,"",IF(COUNTIF(G-38:G211,"&lt;"&amp;G212)&gt;=COUNT(G-38:G211),(COUNT(G-38:G211)-0.5)/COUNT(G-38:G211),IF(COUNTIF(G-38:G211,G212)&gt;0,(COUNTIF(G-38:G211,"&lt;"&amp;G212)+0.5*COUNTIF(G-38:G211,G212))/COUNT(G-38:G211),COUNTIF(G-38:G211,"&lt;"&amp;G212)/COUNT(G-38:G211))))</f>
        <v/>
      </c>
      <c r="K212" s="11" t="inlineStr">
        <is>
          <t>中间分位</t>
        </is>
      </c>
      <c r="L212" s="11" t="n">
        <v>53</v>
      </c>
      <c r="M212" s="11" t="inlineStr">
        <is>
          <t>Back(近强)</t>
        </is>
      </c>
      <c r="N212" s="11" t="n">
        <v>1</v>
      </c>
      <c r="O212" s="11" t="n">
        <v>0</v>
      </c>
      <c r="P212" s="12" t="n">
        <v>-16</v>
      </c>
      <c r="Q212" s="11" t="inlineStr"/>
    </row>
    <row r="213">
      <c r="A213" s="6" t="inlineStr">
        <is>
          <t>2023-07-04</t>
        </is>
      </c>
      <c r="B213" s="6" t="inlineStr">
        <is>
          <t>MA2309</t>
        </is>
      </c>
      <c r="C213" s="6" t="inlineStr">
        <is>
          <t>2023-09</t>
        </is>
      </c>
      <c r="D213" s="7" t="n">
        <v>2180</v>
      </c>
      <c r="E213" s="7" t="n">
        <v>2154</v>
      </c>
      <c r="F213" s="7">
        <f>D213-E213</f>
        <v/>
      </c>
      <c r="G213" s="8">
        <f>IF(D213=0,"",(D213-E213)/D213)</f>
        <v/>
      </c>
      <c r="H213" s="9" t="n">
        <v>1734178</v>
      </c>
      <c r="I213" s="10" t="n">
        <v>0.2356</v>
      </c>
      <c r="J213" s="10">
        <f>IF(COUNT(G-37:G212)&lt;20,"",IF(COUNTIF(G-37:G212,"&lt;"&amp;G213)&gt;=COUNT(G-37:G212),(COUNT(G-37:G212)-0.5)/COUNT(G-37:G212),IF(COUNTIF(G-37:G212,G213)&gt;0,(COUNTIF(G-37:G212,"&lt;"&amp;G213)+0.5*COUNTIF(G-37:G212,G213))/COUNT(G-37:G212),COUNTIF(G-37:G212,"&lt;"&amp;G213)/COUNT(G-37:G212))))</f>
        <v/>
      </c>
      <c r="K213" s="6" t="inlineStr">
        <is>
          <t>中间分位</t>
        </is>
      </c>
      <c r="L213" s="6" t="n">
        <v>52</v>
      </c>
      <c r="M213" s="6" t="inlineStr">
        <is>
          <t>Back(近强)</t>
        </is>
      </c>
      <c r="N213" s="6" t="n">
        <v>1</v>
      </c>
      <c r="O213" s="6" t="n">
        <v>0</v>
      </c>
      <c r="P213" s="7" t="n">
        <v>-15</v>
      </c>
      <c r="Q213" s="6" t="inlineStr"/>
    </row>
    <row r="214">
      <c r="A214" s="11" t="inlineStr">
        <is>
          <t>2023-07-05</t>
        </is>
      </c>
      <c r="B214" s="11" t="inlineStr">
        <is>
          <t>MA2309</t>
        </is>
      </c>
      <c r="C214" s="11" t="inlineStr">
        <is>
          <t>2023-09</t>
        </is>
      </c>
      <c r="D214" s="12" t="n">
        <v>2170</v>
      </c>
      <c r="E214" s="12" t="n">
        <v>2124</v>
      </c>
      <c r="F214" s="12">
        <f>D214-E214</f>
        <v/>
      </c>
      <c r="G214" s="13">
        <f>IF(D214=0,"",(D214-E214)/D214)</f>
        <v/>
      </c>
      <c r="H214" s="14" t="n">
        <v>1784003</v>
      </c>
      <c r="I214" s="15" t="n">
        <v>0.3062</v>
      </c>
      <c r="J214" s="15">
        <f>IF(COUNT(G-36:G213)&lt;20,"",IF(COUNTIF(G-36:G213,"&lt;"&amp;G214)&gt;=COUNT(G-36:G213),(COUNT(G-36:G213)-0.5)/COUNT(G-36:G213),IF(COUNTIF(G-36:G213,G214)&gt;0,(COUNTIF(G-36:G213,"&lt;"&amp;G214)+0.5*COUNTIF(G-36:G213,G214))/COUNT(G-36:G213),COUNTIF(G-36:G213,"&lt;"&amp;G214)/COUNT(G-36:G213))))</f>
        <v/>
      </c>
      <c r="K214" s="11" t="inlineStr">
        <is>
          <t>中间分位</t>
        </is>
      </c>
      <c r="L214" s="11" t="n">
        <v>51</v>
      </c>
      <c r="M214" s="11" t="inlineStr">
        <is>
          <t>Back(近强)</t>
        </is>
      </c>
      <c r="N214" s="11" t="n">
        <v>1</v>
      </c>
      <c r="O214" s="11" t="n">
        <v>0</v>
      </c>
      <c r="P214" s="12" t="n">
        <v>0</v>
      </c>
      <c r="Q214" s="11" t="inlineStr"/>
    </row>
    <row r="215">
      <c r="A215" s="6" t="inlineStr">
        <is>
          <t>2023-07-06</t>
        </is>
      </c>
      <c r="B215" s="6" t="inlineStr">
        <is>
          <t>MA2309</t>
        </is>
      </c>
      <c r="C215" s="6" t="inlineStr">
        <is>
          <t>2023-09</t>
        </is>
      </c>
      <c r="D215" s="7" t="n">
        <v>2137.5</v>
      </c>
      <c r="E215" s="7" t="n">
        <v>2157</v>
      </c>
      <c r="F215" s="7">
        <f>D215-E215</f>
        <v/>
      </c>
      <c r="G215" s="8">
        <f>IF(D215=0,"",(D215-E215)/D215)</f>
        <v/>
      </c>
      <c r="H215" s="9" t="n">
        <v>1691992</v>
      </c>
      <c r="I215" s="10" t="n">
        <v>0.081</v>
      </c>
      <c r="J215" s="10">
        <f>IF(COUNT(G-35:G214)&lt;20,"",IF(COUNTIF(G-35:G214,"&lt;"&amp;G215)&gt;=COUNT(G-35:G214),(COUNT(G-35:G214)-0.5)/COUNT(G-35:G214),IF(COUNTIF(G-35:G214,G215)&gt;0,(COUNTIF(G-35:G214,"&lt;"&amp;G215)+0.5*COUNTIF(G-35:G214,G215))/COUNT(G-35:G214),COUNTIF(G-35:G214,"&lt;"&amp;G215)/COUNT(G-35:G214))))</f>
        <v/>
      </c>
      <c r="K215" s="6" t="inlineStr">
        <is>
          <t>低分位</t>
        </is>
      </c>
      <c r="L215" s="6" t="n">
        <v>50</v>
      </c>
      <c r="M215" s="6" t="inlineStr">
        <is>
          <t>Back(近强)</t>
        </is>
      </c>
      <c r="N215" s="6" t="n">
        <v>1</v>
      </c>
      <c r="O215" s="6" t="n">
        <v>0</v>
      </c>
      <c r="P215" s="7" t="n">
        <v>53</v>
      </c>
      <c r="Q215" s="6" t="inlineStr"/>
    </row>
    <row r="216">
      <c r="A216" s="11" t="inlineStr">
        <is>
          <t>2023-07-07</t>
        </is>
      </c>
      <c r="B216" s="11" t="inlineStr">
        <is>
          <t>MA2309</t>
        </is>
      </c>
      <c r="C216" s="11" t="inlineStr">
        <is>
          <t>2023-09</t>
        </is>
      </c>
      <c r="D216" s="12" t="n">
        <v>2155.83</v>
      </c>
      <c r="E216" s="12" t="n">
        <v>2157</v>
      </c>
      <c r="F216" s="12">
        <f>D216-E216</f>
        <v/>
      </c>
      <c r="G216" s="13">
        <f>IF(D216=0,"",(D216-E216)/D216)</f>
        <v/>
      </c>
      <c r="H216" s="14" t="n">
        <v>1733415</v>
      </c>
      <c r="I216" s="15" t="n">
        <v>0.128</v>
      </c>
      <c r="J216" s="15">
        <f>IF(COUNT(G-34:G215)&lt;20,"",IF(COUNTIF(G-34:G215,"&lt;"&amp;G216)&gt;=COUNT(G-34:G215),(COUNT(G-34:G215)-0.5)/COUNT(G-34:G215),IF(COUNTIF(G-34:G215,G216)&gt;0,(COUNTIF(G-34:G215,"&lt;"&amp;G216)+0.5*COUNTIF(G-34:G215,G216))/COUNT(G-34:G215),COUNTIF(G-34:G215,"&lt;"&amp;G216)/COUNT(G-34:G215))))</f>
        <v/>
      </c>
      <c r="K216" s="11" t="inlineStr">
        <is>
          <t>中间分位</t>
        </is>
      </c>
      <c r="L216" s="11" t="n">
        <v>49</v>
      </c>
      <c r="M216" s="11" t="inlineStr">
        <is>
          <t>结构不明</t>
        </is>
      </c>
      <c r="N216" s="11" t="n">
        <v>1</v>
      </c>
      <c r="O216" s="11" t="n">
        <v>0</v>
      </c>
      <c r="P216" s="12" t="n">
        <v>-22</v>
      </c>
      <c r="Q216" s="11" t="inlineStr"/>
    </row>
    <row r="217">
      <c r="A217" s="6" t="inlineStr">
        <is>
          <t>2023-07-10</t>
        </is>
      </c>
      <c r="B217" s="6" t="inlineStr">
        <is>
          <t>MA2309</t>
        </is>
      </c>
      <c r="C217" s="6" t="inlineStr">
        <is>
          <t>2023-09</t>
        </is>
      </c>
      <c r="D217" s="7" t="n">
        <v>2160</v>
      </c>
      <c r="E217" s="7" t="n">
        <v>2176</v>
      </c>
      <c r="F217" s="7">
        <f>D217-E217</f>
        <v/>
      </c>
      <c r="G217" s="8">
        <f>IF(D217=0,"",(D217-E217)/D217)</f>
        <v/>
      </c>
      <c r="H217" s="9" t="n">
        <v>1703935</v>
      </c>
      <c r="I217" s="10" t="n">
        <v>0.1085</v>
      </c>
      <c r="J217" s="10">
        <f>IF(COUNT(G-33:G216)&lt;20,"",IF(COUNTIF(G-33:G216,"&lt;"&amp;G217)&gt;=COUNT(G-33:G216),(COUNT(G-33:G216)-0.5)/COUNT(G-33:G216),IF(COUNTIF(G-33:G216,G217)&gt;0,(COUNTIF(G-33:G216,"&lt;"&amp;G217)+0.5*COUNTIF(G-33:G216,G217))/COUNT(G-33:G216),COUNTIF(G-33:G216,"&lt;"&amp;G217)/COUNT(G-33:G216))))</f>
        <v/>
      </c>
      <c r="K217" s="6" t="inlineStr">
        <is>
          <t>中间分位</t>
        </is>
      </c>
      <c r="L217" s="6" t="n">
        <v>48</v>
      </c>
      <c r="M217" s="6" t="inlineStr">
        <is>
          <t>Back(近强)</t>
        </is>
      </c>
      <c r="N217" s="6" t="n">
        <v>1</v>
      </c>
      <c r="O217" s="6" t="n">
        <v>0</v>
      </c>
      <c r="P217" s="7" t="n">
        <v>26</v>
      </c>
      <c r="Q217" s="6" t="inlineStr"/>
    </row>
    <row r="218">
      <c r="A218" s="11" t="inlineStr">
        <is>
          <t>2023-07-11</t>
        </is>
      </c>
      <c r="B218" s="11" t="inlineStr">
        <is>
          <t>MA2309</t>
        </is>
      </c>
      <c r="C218" s="11" t="inlineStr">
        <is>
          <t>2023-09</t>
        </is>
      </c>
      <c r="D218" s="12" t="n">
        <v>2170.83</v>
      </c>
      <c r="E218" s="12" t="n">
        <v>2240</v>
      </c>
      <c r="F218" s="12">
        <f>D218-E218</f>
        <v/>
      </c>
      <c r="G218" s="13">
        <f>IF(D218=0,"",(D218-E218)/D218)</f>
        <v/>
      </c>
      <c r="H218" s="14" t="n">
        <v>1677129</v>
      </c>
      <c r="I218" s="15" t="n">
        <v>0</v>
      </c>
      <c r="J218" s="15">
        <f>IF(COUNT(G-32:G217)&lt;20,"",IF(COUNTIF(G-32:G217,"&lt;"&amp;G218)&gt;=COUNT(G-32:G217),(COUNT(G-32:G217)-0.5)/COUNT(G-32:G217),IF(COUNTIF(G-32:G217,G218)&gt;0,(COUNTIF(G-32:G217,"&lt;"&amp;G218)+0.5*COUNTIF(G-32:G217,G218))/COUNT(G-32:G217),COUNTIF(G-32:G217,"&lt;"&amp;G218)/COUNT(G-32:G217))))</f>
        <v/>
      </c>
      <c r="K218" s="11" t="inlineStr">
        <is>
          <t>低分位</t>
        </is>
      </c>
      <c r="L218" s="11" t="n">
        <v>47</v>
      </c>
      <c r="M218" s="11" t="inlineStr">
        <is>
          <t>Back(近强)</t>
        </is>
      </c>
      <c r="N218" s="11" t="n">
        <v>1</v>
      </c>
      <c r="O218" s="11" t="n">
        <v>0</v>
      </c>
      <c r="P218" s="12" t="n">
        <v>16</v>
      </c>
      <c r="Q218" s="11" t="inlineStr"/>
    </row>
    <row r="219">
      <c r="A219" s="6" t="inlineStr">
        <is>
          <t>2023-07-12</t>
        </is>
      </c>
      <c r="B219" s="6" t="inlineStr">
        <is>
          <t>MA2309</t>
        </is>
      </c>
      <c r="C219" s="6" t="inlineStr">
        <is>
          <t>2023-09</t>
        </is>
      </c>
      <c r="D219" s="7" t="n">
        <v>2240</v>
      </c>
      <c r="E219" s="7" t="n">
        <v>2276</v>
      </c>
      <c r="F219" s="7">
        <f>D219-E219</f>
        <v/>
      </c>
      <c r="G219" s="8">
        <f>IF(D219=0,"",(D219-E219)/D219)</f>
        <v/>
      </c>
      <c r="H219" s="9" t="n">
        <v>1532039</v>
      </c>
      <c r="I219" s="10" t="n">
        <v>0.0374</v>
      </c>
      <c r="J219" s="10">
        <f>IF(COUNT(G-31:G218)&lt;20,"",IF(COUNTIF(G-31:G218,"&lt;"&amp;G219)&gt;=COUNT(G-31:G218),(COUNT(G-31:G218)-0.5)/COUNT(G-31:G218),IF(COUNTIF(G-31:G218,G219)&gt;0,(COUNTIF(G-31:G218,"&lt;"&amp;G219)+0.5*COUNTIF(G-31:G218,G219))/COUNT(G-31:G218),COUNTIF(G-31:G218,"&lt;"&amp;G219)/COUNT(G-31:G218))))</f>
        <v/>
      </c>
      <c r="K219" s="6" t="inlineStr">
        <is>
          <t>低分位</t>
        </is>
      </c>
      <c r="L219" s="6" t="n">
        <v>46</v>
      </c>
      <c r="M219" s="6" t="inlineStr">
        <is>
          <t>Back(近强)</t>
        </is>
      </c>
      <c r="N219" s="6" t="n">
        <v>1</v>
      </c>
      <c r="O219" s="6" t="n">
        <v>0</v>
      </c>
      <c r="P219" s="7" t="n">
        <v>1</v>
      </c>
      <c r="Q219" s="6" t="inlineStr"/>
    </row>
    <row r="220">
      <c r="A220" s="11" t="inlineStr">
        <is>
          <t>2023-07-13</t>
        </is>
      </c>
      <c r="B220" s="11" t="inlineStr">
        <is>
          <t>MA2309</t>
        </is>
      </c>
      <c r="C220" s="11" t="inlineStr">
        <is>
          <t>2023-09</t>
        </is>
      </c>
      <c r="D220" s="12" t="n">
        <v>2271.67</v>
      </c>
      <c r="E220" s="12" t="n">
        <v>2252</v>
      </c>
      <c r="F220" s="12">
        <f>D220-E220</f>
        <v/>
      </c>
      <c r="G220" s="13">
        <f>IF(D220=0,"",(D220-E220)/D220)</f>
        <v/>
      </c>
      <c r="H220" s="14" t="n">
        <v>1573142</v>
      </c>
      <c r="I220" s="15" t="n">
        <v>0.2186</v>
      </c>
      <c r="J220" s="15">
        <f>IF(COUNT(G-30:G219)&lt;20,"",IF(COUNTIF(G-30:G219,"&lt;"&amp;G220)&gt;=COUNT(G-30:G219),(COUNT(G-30:G219)-0.5)/COUNT(G-30:G219),IF(COUNTIF(G-30:G219,G220)&gt;0,(COUNTIF(G-30:G219,"&lt;"&amp;G220)+0.5*COUNTIF(G-30:G219,G220))/COUNT(G-30:G219),COUNTIF(G-30:G219,"&lt;"&amp;G220)/COUNT(G-30:G219))))</f>
        <v/>
      </c>
      <c r="K220" s="11" t="inlineStr">
        <is>
          <t>中间分位</t>
        </is>
      </c>
      <c r="L220" s="11" t="n">
        <v>45</v>
      </c>
      <c r="M220" s="11" t="inlineStr">
        <is>
          <t>Back(近强)</t>
        </is>
      </c>
      <c r="N220" s="11" t="n">
        <v>1</v>
      </c>
      <c r="O220" s="11" t="n">
        <v>0</v>
      </c>
      <c r="P220" s="12" t="n">
        <v>3</v>
      </c>
      <c r="Q220" s="11" t="inlineStr"/>
    </row>
    <row r="221">
      <c r="A221" s="6" t="inlineStr">
        <is>
          <t>2023-07-14</t>
        </is>
      </c>
      <c r="B221" s="6" t="inlineStr">
        <is>
          <t>MA2309</t>
        </is>
      </c>
      <c r="C221" s="6" t="inlineStr">
        <is>
          <t>2023-09</t>
        </is>
      </c>
      <c r="D221" s="7" t="n">
        <v>2250</v>
      </c>
      <c r="E221" s="7" t="n">
        <v>2320</v>
      </c>
      <c r="F221" s="7">
        <f>D221-E221</f>
        <v/>
      </c>
      <c r="G221" s="8">
        <f>IF(D221=0,"",(D221-E221)/D221)</f>
        <v/>
      </c>
      <c r="H221" s="9" t="n">
        <v>1479804</v>
      </c>
      <c r="I221" s="10" t="n">
        <v>0.009299999999999999</v>
      </c>
      <c r="J221" s="10">
        <f>IF(COUNT(G-29:G220)&lt;20,"",IF(COUNTIF(G-29:G220,"&lt;"&amp;G221)&gt;=COUNT(G-29:G220),(COUNT(G-29:G220)-0.5)/COUNT(G-29:G220),IF(COUNTIF(G-29:G220,G221)&gt;0,(COUNTIF(G-29:G220,"&lt;"&amp;G221)+0.5*COUNTIF(G-29:G220,G221))/COUNT(G-29:G220),COUNTIF(G-29:G220,"&lt;"&amp;G221)/COUNT(G-29:G220))))</f>
        <v/>
      </c>
      <c r="K221" s="6" t="inlineStr">
        <is>
          <t>低分位</t>
        </is>
      </c>
      <c r="L221" s="6" t="n">
        <v>44</v>
      </c>
      <c r="M221" s="6" t="inlineStr">
        <is>
          <t>Back(近强)</t>
        </is>
      </c>
      <c r="N221" s="6" t="n">
        <v>1</v>
      </c>
      <c r="O221" s="6" t="n">
        <v>0</v>
      </c>
      <c r="P221" s="7" t="n">
        <v>5</v>
      </c>
      <c r="Q221" s="6" t="inlineStr"/>
    </row>
    <row r="222">
      <c r="A222" s="11" t="inlineStr">
        <is>
          <t>2023-07-17</t>
        </is>
      </c>
      <c r="B222" s="11" t="inlineStr">
        <is>
          <t>MA2309</t>
        </is>
      </c>
      <c r="C222" s="11" t="inlineStr">
        <is>
          <t>2023-09</t>
        </is>
      </c>
      <c r="D222" s="12" t="n">
        <v>2314.17</v>
      </c>
      <c r="E222" s="12" t="n">
        <v>2218</v>
      </c>
      <c r="F222" s="12">
        <f>D222-E222</f>
        <v/>
      </c>
      <c r="G222" s="13">
        <f>IF(D222=0,"",(D222-E222)/D222)</f>
        <v/>
      </c>
      <c r="H222" s="14" t="n">
        <v>1541551</v>
      </c>
      <c r="I222" s="15" t="n">
        <v>0.6175</v>
      </c>
      <c r="J222" s="15">
        <f>IF(COUNT(G-28:G221)&lt;20,"",IF(COUNTIF(G-28:G221,"&lt;"&amp;G222)&gt;=COUNT(G-28:G221),(COUNT(G-28:G221)-0.5)/COUNT(G-28:G221),IF(COUNTIF(G-28:G221,G222)&gt;0,(COUNTIF(G-28:G221,"&lt;"&amp;G222)+0.5*COUNTIF(G-28:G221,G222))/COUNT(G-28:G221),COUNTIF(G-28:G221,"&lt;"&amp;G222)/COUNT(G-28:G221))))</f>
        <v/>
      </c>
      <c r="K222" s="11" t="inlineStr">
        <is>
          <t>中间分位</t>
        </is>
      </c>
      <c r="L222" s="11" t="n">
        <v>43</v>
      </c>
      <c r="M222" s="11" t="inlineStr">
        <is>
          <t>Back(近强)</t>
        </is>
      </c>
      <c r="N222" s="11" t="n">
        <v>1</v>
      </c>
      <c r="O222" s="11" t="n">
        <v>0</v>
      </c>
      <c r="P222" s="12" t="n">
        <v>2</v>
      </c>
      <c r="Q222" s="11" t="inlineStr"/>
    </row>
    <row r="223">
      <c r="A223" s="6" t="inlineStr">
        <is>
          <t>2023-07-18</t>
        </is>
      </c>
      <c r="B223" s="6" t="inlineStr">
        <is>
          <t>MA2309</t>
        </is>
      </c>
      <c r="C223" s="6" t="inlineStr">
        <is>
          <t>2023-09</t>
        </is>
      </c>
      <c r="D223" s="7" t="n">
        <v>2220.83</v>
      </c>
      <c r="E223" s="7" t="n">
        <v>2294</v>
      </c>
      <c r="F223" s="7">
        <f>D223-E223</f>
        <v/>
      </c>
      <c r="G223" s="8">
        <f>IF(D223=0,"",(D223-E223)/D223)</f>
        <v/>
      </c>
      <c r="H223" s="9" t="n">
        <v>1443932</v>
      </c>
      <c r="I223" s="10" t="n">
        <v>0</v>
      </c>
      <c r="J223" s="10">
        <f>IF(COUNT(G-27:G222)&lt;20,"",IF(COUNTIF(G-27:G222,"&lt;"&amp;G223)&gt;=COUNT(G-27:G222),(COUNT(G-27:G222)-0.5)/COUNT(G-27:G222),IF(COUNTIF(G-27:G222,G223)&gt;0,(COUNTIF(G-27:G222,"&lt;"&amp;G223)+0.5*COUNTIF(G-27:G222,G223))/COUNT(G-27:G222),COUNTIF(G-27:G222,"&lt;"&amp;G223)/COUNT(G-27:G222))))</f>
        <v/>
      </c>
      <c r="K223" s="6" t="inlineStr">
        <is>
          <t>低分位</t>
        </is>
      </c>
      <c r="L223" s="6" t="n">
        <v>42</v>
      </c>
      <c r="M223" s="6" t="inlineStr">
        <is>
          <t>Back(近强)</t>
        </is>
      </c>
      <c r="N223" s="6" t="n">
        <v>1</v>
      </c>
      <c r="O223" s="6" t="n">
        <v>0</v>
      </c>
      <c r="P223" s="7" t="n">
        <v>9</v>
      </c>
      <c r="Q223" s="6" t="inlineStr"/>
    </row>
    <row r="224">
      <c r="A224" s="11" t="inlineStr">
        <is>
          <t>2023-07-19</t>
        </is>
      </c>
      <c r="B224" s="11" t="inlineStr">
        <is>
          <t>MA2309</t>
        </is>
      </c>
      <c r="C224" s="11" t="inlineStr">
        <is>
          <t>2023-09</t>
        </is>
      </c>
      <c r="D224" s="12" t="n">
        <v>2291.67</v>
      </c>
      <c r="E224" s="12" t="n">
        <v>2270</v>
      </c>
      <c r="F224" s="12">
        <f>D224-E224</f>
        <v/>
      </c>
      <c r="G224" s="13">
        <f>IF(D224=0,"",(D224-E224)/D224)</f>
        <v/>
      </c>
      <c r="H224" s="14" t="n">
        <v>1447378</v>
      </c>
      <c r="I224" s="15" t="n">
        <v>0.2283</v>
      </c>
      <c r="J224" s="15">
        <f>IF(COUNT(G-26:G223)&lt;20,"",IF(COUNTIF(G-26:G223,"&lt;"&amp;G224)&gt;=COUNT(G-26:G223),(COUNT(G-26:G223)-0.5)/COUNT(G-26:G223),IF(COUNTIF(G-26:G223,G224)&gt;0,(COUNTIF(G-26:G223,"&lt;"&amp;G224)+0.5*COUNTIF(G-26:G223,G224))/COUNT(G-26:G223),COUNTIF(G-26:G223,"&lt;"&amp;G224)/COUNT(G-26:G223))))</f>
        <v/>
      </c>
      <c r="K224" s="11" t="inlineStr">
        <is>
          <t>中间分位</t>
        </is>
      </c>
      <c r="L224" s="11" t="n">
        <v>41</v>
      </c>
      <c r="M224" s="11" t="inlineStr">
        <is>
          <t>Back(近强)</t>
        </is>
      </c>
      <c r="N224" s="11" t="n">
        <v>1</v>
      </c>
      <c r="O224" s="11" t="n">
        <v>0</v>
      </c>
      <c r="P224" s="12" t="n">
        <v>2</v>
      </c>
      <c r="Q224" s="11" t="inlineStr"/>
    </row>
    <row r="225">
      <c r="A225" s="6" t="inlineStr">
        <is>
          <t>2023-07-20</t>
        </is>
      </c>
      <c r="B225" s="6" t="inlineStr">
        <is>
          <t>MA2309</t>
        </is>
      </c>
      <c r="C225" s="6" t="inlineStr">
        <is>
          <t>2023-09</t>
        </is>
      </c>
      <c r="D225" s="7" t="n">
        <v>2270</v>
      </c>
      <c r="E225" s="7" t="n">
        <v>2245</v>
      </c>
      <c r="F225" s="7">
        <f>D225-E225</f>
        <v/>
      </c>
      <c r="G225" s="8">
        <f>IF(D225=0,"",(D225-E225)/D225)</f>
        <v/>
      </c>
      <c r="H225" s="9" t="n">
        <v>1331765</v>
      </c>
      <c r="I225" s="10" t="n">
        <v>0.2545</v>
      </c>
      <c r="J225" s="10">
        <f>IF(COUNT(G-25:G224)&lt;20,"",IF(COUNTIF(G-25:G224,"&lt;"&amp;G225)&gt;=COUNT(G-25:G224),(COUNT(G-25:G224)-0.5)/COUNT(G-25:G224),IF(COUNTIF(G-25:G224,G225)&gt;0,(COUNTIF(G-25:G224,"&lt;"&amp;G225)+0.5*COUNTIF(G-25:G224,G225))/COUNT(G-25:G224),COUNTIF(G-25:G224,"&lt;"&amp;G225)/COUNT(G-25:G224))))</f>
        <v/>
      </c>
      <c r="K225" s="6" t="inlineStr">
        <is>
          <t>中间分位</t>
        </is>
      </c>
      <c r="L225" s="6" t="n">
        <v>40</v>
      </c>
      <c r="M225" s="6" t="inlineStr">
        <is>
          <t>Back(近强)</t>
        </is>
      </c>
      <c r="N225" s="6" t="n">
        <v>1</v>
      </c>
      <c r="O225" s="6" t="n">
        <v>0</v>
      </c>
      <c r="P225" s="7" t="n">
        <v>5</v>
      </c>
      <c r="Q225" s="6" t="inlineStr"/>
    </row>
    <row r="226">
      <c r="A226" s="11" t="inlineStr">
        <is>
          <t>2023-07-21</t>
        </is>
      </c>
      <c r="B226" s="11" t="inlineStr">
        <is>
          <t>MA2309</t>
        </is>
      </c>
      <c r="C226" s="11" t="inlineStr">
        <is>
          <t>2023-09</t>
        </is>
      </c>
      <c r="D226" s="12" t="n">
        <v>2245.83</v>
      </c>
      <c r="E226" s="12" t="n">
        <v>2218</v>
      </c>
      <c r="F226" s="12">
        <f>D226-E226</f>
        <v/>
      </c>
      <c r="G226" s="13">
        <f>IF(D226=0,"",(D226-E226)/D226)</f>
        <v/>
      </c>
      <c r="H226" s="14" t="n">
        <v>1315091</v>
      </c>
      <c r="I226" s="15" t="n">
        <v>0.2715</v>
      </c>
      <c r="J226" s="15">
        <f>IF(COUNT(G-24:G225)&lt;20,"",IF(COUNTIF(G-24:G225,"&lt;"&amp;G226)&gt;=COUNT(G-24:G225),(COUNT(G-24:G225)-0.5)/COUNT(G-24:G225),IF(COUNTIF(G-24:G225,G226)&gt;0,(COUNTIF(G-24:G225,"&lt;"&amp;G226)+0.5*COUNTIF(G-24:G225,G226))/COUNT(G-24:G225),COUNTIF(G-24:G225,"&lt;"&amp;G226)/COUNT(G-24:G225))))</f>
        <v/>
      </c>
      <c r="K226" s="11" t="inlineStr">
        <is>
          <t>中间分位</t>
        </is>
      </c>
      <c r="L226" s="11" t="n">
        <v>39</v>
      </c>
      <c r="M226" s="11" t="inlineStr">
        <is>
          <t>Back(近强)</t>
        </is>
      </c>
      <c r="N226" s="11" t="n">
        <v>1</v>
      </c>
      <c r="O226" s="11" t="n">
        <v>0</v>
      </c>
      <c r="P226" s="12" t="n">
        <v>10</v>
      </c>
      <c r="Q226" s="11" t="inlineStr"/>
    </row>
    <row r="227">
      <c r="A227" s="6" t="inlineStr">
        <is>
          <t>2023-07-24</t>
        </is>
      </c>
      <c r="B227" s="6" t="inlineStr">
        <is>
          <t>MA2309</t>
        </is>
      </c>
      <c r="C227" s="6" t="inlineStr">
        <is>
          <t>2023-09</t>
        </is>
      </c>
      <c r="D227" s="7" t="n">
        <v>2224.17</v>
      </c>
      <c r="E227" s="7" t="n">
        <v>2211</v>
      </c>
      <c r="F227" s="7">
        <f>D227-E227</f>
        <v/>
      </c>
      <c r="G227" s="8">
        <f>IF(D227=0,"",(D227-E227)/D227)</f>
        <v/>
      </c>
      <c r="H227" s="9" t="n">
        <v>1291607</v>
      </c>
      <c r="I227" s="10" t="n">
        <v>0.1982</v>
      </c>
      <c r="J227" s="10">
        <f>IF(COUNT(G-23:G226)&lt;20,"",IF(COUNTIF(G-23:G226,"&lt;"&amp;G227)&gt;=COUNT(G-23:G226),(COUNT(G-23:G226)-0.5)/COUNT(G-23:G226),IF(COUNTIF(G-23:G226,G227)&gt;0,(COUNTIF(G-23:G226,"&lt;"&amp;G227)+0.5*COUNTIF(G-23:G226,G227))/COUNT(G-23:G226),COUNTIF(G-23:G226,"&lt;"&amp;G227)/COUNT(G-23:G226))))</f>
        <v/>
      </c>
      <c r="K227" s="6" t="inlineStr">
        <is>
          <t>中间分位</t>
        </is>
      </c>
      <c r="L227" s="6" t="n">
        <v>38</v>
      </c>
      <c r="M227" s="6" t="inlineStr">
        <is>
          <t>Back(近强)</t>
        </is>
      </c>
      <c r="N227" s="6" t="n">
        <v>1</v>
      </c>
      <c r="O227" s="6" t="n">
        <v>0</v>
      </c>
      <c r="P227" s="7" t="n">
        <v>15</v>
      </c>
      <c r="Q227" s="6" t="inlineStr"/>
    </row>
    <row r="228">
      <c r="A228" s="11" t="inlineStr">
        <is>
          <t>2023-07-25</t>
        </is>
      </c>
      <c r="B228" s="11" t="inlineStr">
        <is>
          <t>MA2309</t>
        </is>
      </c>
      <c r="C228" s="11" t="inlineStr">
        <is>
          <t>2023-09</t>
        </is>
      </c>
      <c r="D228" s="12" t="n">
        <v>2211.67</v>
      </c>
      <c r="E228" s="12" t="n">
        <v>2253</v>
      </c>
      <c r="F228" s="12">
        <f>D228-E228</f>
        <v/>
      </c>
      <c r="G228" s="13">
        <f>IF(D228=0,"",(D228-E228)/D228)</f>
        <v/>
      </c>
      <c r="H228" s="14" t="n">
        <v>1274975</v>
      </c>
      <c r="I228" s="15" t="n">
        <v>0.0269</v>
      </c>
      <c r="J228" s="15">
        <f>IF(COUNT(G-22:G227)&lt;20,"",IF(COUNTIF(G-22:G227,"&lt;"&amp;G228)&gt;=COUNT(G-22:G227),(COUNT(G-22:G227)-0.5)/COUNT(G-22:G227),IF(COUNTIF(G-22:G227,G228)&gt;0,(COUNTIF(G-22:G227,"&lt;"&amp;G228)+0.5*COUNTIF(G-22:G227,G228))/COUNT(G-22:G227),COUNTIF(G-22:G227,"&lt;"&amp;G228)/COUNT(G-22:G227))))</f>
        <v/>
      </c>
      <c r="K228" s="11" t="inlineStr">
        <is>
          <t>低分位</t>
        </is>
      </c>
      <c r="L228" s="11" t="n">
        <v>37</v>
      </c>
      <c r="M228" s="11" t="inlineStr">
        <is>
          <t>Back(近强)</t>
        </is>
      </c>
      <c r="N228" s="11" t="n">
        <v>1</v>
      </c>
      <c r="O228" s="11" t="n">
        <v>0</v>
      </c>
      <c r="P228" s="12" t="n">
        <v>20</v>
      </c>
      <c r="Q228" s="11" t="inlineStr"/>
    </row>
    <row r="229">
      <c r="A229" s="6" t="inlineStr">
        <is>
          <t>2023-07-26</t>
        </is>
      </c>
      <c r="B229" s="6" t="inlineStr">
        <is>
          <t>MA2309</t>
        </is>
      </c>
      <c r="C229" s="6" t="inlineStr">
        <is>
          <t>2023-09</t>
        </is>
      </c>
      <c r="D229" s="7" t="n">
        <v>2255.83</v>
      </c>
      <c r="E229" s="7" t="n">
        <v>2260</v>
      </c>
      <c r="F229" s="7">
        <f>D229-E229</f>
        <v/>
      </c>
      <c r="G229" s="8">
        <f>IF(D229=0,"",(D229-E229)/D229)</f>
        <v/>
      </c>
      <c r="H229" s="9" t="n">
        <v>1182132</v>
      </c>
      <c r="I229" s="10" t="n">
        <v>0.1429</v>
      </c>
      <c r="J229" s="10">
        <f>IF(COUNT(G-21:G228)&lt;20,"",IF(COUNTIF(G-21:G228,"&lt;"&amp;G229)&gt;=COUNT(G-21:G228),(COUNT(G-21:G228)-0.5)/COUNT(G-21:G228),IF(COUNTIF(G-21:G228,G229)&gt;0,(COUNTIF(G-21:G228,"&lt;"&amp;G229)+0.5*COUNTIF(G-21:G228,G229))/COUNT(G-21:G228),COUNTIF(G-21:G228,"&lt;"&amp;G229)/COUNT(G-21:G228))))</f>
        <v/>
      </c>
      <c r="K229" s="6" t="inlineStr">
        <is>
          <t>中间分位</t>
        </is>
      </c>
      <c r="L229" s="6" t="n">
        <v>36</v>
      </c>
      <c r="M229" s="6" t="inlineStr">
        <is>
          <t>Back(近强)</t>
        </is>
      </c>
      <c r="N229" s="6" t="n">
        <v>1</v>
      </c>
      <c r="O229" s="6" t="n">
        <v>0</v>
      </c>
      <c r="P229" s="7" t="n">
        <v>18</v>
      </c>
      <c r="Q229" s="6" t="inlineStr"/>
    </row>
    <row r="230">
      <c r="A230" s="11" t="inlineStr">
        <is>
          <t>2023-07-27</t>
        </is>
      </c>
      <c r="B230" s="11" t="inlineStr">
        <is>
          <t>MA2309</t>
        </is>
      </c>
      <c r="C230" s="11" t="inlineStr">
        <is>
          <t>2023-09</t>
        </is>
      </c>
      <c r="D230" s="12" t="n">
        <v>2255.83</v>
      </c>
      <c r="E230" s="12" t="n">
        <v>2256</v>
      </c>
      <c r="F230" s="12">
        <f>D230-E230</f>
        <v/>
      </c>
      <c r="G230" s="13">
        <f>IF(D230=0,"",(D230-E230)/D230)</f>
        <v/>
      </c>
      <c r="H230" s="14" t="n">
        <v>1138319</v>
      </c>
      <c r="I230" s="15" t="n">
        <v>0.1556</v>
      </c>
      <c r="J230" s="15">
        <f>IF(COUNT(G-20:G229)&lt;20,"",IF(COUNTIF(G-20:G229,"&lt;"&amp;G230)&gt;=COUNT(G-20:G229),(COUNT(G-20:G229)-0.5)/COUNT(G-20:G229),IF(COUNTIF(G-20:G229,G230)&gt;0,(COUNTIF(G-20:G229,"&lt;"&amp;G230)+0.5*COUNTIF(G-20:G229,G230))/COUNT(G-20:G229),COUNTIF(G-20:G229,"&lt;"&amp;G230)/COUNT(G-20:G229))))</f>
        <v/>
      </c>
      <c r="K230" s="11" t="inlineStr">
        <is>
          <t>中间分位</t>
        </is>
      </c>
      <c r="L230" s="11" t="n">
        <v>35</v>
      </c>
      <c r="M230" s="11" t="inlineStr">
        <is>
          <t>Back(近强)</t>
        </is>
      </c>
      <c r="N230" s="11" t="n">
        <v>1</v>
      </c>
      <c r="O230" s="11" t="n">
        <v>0</v>
      </c>
      <c r="P230" s="12" t="n">
        <v>20</v>
      </c>
      <c r="Q230" s="11" t="inlineStr"/>
    </row>
    <row r="231">
      <c r="A231" s="6" t="inlineStr">
        <is>
          <t>2023-07-28</t>
        </is>
      </c>
      <c r="B231" s="6" t="inlineStr">
        <is>
          <t>MA2309</t>
        </is>
      </c>
      <c r="C231" s="6" t="inlineStr">
        <is>
          <t>2023-09</t>
        </is>
      </c>
      <c r="D231" s="7" t="n">
        <v>2250.83</v>
      </c>
      <c r="E231" s="7" t="n">
        <v>2298</v>
      </c>
      <c r="F231" s="7">
        <f>D231-E231</f>
        <v/>
      </c>
      <c r="G231" s="8">
        <f>IF(D231=0,"",(D231-E231)/D231)</f>
        <v/>
      </c>
      <c r="H231" s="9" t="n">
        <v>1128875</v>
      </c>
      <c r="I231" s="10" t="n">
        <v>0.0177</v>
      </c>
      <c r="J231" s="10">
        <f>IF(COUNT(G-19:G230)&lt;20,"",IF(COUNTIF(G-19:G230,"&lt;"&amp;G231)&gt;=COUNT(G-19:G230),(COUNT(G-19:G230)-0.5)/COUNT(G-19:G230),IF(COUNTIF(G-19:G230,G231)&gt;0,(COUNTIF(G-19:G230,"&lt;"&amp;G231)+0.5*COUNTIF(G-19:G230,G231))/COUNT(G-19:G230),COUNTIF(G-19:G230,"&lt;"&amp;G231)/COUNT(G-19:G230))))</f>
        <v/>
      </c>
      <c r="K231" s="6" t="inlineStr">
        <is>
          <t>低分位</t>
        </is>
      </c>
      <c r="L231" s="6" t="n">
        <v>34</v>
      </c>
      <c r="M231" s="6" t="inlineStr">
        <is>
          <t>Back(近强)</t>
        </is>
      </c>
      <c r="N231" s="6" t="n">
        <v>1</v>
      </c>
      <c r="O231" s="6" t="n">
        <v>0</v>
      </c>
      <c r="P231" s="7" t="n">
        <v>46</v>
      </c>
      <c r="Q231" s="6" t="inlineStr"/>
    </row>
    <row r="232">
      <c r="A232" s="11" t="inlineStr">
        <is>
          <t>2023-07-31</t>
        </is>
      </c>
      <c r="B232" s="11" t="inlineStr">
        <is>
          <t>MA2309</t>
        </is>
      </c>
      <c r="C232" s="11" t="inlineStr">
        <is>
          <t>2023-09</t>
        </is>
      </c>
      <c r="D232" s="12" t="n">
        <v>2281.67</v>
      </c>
      <c r="E232" s="12" t="n">
        <v>2288</v>
      </c>
      <c r="F232" s="12">
        <f>D232-E232</f>
        <v/>
      </c>
      <c r="G232" s="13">
        <f>IF(D232=0,"",(D232-E232)/D232)</f>
        <v/>
      </c>
      <c r="H232" s="14" t="n">
        <v>1045672</v>
      </c>
      <c r="I232" s="15" t="n">
        <v>0.1454</v>
      </c>
      <c r="J232" s="15">
        <f>IF(COUNT(G-18:G231)&lt;20,"",IF(COUNTIF(G-18:G231,"&lt;"&amp;G232)&gt;=COUNT(G-18:G231),(COUNT(G-18:G231)-0.5)/COUNT(G-18:G231),IF(COUNTIF(G-18:G231,G232)&gt;0,(COUNTIF(G-18:G231,"&lt;"&amp;G232)+0.5*COUNTIF(G-18:G231,G232))/COUNT(G-18:G231),COUNTIF(G-18:G231,"&lt;"&amp;G232)/COUNT(G-18:G231))))</f>
        <v/>
      </c>
      <c r="K232" s="11" t="inlineStr">
        <is>
          <t>中间分位</t>
        </is>
      </c>
      <c r="L232" s="11" t="n">
        <v>33</v>
      </c>
      <c r="M232" s="11" t="inlineStr">
        <is>
          <t>Back(近强)</t>
        </is>
      </c>
      <c r="N232" s="11" t="n">
        <v>1</v>
      </c>
      <c r="O232" s="11" t="n">
        <v>0</v>
      </c>
      <c r="P232" s="12" t="n">
        <v>31</v>
      </c>
      <c r="Q232" s="11" t="inlineStr"/>
    </row>
    <row r="233">
      <c r="A233" s="6" t="inlineStr">
        <is>
          <t>2023-08-01</t>
        </is>
      </c>
      <c r="B233" s="6" t="inlineStr">
        <is>
          <t>MA2309</t>
        </is>
      </c>
      <c r="C233" s="6" t="inlineStr">
        <is>
          <t>2023-09</t>
        </is>
      </c>
      <c r="D233" s="7" t="n">
        <v>2280</v>
      </c>
      <c r="E233" s="7" t="n">
        <v>2363</v>
      </c>
      <c r="F233" s="7">
        <f>D233-E233</f>
        <v/>
      </c>
      <c r="G233" s="8">
        <f>IF(D233=0,"",(D233-E233)/D233)</f>
        <v/>
      </c>
      <c r="H233" s="9" t="n">
        <v>976368</v>
      </c>
      <c r="I233" s="10" t="n">
        <v>0</v>
      </c>
      <c r="J233" s="10">
        <f>IF(COUNT(G-17:G232)&lt;20,"",IF(COUNTIF(G-17:G232,"&lt;"&amp;G233)&gt;=COUNT(G-17:G232),(COUNT(G-17:G232)-0.5)/COUNT(G-17:G232),IF(COUNTIF(G-17:G232,G233)&gt;0,(COUNTIF(G-17:G232,"&lt;"&amp;G233)+0.5*COUNTIF(G-17:G232,G233))/COUNT(G-17:G232),COUNTIF(G-17:G232,"&lt;"&amp;G233)/COUNT(G-17:G232))))</f>
        <v/>
      </c>
      <c r="K233" s="6" t="inlineStr">
        <is>
          <t>低分位</t>
        </is>
      </c>
      <c r="L233" s="6" t="n">
        <v>32</v>
      </c>
      <c r="M233" s="6" t="inlineStr">
        <is>
          <t>Back(近强)</t>
        </is>
      </c>
      <c r="N233" s="6" t="n">
        <v>1</v>
      </c>
      <c r="O233" s="6" t="n">
        <v>0</v>
      </c>
      <c r="P233" s="7" t="n">
        <v>32</v>
      </c>
      <c r="Q233" s="6" t="inlineStr"/>
    </row>
    <row r="234">
      <c r="A234" s="11" t="inlineStr">
        <is>
          <t>2023-08-02</t>
        </is>
      </c>
      <c r="B234" s="11" t="inlineStr">
        <is>
          <t>MA2309</t>
        </is>
      </c>
      <c r="C234" s="11" t="inlineStr">
        <is>
          <t>2023-09</t>
        </is>
      </c>
      <c r="D234" s="12" t="n">
        <v>2355.83</v>
      </c>
      <c r="E234" s="12" t="n">
        <v>2347</v>
      </c>
      <c r="F234" s="12">
        <f>D234-E234</f>
        <v/>
      </c>
      <c r="G234" s="13">
        <f>IF(D234=0,"",(D234-E234)/D234)</f>
        <v/>
      </c>
      <c r="H234" s="14" t="n">
        <v>884387</v>
      </c>
      <c r="I234" s="15" t="n">
        <v>0.2052</v>
      </c>
      <c r="J234" s="15">
        <f>IF(COUNT(G-16:G233)&lt;20,"",IF(COUNTIF(G-16:G233,"&lt;"&amp;G234)&gt;=COUNT(G-16:G233),(COUNT(G-16:G233)-0.5)/COUNT(G-16:G233),IF(COUNTIF(G-16:G233,G234)&gt;0,(COUNTIF(G-16:G233,"&lt;"&amp;G234)+0.5*COUNTIF(G-16:G233,G234))/COUNT(G-16:G233),COUNTIF(G-16:G233,"&lt;"&amp;G234)/COUNT(G-16:G233))))</f>
        <v/>
      </c>
      <c r="K234" s="11" t="inlineStr">
        <is>
          <t>中间分位</t>
        </is>
      </c>
      <c r="L234" s="11" t="n">
        <v>31</v>
      </c>
      <c r="M234" s="11" t="inlineStr">
        <is>
          <t>Back(近强)</t>
        </is>
      </c>
      <c r="N234" s="11" t="n">
        <v>1</v>
      </c>
      <c r="O234" s="11" t="n">
        <v>0</v>
      </c>
      <c r="P234" s="12" t="n">
        <v>4</v>
      </c>
      <c r="Q234" s="11" t="inlineStr"/>
    </row>
    <row r="235">
      <c r="A235" s="6" t="inlineStr">
        <is>
          <t>2023-08-03</t>
        </is>
      </c>
      <c r="B235" s="6" t="inlineStr">
        <is>
          <t>MA2309</t>
        </is>
      </c>
      <c r="C235" s="6" t="inlineStr">
        <is>
          <t>2023-09</t>
        </is>
      </c>
      <c r="D235" s="7" t="n">
        <v>2341.67</v>
      </c>
      <c r="E235" s="7" t="n">
        <v>2322</v>
      </c>
      <c r="F235" s="7">
        <f>D235-E235</f>
        <v/>
      </c>
      <c r="G235" s="8">
        <f>IF(D235=0,"",(D235-E235)/D235)</f>
        <v/>
      </c>
      <c r="H235" s="9" t="n">
        <v>740618</v>
      </c>
      <c r="I235" s="10" t="n">
        <v>0.2435</v>
      </c>
      <c r="J235" s="10">
        <f>IF(COUNT(G-15:G234)&lt;20,"",IF(COUNTIF(G-15:G234,"&lt;"&amp;G235)&gt;=COUNT(G-15:G234),(COUNT(G-15:G234)-0.5)/COUNT(G-15:G234),IF(COUNTIF(G-15:G234,G235)&gt;0,(COUNTIF(G-15:G234,"&lt;"&amp;G235)+0.5*COUNTIF(G-15:G234,G235))/COUNT(G-15:G234),COUNTIF(G-15:G234,"&lt;"&amp;G235)/COUNT(G-15:G234))))</f>
        <v/>
      </c>
      <c r="K235" s="6" t="inlineStr">
        <is>
          <t>中间分位</t>
        </is>
      </c>
      <c r="L235" s="6" t="n">
        <v>30</v>
      </c>
      <c r="M235" s="6" t="inlineStr">
        <is>
          <t>Back(近强)</t>
        </is>
      </c>
      <c r="N235" s="6" t="n">
        <v>1</v>
      </c>
      <c r="O235" s="6" t="n">
        <v>0</v>
      </c>
      <c r="P235" s="7" t="n">
        <v>7</v>
      </c>
      <c r="Q235" s="6" t="inlineStr"/>
    </row>
    <row r="236">
      <c r="A236" s="11" t="inlineStr">
        <is>
          <t>2023-08-04</t>
        </is>
      </c>
      <c r="B236" s="11" t="inlineStr">
        <is>
          <t>MA2309</t>
        </is>
      </c>
      <c r="C236" s="11" t="inlineStr">
        <is>
          <t>2023-09</t>
        </is>
      </c>
      <c r="D236" s="12" t="n">
        <v>2330.83</v>
      </c>
      <c r="E236" s="12" t="n">
        <v>2345</v>
      </c>
      <c r="F236" s="12">
        <f>D236-E236</f>
        <v/>
      </c>
      <c r="G236" s="13">
        <f>IF(D236=0,"",(D236-E236)/D236)</f>
        <v/>
      </c>
      <c r="H236" s="14" t="n">
        <v>683883</v>
      </c>
      <c r="I236" s="15" t="n">
        <v>0.1429</v>
      </c>
      <c r="J236" s="15">
        <f>IF(COUNT(G-14:G235)&lt;20,"",IF(COUNTIF(G-14:G235,"&lt;"&amp;G236)&gt;=COUNT(G-14:G235),(COUNT(G-14:G235)-0.5)/COUNT(G-14:G235),IF(COUNTIF(G-14:G235,G236)&gt;0,(COUNTIF(G-14:G235,"&lt;"&amp;G236)+0.5*COUNTIF(G-14:G235,G236))/COUNT(G-14:G235),COUNTIF(G-14:G235,"&lt;"&amp;G236)/COUNT(G-14:G235))))</f>
        <v/>
      </c>
      <c r="K236" s="11" t="inlineStr">
        <is>
          <t>中间分位</t>
        </is>
      </c>
      <c r="L236" s="11" t="n">
        <v>29</v>
      </c>
      <c r="M236" s="11" t="inlineStr">
        <is>
          <t>Back(近强)</t>
        </is>
      </c>
      <c r="N236" s="11" t="n">
        <v>1</v>
      </c>
      <c r="O236" s="11" t="n">
        <v>0</v>
      </c>
      <c r="P236" s="12" t="n">
        <v>12</v>
      </c>
      <c r="Q236" s="11" t="inlineStr"/>
    </row>
    <row r="237">
      <c r="A237" s="6" t="inlineStr">
        <is>
          <t>2023-08-07</t>
        </is>
      </c>
      <c r="B237" s="6" t="inlineStr">
        <is>
          <t>MA2401</t>
        </is>
      </c>
      <c r="C237" s="6" t="inlineStr">
        <is>
          <t>2024-01</t>
        </is>
      </c>
      <c r="D237" s="7" t="n">
        <v>2350</v>
      </c>
      <c r="E237" s="7" t="n">
        <v>2394</v>
      </c>
      <c r="F237" s="7">
        <f>D237-E237</f>
        <v/>
      </c>
      <c r="G237" s="8">
        <f>IF(D237=0,"",(D237-E237)/D237)</f>
        <v/>
      </c>
      <c r="H237" s="9" t="n">
        <v>704074</v>
      </c>
      <c r="I237" s="10" t="n">
        <v>0.0345</v>
      </c>
      <c r="J237" s="10">
        <f>IF(COUNT(G-13:G236)&lt;20,"",IF(COUNTIF(G-13:G236,"&lt;"&amp;G237)&gt;=COUNT(G-13:G236),(COUNT(G-13:G236)-0.5)/COUNT(G-13:G236),IF(COUNTIF(G-13:G236,G237)&gt;0,(COUNTIF(G-13:G236,"&lt;"&amp;G237)+0.5*COUNTIF(G-13:G236,G237))/COUNT(G-13:G236),COUNTIF(G-13:G236,"&lt;"&amp;G237)/COUNT(G-13:G236))))</f>
        <v/>
      </c>
      <c r="K237" s="6" t="inlineStr">
        <is>
          <t>低分位</t>
        </is>
      </c>
      <c r="L237" s="6" t="n">
        <v>107</v>
      </c>
      <c r="M237" s="6" t="inlineStr">
        <is>
          <t>Back(近强)</t>
        </is>
      </c>
      <c r="N237" s="6" t="n">
        <v>1</v>
      </c>
      <c r="O237" s="6" t="n">
        <v>1</v>
      </c>
      <c r="P237" s="7" t="n">
        <v>75</v>
      </c>
      <c r="Q237" s="6" t="inlineStr"/>
    </row>
    <row r="238">
      <c r="A238" s="11" t="inlineStr">
        <is>
          <t>2023-08-08</t>
        </is>
      </c>
      <c r="B238" s="11" t="inlineStr">
        <is>
          <t>MA2401</t>
        </is>
      </c>
      <c r="C238" s="11" t="inlineStr">
        <is>
          <t>2024-01</t>
        </is>
      </c>
      <c r="D238" s="12" t="n">
        <v>2330</v>
      </c>
      <c r="E238" s="12" t="n">
        <v>2395</v>
      </c>
      <c r="F238" s="12">
        <f>D238-E238</f>
        <v/>
      </c>
      <c r="G238" s="13">
        <f>IF(D238=0,"",(D238-E238)/D238)</f>
        <v/>
      </c>
      <c r="H238" s="14" t="n">
        <v>777923</v>
      </c>
      <c r="I238" s="15" t="n">
        <v>0.0215</v>
      </c>
      <c r="J238" s="15">
        <f>IF(COUNT(G-12:G237)&lt;20,"",IF(COUNTIF(G-12:G237,"&lt;"&amp;G238)&gt;=COUNT(G-12:G237),(COUNT(G-12:G237)-0.5)/COUNT(G-12:G237),IF(COUNTIF(G-12:G237,G238)&gt;0,(COUNTIF(G-12:G237,"&lt;"&amp;G238)+0.5*COUNTIF(G-12:G237,G238))/COUNT(G-12:G237),COUNTIF(G-12:G237,"&lt;"&amp;G238)/COUNT(G-12:G237))))</f>
        <v/>
      </c>
      <c r="K238" s="11" t="inlineStr">
        <is>
          <t>低分位</t>
        </is>
      </c>
      <c r="L238" s="11" t="n">
        <v>106</v>
      </c>
      <c r="M238" s="11" t="inlineStr">
        <is>
          <t>Back(近强)</t>
        </is>
      </c>
      <c r="N238" s="11" t="n">
        <v>1</v>
      </c>
      <c r="O238" s="11" t="n">
        <v>0</v>
      </c>
      <c r="P238" s="12" t="n">
        <v>90</v>
      </c>
      <c r="Q238" s="11" t="inlineStr"/>
    </row>
    <row r="239">
      <c r="A239" s="6" t="inlineStr">
        <is>
          <t>2023-08-09</t>
        </is>
      </c>
      <c r="B239" s="6" t="inlineStr">
        <is>
          <t>MA2401</t>
        </is>
      </c>
      <c r="C239" s="6" t="inlineStr">
        <is>
          <t>2024-01</t>
        </is>
      </c>
      <c r="D239" s="7" t="n">
        <v>2336.67</v>
      </c>
      <c r="E239" s="7" t="n">
        <v>2429</v>
      </c>
      <c r="F239" s="7">
        <f>D239-E239</f>
        <v/>
      </c>
      <c r="G239" s="8">
        <f>IF(D239=0,"",(D239-E239)/D239)</f>
        <v/>
      </c>
      <c r="H239" s="9" t="n">
        <v>830944</v>
      </c>
      <c r="I239" s="10" t="n">
        <v>0</v>
      </c>
      <c r="J239" s="10">
        <f>IF(COUNT(G-11:G238)&lt;20,"",IF(COUNTIF(G-11:G238,"&lt;"&amp;G239)&gt;=COUNT(G-11:G238),(COUNT(G-11:G238)-0.5)/COUNT(G-11:G238),IF(COUNTIF(G-11:G238,G239)&gt;0,(COUNTIF(G-11:G238,"&lt;"&amp;G239)+0.5*COUNTIF(G-11:G238,G239))/COUNT(G-11:G238),COUNTIF(G-11:G238,"&lt;"&amp;G239)/COUNT(G-11:G238))))</f>
        <v/>
      </c>
      <c r="K239" s="6" t="inlineStr">
        <is>
          <t>低分位</t>
        </is>
      </c>
      <c r="L239" s="6" t="n">
        <v>105</v>
      </c>
      <c r="M239" s="6" t="inlineStr">
        <is>
          <t>Back(近强)</t>
        </is>
      </c>
      <c r="N239" s="6" t="n">
        <v>1</v>
      </c>
      <c r="O239" s="6" t="n">
        <v>0</v>
      </c>
      <c r="P239" s="7" t="n">
        <v>73</v>
      </c>
      <c r="Q239" s="6" t="inlineStr"/>
    </row>
    <row r="240">
      <c r="A240" s="11" t="inlineStr">
        <is>
          <t>2023-08-10</t>
        </is>
      </c>
      <c r="B240" s="11" t="inlineStr">
        <is>
          <t>MA2401</t>
        </is>
      </c>
      <c r="C240" s="11" t="inlineStr">
        <is>
          <t>2024-01</t>
        </is>
      </c>
      <c r="D240" s="12" t="n">
        <v>2370</v>
      </c>
      <c r="E240" s="12" t="n">
        <v>2437</v>
      </c>
      <c r="F240" s="12">
        <f>D240-E240</f>
        <v/>
      </c>
      <c r="G240" s="13">
        <f>IF(D240=0,"",(D240-E240)/D240)</f>
        <v/>
      </c>
      <c r="H240" s="14" t="n">
        <v>892174</v>
      </c>
      <c r="I240" s="15" t="n">
        <v>0.0255</v>
      </c>
      <c r="J240" s="15">
        <f>IF(COUNT(G-10:G239)&lt;20,"",IF(COUNTIF(G-10:G239,"&lt;"&amp;G240)&gt;=COUNT(G-10:G239),(COUNT(G-10:G239)-0.5)/COUNT(G-10:G239),IF(COUNTIF(G-10:G239,G240)&gt;0,(COUNTIF(G-10:G239,"&lt;"&amp;G240)+0.5*COUNTIF(G-10:G239,G240))/COUNT(G-10:G239),COUNTIF(G-10:G239,"&lt;"&amp;G240)/COUNT(G-10:G239))))</f>
        <v/>
      </c>
      <c r="K240" s="11" t="inlineStr">
        <is>
          <t>低分位</t>
        </is>
      </c>
      <c r="L240" s="11" t="n">
        <v>104</v>
      </c>
      <c r="M240" s="11" t="inlineStr">
        <is>
          <t>Back(近强)</t>
        </is>
      </c>
      <c r="N240" s="11" t="n">
        <v>1</v>
      </c>
      <c r="O240" s="11" t="n">
        <v>0</v>
      </c>
      <c r="P240" s="12" t="n">
        <v>80</v>
      </c>
      <c r="Q240" s="11" t="inlineStr"/>
    </row>
    <row r="241">
      <c r="A241" s="6" t="inlineStr">
        <is>
          <t>2023-08-11</t>
        </is>
      </c>
      <c r="B241" s="6" t="inlineStr">
        <is>
          <t>MA2401</t>
        </is>
      </c>
      <c r="C241" s="6" t="inlineStr">
        <is>
          <t>2024-01</t>
        </is>
      </c>
      <c r="D241" s="7" t="n">
        <v>2366.67</v>
      </c>
      <c r="E241" s="7" t="n">
        <v>2463</v>
      </c>
      <c r="F241" s="7">
        <f>D241-E241</f>
        <v/>
      </c>
      <c r="G241" s="8">
        <f>IF(D241=0,"",(D241-E241)/D241)</f>
        <v/>
      </c>
      <c r="H241" s="9" t="n">
        <v>961157</v>
      </c>
      <c r="I241" s="10" t="n">
        <v>0</v>
      </c>
      <c r="J241" s="10">
        <f>IF(COUNT(G-9:G240)&lt;20,"",IF(COUNTIF(G-9:G240,"&lt;"&amp;G241)&gt;=COUNT(G-9:G240),(COUNT(G-9:G240)-0.5)/COUNT(G-9:G240),IF(COUNTIF(G-9:G240,G241)&gt;0,(COUNTIF(G-9:G240,"&lt;"&amp;G241)+0.5*COUNTIF(G-9:G240,G241))/COUNT(G-9:G240),COUNTIF(G-9:G240,"&lt;"&amp;G241)/COUNT(G-9:G240))))</f>
        <v/>
      </c>
      <c r="K241" s="6" t="inlineStr">
        <is>
          <t>低分位</t>
        </is>
      </c>
      <c r="L241" s="6" t="n">
        <v>103</v>
      </c>
      <c r="M241" s="6" t="inlineStr">
        <is>
          <t>Back(近强)</t>
        </is>
      </c>
      <c r="N241" s="6" t="n">
        <v>1</v>
      </c>
      <c r="O241" s="6" t="n">
        <v>0</v>
      </c>
      <c r="P241" s="7" t="n">
        <v>87</v>
      </c>
      <c r="Q241" s="6" t="inlineStr"/>
    </row>
    <row r="242">
      <c r="A242" s="11" t="inlineStr">
        <is>
          <t>2023-08-14</t>
        </is>
      </c>
      <c r="B242" s="11" t="inlineStr">
        <is>
          <t>MA2401</t>
        </is>
      </c>
      <c r="C242" s="11" t="inlineStr">
        <is>
          <t>2024-01</t>
        </is>
      </c>
      <c r="D242" s="12" t="n">
        <v>2380.83</v>
      </c>
      <c r="E242" s="12" t="n">
        <v>2415</v>
      </c>
      <c r="F242" s="12">
        <f>D242-E242</f>
        <v/>
      </c>
      <c r="G242" s="13">
        <f>IF(D242=0,"",(D242-E242)/D242)</f>
        <v/>
      </c>
      <c r="H242" s="14" t="n">
        <v>1025165</v>
      </c>
      <c r="I242" s="15" t="n">
        <v>0.09279999999999999</v>
      </c>
      <c r="J242" s="15">
        <f>IF(COUNT(G-8:G241)&lt;20,"",IF(COUNTIF(G-8:G241,"&lt;"&amp;G242)&gt;=COUNT(G-8:G241),(COUNT(G-8:G241)-0.5)/COUNT(G-8:G241),IF(COUNTIF(G-8:G241,G242)&gt;0,(COUNTIF(G-8:G241,"&lt;"&amp;G242)+0.5*COUNTIF(G-8:G241,G242))/COUNT(G-8:G241),COUNTIF(G-8:G241,"&lt;"&amp;G242)/COUNT(G-8:G241))))</f>
        <v/>
      </c>
      <c r="K242" s="11" t="inlineStr">
        <is>
          <t>低分位</t>
        </is>
      </c>
      <c r="L242" s="11" t="n">
        <v>102</v>
      </c>
      <c r="M242" s="11" t="inlineStr">
        <is>
          <t>Back(近强)</t>
        </is>
      </c>
      <c r="N242" s="11" t="n">
        <v>1</v>
      </c>
      <c r="O242" s="11" t="n">
        <v>0</v>
      </c>
      <c r="P242" s="12" t="n">
        <v>116</v>
      </c>
      <c r="Q242" s="11" t="inlineStr"/>
    </row>
    <row r="243">
      <c r="A243" s="6" t="inlineStr">
        <is>
          <t>2023-08-15</t>
        </is>
      </c>
      <c r="B243" s="6" t="inlineStr">
        <is>
          <t>MA2401</t>
        </is>
      </c>
      <c r="C243" s="6" t="inlineStr">
        <is>
          <t>2024-01</t>
        </is>
      </c>
      <c r="D243" s="7" t="n">
        <v>2355.83</v>
      </c>
      <c r="E243" s="7" t="n">
        <v>2427</v>
      </c>
      <c r="F243" s="7">
        <f>D243-E243</f>
        <v/>
      </c>
      <c r="G243" s="8">
        <f>IF(D243=0,"",(D243-E243)/D243)</f>
        <v/>
      </c>
      <c r="H243" s="9" t="n">
        <v>1077760</v>
      </c>
      <c r="I243" s="10" t="n">
        <v>0.0294</v>
      </c>
      <c r="J243" s="10">
        <f>IF(COUNT(G-7:G242)&lt;20,"",IF(COUNTIF(G-7:G242,"&lt;"&amp;G243)&gt;=COUNT(G-7:G242),(COUNT(G-7:G242)-0.5)/COUNT(G-7:G242),IF(COUNTIF(G-7:G242,G243)&gt;0,(COUNTIF(G-7:G242,"&lt;"&amp;G243)+0.5*COUNTIF(G-7:G242,G243))/COUNT(G-7:G242),COUNTIF(G-7:G242,"&lt;"&amp;G243)/COUNT(G-7:G242))))</f>
        <v/>
      </c>
      <c r="K243" s="6" t="inlineStr">
        <is>
          <t>低分位</t>
        </is>
      </c>
      <c r="L243" s="6" t="n">
        <v>101</v>
      </c>
      <c r="M243" s="6" t="inlineStr">
        <is>
          <t>Back(近强)</t>
        </is>
      </c>
      <c r="N243" s="6" t="n">
        <v>1</v>
      </c>
      <c r="O243" s="6" t="n">
        <v>0</v>
      </c>
      <c r="P243" s="7" t="n">
        <v>79</v>
      </c>
      <c r="Q243" s="6" t="inlineStr"/>
    </row>
    <row r="244">
      <c r="A244" s="11" t="inlineStr">
        <is>
          <t>2023-08-16</t>
        </is>
      </c>
      <c r="B244" s="11" t="inlineStr">
        <is>
          <t>MA2401</t>
        </is>
      </c>
      <c r="C244" s="11" t="inlineStr">
        <is>
          <t>2024-01</t>
        </is>
      </c>
      <c r="D244" s="12" t="n">
        <v>2365.83</v>
      </c>
      <c r="E244" s="12" t="n">
        <v>2356</v>
      </c>
      <c r="F244" s="12">
        <f>D244-E244</f>
        <v/>
      </c>
      <c r="G244" s="13">
        <f>IF(D244=0,"",(D244-E244)/D244)</f>
        <v/>
      </c>
      <c r="H244" s="14" t="n">
        <v>1143497</v>
      </c>
      <c r="I244" s="15" t="n">
        <v>0.2343</v>
      </c>
      <c r="J244" s="15">
        <f>IF(COUNT(G-6:G243)&lt;20,"",IF(COUNTIF(G-6:G243,"&lt;"&amp;G244)&gt;=COUNT(G-6:G243),(COUNT(G-6:G243)-0.5)/COUNT(G-6:G243),IF(COUNTIF(G-6:G243,G244)&gt;0,(COUNTIF(G-6:G243,"&lt;"&amp;G244)+0.5*COUNTIF(G-6:G243,G244))/COUNT(G-6:G243),COUNTIF(G-6:G243,"&lt;"&amp;G244)/COUNT(G-6:G243))))</f>
        <v/>
      </c>
      <c r="K244" s="11" t="inlineStr">
        <is>
          <t>中间分位</t>
        </is>
      </c>
      <c r="L244" s="11" t="n">
        <v>100</v>
      </c>
      <c r="M244" s="11" t="inlineStr">
        <is>
          <t>Back(近强)</t>
        </is>
      </c>
      <c r="N244" s="11" t="n">
        <v>1</v>
      </c>
      <c r="O244" s="11" t="n">
        <v>0</v>
      </c>
      <c r="P244" s="12" t="n">
        <v>57</v>
      </c>
      <c r="Q244" s="11" t="inlineStr"/>
    </row>
    <row r="245">
      <c r="A245" s="6" t="inlineStr">
        <is>
          <t>2023-08-17</t>
        </is>
      </c>
      <c r="B245" s="6" t="inlineStr">
        <is>
          <t>MA2401</t>
        </is>
      </c>
      <c r="C245" s="6" t="inlineStr">
        <is>
          <t>2024-01</t>
        </is>
      </c>
      <c r="D245" s="7" t="n">
        <v>2331.67</v>
      </c>
      <c r="E245" s="7" t="n">
        <v>2388</v>
      </c>
      <c r="F245" s="7">
        <f>D245-E245</f>
        <v/>
      </c>
      <c r="G245" s="8">
        <f>IF(D245=0,"",(D245-E245)/D245)</f>
        <v/>
      </c>
      <c r="H245" s="9" t="n">
        <v>1132482</v>
      </c>
      <c r="I245" s="10" t="n">
        <v>0.0417</v>
      </c>
      <c r="J245" s="10">
        <f>IF(COUNT(G-5:G244)&lt;20,"",IF(COUNTIF(G-5:G244,"&lt;"&amp;G245)&gt;=COUNT(G-5:G244),(COUNT(G-5:G244)-0.5)/COUNT(G-5:G244),IF(COUNTIF(G-5:G244,G245)&gt;0,(COUNTIF(G-5:G244,"&lt;"&amp;G245)+0.5*COUNTIF(G-5:G244,G245))/COUNT(G-5:G244),COUNTIF(G-5:G244,"&lt;"&amp;G245)/COUNT(G-5:G244))))</f>
        <v/>
      </c>
      <c r="K245" s="6" t="inlineStr">
        <is>
          <t>低分位</t>
        </is>
      </c>
      <c r="L245" s="6" t="n">
        <v>99</v>
      </c>
      <c r="M245" s="6" t="inlineStr">
        <is>
          <t>Back(近强)</t>
        </is>
      </c>
      <c r="N245" s="6" t="n">
        <v>1</v>
      </c>
      <c r="O245" s="6" t="n">
        <v>0</v>
      </c>
      <c r="P245" s="7" t="n">
        <v>58</v>
      </c>
      <c r="Q245" s="6" t="inlineStr"/>
    </row>
    <row r="246">
      <c r="A246" s="11" t="inlineStr">
        <is>
          <t>2023-08-18</t>
        </is>
      </c>
      <c r="B246" s="11" t="inlineStr">
        <is>
          <t>MA2401</t>
        </is>
      </c>
      <c r="C246" s="11" t="inlineStr">
        <is>
          <t>2024-01</t>
        </is>
      </c>
      <c r="D246" s="12" t="n">
        <v>2355.83</v>
      </c>
      <c r="E246" s="12" t="n">
        <v>2449</v>
      </c>
      <c r="F246" s="12">
        <f>D246-E246</f>
        <v/>
      </c>
      <c r="G246" s="13">
        <f>IF(D246=0,"",(D246-E246)/D246)</f>
        <v/>
      </c>
      <c r="H246" s="14" t="n">
        <v>1116393</v>
      </c>
      <c r="I246" s="15" t="n">
        <v>0.0041</v>
      </c>
      <c r="J246" s="15">
        <f>IF(COUNT(G-4:G245)&lt;20,"",IF(COUNTIF(G-4:G245,"&lt;"&amp;G246)&gt;=COUNT(G-4:G245),(COUNT(G-4:G245)-0.5)/COUNT(G-4:G245),IF(COUNTIF(G-4:G245,G246)&gt;0,(COUNTIF(G-4:G245,"&lt;"&amp;G246)+0.5*COUNTIF(G-4:G245,G246))/COUNT(G-4:G245),COUNTIF(G-4:G245,"&lt;"&amp;G246)/COUNT(G-4:G245))))</f>
        <v/>
      </c>
      <c r="K246" s="11" t="inlineStr">
        <is>
          <t>低分位</t>
        </is>
      </c>
      <c r="L246" s="11" t="n">
        <v>98</v>
      </c>
      <c r="M246" s="11" t="inlineStr">
        <is>
          <t>Back(近强)</t>
        </is>
      </c>
      <c r="N246" s="11" t="n">
        <v>1</v>
      </c>
      <c r="O246" s="11" t="n">
        <v>0</v>
      </c>
      <c r="P246" s="12" t="n">
        <v>75</v>
      </c>
      <c r="Q246" s="11" t="inlineStr"/>
    </row>
    <row r="247">
      <c r="A247" s="6" t="inlineStr">
        <is>
          <t>2023-08-21</t>
        </is>
      </c>
      <c r="B247" s="6" t="inlineStr">
        <is>
          <t>MA2401</t>
        </is>
      </c>
      <c r="C247" s="6" t="inlineStr">
        <is>
          <t>2024-01</t>
        </is>
      </c>
      <c r="D247" s="7" t="n">
        <v>2400</v>
      </c>
      <c r="E247" s="7" t="n">
        <v>2509</v>
      </c>
      <c r="F247" s="7">
        <f>D247-E247</f>
        <v/>
      </c>
      <c r="G247" s="8">
        <f>IF(D247=0,"",(D247-E247)/D247)</f>
        <v/>
      </c>
      <c r="H247" s="9" t="n">
        <v>1135228</v>
      </c>
      <c r="I247" s="10" t="n">
        <v>0</v>
      </c>
      <c r="J247" s="10">
        <f>IF(COUNT(G-3:G246)&lt;20,"",IF(COUNTIF(G-3:G246,"&lt;"&amp;G247)&gt;=COUNT(G-3:G246),(COUNT(G-3:G246)-0.5)/COUNT(G-3:G246),IF(COUNTIF(G-3:G246,G247)&gt;0,(COUNTIF(G-3:G246,"&lt;"&amp;G247)+0.5*COUNTIF(G-3:G246,G247))/COUNT(G-3:G246),COUNTIF(G-3:G246,"&lt;"&amp;G247)/COUNT(G-3:G246))))</f>
        <v/>
      </c>
      <c r="K247" s="6" t="inlineStr">
        <is>
          <t>低分位</t>
        </is>
      </c>
      <c r="L247" s="6" t="n">
        <v>97</v>
      </c>
      <c r="M247" s="6" t="inlineStr">
        <is>
          <t>Back(近强)</t>
        </is>
      </c>
      <c r="N247" s="6" t="n">
        <v>1</v>
      </c>
      <c r="O247" s="6" t="n">
        <v>0</v>
      </c>
      <c r="P247" s="7" t="n">
        <v>73</v>
      </c>
      <c r="Q247" s="6" t="inlineStr"/>
    </row>
    <row r="248">
      <c r="A248" s="11" t="inlineStr">
        <is>
          <t>2023-08-22</t>
        </is>
      </c>
      <c r="B248" s="11" t="inlineStr">
        <is>
          <t>MA2401</t>
        </is>
      </c>
      <c r="C248" s="11" t="inlineStr">
        <is>
          <t>2024-01</t>
        </is>
      </c>
      <c r="D248" s="12" t="n">
        <v>2448.33</v>
      </c>
      <c r="E248" s="12" t="n">
        <v>2512</v>
      </c>
      <c r="F248" s="12">
        <f>D248-E248</f>
        <v/>
      </c>
      <c r="G248" s="13">
        <f>IF(D248=0,"",(D248-E248)/D248)</f>
        <v/>
      </c>
      <c r="H248" s="14" t="n">
        <v>1177603</v>
      </c>
      <c r="I248" s="15" t="n">
        <v>0.0494</v>
      </c>
      <c r="J248" s="15">
        <f>IF(COUNT(G-2:G247)&lt;20,"",IF(COUNTIF(G-2:G247,"&lt;"&amp;G248)&gt;=COUNT(G-2:G247),(COUNT(G-2:G247)-0.5)/COUNT(G-2:G247),IF(COUNTIF(G-2:G247,G248)&gt;0,(COUNTIF(G-2:G247,"&lt;"&amp;G248)+0.5*COUNTIF(G-2:G247,G248))/COUNT(G-2:G247),COUNTIF(G-2:G247,"&lt;"&amp;G248)/COUNT(G-2:G247))))</f>
        <v/>
      </c>
      <c r="K248" s="11" t="inlineStr">
        <is>
          <t>低分位</t>
        </is>
      </c>
      <c r="L248" s="11" t="n">
        <v>96</v>
      </c>
      <c r="M248" s="11" t="inlineStr">
        <is>
          <t>Back(近强)</t>
        </is>
      </c>
      <c r="N248" s="11" t="n">
        <v>1</v>
      </c>
      <c r="O248" s="11" t="n">
        <v>0</v>
      </c>
      <c r="P248" s="12" t="n">
        <v>73</v>
      </c>
      <c r="Q248" s="11" t="inlineStr"/>
    </row>
    <row r="249">
      <c r="A249" s="6" t="inlineStr">
        <is>
          <t>2023-08-23</t>
        </is>
      </c>
      <c r="B249" s="6" t="inlineStr">
        <is>
          <t>MA2401</t>
        </is>
      </c>
      <c r="C249" s="6" t="inlineStr">
        <is>
          <t>2024-01</t>
        </is>
      </c>
      <c r="D249" s="7" t="n">
        <v>2450</v>
      </c>
      <c r="E249" s="7" t="n">
        <v>2520</v>
      </c>
      <c r="F249" s="7">
        <f>D249-E249</f>
        <v/>
      </c>
      <c r="G249" s="8">
        <f>IF(D249=0,"",(D249-E249)/D249)</f>
        <v/>
      </c>
      <c r="H249" s="9" t="n">
        <v>1195607</v>
      </c>
      <c r="I249" s="10" t="n">
        <v>0.041</v>
      </c>
      <c r="J249" s="10">
        <f>IF(COUNT(G-1:G248)&lt;20,"",IF(COUNTIF(G-1:G248,"&lt;"&amp;G249)&gt;=COUNT(G-1:G248),(COUNT(G-1:G248)-0.5)/COUNT(G-1:G248),IF(COUNTIF(G-1:G248,G249)&gt;0,(COUNTIF(G-1:G248,"&lt;"&amp;G249)+0.5*COUNTIF(G-1:G248,G249))/COUNT(G-1:G248),COUNTIF(G-1:G248,"&lt;"&amp;G249)/COUNT(G-1:G248))))</f>
        <v/>
      </c>
      <c r="K249" s="6" t="inlineStr">
        <is>
          <t>低分位</t>
        </is>
      </c>
      <c r="L249" s="6" t="n">
        <v>95</v>
      </c>
      <c r="M249" s="6" t="inlineStr">
        <is>
          <t>Back(近强)</t>
        </is>
      </c>
      <c r="N249" s="6" t="n">
        <v>1</v>
      </c>
      <c r="O249" s="6" t="n">
        <v>0</v>
      </c>
      <c r="P249" s="7" t="n">
        <v>68</v>
      </c>
      <c r="Q249" s="6" t="inlineStr"/>
    </row>
    <row r="250">
      <c r="A250" s="11" t="inlineStr">
        <is>
          <t>2023-08-24</t>
        </is>
      </c>
      <c r="B250" s="11" t="inlineStr">
        <is>
          <t>MA2401</t>
        </is>
      </c>
      <c r="C250" s="11" t="inlineStr">
        <is>
          <t>2024-01</t>
        </is>
      </c>
      <c r="D250" s="12" t="n">
        <v>2460</v>
      </c>
      <c r="E250" s="12" t="n">
        <v>2518</v>
      </c>
      <c r="F250" s="12">
        <f>D250-E250</f>
        <v/>
      </c>
      <c r="G250" s="13">
        <f>IF(D250=0,"",(D250-E250)/D250)</f>
        <v/>
      </c>
      <c r="H250" s="14" t="n">
        <v>1205368</v>
      </c>
      <c r="I250" s="15" t="n">
        <v>0.0612</v>
      </c>
      <c r="J250" s="15">
        <f>IF(COUNT(G0:G249)&lt;20,"",IF(COUNTIF(G0:G249,"&lt;"&amp;G250)&gt;=COUNT(G0:G249),(COUNT(G0:G249)-0.5)/COUNT(G0:G249),IF(COUNTIF(G0:G249,G250)&gt;0,(COUNTIF(G0:G249,"&lt;"&amp;G250)+0.5*COUNTIF(G0:G249,G250))/COUNT(G0:G249),COUNTIF(G0:G249,"&lt;"&amp;G250)/COUNT(G0:G249))))</f>
        <v/>
      </c>
      <c r="K250" s="11" t="inlineStr">
        <is>
          <t>低分位</t>
        </is>
      </c>
      <c r="L250" s="11" t="n">
        <v>94</v>
      </c>
      <c r="M250" s="11" t="inlineStr">
        <is>
          <t>Back(近强)</t>
        </is>
      </c>
      <c r="N250" s="11" t="n">
        <v>1</v>
      </c>
      <c r="O250" s="11" t="n">
        <v>0</v>
      </c>
      <c r="P250" s="12" t="n">
        <v>67</v>
      </c>
      <c r="Q250" s="11" t="inlineStr"/>
    </row>
    <row r="251">
      <c r="A251" s="6" t="inlineStr">
        <is>
          <t>2023-08-25</t>
        </is>
      </c>
      <c r="B251" s="6" t="inlineStr">
        <is>
          <t>MA2401</t>
        </is>
      </c>
      <c r="C251" s="6" t="inlineStr">
        <is>
          <t>2024-01</t>
        </is>
      </c>
      <c r="D251" s="7" t="n">
        <v>2455.83</v>
      </c>
      <c r="E251" s="7" t="n">
        <v>2531</v>
      </c>
      <c r="F251" s="7">
        <f>D251-E251</f>
        <v/>
      </c>
      <c r="G251" s="8">
        <f>IF(D251=0,"",(D251-E251)/D251)</f>
        <v/>
      </c>
      <c r="H251" s="9" t="n">
        <v>1201105</v>
      </c>
      <c r="I251" s="10" t="n">
        <v>0.0366</v>
      </c>
      <c r="J251" s="10">
        <f>IF(COUNT(G1:G250)&lt;20,"",IF(COUNTIF(G1:G250,"&lt;"&amp;G251)&gt;=COUNT(G1:G250),(COUNT(G1:G250)-0.5)/COUNT(G1:G250),IF(COUNTIF(G1:G250,G251)&gt;0,(COUNTIF(G1:G250,"&lt;"&amp;G251)+0.5*COUNTIF(G1:G250,G251))/COUNT(G1:G250),COUNTIF(G1:G250,"&lt;"&amp;G251)/COUNT(G1:G250))))</f>
        <v/>
      </c>
      <c r="K251" s="6" t="inlineStr">
        <is>
          <t>低分位</t>
        </is>
      </c>
      <c r="L251" s="6" t="n">
        <v>93</v>
      </c>
      <c r="M251" s="6" t="inlineStr">
        <is>
          <t>Back(近强)</t>
        </is>
      </c>
      <c r="N251" s="6" t="n">
        <v>1</v>
      </c>
      <c r="O251" s="6" t="n">
        <v>0</v>
      </c>
      <c r="P251" s="7" t="n">
        <v>70</v>
      </c>
      <c r="Q251" s="6" t="inlineStr"/>
    </row>
    <row r="252">
      <c r="A252" s="11" t="inlineStr">
        <is>
          <t>2023-08-28</t>
        </is>
      </c>
      <c r="B252" s="11" t="inlineStr">
        <is>
          <t>MA2401</t>
        </is>
      </c>
      <c r="C252" s="11" t="inlineStr">
        <is>
          <t>2024-01</t>
        </is>
      </c>
      <c r="D252" s="12" t="n">
        <v>2467.5</v>
      </c>
      <c r="E252" s="12" t="n">
        <v>2512</v>
      </c>
      <c r="F252" s="12">
        <f>D252-E252</f>
        <v/>
      </c>
      <c r="G252" s="13">
        <f>IF(D252=0,"",(D252-E252)/D252)</f>
        <v/>
      </c>
      <c r="H252" s="14" t="n">
        <v>1172833</v>
      </c>
      <c r="I252" s="15" t="n">
        <v>0.0931</v>
      </c>
      <c r="J252" s="15">
        <f>IF(COUNT(G2:G251)&lt;20,"",IF(COUNTIF(G2:G251,"&lt;"&amp;G252)&gt;=COUNT(G2:G251),(COUNT(G2:G251)-0.5)/COUNT(G2:G251),IF(COUNTIF(G2:G251,G252)&gt;0,(COUNTIF(G2:G251,"&lt;"&amp;G252)+0.5*COUNTIF(G2:G251,G252))/COUNT(G2:G251),COUNTIF(G2:G251,"&lt;"&amp;G252)/COUNT(G2:G251))))</f>
        <v/>
      </c>
      <c r="K252" s="11" t="inlineStr">
        <is>
          <t>低分位</t>
        </is>
      </c>
      <c r="L252" s="11" t="n">
        <v>92</v>
      </c>
      <c r="M252" s="11" t="inlineStr">
        <is>
          <t>Back(近强)</t>
        </is>
      </c>
      <c r="N252" s="11" t="n">
        <v>1</v>
      </c>
      <c r="O252" s="11" t="n">
        <v>0</v>
      </c>
      <c r="P252" s="12" t="n">
        <v>57</v>
      </c>
      <c r="Q252" s="11" t="inlineStr"/>
    </row>
    <row r="253">
      <c r="A253" s="6" t="inlineStr">
        <is>
          <t>2023-08-29</t>
        </is>
      </c>
      <c r="B253" s="6" t="inlineStr">
        <is>
          <t>MA2401</t>
        </is>
      </c>
      <c r="C253" s="6" t="inlineStr">
        <is>
          <t>2024-01</t>
        </is>
      </c>
      <c r="D253" s="7" t="n">
        <v>2451.67</v>
      </c>
      <c r="E253" s="7" t="n">
        <v>2512</v>
      </c>
      <c r="F253" s="7">
        <f>D253-E253</f>
        <v/>
      </c>
      <c r="G253" s="8">
        <f>IF(D253=0,"",(D253-E253)/D253)</f>
        <v/>
      </c>
      <c r="H253" s="9" t="n">
        <v>1200610</v>
      </c>
      <c r="I253" s="10" t="n">
        <v>0.0605</v>
      </c>
      <c r="J253" s="10">
        <f>IF(COUNT(G3:G252)&lt;20,"",IF(COUNTIF(G3:G252,"&lt;"&amp;G253)&gt;=COUNT(G3:G252),(COUNT(G3:G252)-0.5)/COUNT(G3:G252),IF(COUNTIF(G3:G252,G253)&gt;0,(COUNTIF(G3:G252,"&lt;"&amp;G253)+0.5*COUNTIF(G3:G252,G253))/COUNT(G3:G252),COUNTIF(G3:G252,"&lt;"&amp;G253)/COUNT(G3:G252))))</f>
        <v/>
      </c>
      <c r="K253" s="6" t="inlineStr">
        <is>
          <t>低分位</t>
        </is>
      </c>
      <c r="L253" s="6" t="n">
        <v>91</v>
      </c>
      <c r="M253" s="6" t="inlineStr">
        <is>
          <t>Back(近强)</t>
        </is>
      </c>
      <c r="N253" s="6" t="n">
        <v>1</v>
      </c>
      <c r="O253" s="6" t="n">
        <v>0</v>
      </c>
      <c r="P253" s="7" t="n">
        <v>55</v>
      </c>
      <c r="Q253" s="6" t="inlineStr"/>
    </row>
    <row r="254">
      <c r="A254" s="11" t="inlineStr">
        <is>
          <t>2023-08-30</t>
        </is>
      </c>
      <c r="B254" s="11" t="inlineStr">
        <is>
          <t>MA2401</t>
        </is>
      </c>
      <c r="C254" s="11" t="inlineStr">
        <is>
          <t>2024-01</t>
        </is>
      </c>
      <c r="D254" s="12" t="n">
        <v>2451.67</v>
      </c>
      <c r="E254" s="12" t="n">
        <v>2596</v>
      </c>
      <c r="F254" s="12">
        <f>D254-E254</f>
        <v/>
      </c>
      <c r="G254" s="13">
        <f>IF(D254=0,"",(D254-E254)/D254)</f>
        <v/>
      </c>
      <c r="H254" s="14" t="n">
        <v>1281567</v>
      </c>
      <c r="I254" s="15" t="n">
        <v>0</v>
      </c>
      <c r="J254" s="15">
        <f>IF(COUNT(G4:G253)&lt;20,"",IF(COUNTIF(G4:G253,"&lt;"&amp;G254)&gt;=COUNT(G4:G253),(COUNT(G4:G253)-0.5)/COUNT(G4:G253),IF(COUNTIF(G4:G253,G254)&gt;0,(COUNTIF(G4:G253,"&lt;"&amp;G254)+0.5*COUNTIF(G4:G253,G254))/COUNT(G4:G253),COUNTIF(G4:G253,"&lt;"&amp;G254)/COUNT(G4:G253))))</f>
        <v/>
      </c>
      <c r="K254" s="11" t="inlineStr">
        <is>
          <t>低分位</t>
        </is>
      </c>
      <c r="L254" s="11" t="n">
        <v>90</v>
      </c>
      <c r="M254" s="11" t="inlineStr">
        <is>
          <t>Back(近强)</t>
        </is>
      </c>
      <c r="N254" s="11" t="n">
        <v>1</v>
      </c>
      <c r="O254" s="11" t="n">
        <v>0</v>
      </c>
      <c r="P254" s="12" t="n">
        <v>64</v>
      </c>
      <c r="Q254" s="11" t="inlineStr"/>
    </row>
    <row r="255">
      <c r="A255" s="6" t="inlineStr">
        <is>
          <t>2023-08-31</t>
        </is>
      </c>
      <c r="B255" s="6" t="inlineStr">
        <is>
          <t>MA2401</t>
        </is>
      </c>
      <c r="C255" s="6" t="inlineStr">
        <is>
          <t>2024-01</t>
        </is>
      </c>
      <c r="D255" s="7" t="n">
        <v>2541.67</v>
      </c>
      <c r="E255" s="7" t="n">
        <v>2577</v>
      </c>
      <c r="F255" s="7">
        <f>D255-E255</f>
        <v/>
      </c>
      <c r="G255" s="8">
        <f>IF(D255=0,"",(D255-E255)/D255)</f>
        <v/>
      </c>
      <c r="H255" s="9" t="n">
        <v>1257632</v>
      </c>
      <c r="I255" s="10" t="n">
        <v>0.136</v>
      </c>
      <c r="J255" s="10">
        <f>IF(COUNT(G5:G254)&lt;20,"",IF(COUNTIF(G5:G254,"&lt;"&amp;G255)&gt;=COUNT(G5:G254),(COUNT(G5:G254)-0.5)/COUNT(G5:G254),IF(COUNTIF(G5:G254,G255)&gt;0,(COUNTIF(G5:G254,"&lt;"&amp;G255)+0.5*COUNTIF(G5:G254,G255))/COUNT(G5:G254),COUNTIF(G5:G254,"&lt;"&amp;G255)/COUNT(G5:G254))))</f>
        <v/>
      </c>
      <c r="K255" s="6" t="inlineStr">
        <is>
          <t>中间分位</t>
        </is>
      </c>
      <c r="L255" s="6" t="n">
        <v>89</v>
      </c>
      <c r="M255" s="6" t="inlineStr">
        <is>
          <t>Back(近强)</t>
        </is>
      </c>
      <c r="N255" s="6" t="n">
        <v>1</v>
      </c>
      <c r="O255" s="6" t="n">
        <v>0</v>
      </c>
      <c r="P255" s="7" t="n">
        <v>55</v>
      </c>
      <c r="Q255" s="6" t="inlineStr"/>
    </row>
    <row r="256">
      <c r="A256" s="11" t="inlineStr">
        <is>
          <t>2023-09-01</t>
        </is>
      </c>
      <c r="B256" s="11" t="inlineStr">
        <is>
          <t>MA2401</t>
        </is>
      </c>
      <c r="C256" s="11" t="inlineStr">
        <is>
          <t>2024-01</t>
        </is>
      </c>
      <c r="D256" s="12" t="n">
        <v>2525</v>
      </c>
      <c r="E256" s="12" t="n">
        <v>2610</v>
      </c>
      <c r="F256" s="12">
        <f>D256-E256</f>
        <v/>
      </c>
      <c r="G256" s="13">
        <f>IF(D256=0,"",(D256-E256)/D256)</f>
        <v/>
      </c>
      <c r="H256" s="14" t="n">
        <v>1224064</v>
      </c>
      <c r="I256" s="15" t="n">
        <v>0.024</v>
      </c>
      <c r="J256" s="15">
        <f>IF(COUNT(G6:G255)&lt;20,"",IF(COUNTIF(G6:G255,"&lt;"&amp;G256)&gt;=COUNT(G6:G255),(COUNT(G6:G255)-0.5)/COUNT(G6:G255),IF(COUNTIF(G6:G255,G256)&gt;0,(COUNTIF(G6:G255,"&lt;"&amp;G256)+0.5*COUNTIF(G6:G255,G256))/COUNT(G6:G255),COUNTIF(G6:G255,"&lt;"&amp;G256)/COUNT(G6:G255))))</f>
        <v/>
      </c>
      <c r="K256" s="11" t="inlineStr">
        <is>
          <t>低分位</t>
        </is>
      </c>
      <c r="L256" s="11" t="n">
        <v>88</v>
      </c>
      <c r="M256" s="11" t="inlineStr">
        <is>
          <t>Back(近强)</t>
        </is>
      </c>
      <c r="N256" s="11" t="n">
        <v>1</v>
      </c>
      <c r="O256" s="11" t="n">
        <v>0</v>
      </c>
      <c r="P256" s="12" t="n">
        <v>49</v>
      </c>
      <c r="Q256" s="11" t="inlineStr"/>
    </row>
    <row r="257">
      <c r="A257" s="6" t="inlineStr">
        <is>
          <t>2023-09-04</t>
        </is>
      </c>
      <c r="B257" s="6" t="inlineStr">
        <is>
          <t>MA2401</t>
        </is>
      </c>
      <c r="C257" s="6" t="inlineStr">
        <is>
          <t>2024-01</t>
        </is>
      </c>
      <c r="D257" s="7" t="n">
        <v>2551.67</v>
      </c>
      <c r="E257" s="7" t="n">
        <v>2573</v>
      </c>
      <c r="F257" s="7">
        <f>D257-E257</f>
        <v/>
      </c>
      <c r="G257" s="8">
        <f>IF(D257=0,"",(D257-E257)/D257)</f>
        <v/>
      </c>
      <c r="H257" s="9" t="n">
        <v>1197274</v>
      </c>
      <c r="I257" s="10" t="n">
        <v>0.184</v>
      </c>
      <c r="J257" s="10">
        <f>IF(COUNT(G7:G256)&lt;20,"",IF(COUNTIF(G7:G256,"&lt;"&amp;G257)&gt;=COUNT(G7:G256),(COUNT(G7:G256)-0.5)/COUNT(G7:G256),IF(COUNTIF(G7:G256,G257)&gt;0,(COUNTIF(G7:G256,"&lt;"&amp;G257)+0.5*COUNTIF(G7:G256,G257))/COUNT(G7:G256),COUNTIF(G7:G256,"&lt;"&amp;G257)/COUNT(G7:G256))))</f>
        <v/>
      </c>
      <c r="K257" s="6" t="inlineStr">
        <is>
          <t>中间分位</t>
        </is>
      </c>
      <c r="L257" s="6" t="n">
        <v>87</v>
      </c>
      <c r="M257" s="6" t="inlineStr">
        <is>
          <t>Back(近强)</t>
        </is>
      </c>
      <c r="N257" s="6" t="n">
        <v>1</v>
      </c>
      <c r="O257" s="6" t="n">
        <v>0</v>
      </c>
      <c r="P257" s="7" t="n">
        <v>68</v>
      </c>
      <c r="Q257" s="6" t="inlineStr"/>
    </row>
    <row r="258">
      <c r="A258" s="11" t="inlineStr">
        <is>
          <t>2023-09-05</t>
        </is>
      </c>
      <c r="B258" s="11" t="inlineStr">
        <is>
          <t>MA2401</t>
        </is>
      </c>
      <c r="C258" s="11" t="inlineStr">
        <is>
          <t>2024-01</t>
        </is>
      </c>
      <c r="D258" s="12" t="n">
        <v>2521.67</v>
      </c>
      <c r="E258" s="12" t="n">
        <v>2590</v>
      </c>
      <c r="F258" s="12">
        <f>D258-E258</f>
        <v/>
      </c>
      <c r="G258" s="13">
        <f>IF(D258=0,"",(D258-E258)/D258)</f>
        <v/>
      </c>
      <c r="H258" s="14" t="n">
        <v>1191838</v>
      </c>
      <c r="I258" s="15" t="n">
        <v>0.064</v>
      </c>
      <c r="J258" s="15">
        <f>IF(COUNT(G8:G257)&lt;20,"",IF(COUNTIF(G8:G257,"&lt;"&amp;G258)&gt;=COUNT(G8:G257),(COUNT(G8:G257)-0.5)/COUNT(G8:G257),IF(COUNTIF(G8:G257,G258)&gt;0,(COUNTIF(G8:G257,"&lt;"&amp;G258)+0.5*COUNTIF(G8:G257,G258))/COUNT(G8:G257),COUNTIF(G8:G257,"&lt;"&amp;G258)/COUNT(G8:G257))))</f>
        <v/>
      </c>
      <c r="K258" s="11" t="inlineStr">
        <is>
          <t>低分位</t>
        </is>
      </c>
      <c r="L258" s="11" t="n">
        <v>86</v>
      </c>
      <c r="M258" s="11" t="inlineStr">
        <is>
          <t>Back(近强)</t>
        </is>
      </c>
      <c r="N258" s="11" t="n">
        <v>1</v>
      </c>
      <c r="O258" s="11" t="n">
        <v>0</v>
      </c>
      <c r="P258" s="12" t="n">
        <v>59</v>
      </c>
      <c r="Q258" s="11" t="inlineStr"/>
    </row>
    <row r="259">
      <c r="A259" s="6" t="inlineStr">
        <is>
          <t>2023-09-06</t>
        </is>
      </c>
      <c r="B259" s="6" t="inlineStr">
        <is>
          <t>MA2401</t>
        </is>
      </c>
      <c r="C259" s="6" t="inlineStr">
        <is>
          <t>2024-01</t>
        </is>
      </c>
      <c r="D259" s="7" t="n">
        <v>2540</v>
      </c>
      <c r="E259" s="7" t="n">
        <v>2586</v>
      </c>
      <c r="F259" s="7">
        <f>D259-E259</f>
        <v/>
      </c>
      <c r="G259" s="8">
        <f>IF(D259=0,"",(D259-E259)/D259)</f>
        <v/>
      </c>
      <c r="H259" s="9" t="n">
        <v>1232933</v>
      </c>
      <c r="I259" s="10" t="n">
        <v>0.108</v>
      </c>
      <c r="J259" s="10">
        <f>IF(COUNT(G9:G258)&lt;20,"",IF(COUNTIF(G9:G258,"&lt;"&amp;G259)&gt;=COUNT(G9:G258),(COUNT(G9:G258)-0.5)/COUNT(G9:G258),IF(COUNTIF(G9:G258,G259)&gt;0,(COUNTIF(G9:G258,"&lt;"&amp;G259)+0.5*COUNTIF(G9:G258,G259))/COUNT(G9:G258),COUNTIF(G9:G258,"&lt;"&amp;G259)/COUNT(G9:G258))))</f>
        <v/>
      </c>
      <c r="K259" s="6" t="inlineStr">
        <is>
          <t>中间分位</t>
        </is>
      </c>
      <c r="L259" s="6" t="n">
        <v>85</v>
      </c>
      <c r="M259" s="6" t="inlineStr">
        <is>
          <t>Back(近强)</t>
        </is>
      </c>
      <c r="N259" s="6" t="n">
        <v>1</v>
      </c>
      <c r="O259" s="6" t="n">
        <v>0</v>
      </c>
      <c r="P259" s="7" t="n">
        <v>48</v>
      </c>
      <c r="Q259" s="6" t="inlineStr"/>
    </row>
    <row r="260">
      <c r="A260" s="11" t="inlineStr">
        <is>
          <t>2023-09-07</t>
        </is>
      </c>
      <c r="B260" s="11" t="inlineStr">
        <is>
          <t>MA2401</t>
        </is>
      </c>
      <c r="C260" s="11" t="inlineStr">
        <is>
          <t>2024-01</t>
        </is>
      </c>
      <c r="D260" s="12" t="n">
        <v>2540.83</v>
      </c>
      <c r="E260" s="12" t="n">
        <v>2536</v>
      </c>
      <c r="F260" s="12">
        <f>D260-E260</f>
        <v/>
      </c>
      <c r="G260" s="13">
        <f>IF(D260=0,"",(D260-E260)/D260)</f>
        <v/>
      </c>
      <c r="H260" s="14" t="n">
        <v>1262233</v>
      </c>
      <c r="I260" s="15" t="n">
        <v>0.248</v>
      </c>
      <c r="J260" s="15">
        <f>IF(COUNT(G10:G259)&lt;20,"",IF(COUNTIF(G10:G259,"&lt;"&amp;G260)&gt;=COUNT(G10:G259),(COUNT(G10:G259)-0.5)/COUNT(G10:G259),IF(COUNTIF(G10:G259,G260)&gt;0,(COUNTIF(G10:G259,"&lt;"&amp;G260)+0.5*COUNTIF(G10:G259,G260))/COUNT(G10:G259),COUNTIF(G10:G259,"&lt;"&amp;G260)/COUNT(G10:G259))))</f>
        <v/>
      </c>
      <c r="K260" s="11" t="inlineStr">
        <is>
          <t>中间分位</t>
        </is>
      </c>
      <c r="L260" s="11" t="n">
        <v>84</v>
      </c>
      <c r="M260" s="11" t="inlineStr">
        <is>
          <t>Back(近强)</t>
        </is>
      </c>
      <c r="N260" s="11" t="n">
        <v>1</v>
      </c>
      <c r="O260" s="11" t="n">
        <v>0</v>
      </c>
      <c r="P260" s="12" t="n">
        <v>50</v>
      </c>
      <c r="Q260" s="11" t="inlineStr"/>
    </row>
    <row r="261">
      <c r="A261" s="6" t="inlineStr">
        <is>
          <t>2023-09-08</t>
        </is>
      </c>
      <c r="B261" s="6" t="inlineStr">
        <is>
          <t>MA2401</t>
        </is>
      </c>
      <c r="C261" s="6" t="inlineStr">
        <is>
          <t>2024-01</t>
        </is>
      </c>
      <c r="D261" s="7" t="n">
        <v>2499.17</v>
      </c>
      <c r="E261" s="7" t="n">
        <v>2523</v>
      </c>
      <c r="F261" s="7">
        <f>D261-E261</f>
        <v/>
      </c>
      <c r="G261" s="8">
        <f>IF(D261=0,"",(D261-E261)/D261)</f>
        <v/>
      </c>
      <c r="H261" s="9" t="n">
        <v>1206635</v>
      </c>
      <c r="I261" s="10" t="n">
        <v>0.168</v>
      </c>
      <c r="J261" s="10">
        <f>IF(COUNT(G11:G260)&lt;20,"",IF(COUNTIF(G11:G260,"&lt;"&amp;G261)&gt;=COUNT(G11:G260),(COUNT(G11:G260)-0.5)/COUNT(G11:G260),IF(COUNTIF(G11:G260,G261)&gt;0,(COUNTIF(G11:G260,"&lt;"&amp;G261)+0.5*COUNTIF(G11:G260,G261))/COUNT(G11:G260),COUNTIF(G11:G260,"&lt;"&amp;G261)/COUNT(G11:G260))))</f>
        <v/>
      </c>
      <c r="K261" s="6" t="inlineStr">
        <is>
          <t>中间分位</t>
        </is>
      </c>
      <c r="L261" s="6" t="n">
        <v>83</v>
      </c>
      <c r="M261" s="6" t="inlineStr">
        <is>
          <t>Back(近强)</t>
        </is>
      </c>
      <c r="N261" s="6" t="n">
        <v>1</v>
      </c>
      <c r="O261" s="6" t="n">
        <v>0</v>
      </c>
      <c r="P261" s="7" t="n">
        <v>71</v>
      </c>
      <c r="Q261" s="6" t="inlineStr"/>
    </row>
    <row r="262">
      <c r="A262" s="11" t="inlineStr">
        <is>
          <t>2023-09-11</t>
        </is>
      </c>
      <c r="B262" s="11" t="inlineStr">
        <is>
          <t>MA2401</t>
        </is>
      </c>
      <c r="C262" s="11" t="inlineStr">
        <is>
          <t>2024-01</t>
        </is>
      </c>
      <c r="D262" s="12" t="n">
        <v>2485.83</v>
      </c>
      <c r="E262" s="12" t="n">
        <v>2551</v>
      </c>
      <c r="F262" s="12">
        <f>D262-E262</f>
        <v/>
      </c>
      <c r="G262" s="13">
        <f>IF(D262=0,"",(D262-E262)/D262)</f>
        <v/>
      </c>
      <c r="H262" s="14" t="n">
        <v>1209025</v>
      </c>
      <c r="I262" s="15" t="n">
        <v>0.068</v>
      </c>
      <c r="J262" s="15">
        <f>IF(COUNT(G12:G261)&lt;20,"",IF(COUNTIF(G12:G261,"&lt;"&amp;G262)&gt;=COUNT(G12:G261),(COUNT(G12:G261)-0.5)/COUNT(G12:G261),IF(COUNTIF(G12:G261,G262)&gt;0,(COUNTIF(G12:G261,"&lt;"&amp;G262)+0.5*COUNTIF(G12:G261,G262))/COUNT(G12:G261),COUNTIF(G12:G261,"&lt;"&amp;G262)/COUNT(G12:G261))))</f>
        <v/>
      </c>
      <c r="K262" s="11" t="inlineStr">
        <is>
          <t>低分位</t>
        </is>
      </c>
      <c r="L262" s="11" t="n">
        <v>82</v>
      </c>
      <c r="M262" s="11" t="inlineStr">
        <is>
          <t>Back(近强)</t>
        </is>
      </c>
      <c r="N262" s="11" t="n">
        <v>1</v>
      </c>
      <c r="O262" s="11" t="n">
        <v>0</v>
      </c>
      <c r="P262" s="12" t="n">
        <v>40</v>
      </c>
      <c r="Q262" s="11" t="inlineStr"/>
    </row>
    <row r="263">
      <c r="A263" s="6" t="inlineStr">
        <is>
          <t>2023-09-12</t>
        </is>
      </c>
      <c r="B263" s="6" t="inlineStr">
        <is>
          <t>MA2401</t>
        </is>
      </c>
      <c r="C263" s="6" t="inlineStr">
        <is>
          <t>2024-01</t>
        </is>
      </c>
      <c r="D263" s="7" t="n">
        <v>2510</v>
      </c>
      <c r="E263" s="7" t="n">
        <v>2566</v>
      </c>
      <c r="F263" s="7">
        <f>D263-E263</f>
        <v/>
      </c>
      <c r="G263" s="8">
        <f>IF(D263=0,"",(D263-E263)/D263)</f>
        <v/>
      </c>
      <c r="H263" s="9" t="n">
        <v>1196273</v>
      </c>
      <c r="I263" s="10" t="n">
        <v>0.08799999999999999</v>
      </c>
      <c r="J263" s="10">
        <f>IF(COUNT(G13:G262)&lt;20,"",IF(COUNTIF(G13:G262,"&lt;"&amp;G263)&gt;=COUNT(G13:G262),(COUNT(G13:G262)-0.5)/COUNT(G13:G262),IF(COUNTIF(G13:G262,G263)&gt;0,(COUNTIF(G13:G262,"&lt;"&amp;G263)+0.5*COUNTIF(G13:G262,G263))/COUNT(G13:G262),COUNTIF(G13:G262,"&lt;"&amp;G263)/COUNT(G13:G262))))</f>
        <v/>
      </c>
      <c r="K263" s="6" t="inlineStr">
        <is>
          <t>低分位</t>
        </is>
      </c>
      <c r="L263" s="6" t="n">
        <v>81</v>
      </c>
      <c r="M263" s="6" t="inlineStr">
        <is>
          <t>Back(近强)</t>
        </is>
      </c>
      <c r="N263" s="6" t="n">
        <v>1</v>
      </c>
      <c r="O263" s="6" t="n">
        <v>0</v>
      </c>
      <c r="P263" s="7" t="n">
        <v>45</v>
      </c>
      <c r="Q263" s="6" t="inlineStr"/>
    </row>
    <row r="264">
      <c r="A264" s="11" t="inlineStr">
        <is>
          <t>2023-09-13</t>
        </is>
      </c>
      <c r="B264" s="11" t="inlineStr">
        <is>
          <t>MA2401</t>
        </is>
      </c>
      <c r="C264" s="11" t="inlineStr">
        <is>
          <t>2024-01</t>
        </is>
      </c>
      <c r="D264" s="12" t="n">
        <v>2524.17</v>
      </c>
      <c r="E264" s="12" t="n">
        <v>2525</v>
      </c>
      <c r="F264" s="12">
        <f>D264-E264</f>
        <v/>
      </c>
      <c r="G264" s="13">
        <f>IF(D264=0,"",(D264-E264)/D264)</f>
        <v/>
      </c>
      <c r="H264" s="14" t="n">
        <v>1216986</v>
      </c>
      <c r="I264" s="15" t="n">
        <v>0.228</v>
      </c>
      <c r="J264" s="15">
        <f>IF(COUNT(G14:G263)&lt;20,"",IF(COUNTIF(G14:G263,"&lt;"&amp;G264)&gt;=COUNT(G14:G263),(COUNT(G14:G263)-0.5)/COUNT(G14:G263),IF(COUNTIF(G14:G263,G264)&gt;0,(COUNTIF(G14:G263,"&lt;"&amp;G264)+0.5*COUNTIF(G14:G263,G264))/COUNT(G14:G263),COUNTIF(G14:G263,"&lt;"&amp;G264)/COUNT(G14:G263))))</f>
        <v/>
      </c>
      <c r="K264" s="11" t="inlineStr">
        <is>
          <t>中间分位</t>
        </is>
      </c>
      <c r="L264" s="11" t="n">
        <v>80</v>
      </c>
      <c r="M264" s="11" t="inlineStr">
        <is>
          <t>Back(近强)</t>
        </is>
      </c>
      <c r="N264" s="11" t="n">
        <v>1</v>
      </c>
      <c r="O264" s="11" t="n">
        <v>0</v>
      </c>
      <c r="P264" s="12" t="n">
        <v>52</v>
      </c>
      <c r="Q264" s="11" t="inlineStr"/>
    </row>
    <row r="265">
      <c r="A265" s="6" t="inlineStr">
        <is>
          <t>2023-09-14</t>
        </is>
      </c>
      <c r="B265" s="6" t="inlineStr">
        <is>
          <t>MA2401</t>
        </is>
      </c>
      <c r="C265" s="6" t="inlineStr">
        <is>
          <t>2024-01</t>
        </is>
      </c>
      <c r="D265" s="7" t="n">
        <v>2491.67</v>
      </c>
      <c r="E265" s="7" t="n">
        <v>2562</v>
      </c>
      <c r="F265" s="7">
        <f>D265-E265</f>
        <v/>
      </c>
      <c r="G265" s="8">
        <f>IF(D265=0,"",(D265-E265)/D265)</f>
        <v/>
      </c>
      <c r="H265" s="9" t="n">
        <v>1215783</v>
      </c>
      <c r="I265" s="10" t="n">
        <v>0.06</v>
      </c>
      <c r="J265" s="10">
        <f>IF(COUNT(G15:G264)&lt;20,"",IF(COUNTIF(G15:G264,"&lt;"&amp;G265)&gt;=COUNT(G15:G264),(COUNT(G15:G264)-0.5)/COUNT(G15:G264),IF(COUNTIF(G15:G264,G265)&gt;0,(COUNTIF(G15:G264,"&lt;"&amp;G265)+0.5*COUNTIF(G15:G264,G265))/COUNT(G15:G264),COUNTIF(G15:G264,"&lt;"&amp;G265)/COUNT(G15:G264))))</f>
        <v/>
      </c>
      <c r="K265" s="6" t="inlineStr">
        <is>
          <t>低分位</t>
        </is>
      </c>
      <c r="L265" s="6" t="n">
        <v>79</v>
      </c>
      <c r="M265" s="6" t="inlineStr">
        <is>
          <t>Back(近强)</t>
        </is>
      </c>
      <c r="N265" s="6" t="n">
        <v>1</v>
      </c>
      <c r="O265" s="6" t="n">
        <v>0</v>
      </c>
      <c r="P265" s="7" t="n">
        <v>62</v>
      </c>
      <c r="Q265" s="6" t="inlineStr"/>
    </row>
    <row r="266">
      <c r="A266" s="11" t="inlineStr">
        <is>
          <t>2023-09-15</t>
        </is>
      </c>
      <c r="B266" s="11" t="inlineStr">
        <is>
          <t>MA2401</t>
        </is>
      </c>
      <c r="C266" s="11" t="inlineStr">
        <is>
          <t>2024-01</t>
        </is>
      </c>
      <c r="D266" s="12" t="n">
        <v>2527.5</v>
      </c>
      <c r="E266" s="12" t="n">
        <v>2564</v>
      </c>
      <c r="F266" s="12">
        <f>D266-E266</f>
        <v/>
      </c>
      <c r="G266" s="13">
        <f>IF(D266=0,"",(D266-E266)/D266)</f>
        <v/>
      </c>
      <c r="H266" s="14" t="n">
        <v>1228500</v>
      </c>
      <c r="I266" s="15" t="n">
        <v>0.132</v>
      </c>
      <c r="J266" s="15">
        <f>IF(COUNT(G16:G265)&lt;20,"",IF(COUNTIF(G16:G265,"&lt;"&amp;G266)&gt;=COUNT(G16:G265),(COUNT(G16:G265)-0.5)/COUNT(G16:G265),IF(COUNTIF(G16:G265,G266)&gt;0,(COUNTIF(G16:G265,"&lt;"&amp;G266)+0.5*COUNTIF(G16:G265,G266))/COUNT(G16:G265),COUNTIF(G16:G265,"&lt;"&amp;G266)/COUNT(G16:G265))))</f>
        <v/>
      </c>
      <c r="K266" s="11" t="inlineStr">
        <is>
          <t>中间分位</t>
        </is>
      </c>
      <c r="L266" s="11" t="n">
        <v>78</v>
      </c>
      <c r="M266" s="11" t="inlineStr">
        <is>
          <t>Back(近强)</t>
        </is>
      </c>
      <c r="N266" s="11" t="n">
        <v>1</v>
      </c>
      <c r="O266" s="11" t="n">
        <v>0</v>
      </c>
      <c r="P266" s="12" t="n">
        <v>18</v>
      </c>
      <c r="Q266" s="11" t="inlineStr"/>
    </row>
    <row r="267">
      <c r="A267" s="6" t="inlineStr">
        <is>
          <t>2023-09-18</t>
        </is>
      </c>
      <c r="B267" s="6" t="inlineStr">
        <is>
          <t>MA2401</t>
        </is>
      </c>
      <c r="C267" s="6" t="inlineStr">
        <is>
          <t>2024-01</t>
        </is>
      </c>
      <c r="D267" s="7" t="n">
        <v>2535</v>
      </c>
      <c r="E267" s="7" t="n">
        <v>2625</v>
      </c>
      <c r="F267" s="7">
        <f>D267-E267</f>
        <v/>
      </c>
      <c r="G267" s="8">
        <f>IF(D267=0,"",(D267-E267)/D267)</f>
        <v/>
      </c>
      <c r="H267" s="9" t="n">
        <v>1319298</v>
      </c>
      <c r="I267" s="10" t="n">
        <v>0.024</v>
      </c>
      <c r="J267" s="10">
        <f>IF(COUNT(G17:G266)&lt;20,"",IF(COUNTIF(G17:G266,"&lt;"&amp;G267)&gt;=COUNT(G17:G266),(COUNT(G17:G266)-0.5)/COUNT(G17:G266),IF(COUNTIF(G17:G266,G267)&gt;0,(COUNTIF(G17:G266,"&lt;"&amp;G267)+0.5*COUNTIF(G17:G266,G267))/COUNT(G17:G266),COUNTIF(G17:G266,"&lt;"&amp;G267)/COUNT(G17:G266))))</f>
        <v/>
      </c>
      <c r="K267" s="6" t="inlineStr">
        <is>
          <t>低分位</t>
        </is>
      </c>
      <c r="L267" s="6" t="n">
        <v>77</v>
      </c>
      <c r="M267" s="6" t="inlineStr">
        <is>
          <t>结构不明</t>
        </is>
      </c>
      <c r="N267" s="6" t="n">
        <v>1</v>
      </c>
      <c r="O267" s="6" t="n">
        <v>0</v>
      </c>
      <c r="P267" s="7" t="n">
        <v>10</v>
      </c>
      <c r="Q267" s="6" t="inlineStr"/>
    </row>
    <row r="268">
      <c r="A268" s="11" t="inlineStr">
        <is>
          <t>2023-09-19</t>
        </is>
      </c>
      <c r="B268" s="11" t="inlineStr">
        <is>
          <t>MA2401</t>
        </is>
      </c>
      <c r="C268" s="11" t="inlineStr">
        <is>
          <t>2024-01</t>
        </is>
      </c>
      <c r="D268" s="12" t="n">
        <v>2595.83</v>
      </c>
      <c r="E268" s="12" t="n">
        <v>2633</v>
      </c>
      <c r="F268" s="12">
        <f>D268-E268</f>
        <v/>
      </c>
      <c r="G268" s="13">
        <f>IF(D268=0,"",(D268-E268)/D268)</f>
        <v/>
      </c>
      <c r="H268" s="14" t="n">
        <v>1316090</v>
      </c>
      <c r="I268" s="15" t="n">
        <v>0.14</v>
      </c>
      <c r="J268" s="15">
        <f>IF(COUNT(G18:G267)&lt;20,"",IF(COUNTIF(G18:G267,"&lt;"&amp;G268)&gt;=COUNT(G18:G267),(COUNT(G18:G267)-0.5)/COUNT(G18:G267),IF(COUNTIF(G18:G267,G268)&gt;0,(COUNTIF(G18:G267,"&lt;"&amp;G268)+0.5*COUNTIF(G18:G267,G268))/COUNT(G18:G267),COUNTIF(G18:G267,"&lt;"&amp;G268)/COUNT(G18:G267))))</f>
        <v/>
      </c>
      <c r="K268" s="11" t="inlineStr">
        <is>
          <t>中间分位</t>
        </is>
      </c>
      <c r="L268" s="11" t="n">
        <v>76</v>
      </c>
      <c r="M268" s="11" t="inlineStr">
        <is>
          <t>Back(近强)</t>
        </is>
      </c>
      <c r="N268" s="11" t="n">
        <v>1</v>
      </c>
      <c r="O268" s="11" t="n">
        <v>0</v>
      </c>
      <c r="P268" s="12" t="n">
        <v>21</v>
      </c>
      <c r="Q268" s="11" t="inlineStr"/>
    </row>
    <row r="269">
      <c r="A269" s="6" t="inlineStr">
        <is>
          <t>2023-09-20</t>
        </is>
      </c>
      <c r="B269" s="6" t="inlineStr">
        <is>
          <t>MA2401</t>
        </is>
      </c>
      <c r="C269" s="6" t="inlineStr">
        <is>
          <t>2024-01</t>
        </is>
      </c>
      <c r="D269" s="7" t="n">
        <v>2605.83</v>
      </c>
      <c r="E269" s="7" t="n">
        <v>2591</v>
      </c>
      <c r="F269" s="7">
        <f>D269-E269</f>
        <v/>
      </c>
      <c r="G269" s="8">
        <f>IF(D269=0,"",(D269-E269)/D269)</f>
        <v/>
      </c>
      <c r="H269" s="9" t="n">
        <v>1265979</v>
      </c>
      <c r="I269" s="10" t="n">
        <v>0.28</v>
      </c>
      <c r="J269" s="10">
        <f>IF(COUNT(G19:G268)&lt;20,"",IF(COUNTIF(G19:G268,"&lt;"&amp;G269)&gt;=COUNT(G19:G268),(COUNT(G19:G268)-0.5)/COUNT(G19:G268),IF(COUNTIF(G19:G268,G269)&gt;0,(COUNTIF(G19:G268,"&lt;"&amp;G269)+0.5*COUNTIF(G19:G268,G269))/COUNT(G19:G268),COUNTIF(G19:G268,"&lt;"&amp;G269)/COUNT(G19:G268))))</f>
        <v/>
      </c>
      <c r="K269" s="6" t="inlineStr">
        <is>
          <t>中间分位</t>
        </is>
      </c>
      <c r="L269" s="6" t="n">
        <v>75</v>
      </c>
      <c r="M269" s="6" t="inlineStr">
        <is>
          <t>Back(近强)</t>
        </is>
      </c>
      <c r="N269" s="6" t="n">
        <v>1</v>
      </c>
      <c r="O269" s="6" t="n">
        <v>0</v>
      </c>
      <c r="P269" s="7" t="n">
        <v>18</v>
      </c>
      <c r="Q269" s="6" t="inlineStr"/>
    </row>
    <row r="270">
      <c r="A270" s="11" t="inlineStr">
        <is>
          <t>2023-09-21</t>
        </is>
      </c>
      <c r="B270" s="11" t="inlineStr">
        <is>
          <t>MA2401</t>
        </is>
      </c>
      <c r="C270" s="11" t="inlineStr">
        <is>
          <t>2024-01</t>
        </is>
      </c>
      <c r="D270" s="12" t="n">
        <v>2566.67</v>
      </c>
      <c r="E270" s="12" t="n">
        <v>2547</v>
      </c>
      <c r="F270" s="12">
        <f>D270-E270</f>
        <v/>
      </c>
      <c r="G270" s="13">
        <f>IF(D270=0,"",(D270-E270)/D270)</f>
        <v/>
      </c>
      <c r="H270" s="14" t="n">
        <v>1237089</v>
      </c>
      <c r="I270" s="15" t="n">
        <v>0.296</v>
      </c>
      <c r="J270" s="15">
        <f>IF(COUNT(G20:G269)&lt;20,"",IF(COUNTIF(G20:G269,"&lt;"&amp;G270)&gt;=COUNT(G20:G269),(COUNT(G20:G269)-0.5)/COUNT(G20:G269),IF(COUNTIF(G20:G269,G270)&gt;0,(COUNTIF(G20:G269,"&lt;"&amp;G270)+0.5*COUNTIF(G20:G269,G270))/COUNT(G20:G269),COUNTIF(G20:G269,"&lt;"&amp;G270)/COUNT(G20:G269))))</f>
        <v/>
      </c>
      <c r="K270" s="11" t="inlineStr">
        <is>
          <t>中间分位</t>
        </is>
      </c>
      <c r="L270" s="11" t="n">
        <v>74</v>
      </c>
      <c r="M270" s="11" t="inlineStr">
        <is>
          <t>结构不明</t>
        </is>
      </c>
      <c r="N270" s="11" t="n">
        <v>1</v>
      </c>
      <c r="O270" s="11" t="n">
        <v>0</v>
      </c>
      <c r="P270" s="12" t="n">
        <v>10</v>
      </c>
      <c r="Q270" s="11" t="inlineStr"/>
    </row>
    <row r="271">
      <c r="A271" s="6" t="inlineStr">
        <is>
          <t>2023-09-22</t>
        </is>
      </c>
      <c r="B271" s="6" t="inlineStr">
        <is>
          <t>MA2401</t>
        </is>
      </c>
      <c r="C271" s="6" t="inlineStr">
        <is>
          <t>2024-01</t>
        </is>
      </c>
      <c r="D271" s="7" t="n">
        <v>2539.17</v>
      </c>
      <c r="E271" s="7" t="n">
        <v>2542</v>
      </c>
      <c r="F271" s="7">
        <f>D271-E271</f>
        <v/>
      </c>
      <c r="G271" s="8">
        <f>IF(D271=0,"",(D271-E271)/D271)</f>
        <v/>
      </c>
      <c r="H271" s="9" t="n">
        <v>1265019</v>
      </c>
      <c r="I271" s="10" t="n">
        <v>0.212</v>
      </c>
      <c r="J271" s="10">
        <f>IF(COUNT(G21:G270)&lt;20,"",IF(COUNTIF(G21:G270,"&lt;"&amp;G271)&gt;=COUNT(G21:G270),(COUNT(G21:G270)-0.5)/COUNT(G21:G270),IF(COUNTIF(G21:G270,G271)&gt;0,(COUNTIF(G21:G270,"&lt;"&amp;G271)+0.5*COUNTIF(G21:G270,G271))/COUNT(G21:G270),COUNTIF(G21:G270,"&lt;"&amp;G271)/COUNT(G21:G270))))</f>
        <v/>
      </c>
      <c r="K271" s="6" t="inlineStr">
        <is>
          <t>中间分位</t>
        </is>
      </c>
      <c r="L271" s="6" t="n">
        <v>73</v>
      </c>
      <c r="M271" s="6" t="inlineStr">
        <is>
          <t>Back(近强)</t>
        </is>
      </c>
      <c r="N271" s="6" t="n">
        <v>1</v>
      </c>
      <c r="O271" s="6" t="n">
        <v>0</v>
      </c>
      <c r="P271" s="7" t="n">
        <v>26</v>
      </c>
      <c r="Q271" s="6" t="inlineStr"/>
    </row>
    <row r="272">
      <c r="A272" s="11" t="inlineStr">
        <is>
          <t>2023-09-25</t>
        </is>
      </c>
      <c r="B272" s="11" t="inlineStr">
        <is>
          <t>MA2401</t>
        </is>
      </c>
      <c r="C272" s="11" t="inlineStr">
        <is>
          <t>2024-01</t>
        </is>
      </c>
      <c r="D272" s="12" t="n">
        <v>2535.83</v>
      </c>
      <c r="E272" s="12" t="n">
        <v>2480</v>
      </c>
      <c r="F272" s="12">
        <f>D272-E272</f>
        <v/>
      </c>
      <c r="G272" s="13">
        <f>IF(D272=0,"",(D272-E272)/D272)</f>
        <v/>
      </c>
      <c r="H272" s="14" t="n">
        <v>1319591</v>
      </c>
      <c r="I272" s="15" t="n">
        <v>0.424</v>
      </c>
      <c r="J272" s="15">
        <f>IF(COUNT(G22:G271)&lt;20,"",IF(COUNTIF(G22:G271,"&lt;"&amp;G272)&gt;=COUNT(G22:G271),(COUNT(G22:G271)-0.5)/COUNT(G22:G271),IF(COUNTIF(G22:G271,G272)&gt;0,(COUNTIF(G22:G271,"&lt;"&amp;G272)+0.5*COUNTIF(G22:G271,G272))/COUNT(G22:G271),COUNTIF(G22:G271,"&lt;"&amp;G272)/COUNT(G22:G271))))</f>
        <v/>
      </c>
      <c r="K272" s="11" t="inlineStr">
        <is>
          <t>中间分位</t>
        </is>
      </c>
      <c r="L272" s="11" t="n">
        <v>72</v>
      </c>
      <c r="M272" s="11" t="inlineStr">
        <is>
          <t>Back(近强)</t>
        </is>
      </c>
      <c r="N272" s="11" t="n">
        <v>1</v>
      </c>
      <c r="O272" s="11" t="n">
        <v>0</v>
      </c>
      <c r="P272" s="12" t="n">
        <v>26</v>
      </c>
      <c r="Q272" s="11" t="inlineStr"/>
    </row>
    <row r="273">
      <c r="A273" s="6" t="inlineStr">
        <is>
          <t>2023-09-26</t>
        </is>
      </c>
      <c r="B273" s="6" t="inlineStr">
        <is>
          <t>MA2401</t>
        </is>
      </c>
      <c r="C273" s="6" t="inlineStr">
        <is>
          <t>2024-01</t>
        </is>
      </c>
      <c r="D273" s="7" t="n">
        <v>2484.17</v>
      </c>
      <c r="E273" s="7" t="n">
        <v>2457</v>
      </c>
      <c r="F273" s="7">
        <f>D273-E273</f>
        <v/>
      </c>
      <c r="G273" s="8">
        <f>IF(D273=0,"",(D273-E273)/D273)</f>
        <v/>
      </c>
      <c r="H273" s="9" t="n">
        <v>1336661</v>
      </c>
      <c r="I273" s="10" t="n">
        <v>0.332</v>
      </c>
      <c r="J273" s="10">
        <f>IF(COUNT(G23:G272)&lt;20,"",IF(COUNTIF(G23:G272,"&lt;"&amp;G273)&gt;=COUNT(G23:G272),(COUNT(G23:G272)-0.5)/COUNT(G23:G272),IF(COUNTIF(G23:G272,G273)&gt;0,(COUNTIF(G23:G272,"&lt;"&amp;G273)+0.5*COUNTIF(G23:G272,G273))/COUNT(G23:G272),COUNTIF(G23:G272,"&lt;"&amp;G273)/COUNT(G23:G272))))</f>
        <v/>
      </c>
      <c r="K273" s="6" t="inlineStr">
        <is>
          <t>中间分位</t>
        </is>
      </c>
      <c r="L273" s="6" t="n">
        <v>71</v>
      </c>
      <c r="M273" s="6" t="inlineStr">
        <is>
          <t>Back(近强)</t>
        </is>
      </c>
      <c r="N273" s="6" t="n">
        <v>1</v>
      </c>
      <c r="O273" s="6" t="n">
        <v>0</v>
      </c>
      <c r="P273" s="7" t="n">
        <v>25</v>
      </c>
      <c r="Q273" s="6" t="inlineStr"/>
    </row>
    <row r="274">
      <c r="A274" s="11" t="inlineStr">
        <is>
          <t>2023-09-27</t>
        </is>
      </c>
      <c r="B274" s="11" t="inlineStr">
        <is>
          <t>MA2401</t>
        </is>
      </c>
      <c r="C274" s="11" t="inlineStr">
        <is>
          <t>2024-01</t>
        </is>
      </c>
      <c r="D274" s="12" t="n">
        <v>2460</v>
      </c>
      <c r="E274" s="12" t="n">
        <v>2476</v>
      </c>
      <c r="F274" s="12">
        <f>D274-E274</f>
        <v/>
      </c>
      <c r="G274" s="13">
        <f>IF(D274=0,"",(D274-E274)/D274)</f>
        <v/>
      </c>
      <c r="H274" s="14" t="n">
        <v>1299773</v>
      </c>
      <c r="I274" s="15" t="n">
        <v>0.188</v>
      </c>
      <c r="J274" s="15">
        <f>IF(COUNT(G24:G273)&lt;20,"",IF(COUNTIF(G24:G273,"&lt;"&amp;G274)&gt;=COUNT(G24:G273),(COUNT(G24:G273)-0.5)/COUNT(G24:G273),IF(COUNTIF(G24:G273,G274)&gt;0,(COUNTIF(G24:G273,"&lt;"&amp;G274)+0.5*COUNTIF(G24:G273,G274))/COUNT(G24:G273),COUNTIF(G24:G273,"&lt;"&amp;G274)/COUNT(G24:G273))))</f>
        <v/>
      </c>
      <c r="K274" s="11" t="inlineStr">
        <is>
          <t>中间分位</t>
        </is>
      </c>
      <c r="L274" s="11" t="n">
        <v>70</v>
      </c>
      <c r="M274" s="11" t="inlineStr">
        <is>
          <t>Back(近强)</t>
        </is>
      </c>
      <c r="N274" s="11" t="n">
        <v>1</v>
      </c>
      <c r="O274" s="11" t="n">
        <v>0</v>
      </c>
      <c r="P274" s="12" t="n">
        <v>26</v>
      </c>
      <c r="Q274" s="11" t="inlineStr"/>
    </row>
    <row r="275">
      <c r="A275" s="6" t="inlineStr">
        <is>
          <t>2023-09-28</t>
        </is>
      </c>
      <c r="B275" s="6" t="inlineStr">
        <is>
          <t>MA2401</t>
        </is>
      </c>
      <c r="C275" s="6" t="inlineStr">
        <is>
          <t>2024-01</t>
        </is>
      </c>
      <c r="D275" s="7" t="n">
        <v>2475.83</v>
      </c>
      <c r="E275" s="7" t="n">
        <v>2470</v>
      </c>
      <c r="F275" s="7">
        <f>D275-E275</f>
        <v/>
      </c>
      <c r="G275" s="8">
        <f>IF(D275=0,"",(D275-E275)/D275)</f>
        <v/>
      </c>
      <c r="H275" s="9" t="n">
        <v>1214821</v>
      </c>
      <c r="I275" s="10" t="n">
        <v>0.236</v>
      </c>
      <c r="J275" s="10">
        <f>IF(COUNT(G25:G274)&lt;20,"",IF(COUNTIF(G25:G274,"&lt;"&amp;G275)&gt;=COUNT(G25:G274),(COUNT(G25:G274)-0.5)/COUNT(G25:G274),IF(COUNTIF(G25:G274,G275)&gt;0,(COUNTIF(G25:G274,"&lt;"&amp;G275)+0.5*COUNTIF(G25:G274,G275))/COUNT(G25:G274),COUNTIF(G25:G274,"&lt;"&amp;G275)/COUNT(G25:G274))))</f>
        <v/>
      </c>
      <c r="K275" s="6" t="inlineStr">
        <is>
          <t>中间分位</t>
        </is>
      </c>
      <c r="L275" s="6" t="n">
        <v>69</v>
      </c>
      <c r="M275" s="6" t="inlineStr">
        <is>
          <t>结构不明</t>
        </is>
      </c>
      <c r="N275" s="6" t="n">
        <v>1</v>
      </c>
      <c r="O275" s="6" t="n">
        <v>0</v>
      </c>
      <c r="P275" s="7" t="n">
        <v>16</v>
      </c>
      <c r="Q275" s="6" t="inlineStr"/>
    </row>
    <row r="276">
      <c r="A276" s="11" t="inlineStr">
        <is>
          <t>2023-10-09</t>
        </is>
      </c>
      <c r="B276" s="11" t="inlineStr">
        <is>
          <t>MA2401</t>
        </is>
      </c>
      <c r="C276" s="11" t="inlineStr">
        <is>
          <t>2024-01</t>
        </is>
      </c>
      <c r="D276" s="12" t="n">
        <v>2460</v>
      </c>
      <c r="E276" s="12" t="n">
        <v>2488</v>
      </c>
      <c r="F276" s="12">
        <f>D276-E276</f>
        <v/>
      </c>
      <c r="G276" s="13">
        <f>IF(D276=0,"",(D276-E276)/D276)</f>
        <v/>
      </c>
      <c r="H276" s="14" t="n">
        <v>1266087</v>
      </c>
      <c r="I276" s="15" t="n">
        <v>0.148</v>
      </c>
      <c r="J276" s="15">
        <f>IF(COUNT(G26:G275)&lt;20,"",IF(COUNTIF(G26:G275,"&lt;"&amp;G276)&gt;=COUNT(G26:G275),(COUNT(G26:G275)-0.5)/COUNT(G26:G275),IF(COUNTIF(G26:G275,G276)&gt;0,(COUNTIF(G26:G275,"&lt;"&amp;G276)+0.5*COUNTIF(G26:G275,G276))/COUNT(G26:G275),COUNTIF(G26:G275,"&lt;"&amp;G276)/COUNT(G26:G275))))</f>
        <v/>
      </c>
      <c r="K276" s="11" t="inlineStr">
        <is>
          <t>中间分位</t>
        </is>
      </c>
      <c r="L276" s="11" t="n">
        <v>68</v>
      </c>
      <c r="M276" s="11" t="inlineStr">
        <is>
          <t>Contango(远强)</t>
        </is>
      </c>
      <c r="N276" s="11" t="n">
        <v>1</v>
      </c>
      <c r="O276" s="11" t="n">
        <v>0</v>
      </c>
      <c r="P276" s="12" t="n">
        <v>-28</v>
      </c>
      <c r="Q276" s="11" t="inlineStr"/>
    </row>
    <row r="277">
      <c r="A277" s="6" t="inlineStr">
        <is>
          <t>2023-10-10</t>
        </is>
      </c>
      <c r="B277" s="6" t="inlineStr">
        <is>
          <t>MA2401</t>
        </is>
      </c>
      <c r="C277" s="6" t="inlineStr">
        <is>
          <t>2024-01</t>
        </is>
      </c>
      <c r="D277" s="7" t="n">
        <v>2498.33</v>
      </c>
      <c r="E277" s="7" t="n">
        <v>2424</v>
      </c>
      <c r="F277" s="7">
        <f>D277-E277</f>
        <v/>
      </c>
      <c r="G277" s="8">
        <f>IF(D277=0,"",(D277-E277)/D277)</f>
        <v/>
      </c>
      <c r="H277" s="9" t="n">
        <v>1329653</v>
      </c>
      <c r="I277" s="10" t="n">
        <v>0.508</v>
      </c>
      <c r="J277" s="10">
        <f>IF(COUNT(G27:G276)&lt;20,"",IF(COUNTIF(G27:G276,"&lt;"&amp;G277)&gt;=COUNT(G27:G276),(COUNT(G27:G276)-0.5)/COUNT(G27:G276),IF(COUNTIF(G27:G276,G277)&gt;0,(COUNTIF(G27:G276,"&lt;"&amp;G277)+0.5*COUNTIF(G27:G276,G277))/COUNT(G27:G276),COUNTIF(G27:G276,"&lt;"&amp;G277)/COUNT(G27:G276))))</f>
        <v/>
      </c>
      <c r="K277" s="6" t="inlineStr">
        <is>
          <t>中间分位</t>
        </is>
      </c>
      <c r="L277" s="6" t="n">
        <v>67</v>
      </c>
      <c r="M277" s="6" t="inlineStr">
        <is>
          <t>Contango(远强)</t>
        </is>
      </c>
      <c r="N277" s="6" t="n">
        <v>1</v>
      </c>
      <c r="O277" s="6" t="n">
        <v>0</v>
      </c>
      <c r="P277" s="7" t="n">
        <v>-25</v>
      </c>
      <c r="Q277" s="6" t="inlineStr"/>
    </row>
    <row r="278">
      <c r="A278" s="11" t="inlineStr">
        <is>
          <t>2023-10-11</t>
        </is>
      </c>
      <c r="B278" s="11" t="inlineStr">
        <is>
          <t>MA2401</t>
        </is>
      </c>
      <c r="C278" s="11" t="inlineStr">
        <is>
          <t>2024-01</t>
        </is>
      </c>
      <c r="D278" s="12" t="n">
        <v>2450</v>
      </c>
      <c r="E278" s="12" t="n">
        <v>2455</v>
      </c>
      <c r="F278" s="12">
        <f>D278-E278</f>
        <v/>
      </c>
      <c r="G278" s="13">
        <f>IF(D278=0,"",(D278-E278)/D278)</f>
        <v/>
      </c>
      <c r="H278" s="14" t="n">
        <v>1360166</v>
      </c>
      <c r="I278" s="15" t="n">
        <v>0.204</v>
      </c>
      <c r="J278" s="15">
        <f>IF(COUNT(G28:G277)&lt;20,"",IF(COUNTIF(G28:G277,"&lt;"&amp;G278)&gt;=COUNT(G28:G277),(COUNT(G28:G277)-0.5)/COUNT(G28:G277),IF(COUNTIF(G28:G277,G278)&gt;0,(COUNTIF(G28:G277,"&lt;"&amp;G278)+0.5*COUNTIF(G28:G277,G278))/COUNT(G28:G277),COUNTIF(G28:G277,"&lt;"&amp;G278)/COUNT(G28:G277))))</f>
        <v/>
      </c>
      <c r="K278" s="11" t="inlineStr">
        <is>
          <t>中间分位</t>
        </is>
      </c>
      <c r="L278" s="11" t="n">
        <v>66</v>
      </c>
      <c r="M278" s="11" t="inlineStr">
        <is>
          <t>结构不明</t>
        </is>
      </c>
      <c r="N278" s="11" t="n">
        <v>1</v>
      </c>
      <c r="O278" s="11" t="n">
        <v>0</v>
      </c>
      <c r="P278" s="12" t="n">
        <v>3</v>
      </c>
      <c r="Q278" s="11" t="inlineStr"/>
    </row>
    <row r="279">
      <c r="A279" s="6" t="inlineStr">
        <is>
          <t>2023-10-12</t>
        </is>
      </c>
      <c r="B279" s="6" t="inlineStr">
        <is>
          <t>MA2401</t>
        </is>
      </c>
      <c r="C279" s="6" t="inlineStr">
        <is>
          <t>2024-01</t>
        </is>
      </c>
      <c r="D279" s="7" t="n">
        <v>2474.17</v>
      </c>
      <c r="E279" s="7" t="n">
        <v>2443</v>
      </c>
      <c r="F279" s="7">
        <f>D279-E279</f>
        <v/>
      </c>
      <c r="G279" s="8">
        <f>IF(D279=0,"",(D279-E279)/D279)</f>
        <v/>
      </c>
      <c r="H279" s="9" t="n">
        <v>1346405</v>
      </c>
      <c r="I279" s="10" t="n">
        <v>0.36</v>
      </c>
      <c r="J279" s="10">
        <f>IF(COUNT(G29:G278)&lt;20,"",IF(COUNTIF(G29:G278,"&lt;"&amp;G279)&gt;=COUNT(G29:G278),(COUNT(G29:G278)-0.5)/COUNT(G29:G278),IF(COUNTIF(G29:G278,G279)&gt;0,(COUNTIF(G29:G278,"&lt;"&amp;G279)+0.5*COUNTIF(G29:G278,G279))/COUNT(G29:G278),COUNTIF(G29:G278,"&lt;"&amp;G279)/COUNT(G29:G278))))</f>
        <v/>
      </c>
      <c r="K279" s="6" t="inlineStr">
        <is>
          <t>中间分位</t>
        </is>
      </c>
      <c r="L279" s="6" t="n">
        <v>65</v>
      </c>
      <c r="M279" s="6" t="inlineStr">
        <is>
          <t>Contango(远强)</t>
        </is>
      </c>
      <c r="N279" s="6" t="n">
        <v>1</v>
      </c>
      <c r="O279" s="6" t="n">
        <v>0</v>
      </c>
      <c r="P279" s="7" t="n">
        <v>-2</v>
      </c>
      <c r="Q279" s="6" t="inlineStr"/>
    </row>
    <row r="280">
      <c r="A280" s="11" t="inlineStr">
        <is>
          <t>2023-10-13</t>
        </is>
      </c>
      <c r="B280" s="11" t="inlineStr">
        <is>
          <t>MA2401</t>
        </is>
      </c>
      <c r="C280" s="11" t="inlineStr">
        <is>
          <t>2024-01</t>
        </is>
      </c>
      <c r="D280" s="12" t="n">
        <v>2480</v>
      </c>
      <c r="E280" s="12" t="n">
        <v>2441</v>
      </c>
      <c r="F280" s="12">
        <f>D280-E280</f>
        <v/>
      </c>
      <c r="G280" s="13">
        <f>IF(D280=0,"",(D280-E280)/D280)</f>
        <v/>
      </c>
      <c r="H280" s="14" t="n">
        <v>1328759</v>
      </c>
      <c r="I280" s="15" t="n">
        <v>0.376</v>
      </c>
      <c r="J280" s="15">
        <f>IF(COUNT(G30:G279)&lt;20,"",IF(COUNTIF(G30:G279,"&lt;"&amp;G280)&gt;=COUNT(G30:G279),(COUNT(G30:G279)-0.5)/COUNT(G30:G279),IF(COUNTIF(G30:G279,G280)&gt;0,(COUNTIF(G30:G279,"&lt;"&amp;G280)+0.5*COUNTIF(G30:G279,G280))/COUNT(G30:G279),COUNTIF(G30:G279,"&lt;"&amp;G280)/COUNT(G30:G279))))</f>
        <v/>
      </c>
      <c r="K280" s="11" t="inlineStr">
        <is>
          <t>中间分位</t>
        </is>
      </c>
      <c r="L280" s="11" t="n">
        <v>64</v>
      </c>
      <c r="M280" s="11" t="inlineStr">
        <is>
          <t>Contango(远强)</t>
        </is>
      </c>
      <c r="N280" s="11" t="n">
        <v>1</v>
      </c>
      <c r="O280" s="11" t="n">
        <v>0</v>
      </c>
      <c r="P280" s="12" t="n">
        <v>-18</v>
      </c>
      <c r="Q280" s="11" t="inlineStr"/>
    </row>
    <row r="281">
      <c r="A281" s="6" t="inlineStr">
        <is>
          <t>2023-10-16</t>
        </is>
      </c>
      <c r="B281" s="6" t="inlineStr">
        <is>
          <t>MA2401</t>
        </is>
      </c>
      <c r="C281" s="6" t="inlineStr">
        <is>
          <t>2024-01</t>
        </is>
      </c>
      <c r="D281" s="7" t="n">
        <v>2480.83</v>
      </c>
      <c r="E281" s="7" t="n">
        <v>2468</v>
      </c>
      <c r="F281" s="7">
        <f>D281-E281</f>
        <v/>
      </c>
      <c r="G281" s="8">
        <f>IF(D281=0,"",(D281-E281)/D281)</f>
        <v/>
      </c>
      <c r="H281" s="9" t="n">
        <v>1310878</v>
      </c>
      <c r="I281" s="10" t="n">
        <v>0.272</v>
      </c>
      <c r="J281" s="10">
        <f>IF(COUNT(G31:G280)&lt;20,"",IF(COUNTIF(G31:G280,"&lt;"&amp;G281)&gt;=COUNT(G31:G280),(COUNT(G31:G280)-0.5)/COUNT(G31:G280),IF(COUNTIF(G31:G280,G281)&gt;0,(COUNTIF(G31:G280,"&lt;"&amp;G281)+0.5*COUNTIF(G31:G280,G281))/COUNT(G31:G280),COUNTIF(G31:G280,"&lt;"&amp;G281)/COUNT(G31:G280))))</f>
        <v/>
      </c>
      <c r="K281" s="6" t="inlineStr">
        <is>
          <t>中间分位</t>
        </is>
      </c>
      <c r="L281" s="6" t="n">
        <v>63</v>
      </c>
      <c r="M281" s="6" t="inlineStr">
        <is>
          <t>Contango(远强)</t>
        </is>
      </c>
      <c r="N281" s="6" t="n">
        <v>1</v>
      </c>
      <c r="O281" s="6" t="n">
        <v>0</v>
      </c>
      <c r="P281" s="7" t="n">
        <v>-2</v>
      </c>
      <c r="Q281" s="6" t="inlineStr"/>
    </row>
    <row r="282">
      <c r="A282" s="11" t="inlineStr">
        <is>
          <t>2023-10-17</t>
        </is>
      </c>
      <c r="B282" s="11" t="inlineStr">
        <is>
          <t>MA2401</t>
        </is>
      </c>
      <c r="C282" s="11" t="inlineStr">
        <is>
          <t>2024-01</t>
        </is>
      </c>
      <c r="D282" s="12" t="n">
        <v>2510.83</v>
      </c>
      <c r="E282" s="12" t="n">
        <v>2416</v>
      </c>
      <c r="F282" s="12">
        <f>D282-E282</f>
        <v/>
      </c>
      <c r="G282" s="13">
        <f>IF(D282=0,"",(D282-E282)/D282)</f>
        <v/>
      </c>
      <c r="H282" s="14" t="n">
        <v>1307635</v>
      </c>
      <c r="I282" s="15" t="n">
        <v>0.622</v>
      </c>
      <c r="J282" s="15">
        <f>IF(COUNT(G32:G281)&lt;20,"",IF(COUNTIF(G32:G281,"&lt;"&amp;G282)&gt;=COUNT(G32:G281),(COUNT(G32:G281)-0.5)/COUNT(G32:G281),IF(COUNTIF(G32:G281,G282)&gt;0,(COUNTIF(G32:G281,"&lt;"&amp;G282)+0.5*COUNTIF(G32:G281,G282))/COUNT(G32:G281),COUNTIF(G32:G281,"&lt;"&amp;G282)/COUNT(G32:G281))))</f>
        <v/>
      </c>
      <c r="K282" s="11" t="inlineStr">
        <is>
          <t>中间分位</t>
        </is>
      </c>
      <c r="L282" s="11" t="n">
        <v>62</v>
      </c>
      <c r="M282" s="11" t="inlineStr">
        <is>
          <t>Contango(远强)</t>
        </is>
      </c>
      <c r="N282" s="11" t="n">
        <v>1</v>
      </c>
      <c r="O282" s="11" t="n">
        <v>0</v>
      </c>
      <c r="P282" s="12" t="n">
        <v>-137</v>
      </c>
      <c r="Q282" s="11" t="inlineStr"/>
    </row>
    <row r="283">
      <c r="A283" s="6" t="inlineStr">
        <is>
          <t>2023-10-18</t>
        </is>
      </c>
      <c r="B283" s="6" t="inlineStr">
        <is>
          <t>MA2401</t>
        </is>
      </c>
      <c r="C283" s="6" t="inlineStr">
        <is>
          <t>2024-01</t>
        </is>
      </c>
      <c r="D283" s="7" t="n">
        <v>2460</v>
      </c>
      <c r="E283" s="7" t="n">
        <v>2382</v>
      </c>
      <c r="F283" s="7">
        <f>D283-E283</f>
        <v/>
      </c>
      <c r="G283" s="8">
        <f>IF(D283=0,"",(D283-E283)/D283)</f>
        <v/>
      </c>
      <c r="H283" s="9" t="n">
        <v>1360674</v>
      </c>
      <c r="I283" s="10" t="n">
        <v>0.536</v>
      </c>
      <c r="J283" s="10">
        <f>IF(COUNT(G33:G282)&lt;20,"",IF(COUNTIF(G33:G282,"&lt;"&amp;G283)&gt;=COUNT(G33:G282),(COUNT(G33:G282)-0.5)/COUNT(G33:G282),IF(COUNTIF(G33:G282,G283)&gt;0,(COUNTIF(G33:G282,"&lt;"&amp;G283)+0.5*COUNTIF(G33:G282,G283))/COUNT(G33:G282),COUNTIF(G33:G282,"&lt;"&amp;G283)/COUNT(G33:G282))))</f>
        <v/>
      </c>
      <c r="K283" s="6" t="inlineStr">
        <is>
          <t>中间分位</t>
        </is>
      </c>
      <c r="L283" s="6" t="n">
        <v>61</v>
      </c>
      <c r="M283" s="6" t="inlineStr">
        <is>
          <t>Contango(远强)</t>
        </is>
      </c>
      <c r="N283" s="6" t="n">
        <v>1</v>
      </c>
      <c r="O283" s="6" t="n">
        <v>0</v>
      </c>
      <c r="P283" s="7" t="n">
        <v>-17</v>
      </c>
      <c r="Q283" s="6" t="inlineStr"/>
    </row>
    <row r="284">
      <c r="A284" s="11" t="inlineStr">
        <is>
          <t>2023-10-19</t>
        </is>
      </c>
      <c r="B284" s="11" t="inlineStr">
        <is>
          <t>MA2401</t>
        </is>
      </c>
      <c r="C284" s="11" t="inlineStr">
        <is>
          <t>2024-01</t>
        </is>
      </c>
      <c r="D284" s="12" t="n">
        <v>2420.83</v>
      </c>
      <c r="E284" s="12" t="n">
        <v>2417</v>
      </c>
      <c r="F284" s="12">
        <f>D284-E284</f>
        <v/>
      </c>
      <c r="G284" s="13">
        <f>IF(D284=0,"",(D284-E284)/D284)</f>
        <v/>
      </c>
      <c r="H284" s="14" t="n">
        <v>1280403</v>
      </c>
      <c r="I284" s="15" t="n">
        <v>0.24</v>
      </c>
      <c r="J284" s="15">
        <f>IF(COUNT(G34:G283)&lt;20,"",IF(COUNTIF(G34:G283,"&lt;"&amp;G284)&gt;=COUNT(G34:G283),(COUNT(G34:G283)-0.5)/COUNT(G34:G283),IF(COUNTIF(G34:G283,G284)&gt;0,(COUNTIF(G34:G283,"&lt;"&amp;G284)+0.5*COUNTIF(G34:G283,G284))/COUNT(G34:G283),COUNTIF(G34:G283,"&lt;"&amp;G284)/COUNT(G34:G283))))</f>
        <v/>
      </c>
      <c r="K284" s="11" t="inlineStr">
        <is>
          <t>中间分位</t>
        </is>
      </c>
      <c r="L284" s="11" t="n">
        <v>60</v>
      </c>
      <c r="M284" s="11" t="inlineStr">
        <is>
          <t>Back(近强)</t>
        </is>
      </c>
      <c r="N284" s="11" t="n">
        <v>1</v>
      </c>
      <c r="O284" s="11" t="n">
        <v>0</v>
      </c>
      <c r="P284" s="12" t="n">
        <v>181</v>
      </c>
      <c r="Q284" s="11" t="inlineStr"/>
    </row>
    <row r="285">
      <c r="A285" s="6" t="inlineStr">
        <is>
          <t>2023-10-20</t>
        </is>
      </c>
      <c r="B285" s="6" t="inlineStr">
        <is>
          <t>MA2401</t>
        </is>
      </c>
      <c r="C285" s="6" t="inlineStr">
        <is>
          <t>2024-01</t>
        </is>
      </c>
      <c r="D285" s="7" t="n">
        <v>2450</v>
      </c>
      <c r="E285" s="7" t="n">
        <v>2431</v>
      </c>
      <c r="F285" s="7">
        <f>D285-E285</f>
        <v/>
      </c>
      <c r="G285" s="8">
        <f>IF(D285=0,"",(D285-E285)/D285)</f>
        <v/>
      </c>
      <c r="H285" s="9" t="n">
        <v>1227613</v>
      </c>
      <c r="I285" s="10" t="n">
        <v>0.304</v>
      </c>
      <c r="J285" s="10">
        <f>IF(COUNT(G35:G284)&lt;20,"",IF(COUNTIF(G35:G284,"&lt;"&amp;G285)&gt;=COUNT(G35:G284),(COUNT(G35:G284)-0.5)/COUNT(G35:G284),IF(COUNTIF(G35:G284,G285)&gt;0,(COUNTIF(G35:G284,"&lt;"&amp;G285)+0.5*COUNTIF(G35:G284,G285))/COUNT(G35:G284),COUNTIF(G35:G284,"&lt;"&amp;G285)/COUNT(G35:G284))))</f>
        <v/>
      </c>
      <c r="K285" s="6" t="inlineStr">
        <is>
          <t>中间分位</t>
        </is>
      </c>
      <c r="L285" s="6" t="n">
        <v>59</v>
      </c>
      <c r="M285" s="6" t="inlineStr">
        <is>
          <t>Back(近强)</t>
        </is>
      </c>
      <c r="N285" s="6" t="n">
        <v>1</v>
      </c>
      <c r="O285" s="6" t="n">
        <v>0</v>
      </c>
      <c r="P285" s="7" t="n">
        <v>38</v>
      </c>
      <c r="Q285" s="6" t="inlineStr"/>
    </row>
    <row r="286">
      <c r="A286" s="11" t="inlineStr">
        <is>
          <t>2023-10-23</t>
        </is>
      </c>
      <c r="B286" s="11" t="inlineStr">
        <is>
          <t>MA2401</t>
        </is>
      </c>
      <c r="C286" s="11" t="inlineStr">
        <is>
          <t>2024-01</t>
        </is>
      </c>
      <c r="D286" s="12" t="n">
        <v>2455.83</v>
      </c>
      <c r="E286" s="12" t="n">
        <v>2404</v>
      </c>
      <c r="F286" s="12">
        <f>D286-E286</f>
        <v/>
      </c>
      <c r="G286" s="13">
        <f>IF(D286=0,"",(D286-E286)/D286)</f>
        <v/>
      </c>
      <c r="H286" s="14" t="n">
        <v>1229352</v>
      </c>
      <c r="I286" s="15" t="n">
        <v>0.432</v>
      </c>
      <c r="J286" s="15">
        <f>IF(COUNT(G36:G285)&lt;20,"",IF(COUNTIF(G36:G285,"&lt;"&amp;G286)&gt;=COUNT(G36:G285),(COUNT(G36:G285)-0.5)/COUNT(G36:G285),IF(COUNTIF(G36:G285,G286)&gt;0,(COUNTIF(G36:G285,"&lt;"&amp;G286)+0.5*COUNTIF(G36:G285,G286))/COUNT(G36:G285),COUNTIF(G36:G285,"&lt;"&amp;G286)/COUNT(G36:G285))))</f>
        <v/>
      </c>
      <c r="K286" s="11" t="inlineStr">
        <is>
          <t>中间分位</t>
        </is>
      </c>
      <c r="L286" s="11" t="n">
        <v>58</v>
      </c>
      <c r="M286" s="11" t="inlineStr">
        <is>
          <t>Contango(远强)</t>
        </is>
      </c>
      <c r="N286" s="11" t="n">
        <v>1</v>
      </c>
      <c r="O286" s="11" t="n">
        <v>0</v>
      </c>
      <c r="P286" s="12" t="n">
        <v>-18</v>
      </c>
      <c r="Q286" s="11" t="inlineStr"/>
    </row>
    <row r="287">
      <c r="A287" s="6" t="inlineStr">
        <is>
          <t>2023-10-24</t>
        </is>
      </c>
      <c r="B287" s="6" t="inlineStr">
        <is>
          <t>MA2401</t>
        </is>
      </c>
      <c r="C287" s="6" t="inlineStr">
        <is>
          <t>2024-01</t>
        </is>
      </c>
      <c r="D287" s="7" t="n">
        <v>2435.83</v>
      </c>
      <c r="E287" s="7" t="n">
        <v>2389</v>
      </c>
      <c r="F287" s="7">
        <f>D287-E287</f>
        <v/>
      </c>
      <c r="G287" s="8">
        <f>IF(D287=0,"",(D287-E287)/D287)</f>
        <v/>
      </c>
      <c r="H287" s="9" t="n">
        <v>1277824</v>
      </c>
      <c r="I287" s="10" t="n">
        <v>0.424</v>
      </c>
      <c r="J287" s="10">
        <f>IF(COUNT(G37:G286)&lt;20,"",IF(COUNTIF(G37:G286,"&lt;"&amp;G287)&gt;=COUNT(G37:G286),(COUNT(G37:G286)-0.5)/COUNT(G37:G286),IF(COUNTIF(G37:G286,G287)&gt;0,(COUNTIF(G37:G286,"&lt;"&amp;G287)+0.5*COUNTIF(G37:G286,G287))/COUNT(G37:G286),COUNTIF(G37:G286,"&lt;"&amp;G287)/COUNT(G37:G286))))</f>
        <v/>
      </c>
      <c r="K287" s="6" t="inlineStr">
        <is>
          <t>中间分位</t>
        </is>
      </c>
      <c r="L287" s="6" t="n">
        <v>57</v>
      </c>
      <c r="M287" s="6" t="inlineStr">
        <is>
          <t>Contango(远强)</t>
        </is>
      </c>
      <c r="N287" s="6" t="n">
        <v>1</v>
      </c>
      <c r="O287" s="6" t="n">
        <v>0</v>
      </c>
      <c r="P287" s="7" t="n">
        <v>-21</v>
      </c>
      <c r="Q287" s="6" t="inlineStr"/>
    </row>
    <row r="288">
      <c r="A288" s="11" t="inlineStr">
        <is>
          <t>2023-10-25</t>
        </is>
      </c>
      <c r="B288" s="11" t="inlineStr">
        <is>
          <t>MA2401</t>
        </is>
      </c>
      <c r="C288" s="11" t="inlineStr">
        <is>
          <t>2024-01</t>
        </is>
      </c>
      <c r="D288" s="12" t="n">
        <v>2425.83</v>
      </c>
      <c r="E288" s="12" t="n">
        <v>2411</v>
      </c>
      <c r="F288" s="12">
        <f>D288-E288</f>
        <v/>
      </c>
      <c r="G288" s="13">
        <f>IF(D288=0,"",(D288-E288)/D288)</f>
        <v/>
      </c>
      <c r="H288" s="14" t="n">
        <v>1243961</v>
      </c>
      <c r="I288" s="15" t="n">
        <v>0.292</v>
      </c>
      <c r="J288" s="15">
        <f>IF(COUNT(G38:G287)&lt;20,"",IF(COUNTIF(G38:G287,"&lt;"&amp;G288)&gt;=COUNT(G38:G287),(COUNT(G38:G287)-0.5)/COUNT(G38:G287),IF(COUNTIF(G38:G287,G288)&gt;0,(COUNTIF(G38:G287,"&lt;"&amp;G288)+0.5*COUNTIF(G38:G287,G288))/COUNT(G38:G287),COUNTIF(G38:G287,"&lt;"&amp;G288)/COUNT(G38:G287))))</f>
        <v/>
      </c>
      <c r="K288" s="11" t="inlineStr">
        <is>
          <t>中间分位</t>
        </is>
      </c>
      <c r="L288" s="11" t="n">
        <v>56</v>
      </c>
      <c r="M288" s="11" t="inlineStr">
        <is>
          <t>Contango(远强)</t>
        </is>
      </c>
      <c r="N288" s="11" t="n">
        <v>1</v>
      </c>
      <c r="O288" s="11" t="n">
        <v>0</v>
      </c>
      <c r="P288" s="12" t="n">
        <v>-22</v>
      </c>
      <c r="Q288" s="11" t="inlineStr"/>
    </row>
    <row r="289">
      <c r="A289" s="6" t="inlineStr">
        <is>
          <t>2023-10-26</t>
        </is>
      </c>
      <c r="B289" s="6" t="inlineStr">
        <is>
          <t>MA2401</t>
        </is>
      </c>
      <c r="C289" s="6" t="inlineStr">
        <is>
          <t>2024-01</t>
        </is>
      </c>
      <c r="D289" s="7" t="n">
        <v>2440</v>
      </c>
      <c r="E289" s="7" t="n">
        <v>2403</v>
      </c>
      <c r="F289" s="7">
        <f>D289-E289</f>
        <v/>
      </c>
      <c r="G289" s="8">
        <f>IF(D289=0,"",(D289-E289)/D289)</f>
        <v/>
      </c>
      <c r="H289" s="9" t="n">
        <v>1200388</v>
      </c>
      <c r="I289" s="10" t="n">
        <v>0.388</v>
      </c>
      <c r="J289" s="10">
        <f>IF(COUNT(G39:G288)&lt;20,"",IF(COUNTIF(G39:G288,"&lt;"&amp;G289)&gt;=COUNT(G39:G288),(COUNT(G39:G288)-0.5)/COUNT(G39:G288),IF(COUNTIF(G39:G288,G289)&gt;0,(COUNTIF(G39:G288,"&lt;"&amp;G289)+0.5*COUNTIF(G39:G288,G289))/COUNT(G39:G288),COUNTIF(G39:G288,"&lt;"&amp;G289)/COUNT(G39:G288))))</f>
        <v/>
      </c>
      <c r="K289" s="6" t="inlineStr">
        <is>
          <t>中间分位</t>
        </is>
      </c>
      <c r="L289" s="6" t="n">
        <v>55</v>
      </c>
      <c r="M289" s="6" t="inlineStr">
        <is>
          <t>Contango(远强)</t>
        </is>
      </c>
      <c r="N289" s="6" t="n">
        <v>1</v>
      </c>
      <c r="O289" s="6" t="n">
        <v>0</v>
      </c>
      <c r="P289" s="7" t="n">
        <v>-18</v>
      </c>
      <c r="Q289" s="6" t="inlineStr"/>
    </row>
    <row r="290">
      <c r="A290" s="11" t="inlineStr">
        <is>
          <t>2023-10-27</t>
        </is>
      </c>
      <c r="B290" s="11" t="inlineStr">
        <is>
          <t>MA2401</t>
        </is>
      </c>
      <c r="C290" s="11" t="inlineStr">
        <is>
          <t>2024-01</t>
        </is>
      </c>
      <c r="D290" s="12" t="n">
        <v>2430</v>
      </c>
      <c r="E290" s="12" t="n">
        <v>2437</v>
      </c>
      <c r="F290" s="12">
        <f>D290-E290</f>
        <v/>
      </c>
      <c r="G290" s="13">
        <f>IF(D290=0,"",(D290-E290)/D290)</f>
        <v/>
      </c>
      <c r="H290" s="14" t="n">
        <v>1180689</v>
      </c>
      <c r="I290" s="15" t="n">
        <v>0.2</v>
      </c>
      <c r="J290" s="15">
        <f>IF(COUNT(G40:G289)&lt;20,"",IF(COUNTIF(G40:G289,"&lt;"&amp;G290)&gt;=COUNT(G40:G289),(COUNT(G40:G289)-0.5)/COUNT(G40:G289),IF(COUNTIF(G40:G289,G290)&gt;0,(COUNTIF(G40:G289,"&lt;"&amp;G290)+0.5*COUNTIF(G40:G289,G290))/COUNT(G40:G289),COUNTIF(G40:G289,"&lt;"&amp;G290)/COUNT(G40:G289))))</f>
        <v/>
      </c>
      <c r="K290" s="11" t="inlineStr">
        <is>
          <t>中间分位</t>
        </is>
      </c>
      <c r="L290" s="11" t="n">
        <v>54</v>
      </c>
      <c r="M290" s="11" t="inlineStr">
        <is>
          <t>Contango(远强)</t>
        </is>
      </c>
      <c r="N290" s="11" t="n">
        <v>1</v>
      </c>
      <c r="O290" s="11" t="n">
        <v>0</v>
      </c>
      <c r="P290" s="12" t="n">
        <v>-14</v>
      </c>
      <c r="Q290" s="11" t="inlineStr"/>
    </row>
    <row r="291">
      <c r="A291" s="6" t="inlineStr">
        <is>
          <t>2023-10-30</t>
        </is>
      </c>
      <c r="B291" s="6" t="inlineStr">
        <is>
          <t>MA2401</t>
        </is>
      </c>
      <c r="C291" s="6" t="inlineStr">
        <is>
          <t>2024-01</t>
        </is>
      </c>
      <c r="D291" s="7" t="n">
        <v>2445.83</v>
      </c>
      <c r="E291" s="7" t="n">
        <v>2461</v>
      </c>
      <c r="F291" s="7">
        <f>D291-E291</f>
        <v/>
      </c>
      <c r="G291" s="8">
        <f>IF(D291=0,"",(D291-E291)/D291)</f>
        <v/>
      </c>
      <c r="H291" s="9" t="n">
        <v>1138360</v>
      </c>
      <c r="I291" s="10" t="n">
        <v>0.196</v>
      </c>
      <c r="J291" s="10">
        <f>IF(COUNT(G41:G290)&lt;20,"",IF(COUNTIF(G41:G290,"&lt;"&amp;G291)&gt;=COUNT(G41:G290),(COUNT(G41:G290)-0.5)/COUNT(G41:G290),IF(COUNTIF(G41:G290,G291)&gt;0,(COUNTIF(G41:G290,"&lt;"&amp;G291)+0.5*COUNTIF(G41:G290,G291))/COUNT(G41:G290),COUNTIF(G41:G290,"&lt;"&amp;G291)/COUNT(G41:G290))))</f>
        <v/>
      </c>
      <c r="K291" s="6" t="inlineStr">
        <is>
          <t>中间分位</t>
        </is>
      </c>
      <c r="L291" s="6" t="n">
        <v>53</v>
      </c>
      <c r="M291" s="6" t="inlineStr">
        <is>
          <t>Contango(远强)</t>
        </is>
      </c>
      <c r="N291" s="6" t="n">
        <v>1</v>
      </c>
      <c r="O291" s="6" t="n">
        <v>0</v>
      </c>
      <c r="P291" s="7" t="n">
        <v>-9</v>
      </c>
      <c r="Q291" s="6" t="inlineStr"/>
    </row>
    <row r="292">
      <c r="A292" s="11" t="inlineStr">
        <is>
          <t>2023-10-31</t>
        </is>
      </c>
      <c r="B292" s="11" t="inlineStr">
        <is>
          <t>MA2401</t>
        </is>
      </c>
      <c r="C292" s="11" t="inlineStr">
        <is>
          <t>2024-01</t>
        </is>
      </c>
      <c r="D292" s="12" t="n">
        <v>2457.5</v>
      </c>
      <c r="E292" s="12" t="n">
        <v>2427</v>
      </c>
      <c r="F292" s="12">
        <f>D292-E292</f>
        <v/>
      </c>
      <c r="G292" s="13">
        <f>IF(D292=0,"",(D292-E292)/D292)</f>
        <v/>
      </c>
      <c r="H292" s="14" t="n">
        <v>1090896</v>
      </c>
      <c r="I292" s="15" t="n">
        <v>0.384</v>
      </c>
      <c r="J292" s="15">
        <f>IF(COUNT(G42:G291)&lt;20,"",IF(COUNTIF(G42:G291,"&lt;"&amp;G292)&gt;=COUNT(G42:G291),(COUNT(G42:G291)-0.5)/COUNT(G42:G291),IF(COUNTIF(G42:G291,G292)&gt;0,(COUNTIF(G42:G291,"&lt;"&amp;G292)+0.5*COUNTIF(G42:G291,G292))/COUNT(G42:G291),COUNTIF(G42:G291,"&lt;"&amp;G292)/COUNT(G42:G291))))</f>
        <v/>
      </c>
      <c r="K292" s="11" t="inlineStr">
        <is>
          <t>中间分位</t>
        </is>
      </c>
      <c r="L292" s="11" t="n">
        <v>52</v>
      </c>
      <c r="M292" s="11" t="inlineStr">
        <is>
          <t>Contango(远强)</t>
        </is>
      </c>
      <c r="N292" s="11" t="n">
        <v>1</v>
      </c>
      <c r="O292" s="11" t="n">
        <v>0</v>
      </c>
      <c r="P292" s="12" t="n">
        <v>-13</v>
      </c>
      <c r="Q292" s="11" t="inlineStr"/>
    </row>
    <row r="293">
      <c r="A293" s="6" t="inlineStr">
        <is>
          <t>2023-11-01</t>
        </is>
      </c>
      <c r="B293" s="6" t="inlineStr">
        <is>
          <t>MA2401</t>
        </is>
      </c>
      <c r="C293" s="6" t="inlineStr">
        <is>
          <t>2024-01</t>
        </is>
      </c>
      <c r="D293" s="7" t="n">
        <v>2430.83</v>
      </c>
      <c r="E293" s="7" t="n">
        <v>2412</v>
      </c>
      <c r="F293" s="7">
        <f>D293-E293</f>
        <v/>
      </c>
      <c r="G293" s="8">
        <f>IF(D293=0,"",(D293-E293)/D293)</f>
        <v/>
      </c>
      <c r="H293" s="9" t="n">
        <v>1094624</v>
      </c>
      <c r="I293" s="10" t="n">
        <v>0.316</v>
      </c>
      <c r="J293" s="10">
        <f>IF(COUNT(G43:G292)&lt;20,"",IF(COUNTIF(G43:G292,"&lt;"&amp;G293)&gt;=COUNT(G43:G292),(COUNT(G43:G292)-0.5)/COUNT(G43:G292),IF(COUNTIF(G43:G292,G293)&gt;0,(COUNTIF(G43:G292,"&lt;"&amp;G293)+0.5*COUNTIF(G43:G292,G293))/COUNT(G43:G292),COUNTIF(G43:G292,"&lt;"&amp;G293)/COUNT(G43:G292))))</f>
        <v/>
      </c>
      <c r="K293" s="6" t="inlineStr">
        <is>
          <t>中间分位</t>
        </is>
      </c>
      <c r="L293" s="6" t="n">
        <v>51</v>
      </c>
      <c r="M293" s="6" t="inlineStr">
        <is>
          <t>Contango(远强)</t>
        </is>
      </c>
      <c r="N293" s="6" t="n">
        <v>1</v>
      </c>
      <c r="O293" s="6" t="n">
        <v>0</v>
      </c>
      <c r="P293" s="7" t="n">
        <v>-10</v>
      </c>
      <c r="Q293" s="6" t="inlineStr"/>
    </row>
    <row r="294">
      <c r="A294" s="11" t="inlineStr">
        <is>
          <t>2023-11-02</t>
        </is>
      </c>
      <c r="B294" s="11" t="inlineStr">
        <is>
          <t>MA2401</t>
        </is>
      </c>
      <c r="C294" s="11" t="inlineStr">
        <is>
          <t>2024-01</t>
        </is>
      </c>
      <c r="D294" s="12" t="n">
        <v>2425.83</v>
      </c>
      <c r="E294" s="12" t="n">
        <v>2393</v>
      </c>
      <c r="F294" s="12">
        <f>D294-E294</f>
        <v/>
      </c>
      <c r="G294" s="13">
        <f>IF(D294=0,"",(D294-E294)/D294)</f>
        <v/>
      </c>
      <c r="H294" s="14" t="n">
        <v>1170736</v>
      </c>
      <c r="I294" s="15" t="n">
        <v>0.396</v>
      </c>
      <c r="J294" s="15">
        <f>IF(COUNT(G44:G293)&lt;20,"",IF(COUNTIF(G44:G293,"&lt;"&amp;G294)&gt;=COUNT(G44:G293),(COUNT(G44:G293)-0.5)/COUNT(G44:G293),IF(COUNTIF(G44:G293,G294)&gt;0,(COUNTIF(G44:G293,"&lt;"&amp;G294)+0.5*COUNTIF(G44:G293,G294))/COUNT(G44:G293),COUNTIF(G44:G293,"&lt;"&amp;G294)/COUNT(G44:G293))))</f>
        <v/>
      </c>
      <c r="K294" s="11" t="inlineStr">
        <is>
          <t>中间分位</t>
        </is>
      </c>
      <c r="L294" s="11" t="n">
        <v>50</v>
      </c>
      <c r="M294" s="11" t="inlineStr">
        <is>
          <t>Contango(远强)</t>
        </is>
      </c>
      <c r="N294" s="11" t="n">
        <v>1</v>
      </c>
      <c r="O294" s="11" t="n">
        <v>0</v>
      </c>
      <c r="P294" s="12" t="n">
        <v>-8</v>
      </c>
      <c r="Q294" s="11" t="inlineStr"/>
    </row>
    <row r="295">
      <c r="A295" s="6" t="inlineStr">
        <is>
          <t>2023-11-03</t>
        </is>
      </c>
      <c r="B295" s="6" t="inlineStr">
        <is>
          <t>MA2401</t>
        </is>
      </c>
      <c r="C295" s="6" t="inlineStr">
        <is>
          <t>2024-01</t>
        </is>
      </c>
      <c r="D295" s="7" t="n">
        <v>2410</v>
      </c>
      <c r="E295" s="7" t="n">
        <v>2448</v>
      </c>
      <c r="F295" s="7">
        <f>D295-E295</f>
        <v/>
      </c>
      <c r="G295" s="8">
        <f>IF(D295=0,"",(D295-E295)/D295)</f>
        <v/>
      </c>
      <c r="H295" s="9" t="n">
        <v>1079502</v>
      </c>
      <c r="I295" s="10" t="n">
        <v>0.132</v>
      </c>
      <c r="J295" s="10">
        <f>IF(COUNT(G45:G294)&lt;20,"",IF(COUNTIF(G45:G294,"&lt;"&amp;G295)&gt;=COUNT(G45:G294),(COUNT(G45:G294)-0.5)/COUNT(G45:G294),IF(COUNTIF(G45:G294,G295)&gt;0,(COUNTIF(G45:G294,"&lt;"&amp;G295)+0.5*COUNTIF(G45:G294,G295))/COUNT(G45:G294),COUNTIF(G45:G294,"&lt;"&amp;G295)/COUNT(G45:G294))))</f>
        <v/>
      </c>
      <c r="K295" s="6" t="inlineStr">
        <is>
          <t>中间分位</t>
        </is>
      </c>
      <c r="L295" s="6" t="n">
        <v>49</v>
      </c>
      <c r="M295" s="6" t="inlineStr">
        <is>
          <t>Back(近强)</t>
        </is>
      </c>
      <c r="N295" s="6" t="n">
        <v>1</v>
      </c>
      <c r="O295" s="6" t="n">
        <v>0</v>
      </c>
      <c r="P295" s="7" t="n">
        <v>26</v>
      </c>
      <c r="Q295" s="6" t="inlineStr"/>
    </row>
    <row r="296">
      <c r="A296" s="11" t="inlineStr">
        <is>
          <t>2023-11-06</t>
        </is>
      </c>
      <c r="B296" s="11" t="inlineStr">
        <is>
          <t>MA2401</t>
        </is>
      </c>
      <c r="C296" s="11" t="inlineStr">
        <is>
          <t>2024-01</t>
        </is>
      </c>
      <c r="D296" s="12" t="n">
        <v>2459.17</v>
      </c>
      <c r="E296" s="12" t="n">
        <v>2479</v>
      </c>
      <c r="F296" s="12">
        <f>D296-E296</f>
        <v/>
      </c>
      <c r="G296" s="13">
        <f>IF(D296=0,"",(D296-E296)/D296)</f>
        <v/>
      </c>
      <c r="H296" s="14" t="n">
        <v>1077433</v>
      </c>
      <c r="I296" s="15" t="n">
        <v>0.18</v>
      </c>
      <c r="J296" s="15">
        <f>IF(COUNT(G46:G295)&lt;20,"",IF(COUNTIF(G46:G295,"&lt;"&amp;G296)&gt;=COUNT(G46:G295),(COUNT(G46:G295)-0.5)/COUNT(G46:G295),IF(COUNTIF(G46:G295,G296)&gt;0,(COUNTIF(G46:G295,"&lt;"&amp;G296)+0.5*COUNTIF(G46:G295,G296))/COUNT(G46:G295),COUNTIF(G46:G295,"&lt;"&amp;G296)/COUNT(G46:G295))))</f>
        <v/>
      </c>
      <c r="K296" s="11" t="inlineStr">
        <is>
          <t>中间分位</t>
        </is>
      </c>
      <c r="L296" s="11" t="n">
        <v>48</v>
      </c>
      <c r="M296" s="11" t="inlineStr">
        <is>
          <t>结构不明</t>
        </is>
      </c>
      <c r="N296" s="11" t="n">
        <v>1</v>
      </c>
      <c r="O296" s="11" t="n">
        <v>0</v>
      </c>
      <c r="P296" s="12" t="n">
        <v>4</v>
      </c>
      <c r="Q296" s="11" t="inlineStr"/>
    </row>
    <row r="297">
      <c r="A297" s="6" t="inlineStr">
        <is>
          <t>2023-11-07</t>
        </is>
      </c>
      <c r="B297" s="6" t="inlineStr">
        <is>
          <t>MA2401</t>
        </is>
      </c>
      <c r="C297" s="6" t="inlineStr">
        <is>
          <t>2024-01</t>
        </is>
      </c>
      <c r="D297" s="7" t="n">
        <v>2481.67</v>
      </c>
      <c r="E297" s="7" t="n">
        <v>2475</v>
      </c>
      <c r="F297" s="7">
        <f>D297-E297</f>
        <v/>
      </c>
      <c r="G297" s="8">
        <f>IF(D297=0,"",(D297-E297)/D297)</f>
        <v/>
      </c>
      <c r="H297" s="9" t="n">
        <v>1041641</v>
      </c>
      <c r="I297" s="10" t="n">
        <v>0.272</v>
      </c>
      <c r="J297" s="10">
        <f>IF(COUNT(G47:G296)&lt;20,"",IF(COUNTIF(G47:G296,"&lt;"&amp;G297)&gt;=COUNT(G47:G296),(COUNT(G47:G296)-0.5)/COUNT(G47:G296),IF(COUNTIF(G47:G296,G297)&gt;0,(COUNTIF(G47:G296,"&lt;"&amp;G297)+0.5*COUNTIF(G47:G296,G297))/COUNT(G47:G296),COUNTIF(G47:G296,"&lt;"&amp;G297)/COUNT(G47:G296))))</f>
        <v/>
      </c>
      <c r="K297" s="6" t="inlineStr">
        <is>
          <t>中间分位</t>
        </is>
      </c>
      <c r="L297" s="6" t="n">
        <v>47</v>
      </c>
      <c r="M297" s="6" t="inlineStr">
        <is>
          <t>结构不明</t>
        </is>
      </c>
      <c r="N297" s="6" t="n">
        <v>1</v>
      </c>
      <c r="O297" s="6" t="n">
        <v>0</v>
      </c>
      <c r="P297" s="7" t="n">
        <v>7</v>
      </c>
      <c r="Q297" s="6" t="inlineStr"/>
    </row>
    <row r="298">
      <c r="A298" s="11" t="inlineStr">
        <is>
          <t>2023-11-08</t>
        </is>
      </c>
      <c r="B298" s="11" t="inlineStr">
        <is>
          <t>MA2401</t>
        </is>
      </c>
      <c r="C298" s="11" t="inlineStr">
        <is>
          <t>2024-01</t>
        </is>
      </c>
      <c r="D298" s="12" t="n">
        <v>2485</v>
      </c>
      <c r="E298" s="12" t="n">
        <v>2514</v>
      </c>
      <c r="F298" s="12">
        <f>D298-E298</f>
        <v/>
      </c>
      <c r="G298" s="13">
        <f>IF(D298=0,"",(D298-E298)/D298)</f>
        <v/>
      </c>
      <c r="H298" s="14" t="n">
        <v>1064748</v>
      </c>
      <c r="I298" s="15" t="n">
        <v>0.152</v>
      </c>
      <c r="J298" s="15">
        <f>IF(COUNT(G48:G297)&lt;20,"",IF(COUNTIF(G48:G297,"&lt;"&amp;G298)&gt;=COUNT(G48:G297),(COUNT(G48:G297)-0.5)/COUNT(G48:G297),IF(COUNTIF(G48:G297,G298)&gt;0,(COUNTIF(G48:G297,"&lt;"&amp;G298)+0.5*COUNTIF(G48:G297,G298))/COUNT(G48:G297),COUNTIF(G48:G297,"&lt;"&amp;G298)/COUNT(G48:G297))))</f>
        <v/>
      </c>
      <c r="K298" s="11" t="inlineStr">
        <is>
          <t>中间分位</t>
        </is>
      </c>
      <c r="L298" s="11" t="n">
        <v>46</v>
      </c>
      <c r="M298" s="11" t="inlineStr">
        <is>
          <t>结构不明</t>
        </is>
      </c>
      <c r="N298" s="11" t="n">
        <v>1</v>
      </c>
      <c r="O298" s="11" t="n">
        <v>0</v>
      </c>
      <c r="P298" s="12" t="n">
        <v>5</v>
      </c>
      <c r="Q298" s="11" t="inlineStr"/>
    </row>
    <row r="299">
      <c r="A299" s="6" t="inlineStr">
        <is>
          <t>2023-11-09</t>
        </is>
      </c>
      <c r="B299" s="6" t="inlineStr">
        <is>
          <t>MA2401</t>
        </is>
      </c>
      <c r="C299" s="6" t="inlineStr">
        <is>
          <t>2024-01</t>
        </is>
      </c>
      <c r="D299" s="7" t="n">
        <v>2520</v>
      </c>
      <c r="E299" s="7" t="n">
        <v>2508</v>
      </c>
      <c r="F299" s="7">
        <f>D299-E299</f>
        <v/>
      </c>
      <c r="G299" s="8">
        <f>IF(D299=0,"",(D299-E299)/D299)</f>
        <v/>
      </c>
      <c r="H299" s="9" t="n">
        <v>1032882</v>
      </c>
      <c r="I299" s="10" t="n">
        <v>0.3</v>
      </c>
      <c r="J299" s="10">
        <f>IF(COUNT(G49:G298)&lt;20,"",IF(COUNTIF(G49:G298,"&lt;"&amp;G299)&gt;=COUNT(G49:G298),(COUNT(G49:G298)-0.5)/COUNT(G49:G298),IF(COUNTIF(G49:G298,G299)&gt;0,(COUNTIF(G49:G298,"&lt;"&amp;G299)+0.5*COUNTIF(G49:G298,G299))/COUNT(G49:G298),COUNTIF(G49:G298,"&lt;"&amp;G299)/COUNT(G49:G298))))</f>
        <v/>
      </c>
      <c r="K299" s="6" t="inlineStr">
        <is>
          <t>中间分位</t>
        </is>
      </c>
      <c r="L299" s="6" t="n">
        <v>45</v>
      </c>
      <c r="M299" s="6" t="inlineStr">
        <is>
          <t>结构不明</t>
        </is>
      </c>
      <c r="N299" s="6" t="n">
        <v>1</v>
      </c>
      <c r="O299" s="6" t="n">
        <v>0</v>
      </c>
      <c r="P299" s="7" t="n">
        <v>4</v>
      </c>
      <c r="Q299" s="6" t="inlineStr"/>
    </row>
    <row r="300">
      <c r="A300" s="11" t="inlineStr">
        <is>
          <t>2023-11-10</t>
        </is>
      </c>
      <c r="B300" s="11" t="inlineStr">
        <is>
          <t>MA2401</t>
        </is>
      </c>
      <c r="C300" s="11" t="inlineStr">
        <is>
          <t>2024-01</t>
        </is>
      </c>
      <c r="D300" s="12" t="n">
        <v>2505.83</v>
      </c>
      <c r="E300" s="12" t="n">
        <v>2487</v>
      </c>
      <c r="F300" s="12">
        <f>D300-E300</f>
        <v/>
      </c>
      <c r="G300" s="13">
        <f>IF(D300=0,"",(D300-E300)/D300)</f>
        <v/>
      </c>
      <c r="H300" s="14" t="n">
        <v>1024506</v>
      </c>
      <c r="I300" s="15" t="n">
        <v>0.328</v>
      </c>
      <c r="J300" s="15">
        <f>IF(COUNT(G50:G299)&lt;20,"",IF(COUNTIF(G50:G299,"&lt;"&amp;G300)&gt;=COUNT(G50:G299),(COUNT(G50:G299)-0.5)/COUNT(G50:G299),IF(COUNTIF(G50:G299,G300)&gt;0,(COUNTIF(G50:G299,"&lt;"&amp;G300)+0.5*COUNTIF(G50:G299,G300))/COUNT(G50:G299),COUNTIF(G50:G299,"&lt;"&amp;G300)/COUNT(G50:G299))))</f>
        <v/>
      </c>
      <c r="K300" s="11" t="inlineStr">
        <is>
          <t>中间分位</t>
        </is>
      </c>
      <c r="L300" s="11" t="n">
        <v>44</v>
      </c>
      <c r="M300" s="11" t="inlineStr">
        <is>
          <t>Contango(远强)</t>
        </is>
      </c>
      <c r="N300" s="11" t="n">
        <v>1</v>
      </c>
      <c r="O300" s="11" t="n">
        <v>0</v>
      </c>
      <c r="P300" s="12" t="n">
        <v>-63</v>
      </c>
      <c r="Q300" s="11" t="inlineStr"/>
    </row>
    <row r="301">
      <c r="A301" s="6" t="inlineStr">
        <is>
          <t>2023-11-13</t>
        </is>
      </c>
      <c r="B301" s="6" t="inlineStr">
        <is>
          <t>MA2401</t>
        </is>
      </c>
      <c r="C301" s="6" t="inlineStr">
        <is>
          <t>2024-01</t>
        </is>
      </c>
      <c r="D301" s="7" t="n">
        <v>2485.83</v>
      </c>
      <c r="E301" s="7" t="n">
        <v>2456</v>
      </c>
      <c r="F301" s="7">
        <f>D301-E301</f>
        <v/>
      </c>
      <c r="G301" s="8">
        <f>IF(D301=0,"",(D301-E301)/D301)</f>
        <v/>
      </c>
      <c r="H301" s="9" t="n">
        <v>995174</v>
      </c>
      <c r="I301" s="10" t="n">
        <v>0.408</v>
      </c>
      <c r="J301" s="10">
        <f>IF(COUNT(G51:G300)&lt;20,"",IF(COUNTIF(G51:G300,"&lt;"&amp;G301)&gt;=COUNT(G51:G300),(COUNT(G51:G300)-0.5)/COUNT(G51:G300),IF(COUNTIF(G51:G300,G301)&gt;0,(COUNTIF(G51:G300,"&lt;"&amp;G301)+0.5*COUNTIF(G51:G300,G301))/COUNT(G51:G300),COUNTIF(G51:G300,"&lt;"&amp;G301)/COUNT(G51:G300))))</f>
        <v/>
      </c>
      <c r="K301" s="6" t="inlineStr">
        <is>
          <t>中间分位</t>
        </is>
      </c>
      <c r="L301" s="6" t="n">
        <v>43</v>
      </c>
      <c r="M301" s="6" t="inlineStr">
        <is>
          <t>Back(近强)</t>
        </is>
      </c>
      <c r="N301" s="6" t="n">
        <v>1</v>
      </c>
      <c r="O301" s="6" t="n">
        <v>0</v>
      </c>
      <c r="P301" s="7" t="n">
        <v>62</v>
      </c>
      <c r="Q301" s="6" t="inlineStr"/>
    </row>
    <row r="302">
      <c r="A302" s="11" t="inlineStr">
        <is>
          <t>2023-11-14</t>
        </is>
      </c>
      <c r="B302" s="11" t="inlineStr">
        <is>
          <t>MA2401</t>
        </is>
      </c>
      <c r="C302" s="11" t="inlineStr">
        <is>
          <t>2024-01</t>
        </is>
      </c>
      <c r="D302" s="12" t="n">
        <v>2460.83</v>
      </c>
      <c r="E302" s="12" t="n">
        <v>2458</v>
      </c>
      <c r="F302" s="12">
        <f>D302-E302</f>
        <v/>
      </c>
      <c r="G302" s="13">
        <f>IF(D302=0,"",(D302-E302)/D302)</f>
        <v/>
      </c>
      <c r="H302" s="14" t="n">
        <v>984635</v>
      </c>
      <c r="I302" s="15" t="n">
        <v>0.26</v>
      </c>
      <c r="J302" s="15">
        <f>IF(COUNT(G52:G301)&lt;20,"",IF(COUNTIF(G52:G301,"&lt;"&amp;G302)&gt;=COUNT(G52:G301),(COUNT(G52:G301)-0.5)/COUNT(G52:G301),IF(COUNTIF(G52:G301,G302)&gt;0,(COUNTIF(G52:G301,"&lt;"&amp;G302)+0.5*COUNTIF(G52:G301,G302))/COUNT(G52:G301),COUNTIF(G52:G301,"&lt;"&amp;G302)/COUNT(G52:G301))))</f>
        <v/>
      </c>
      <c r="K302" s="11" t="inlineStr">
        <is>
          <t>中间分位</t>
        </is>
      </c>
      <c r="L302" s="11" t="n">
        <v>42</v>
      </c>
      <c r="M302" s="11" t="inlineStr">
        <is>
          <t>Contango(远强)</t>
        </is>
      </c>
      <c r="N302" s="11" t="n">
        <v>1</v>
      </c>
      <c r="O302" s="11" t="n">
        <v>0</v>
      </c>
      <c r="P302" s="12" t="n">
        <v>-91</v>
      </c>
      <c r="Q302" s="11" t="inlineStr"/>
    </row>
    <row r="303">
      <c r="A303" s="6" t="inlineStr">
        <is>
          <t>2023-11-15</t>
        </is>
      </c>
      <c r="B303" s="6" t="inlineStr">
        <is>
          <t>MA2401</t>
        </is>
      </c>
      <c r="C303" s="6" t="inlineStr">
        <is>
          <t>2024-01</t>
        </is>
      </c>
      <c r="D303" s="7" t="n">
        <v>2465.83</v>
      </c>
      <c r="E303" s="7" t="n">
        <v>2485</v>
      </c>
      <c r="F303" s="7">
        <f>D303-E303</f>
        <v/>
      </c>
      <c r="G303" s="8">
        <f>IF(D303=0,"",(D303-E303)/D303)</f>
        <v/>
      </c>
      <c r="H303" s="9" t="n">
        <v>967314</v>
      </c>
      <c r="I303" s="10" t="n">
        <v>0.192</v>
      </c>
      <c r="J303" s="10">
        <f>IF(COUNT(G53:G302)&lt;20,"",IF(COUNTIF(G53:G302,"&lt;"&amp;G303)&gt;=COUNT(G53:G302),(COUNT(G53:G302)-0.5)/COUNT(G53:G302),IF(COUNTIF(G53:G302,G303)&gt;0,(COUNTIF(G53:G302,"&lt;"&amp;G303)+0.5*COUNTIF(G53:G302,G303))/COUNT(G53:G302),COUNTIF(G53:G302,"&lt;"&amp;G303)/COUNT(G53:G302))))</f>
        <v/>
      </c>
      <c r="K303" s="6" t="inlineStr">
        <is>
          <t>中间分位</t>
        </is>
      </c>
      <c r="L303" s="6" t="n">
        <v>41</v>
      </c>
      <c r="M303" s="6" t="inlineStr">
        <is>
          <t>Contango(远强)</t>
        </is>
      </c>
      <c r="N303" s="6" t="n">
        <v>1</v>
      </c>
      <c r="O303" s="6" t="n">
        <v>0</v>
      </c>
      <c r="P303" s="7" t="n">
        <v>3</v>
      </c>
      <c r="Q303" s="6" t="inlineStr"/>
    </row>
    <row r="304">
      <c r="A304" s="11" t="inlineStr">
        <is>
          <t>2023-11-16</t>
        </is>
      </c>
      <c r="B304" s="11" t="inlineStr">
        <is>
          <t>MA2401</t>
        </is>
      </c>
      <c r="C304" s="11" t="inlineStr">
        <is>
          <t>2024-01</t>
        </is>
      </c>
      <c r="D304" s="12" t="n">
        <v>2485</v>
      </c>
      <c r="E304" s="12" t="n">
        <v>2498</v>
      </c>
      <c r="F304" s="12">
        <f>D304-E304</f>
        <v/>
      </c>
      <c r="G304" s="13">
        <f>IF(D304=0,"",(D304-E304)/D304)</f>
        <v/>
      </c>
      <c r="H304" s="14" t="n">
        <v>975150</v>
      </c>
      <c r="I304" s="15" t="n">
        <v>0.22</v>
      </c>
      <c r="J304" s="15">
        <f>IF(COUNT(G54:G303)&lt;20,"",IF(COUNTIF(G54:G303,"&lt;"&amp;G304)&gt;=COUNT(G54:G303),(COUNT(G54:G303)-0.5)/COUNT(G54:G303),IF(COUNTIF(G54:G303,G304)&gt;0,(COUNTIF(G54:G303,"&lt;"&amp;G304)+0.5*COUNTIF(G54:G303,G304))/COUNT(G54:G303),COUNTIF(G54:G303,"&lt;"&amp;G304)/COUNT(G54:G303))))</f>
        <v/>
      </c>
      <c r="K304" s="11" t="inlineStr">
        <is>
          <t>中间分位</t>
        </is>
      </c>
      <c r="L304" s="11" t="n">
        <v>40</v>
      </c>
      <c r="M304" s="11" t="inlineStr">
        <is>
          <t>Contango(远强)</t>
        </is>
      </c>
      <c r="N304" s="11" t="n">
        <v>1</v>
      </c>
      <c r="O304" s="11" t="n">
        <v>0</v>
      </c>
      <c r="P304" s="12" t="n">
        <v>1</v>
      </c>
      <c r="Q304" s="11" t="inlineStr"/>
    </row>
    <row r="305">
      <c r="A305" s="6" t="inlineStr">
        <is>
          <t>2023-11-17</t>
        </is>
      </c>
      <c r="B305" s="6" t="inlineStr">
        <is>
          <t>MA2401</t>
        </is>
      </c>
      <c r="C305" s="6" t="inlineStr">
        <is>
          <t>2024-01</t>
        </is>
      </c>
      <c r="D305" s="7" t="n">
        <v>2495.83</v>
      </c>
      <c r="E305" s="7" t="n">
        <v>2499</v>
      </c>
      <c r="F305" s="7">
        <f>D305-E305</f>
        <v/>
      </c>
      <c r="G305" s="8">
        <f>IF(D305=0,"",(D305-E305)/D305)</f>
        <v/>
      </c>
      <c r="H305" s="9" t="n">
        <v>961261</v>
      </c>
      <c r="I305" s="10" t="n">
        <v>0.24</v>
      </c>
      <c r="J305" s="10">
        <f>IF(COUNT(G55:G304)&lt;20,"",IF(COUNTIF(G55:G304,"&lt;"&amp;G305)&gt;=COUNT(G55:G304),(COUNT(G55:G304)-0.5)/COUNT(G55:G304),IF(COUNTIF(G55:G304,G305)&gt;0,(COUNTIF(G55:G304,"&lt;"&amp;G305)+0.5*COUNTIF(G55:G304,G305))/COUNT(G55:G304),COUNTIF(G55:G304,"&lt;"&amp;G305)/COUNT(G55:G304))))</f>
        <v/>
      </c>
      <c r="K305" s="6" t="inlineStr">
        <is>
          <t>中间分位</t>
        </is>
      </c>
      <c r="L305" s="6" t="n">
        <v>39</v>
      </c>
      <c r="M305" s="6" t="inlineStr">
        <is>
          <t>Contango(远强)</t>
        </is>
      </c>
      <c r="N305" s="6" t="n">
        <v>1</v>
      </c>
      <c r="O305" s="6" t="n">
        <v>0</v>
      </c>
      <c r="P305" s="7" t="n">
        <v>-3</v>
      </c>
      <c r="Q305" s="6" t="inlineStr"/>
    </row>
    <row r="306">
      <c r="A306" s="11" t="inlineStr">
        <is>
          <t>2023-11-20</t>
        </is>
      </c>
      <c r="B306" s="11" t="inlineStr">
        <is>
          <t>MA2401</t>
        </is>
      </c>
      <c r="C306" s="11" t="inlineStr">
        <is>
          <t>2024-01</t>
        </is>
      </c>
      <c r="D306" s="12" t="n">
        <v>2490</v>
      </c>
      <c r="E306" s="12" t="n">
        <v>2447</v>
      </c>
      <c r="F306" s="12">
        <f>D306-E306</f>
        <v/>
      </c>
      <c r="G306" s="13">
        <f>IF(D306=0,"",(D306-E306)/D306)</f>
        <v/>
      </c>
      <c r="H306" s="14" t="n">
        <v>966667</v>
      </c>
      <c r="I306" s="15" t="n">
        <v>0.476</v>
      </c>
      <c r="J306" s="15">
        <f>IF(COUNT(G56:G305)&lt;20,"",IF(COUNTIF(G56:G305,"&lt;"&amp;G306)&gt;=COUNT(G56:G305),(COUNT(G56:G305)-0.5)/COUNT(G56:G305),IF(COUNTIF(G56:G305,G306)&gt;0,(COUNTIF(G56:G305,"&lt;"&amp;G306)+0.5*COUNTIF(G56:G305,G306))/COUNT(G56:G305),COUNTIF(G56:G305,"&lt;"&amp;G306)/COUNT(G56:G305))))</f>
        <v/>
      </c>
      <c r="K306" s="11" t="inlineStr">
        <is>
          <t>中间分位</t>
        </is>
      </c>
      <c r="L306" s="11" t="n">
        <v>38</v>
      </c>
      <c r="M306" s="11" t="inlineStr">
        <is>
          <t>Contango(远强)</t>
        </is>
      </c>
      <c r="N306" s="11" t="n">
        <v>1</v>
      </c>
      <c r="O306" s="11" t="n">
        <v>0</v>
      </c>
      <c r="P306" s="12" t="n">
        <v>-1</v>
      </c>
      <c r="Q306" s="11" t="inlineStr"/>
    </row>
    <row r="307">
      <c r="A307" s="6" t="inlineStr">
        <is>
          <t>2023-11-21</t>
        </is>
      </c>
      <c r="B307" s="6" t="inlineStr">
        <is>
          <t>MA2401</t>
        </is>
      </c>
      <c r="C307" s="6" t="inlineStr">
        <is>
          <t>2024-01</t>
        </is>
      </c>
      <c r="D307" s="7" t="n">
        <v>2450</v>
      </c>
      <c r="E307" s="7" t="n">
        <v>2388</v>
      </c>
      <c r="F307" s="7">
        <f>D307-E307</f>
        <v/>
      </c>
      <c r="G307" s="8">
        <f>IF(D307=0,"",(D307-E307)/D307)</f>
        <v/>
      </c>
      <c r="H307" s="9" t="n">
        <v>1009286</v>
      </c>
      <c r="I307" s="10" t="n">
        <v>0.5679999999999999</v>
      </c>
      <c r="J307" s="10">
        <f>IF(COUNT(G57:G306)&lt;20,"",IF(COUNTIF(G57:G306,"&lt;"&amp;G307)&gt;=COUNT(G57:G306),(COUNT(G57:G306)-0.5)/COUNT(G57:G306),IF(COUNTIF(G57:G306,G307)&gt;0,(COUNTIF(G57:G306,"&lt;"&amp;G307)+0.5*COUNTIF(G57:G306,G307))/COUNT(G57:G306),COUNTIF(G57:G306,"&lt;"&amp;G307)/COUNT(G57:G306))))</f>
        <v/>
      </c>
      <c r="K307" s="6" t="inlineStr">
        <is>
          <t>中间分位</t>
        </is>
      </c>
      <c r="L307" s="6" t="n">
        <v>37</v>
      </c>
      <c r="M307" s="6" t="inlineStr">
        <is>
          <t>Contango(远强)</t>
        </is>
      </c>
      <c r="N307" s="6" t="n">
        <v>1</v>
      </c>
      <c r="O307" s="6" t="n">
        <v>0</v>
      </c>
      <c r="P307" s="7" t="n">
        <v>0</v>
      </c>
      <c r="Q307" s="6" t="inlineStr"/>
    </row>
    <row r="308">
      <c r="A308" s="11" t="inlineStr">
        <is>
          <t>2023-11-22</t>
        </is>
      </c>
      <c r="B308" s="11" t="inlineStr">
        <is>
          <t>MA2401</t>
        </is>
      </c>
      <c r="C308" s="11" t="inlineStr">
        <is>
          <t>2024-01</t>
        </is>
      </c>
      <c r="D308" s="12" t="n">
        <v>2395</v>
      </c>
      <c r="E308" s="12" t="n">
        <v>2396</v>
      </c>
      <c r="F308" s="12">
        <f>D308-E308</f>
        <v/>
      </c>
      <c r="G308" s="13">
        <f>IF(D308=0,"",(D308-E308)/D308)</f>
        <v/>
      </c>
      <c r="H308" s="14" t="n">
        <v>1030823</v>
      </c>
      <c r="I308" s="15" t="n">
        <v>0.252</v>
      </c>
      <c r="J308" s="15">
        <f>IF(COUNT(G58:G307)&lt;20,"",IF(COUNTIF(G58:G307,"&lt;"&amp;G308)&gt;=COUNT(G58:G307),(COUNT(G58:G307)-0.5)/COUNT(G58:G307),IF(COUNTIF(G58:G307,G308)&gt;0,(COUNTIF(G58:G307,"&lt;"&amp;G308)+0.5*COUNTIF(G58:G307,G308))/COUNT(G58:G307),COUNTIF(G58:G307,"&lt;"&amp;G308)/COUNT(G58:G307))))</f>
        <v/>
      </c>
      <c r="K308" s="11" t="inlineStr">
        <is>
          <t>中间分位</t>
        </is>
      </c>
      <c r="L308" s="11" t="n">
        <v>36</v>
      </c>
      <c r="M308" s="11" t="inlineStr">
        <is>
          <t>Contango(远强)</t>
        </is>
      </c>
      <c r="N308" s="11" t="n">
        <v>1</v>
      </c>
      <c r="O308" s="11" t="n">
        <v>0</v>
      </c>
      <c r="P308" s="12" t="n">
        <v>-12</v>
      </c>
      <c r="Q308" s="11" t="inlineStr"/>
    </row>
    <row r="309">
      <c r="A309" s="6" t="inlineStr">
        <is>
          <t>2023-11-23</t>
        </is>
      </c>
      <c r="B309" s="6" t="inlineStr">
        <is>
          <t>MA2401</t>
        </is>
      </c>
      <c r="C309" s="6" t="inlineStr">
        <is>
          <t>2024-01</t>
        </is>
      </c>
      <c r="D309" s="7" t="n">
        <v>2401.67</v>
      </c>
      <c r="E309" s="7" t="n">
        <v>2349</v>
      </c>
      <c r="F309" s="7">
        <f>D309-E309</f>
        <v/>
      </c>
      <c r="G309" s="8">
        <f>IF(D309=0,"",(D309-E309)/D309)</f>
        <v/>
      </c>
      <c r="H309" s="9" t="n">
        <v>1069618</v>
      </c>
      <c r="I309" s="10" t="n">
        <v>0.532</v>
      </c>
      <c r="J309" s="10">
        <f>IF(COUNT(G59:G308)&lt;20,"",IF(COUNTIF(G59:G308,"&lt;"&amp;G309)&gt;=COUNT(G59:G308),(COUNT(G59:G308)-0.5)/COUNT(G59:G308),IF(COUNTIF(G59:G308,G309)&gt;0,(COUNTIF(G59:G308,"&lt;"&amp;G309)+0.5*COUNTIF(G59:G308,G309))/COUNT(G59:G308),COUNTIF(G59:G308,"&lt;"&amp;G309)/COUNT(G59:G308))))</f>
        <v/>
      </c>
      <c r="K309" s="6" t="inlineStr">
        <is>
          <t>中间分位</t>
        </is>
      </c>
      <c r="L309" s="6" t="n">
        <v>35</v>
      </c>
      <c r="M309" s="6" t="inlineStr">
        <is>
          <t>Contango(远强)</t>
        </is>
      </c>
      <c r="N309" s="6" t="n">
        <v>1</v>
      </c>
      <c r="O309" s="6" t="n">
        <v>0</v>
      </c>
      <c r="P309" s="7" t="n">
        <v>3</v>
      </c>
      <c r="Q309" s="6" t="inlineStr"/>
    </row>
    <row r="310">
      <c r="A310" s="11" t="inlineStr">
        <is>
          <t>2023-11-24</t>
        </is>
      </c>
      <c r="B310" s="11" t="inlineStr">
        <is>
          <t>MA2401</t>
        </is>
      </c>
      <c r="C310" s="11" t="inlineStr">
        <is>
          <t>2024-01</t>
        </is>
      </c>
      <c r="D310" s="12" t="n">
        <v>2365.83</v>
      </c>
      <c r="E310" s="12" t="n">
        <v>2392</v>
      </c>
      <c r="F310" s="12">
        <f>D310-E310</f>
        <v/>
      </c>
      <c r="G310" s="13">
        <f>IF(D310=0,"",(D310-E310)/D310)</f>
        <v/>
      </c>
      <c r="H310" s="14" t="n">
        <v>1017185</v>
      </c>
      <c r="I310" s="15" t="n">
        <v>0.164</v>
      </c>
      <c r="J310" s="15">
        <f>IF(COUNT(G60:G309)&lt;20,"",IF(COUNTIF(G60:G309,"&lt;"&amp;G310)&gt;=COUNT(G60:G309),(COUNT(G60:G309)-0.5)/COUNT(G60:G309),IF(COUNTIF(G60:G309,G310)&gt;0,(COUNTIF(G60:G309,"&lt;"&amp;G310)+0.5*COUNTIF(G60:G309,G310))/COUNT(G60:G309),COUNTIF(G60:G309,"&lt;"&amp;G310)/COUNT(G60:G309))))</f>
        <v/>
      </c>
      <c r="K310" s="11" t="inlineStr">
        <is>
          <t>中间分位</t>
        </is>
      </c>
      <c r="L310" s="11" t="n">
        <v>34</v>
      </c>
      <c r="M310" s="11" t="inlineStr">
        <is>
          <t>Contango(远强)</t>
        </is>
      </c>
      <c r="N310" s="11" t="n">
        <v>1</v>
      </c>
      <c r="O310" s="11" t="n">
        <v>0</v>
      </c>
      <c r="P310" s="12" t="n">
        <v>0</v>
      </c>
      <c r="Q310" s="11" t="inlineStr"/>
    </row>
    <row r="311">
      <c r="A311" s="6" t="inlineStr">
        <is>
          <t>2023-11-27</t>
        </is>
      </c>
      <c r="B311" s="6" t="inlineStr">
        <is>
          <t>MA2401</t>
        </is>
      </c>
      <c r="C311" s="6" t="inlineStr">
        <is>
          <t>2024-01</t>
        </is>
      </c>
      <c r="D311" s="7" t="n">
        <v>2400.83</v>
      </c>
      <c r="E311" s="7" t="n">
        <v>2423</v>
      </c>
      <c r="F311" s="7">
        <f>D311-E311</f>
        <v/>
      </c>
      <c r="G311" s="8">
        <f>IF(D311=0,"",(D311-E311)/D311)</f>
        <v/>
      </c>
      <c r="H311" s="9" t="n">
        <v>965503</v>
      </c>
      <c r="I311" s="10" t="n">
        <v>0.172</v>
      </c>
      <c r="J311" s="10">
        <f>IF(COUNT(G61:G310)&lt;20,"",IF(COUNTIF(G61:G310,"&lt;"&amp;G311)&gt;=COUNT(G61:G310),(COUNT(G61:G310)-0.5)/COUNT(G61:G310),IF(COUNTIF(G61:G310,G311)&gt;0,(COUNTIF(G61:G310,"&lt;"&amp;G311)+0.5*COUNTIF(G61:G310,G311))/COUNT(G61:G310),COUNTIF(G61:G310,"&lt;"&amp;G311)/COUNT(G61:G310))))</f>
        <v/>
      </c>
      <c r="K311" s="6" t="inlineStr">
        <is>
          <t>中间分位</t>
        </is>
      </c>
      <c r="L311" s="6" t="n">
        <v>33</v>
      </c>
      <c r="M311" s="6" t="inlineStr">
        <is>
          <t>Contango(远强)</t>
        </is>
      </c>
      <c r="N311" s="6" t="n">
        <v>1</v>
      </c>
      <c r="O311" s="6" t="n">
        <v>0</v>
      </c>
      <c r="P311" s="7" t="n">
        <v>0</v>
      </c>
      <c r="Q311" s="6" t="inlineStr"/>
    </row>
    <row r="312">
      <c r="A312" s="11" t="inlineStr">
        <is>
          <t>2023-11-28</t>
        </is>
      </c>
      <c r="B312" s="11" t="inlineStr">
        <is>
          <t>MA2401</t>
        </is>
      </c>
      <c r="C312" s="11" t="inlineStr">
        <is>
          <t>2024-01</t>
        </is>
      </c>
      <c r="D312" s="12" t="n">
        <v>2430.83</v>
      </c>
      <c r="E312" s="12" t="n">
        <v>2421</v>
      </c>
      <c r="F312" s="12">
        <f>D312-E312</f>
        <v/>
      </c>
      <c r="G312" s="13">
        <f>IF(D312=0,"",(D312-E312)/D312)</f>
        <v/>
      </c>
      <c r="H312" s="14" t="n">
        <v>926316</v>
      </c>
      <c r="I312" s="15" t="n">
        <v>0.324</v>
      </c>
      <c r="J312" s="15">
        <f>IF(COUNT(G62:G311)&lt;20,"",IF(COUNTIF(G62:G311,"&lt;"&amp;G312)&gt;=COUNT(G62:G311),(COUNT(G62:G311)-0.5)/COUNT(G62:G311),IF(COUNTIF(G62:G311,G312)&gt;0,(COUNTIF(G62:G311,"&lt;"&amp;G312)+0.5*COUNTIF(G62:G311,G312))/COUNT(G62:G311),COUNTIF(G62:G311,"&lt;"&amp;G312)/COUNT(G62:G311))))</f>
        <v/>
      </c>
      <c r="K312" s="11" t="inlineStr">
        <is>
          <t>中间分位</t>
        </is>
      </c>
      <c r="L312" s="11" t="n">
        <v>32</v>
      </c>
      <c r="M312" s="11" t="inlineStr">
        <is>
          <t>Contango(远强)</t>
        </is>
      </c>
      <c r="N312" s="11" t="n">
        <v>1</v>
      </c>
      <c r="O312" s="11" t="n">
        <v>0</v>
      </c>
      <c r="P312" s="12" t="n">
        <v>-2</v>
      </c>
      <c r="Q312" s="11" t="inlineStr"/>
    </row>
    <row r="313">
      <c r="A313" s="6" t="inlineStr">
        <is>
          <t>2023-11-29</t>
        </is>
      </c>
      <c r="B313" s="6" t="inlineStr">
        <is>
          <t>MA2401</t>
        </is>
      </c>
      <c r="C313" s="6" t="inlineStr">
        <is>
          <t>2024-01</t>
        </is>
      </c>
      <c r="D313" s="7" t="n">
        <v>2430.83</v>
      </c>
      <c r="E313" s="7" t="n">
        <v>2423</v>
      </c>
      <c r="F313" s="7">
        <f>D313-E313</f>
        <v/>
      </c>
      <c r="G313" s="8">
        <f>IF(D313=0,"",(D313-E313)/D313)</f>
        <v/>
      </c>
      <c r="H313" s="9" t="n">
        <v>890644</v>
      </c>
      <c r="I313" s="10" t="n">
        <v>0.316</v>
      </c>
      <c r="J313" s="10">
        <f>IF(COUNT(G63:G312)&lt;20,"",IF(COUNTIF(G63:G312,"&lt;"&amp;G313)&gt;=COUNT(G63:G312),(COUNT(G63:G312)-0.5)/COUNT(G63:G312),IF(COUNTIF(G63:G312,G313)&gt;0,(COUNTIF(G63:G312,"&lt;"&amp;G313)+0.5*COUNTIF(G63:G312,G313))/COUNT(G63:G312),COUNTIF(G63:G312,"&lt;"&amp;G313)/COUNT(G63:G312))))</f>
        <v/>
      </c>
      <c r="K313" s="6" t="inlineStr">
        <is>
          <t>中间分位</t>
        </is>
      </c>
      <c r="L313" s="6" t="n">
        <v>31</v>
      </c>
      <c r="M313" s="6" t="inlineStr">
        <is>
          <t>Contango(远强)</t>
        </is>
      </c>
      <c r="N313" s="6" t="n">
        <v>1</v>
      </c>
      <c r="O313" s="6" t="n">
        <v>0</v>
      </c>
      <c r="P313" s="7" t="n">
        <v>-24</v>
      </c>
      <c r="Q313" s="6" t="inlineStr"/>
    </row>
    <row r="314">
      <c r="A314" s="11" t="inlineStr">
        <is>
          <t>2023-11-30</t>
        </is>
      </c>
      <c r="B314" s="11" t="inlineStr">
        <is>
          <t>MA2401</t>
        </is>
      </c>
      <c r="C314" s="11" t="inlineStr">
        <is>
          <t>2024-01</t>
        </is>
      </c>
      <c r="D314" s="12" t="n">
        <v>2435.83</v>
      </c>
      <c r="E314" s="12" t="n">
        <v>2501</v>
      </c>
      <c r="F314" s="12">
        <f>D314-E314</f>
        <v/>
      </c>
      <c r="G314" s="13">
        <f>IF(D314=0,"",(D314-E314)/D314)</f>
        <v/>
      </c>
      <c r="H314" s="14" t="n">
        <v>846471</v>
      </c>
      <c r="I314" s="15" t="n">
        <v>0.076</v>
      </c>
      <c r="J314" s="15">
        <f>IF(COUNT(G64:G313)&lt;20,"",IF(COUNTIF(G64:G313,"&lt;"&amp;G314)&gt;=COUNT(G64:G313),(COUNT(G64:G313)-0.5)/COUNT(G64:G313),IF(COUNTIF(G64:G313,G314)&gt;0,(COUNTIF(G64:G313,"&lt;"&amp;G314)+0.5*COUNTIF(G64:G313,G314))/COUNT(G64:G313),COUNTIF(G64:G313,"&lt;"&amp;G314)/COUNT(G64:G313))))</f>
        <v/>
      </c>
      <c r="K314" s="11" t="inlineStr">
        <is>
          <t>低分位</t>
        </is>
      </c>
      <c r="L314" s="11" t="n">
        <v>30</v>
      </c>
      <c r="M314" s="11" t="inlineStr">
        <is>
          <t>Contango(远强)</t>
        </is>
      </c>
      <c r="N314" s="11" t="n">
        <v>1</v>
      </c>
      <c r="O314" s="11" t="n">
        <v>0</v>
      </c>
      <c r="P314" s="12" t="n">
        <v>3</v>
      </c>
      <c r="Q314" s="11" t="inlineStr"/>
    </row>
    <row r="315">
      <c r="A315" s="6" t="inlineStr">
        <is>
          <t>2023-12-01</t>
        </is>
      </c>
      <c r="B315" s="6" t="inlineStr">
        <is>
          <t>MA2401</t>
        </is>
      </c>
      <c r="C315" s="6" t="inlineStr">
        <is>
          <t>2024-01</t>
        </is>
      </c>
      <c r="D315" s="7" t="n">
        <v>2510.83</v>
      </c>
      <c r="E315" s="7" t="n">
        <v>2498</v>
      </c>
      <c r="F315" s="7">
        <f>D315-E315</f>
        <v/>
      </c>
      <c r="G315" s="8">
        <f>IF(D315=0,"",(D315-E315)/D315)</f>
        <v/>
      </c>
      <c r="H315" s="9" t="n">
        <v>795092</v>
      </c>
      <c r="I315" s="10" t="n">
        <v>0.344</v>
      </c>
      <c r="J315" s="10">
        <f>IF(COUNT(G65:G314)&lt;20,"",IF(COUNTIF(G65:G314,"&lt;"&amp;G315)&gt;=COUNT(G65:G314),(COUNT(G65:G314)-0.5)/COUNT(G65:G314),IF(COUNTIF(G65:G314,G315)&gt;0,(COUNTIF(G65:G314,"&lt;"&amp;G315)+0.5*COUNTIF(G65:G314,G315))/COUNT(G65:G314),COUNTIF(G65:G314,"&lt;"&amp;G315)/COUNT(G65:G314))))</f>
        <v/>
      </c>
      <c r="K315" s="6" t="inlineStr">
        <is>
          <t>中间分位</t>
        </is>
      </c>
      <c r="L315" s="6" t="n">
        <v>29</v>
      </c>
      <c r="M315" s="6" t="inlineStr">
        <is>
          <t>Contango(远强)</t>
        </is>
      </c>
      <c r="N315" s="6" t="n">
        <v>1</v>
      </c>
      <c r="O315" s="6" t="n">
        <v>0</v>
      </c>
      <c r="P315" s="7" t="n">
        <v>-7</v>
      </c>
      <c r="Q315" s="6" t="inlineStr"/>
    </row>
    <row r="316">
      <c r="A316" s="11" t="inlineStr">
        <is>
          <t>2023-12-04</t>
        </is>
      </c>
      <c r="B316" s="11" t="inlineStr">
        <is>
          <t>MA2401</t>
        </is>
      </c>
      <c r="C316" s="11" t="inlineStr">
        <is>
          <t>2024-01</t>
        </is>
      </c>
      <c r="D316" s="12" t="n">
        <v>2505</v>
      </c>
      <c r="E316" s="12" t="n">
        <v>2430</v>
      </c>
      <c r="F316" s="12">
        <f>D316-E316</f>
        <v/>
      </c>
      <c r="G316" s="13">
        <f>IF(D316=0,"",(D316-E316)/D316)</f>
        <v/>
      </c>
      <c r="H316" s="14" t="n">
        <v>721176</v>
      </c>
      <c r="I316" s="15" t="n">
        <v>0.648</v>
      </c>
      <c r="J316" s="15">
        <f>IF(COUNT(G66:G315)&lt;20,"",IF(COUNTIF(G66:G315,"&lt;"&amp;G316)&gt;=COUNT(G66:G315),(COUNT(G66:G315)-0.5)/COUNT(G66:G315),IF(COUNTIF(G66:G315,G316)&gt;0,(COUNTIF(G66:G315,"&lt;"&amp;G316)+0.5*COUNTIF(G66:G315,G316))/COUNT(G66:G315),COUNTIF(G66:G315,"&lt;"&amp;G316)/COUNT(G66:G315))))</f>
        <v/>
      </c>
      <c r="K316" s="11" t="inlineStr">
        <is>
          <t>中间分位</t>
        </is>
      </c>
      <c r="L316" s="11" t="n">
        <v>28</v>
      </c>
      <c r="M316" s="11" t="inlineStr">
        <is>
          <t>Contango(远强)</t>
        </is>
      </c>
      <c r="N316" s="11" t="n">
        <v>1</v>
      </c>
      <c r="O316" s="11" t="n">
        <v>0</v>
      </c>
      <c r="P316" s="12" t="n">
        <v>-7</v>
      </c>
      <c r="Q316" s="11" t="inlineStr"/>
    </row>
    <row r="317">
      <c r="A317" s="6" t="inlineStr">
        <is>
          <t>2023-12-05</t>
        </is>
      </c>
      <c r="B317" s="6" t="inlineStr">
        <is>
          <t>MA2405</t>
        </is>
      </c>
      <c r="C317" s="6" t="inlineStr">
        <is>
          <t>2024-05</t>
        </is>
      </c>
      <c r="D317" s="7" t="n">
        <v>2440</v>
      </c>
      <c r="E317" s="7" t="n">
        <v>2403</v>
      </c>
      <c r="F317" s="7">
        <f>D317-E317</f>
        <v/>
      </c>
      <c r="G317" s="8">
        <f>IF(D317=0,"",(D317-E317)/D317)</f>
        <v/>
      </c>
      <c r="H317" s="9" t="n">
        <v>673613</v>
      </c>
      <c r="I317" s="10" t="n">
        <v>0.482</v>
      </c>
      <c r="J317" s="10">
        <f>IF(COUNT(G67:G316)&lt;20,"",IF(COUNTIF(G67:G316,"&lt;"&amp;G317)&gt;=COUNT(G67:G316),(COUNT(G67:G316)-0.5)/COUNT(G67:G316),IF(COUNTIF(G67:G316,G317)&gt;0,(COUNTIF(G67:G316,"&lt;"&amp;G317)+0.5*COUNTIF(G67:G316,G317))/COUNT(G67:G316),COUNTIF(G67:G316,"&lt;"&amp;G317)/COUNT(G67:G316))))</f>
        <v/>
      </c>
      <c r="K317" s="6" t="inlineStr">
        <is>
          <t>中间分位</t>
        </is>
      </c>
      <c r="L317" s="6" t="n">
        <v>104</v>
      </c>
      <c r="M317" s="6" t="inlineStr">
        <is>
          <t>Contango(远强)</t>
        </is>
      </c>
      <c r="N317" s="6" t="n">
        <v>1</v>
      </c>
      <c r="O317" s="6" t="n">
        <v>1</v>
      </c>
      <c r="P317" s="7" t="n">
        <v>-42</v>
      </c>
      <c r="Q317" s="6" t="inlineStr"/>
    </row>
    <row r="318">
      <c r="A318" s="11" t="inlineStr">
        <is>
          <t>2023-12-06</t>
        </is>
      </c>
      <c r="B318" s="11" t="inlineStr">
        <is>
          <t>MA2405</t>
        </is>
      </c>
      <c r="C318" s="11" t="inlineStr">
        <is>
          <t>2024-05</t>
        </is>
      </c>
      <c r="D318" s="12" t="n">
        <v>2440.83</v>
      </c>
      <c r="E318" s="12" t="n">
        <v>2412</v>
      </c>
      <c r="F318" s="12">
        <f>D318-E318</f>
        <v/>
      </c>
      <c r="G318" s="13">
        <f>IF(D318=0,"",(D318-E318)/D318)</f>
        <v/>
      </c>
      <c r="H318" s="14" t="n">
        <v>723244</v>
      </c>
      <c r="I318" s="15" t="n">
        <v>0.448</v>
      </c>
      <c r="J318" s="15">
        <f>IF(COUNT(G68:G317)&lt;20,"",IF(COUNTIF(G68:G317,"&lt;"&amp;G318)&gt;=COUNT(G68:G317),(COUNT(G68:G317)-0.5)/COUNT(G68:G317),IF(COUNTIF(G68:G317,G318)&gt;0,(COUNTIF(G68:G317,"&lt;"&amp;G318)+0.5*COUNTIF(G68:G317,G318))/COUNT(G68:G317),COUNTIF(G68:G317,"&lt;"&amp;G318)/COUNT(G68:G317))))</f>
        <v/>
      </c>
      <c r="K318" s="11" t="inlineStr">
        <is>
          <t>中间分位</t>
        </is>
      </c>
      <c r="L318" s="11" t="n">
        <v>103</v>
      </c>
      <c r="M318" s="11" t="inlineStr">
        <is>
          <t>Contango(远强)</t>
        </is>
      </c>
      <c r="N318" s="11" t="n">
        <v>1</v>
      </c>
      <c r="O318" s="11" t="n">
        <v>0</v>
      </c>
      <c r="P318" s="12" t="n">
        <v>-20</v>
      </c>
      <c r="Q318" s="11" t="inlineStr"/>
    </row>
    <row r="319">
      <c r="A319" s="6" t="inlineStr">
        <is>
          <t>2023-12-07</t>
        </is>
      </c>
      <c r="B319" s="6" t="inlineStr">
        <is>
          <t>MA2405</t>
        </is>
      </c>
      <c r="C319" s="6" t="inlineStr">
        <is>
          <t>2024-05</t>
        </is>
      </c>
      <c r="D319" s="7" t="n">
        <v>2440</v>
      </c>
      <c r="E319" s="7" t="n">
        <v>2433</v>
      </c>
      <c r="F319" s="7">
        <f>D319-E319</f>
        <v/>
      </c>
      <c r="G319" s="8">
        <f>IF(D319=0,"",(D319-E319)/D319)</f>
        <v/>
      </c>
      <c r="H319" s="9" t="n">
        <v>762509</v>
      </c>
      <c r="I319" s="10" t="n">
        <v>0.316</v>
      </c>
      <c r="J319" s="10">
        <f>IF(COUNT(G69:G318)&lt;20,"",IF(COUNTIF(G69:G318,"&lt;"&amp;G319)&gt;=COUNT(G69:G318),(COUNT(G69:G318)-0.5)/COUNT(G69:G318),IF(COUNTIF(G69:G318,G319)&gt;0,(COUNTIF(G69:G318,"&lt;"&amp;G319)+0.5*COUNTIF(G69:G318,G319))/COUNT(G69:G318),COUNTIF(G69:G318,"&lt;"&amp;G319)/COUNT(G69:G318))))</f>
        <v/>
      </c>
      <c r="K319" s="6" t="inlineStr">
        <is>
          <t>中间分位</t>
        </is>
      </c>
      <c r="L319" s="6" t="n">
        <v>102</v>
      </c>
      <c r="M319" s="6" t="inlineStr">
        <is>
          <t>Contango(远强)</t>
        </is>
      </c>
      <c r="N319" s="6" t="n">
        <v>1</v>
      </c>
      <c r="O319" s="6" t="n">
        <v>0</v>
      </c>
      <c r="P319" s="7" t="n">
        <v>-15</v>
      </c>
      <c r="Q319" s="6" t="inlineStr"/>
    </row>
    <row r="320">
      <c r="A320" s="11" t="inlineStr">
        <is>
          <t>2023-12-08</t>
        </is>
      </c>
      <c r="B320" s="11" t="inlineStr">
        <is>
          <t>MA2405</t>
        </is>
      </c>
      <c r="C320" s="11" t="inlineStr">
        <is>
          <t>2024-05</t>
        </is>
      </c>
      <c r="D320" s="12" t="n">
        <v>2455</v>
      </c>
      <c r="E320" s="12" t="n">
        <v>2422</v>
      </c>
      <c r="F320" s="12">
        <f>D320-E320</f>
        <v/>
      </c>
      <c r="G320" s="13">
        <f>IF(D320=0,"",(D320-E320)/D320)</f>
        <v/>
      </c>
      <c r="H320" s="14" t="n">
        <v>833320</v>
      </c>
      <c r="I320" s="15" t="n">
        <v>0.476</v>
      </c>
      <c r="J320" s="15">
        <f>IF(COUNT(G70:G319)&lt;20,"",IF(COUNTIF(G70:G319,"&lt;"&amp;G320)&gt;=COUNT(G70:G319),(COUNT(G70:G319)-0.5)/COUNT(G70:G319),IF(COUNTIF(G70:G319,G320)&gt;0,(COUNTIF(G70:G319,"&lt;"&amp;G320)+0.5*COUNTIF(G70:G319,G320))/COUNT(G70:G319),COUNTIF(G70:G319,"&lt;"&amp;G320)/COUNT(G70:G319))))</f>
        <v/>
      </c>
      <c r="K320" s="11" t="inlineStr">
        <is>
          <t>中间分位</t>
        </is>
      </c>
      <c r="L320" s="11" t="n">
        <v>101</v>
      </c>
      <c r="M320" s="11" t="inlineStr">
        <is>
          <t>Contango(远强)</t>
        </is>
      </c>
      <c r="N320" s="11" t="n">
        <v>1</v>
      </c>
      <c r="O320" s="11" t="n">
        <v>0</v>
      </c>
      <c r="P320" s="12" t="n">
        <v>-19</v>
      </c>
      <c r="Q320" s="11" t="inlineStr"/>
    </row>
    <row r="321">
      <c r="A321" s="6" t="inlineStr">
        <is>
          <t>2023-12-11</t>
        </is>
      </c>
      <c r="B321" s="6" t="inlineStr">
        <is>
          <t>MA2405</t>
        </is>
      </c>
      <c r="C321" s="6" t="inlineStr">
        <is>
          <t>2024-05</t>
        </is>
      </c>
      <c r="D321" s="7" t="n">
        <v>2450</v>
      </c>
      <c r="E321" s="7" t="n">
        <v>2397</v>
      </c>
      <c r="F321" s="7">
        <f>D321-E321</f>
        <v/>
      </c>
      <c r="G321" s="8">
        <f>IF(D321=0,"",(D321-E321)/D321)</f>
        <v/>
      </c>
      <c r="H321" s="9" t="n">
        <v>934759</v>
      </c>
      <c r="I321" s="10" t="n">
        <v>0.572</v>
      </c>
      <c r="J321" s="10">
        <f>IF(COUNT(G71:G320)&lt;20,"",IF(COUNTIF(G71:G320,"&lt;"&amp;G321)&gt;=COUNT(G71:G320),(COUNT(G71:G320)-0.5)/COUNT(G71:G320),IF(COUNTIF(G71:G320,G321)&gt;0,(COUNTIF(G71:G320,"&lt;"&amp;G321)+0.5*COUNTIF(G71:G320,G321))/COUNT(G71:G320),COUNTIF(G71:G320,"&lt;"&amp;G321)/COUNT(G71:G320))))</f>
        <v/>
      </c>
      <c r="K321" s="6" t="inlineStr">
        <is>
          <t>中间分位</t>
        </is>
      </c>
      <c r="L321" s="6" t="n">
        <v>100</v>
      </c>
      <c r="M321" s="6" t="inlineStr">
        <is>
          <t>Contango(远强)</t>
        </is>
      </c>
      <c r="N321" s="6" t="n">
        <v>1</v>
      </c>
      <c r="O321" s="6" t="n">
        <v>0</v>
      </c>
      <c r="P321" s="7" t="n">
        <v>-33</v>
      </c>
      <c r="Q321" s="6" t="inlineStr"/>
    </row>
    <row r="322">
      <c r="A322" s="11" t="inlineStr">
        <is>
          <t>2023-12-12</t>
        </is>
      </c>
      <c r="B322" s="11" t="inlineStr">
        <is>
          <t>MA2405</t>
        </is>
      </c>
      <c r="C322" s="11" t="inlineStr">
        <is>
          <t>2024-05</t>
        </is>
      </c>
      <c r="D322" s="12" t="n">
        <v>2441.67</v>
      </c>
      <c r="E322" s="12" t="n">
        <v>2414</v>
      </c>
      <c r="F322" s="12">
        <f>D322-E322</f>
        <v/>
      </c>
      <c r="G322" s="13">
        <f>IF(D322=0,"",(D322-E322)/D322)</f>
        <v/>
      </c>
      <c r="H322" s="14" t="n">
        <v>1001603</v>
      </c>
      <c r="I322" s="15" t="n">
        <v>0.448</v>
      </c>
      <c r="J322" s="15">
        <f>IF(COUNT(G72:G321)&lt;20,"",IF(COUNTIF(G72:G321,"&lt;"&amp;G322)&gt;=COUNT(G72:G321),(COUNT(G72:G321)-0.5)/COUNT(G72:G321),IF(COUNTIF(G72:G321,G322)&gt;0,(COUNTIF(G72:G321,"&lt;"&amp;G322)+0.5*COUNTIF(G72:G321,G322))/COUNT(G72:G321),COUNTIF(G72:G321,"&lt;"&amp;G322)/COUNT(G72:G321))))</f>
        <v/>
      </c>
      <c r="K322" s="11" t="inlineStr">
        <is>
          <t>中间分位</t>
        </is>
      </c>
      <c r="L322" s="11" t="n">
        <v>99</v>
      </c>
      <c r="M322" s="11" t="inlineStr">
        <is>
          <t>Contango(远强)</t>
        </is>
      </c>
      <c r="N322" s="11" t="n">
        <v>1</v>
      </c>
      <c r="O322" s="11" t="n">
        <v>0</v>
      </c>
      <c r="P322" s="12" t="n">
        <v>-24</v>
      </c>
      <c r="Q322" s="11" t="inlineStr"/>
    </row>
    <row r="323">
      <c r="A323" s="6" t="inlineStr">
        <is>
          <t>2023-12-13</t>
        </is>
      </c>
      <c r="B323" s="6" t="inlineStr">
        <is>
          <t>MA2405</t>
        </is>
      </c>
      <c r="C323" s="6" t="inlineStr">
        <is>
          <t>2024-05</t>
        </is>
      </c>
      <c r="D323" s="7" t="n">
        <v>2450</v>
      </c>
      <c r="E323" s="7" t="n">
        <v>2368</v>
      </c>
      <c r="F323" s="7">
        <f>D323-E323</f>
        <v/>
      </c>
      <c r="G323" s="8">
        <f>IF(D323=0,"",(D323-E323)/D323)</f>
        <v/>
      </c>
      <c r="H323" s="9" t="n">
        <v>1087889</v>
      </c>
      <c r="I323" s="10" t="n">
        <v>0.732</v>
      </c>
      <c r="J323" s="10">
        <f>IF(COUNT(G73:G322)&lt;20,"",IF(COUNTIF(G73:G322,"&lt;"&amp;G323)&gt;=COUNT(G73:G322),(COUNT(G73:G322)-0.5)/COUNT(G73:G322),IF(COUNTIF(G73:G322,G323)&gt;0,(COUNTIF(G73:G322,"&lt;"&amp;G323)+0.5*COUNTIF(G73:G322,G323))/COUNT(G73:G322),COUNTIF(G73:G322,"&lt;"&amp;G323)/COUNT(G73:G322))))</f>
        <v/>
      </c>
      <c r="K323" s="6" t="inlineStr">
        <is>
          <t>中间分位</t>
        </is>
      </c>
      <c r="L323" s="6" t="n">
        <v>98</v>
      </c>
      <c r="M323" s="6" t="inlineStr">
        <is>
          <t>Contango(远强)</t>
        </is>
      </c>
      <c r="N323" s="6" t="n">
        <v>1</v>
      </c>
      <c r="O323" s="6" t="n">
        <v>0</v>
      </c>
      <c r="P323" s="7" t="n">
        <v>-38</v>
      </c>
      <c r="Q323" s="6" t="inlineStr"/>
    </row>
    <row r="324">
      <c r="A324" s="11" t="inlineStr">
        <is>
          <t>2023-12-14</t>
        </is>
      </c>
      <c r="B324" s="11" t="inlineStr">
        <is>
          <t>MA2405</t>
        </is>
      </c>
      <c r="C324" s="11" t="inlineStr">
        <is>
          <t>2024-05</t>
        </is>
      </c>
      <c r="D324" s="12" t="n">
        <v>2420.83</v>
      </c>
      <c r="E324" s="12" t="n">
        <v>2371</v>
      </c>
      <c r="F324" s="12">
        <f>D324-E324</f>
        <v/>
      </c>
      <c r="G324" s="13">
        <f>IF(D324=0,"",(D324-E324)/D324)</f>
        <v/>
      </c>
      <c r="H324" s="14" t="n">
        <v>1142639</v>
      </c>
      <c r="I324" s="15" t="n">
        <v>0.5600000000000001</v>
      </c>
      <c r="J324" s="15">
        <f>IF(COUNT(G74:G323)&lt;20,"",IF(COUNTIF(G74:G323,"&lt;"&amp;G324)&gt;=COUNT(G74:G323),(COUNT(G74:G323)-0.5)/COUNT(G74:G323),IF(COUNTIF(G74:G323,G324)&gt;0,(COUNTIF(G74:G323,"&lt;"&amp;G324)+0.5*COUNTIF(G74:G323,G324))/COUNT(G74:G323),COUNTIF(G74:G323,"&lt;"&amp;G324)/COUNT(G74:G323))))</f>
        <v/>
      </c>
      <c r="K324" s="11" t="inlineStr">
        <is>
          <t>中间分位</t>
        </is>
      </c>
      <c r="L324" s="11" t="n">
        <v>97</v>
      </c>
      <c r="M324" s="11" t="inlineStr">
        <is>
          <t>Contango(远强)</t>
        </is>
      </c>
      <c r="N324" s="11" t="n">
        <v>1</v>
      </c>
      <c r="O324" s="11" t="n">
        <v>0</v>
      </c>
      <c r="P324" s="12" t="n">
        <v>-29</v>
      </c>
      <c r="Q324" s="11" t="inlineStr"/>
    </row>
    <row r="325">
      <c r="A325" s="6" t="inlineStr">
        <is>
          <t>2023-12-15</t>
        </is>
      </c>
      <c r="B325" s="6" t="inlineStr">
        <is>
          <t>MA2405</t>
        </is>
      </c>
      <c r="C325" s="6" t="inlineStr">
        <is>
          <t>2024-05</t>
        </is>
      </c>
      <c r="D325" s="7" t="n">
        <v>2420.83</v>
      </c>
      <c r="E325" s="7" t="n">
        <v>2361</v>
      </c>
      <c r="F325" s="7">
        <f>D325-E325</f>
        <v/>
      </c>
      <c r="G325" s="8">
        <f>IF(D325=0,"",(D325-E325)/D325)</f>
        <v/>
      </c>
      <c r="H325" s="9" t="n">
        <v>1198795</v>
      </c>
      <c r="I325" s="10" t="n">
        <v>0.62</v>
      </c>
      <c r="J325" s="10">
        <f>IF(COUNT(G75:G324)&lt;20,"",IF(COUNTIF(G75:G324,"&lt;"&amp;G325)&gt;=COUNT(G75:G324),(COUNT(G75:G324)-0.5)/COUNT(G75:G324),IF(COUNTIF(G75:G324,G325)&gt;0,(COUNTIF(G75:G324,"&lt;"&amp;G325)+0.5*COUNTIF(G75:G324,G325))/COUNT(G75:G324),COUNTIF(G75:G324,"&lt;"&amp;G325)/COUNT(G75:G324))))</f>
        <v/>
      </c>
      <c r="K325" s="6" t="inlineStr">
        <is>
          <t>中间分位</t>
        </is>
      </c>
      <c r="L325" s="6" t="n">
        <v>96</v>
      </c>
      <c r="M325" s="6" t="inlineStr">
        <is>
          <t>Contango(远强)</t>
        </is>
      </c>
      <c r="N325" s="6" t="n">
        <v>1</v>
      </c>
      <c r="O325" s="6" t="n">
        <v>0</v>
      </c>
      <c r="P325" s="7" t="n">
        <v>-40</v>
      </c>
      <c r="Q325" s="6" t="inlineStr"/>
    </row>
    <row r="326">
      <c r="A326" s="11" t="inlineStr">
        <is>
          <t>2023-12-18</t>
        </is>
      </c>
      <c r="B326" s="11" t="inlineStr">
        <is>
          <t>MA2405</t>
        </is>
      </c>
      <c r="C326" s="11" t="inlineStr">
        <is>
          <t>2024-05</t>
        </is>
      </c>
      <c r="D326" s="12" t="n">
        <v>2430</v>
      </c>
      <c r="E326" s="12" t="n">
        <v>2371</v>
      </c>
      <c r="F326" s="12">
        <f>D326-E326</f>
        <v/>
      </c>
      <c r="G326" s="13">
        <f>IF(D326=0,"",(D326-E326)/D326)</f>
        <v/>
      </c>
      <c r="H326" s="14" t="n">
        <v>1217594</v>
      </c>
      <c r="I326" s="15" t="n">
        <v>0.62</v>
      </c>
      <c r="J326" s="15">
        <f>IF(COUNT(G76:G325)&lt;20,"",IF(COUNTIF(G76:G325,"&lt;"&amp;G326)&gt;=COUNT(G76:G325),(COUNT(G76:G325)-0.5)/COUNT(G76:G325),IF(COUNTIF(G76:G325,G326)&gt;0,(COUNTIF(G76:G325,"&lt;"&amp;G326)+0.5*COUNTIF(G76:G325,G326))/COUNT(G76:G325),COUNTIF(G76:G325,"&lt;"&amp;G326)/COUNT(G76:G325))))</f>
        <v/>
      </c>
      <c r="K326" s="11" t="inlineStr">
        <is>
          <t>中间分位</t>
        </is>
      </c>
      <c r="L326" s="11" t="n">
        <v>95</v>
      </c>
      <c r="M326" s="11" t="inlineStr">
        <is>
          <t>Contango(远强)</t>
        </is>
      </c>
      <c r="N326" s="11" t="n">
        <v>1</v>
      </c>
      <c r="O326" s="11" t="n">
        <v>0</v>
      </c>
      <c r="P326" s="12" t="n">
        <v>-41</v>
      </c>
      <c r="Q326" s="11" t="inlineStr"/>
    </row>
    <row r="327">
      <c r="A327" s="6" t="inlineStr">
        <is>
          <t>2023-12-19</t>
        </is>
      </c>
      <c r="B327" s="6" t="inlineStr">
        <is>
          <t>MA2405</t>
        </is>
      </c>
      <c r="C327" s="6" t="inlineStr">
        <is>
          <t>2024-05</t>
        </is>
      </c>
      <c r="D327" s="7" t="n">
        <v>2450.83</v>
      </c>
      <c r="E327" s="7" t="n">
        <v>2382</v>
      </c>
      <c r="F327" s="7">
        <f>D327-E327</f>
        <v/>
      </c>
      <c r="G327" s="8">
        <f>IF(D327=0,"",(D327-E327)/D327)</f>
        <v/>
      </c>
      <c r="H327" s="9" t="n">
        <v>1226474</v>
      </c>
      <c r="I327" s="10" t="n">
        <v>0.672</v>
      </c>
      <c r="J327" s="10">
        <f>IF(COUNT(G77:G326)&lt;20,"",IF(COUNTIF(G77:G326,"&lt;"&amp;G327)&gt;=COUNT(G77:G326),(COUNT(G77:G326)-0.5)/COUNT(G77:G326),IF(COUNTIF(G77:G326,G327)&gt;0,(COUNTIF(G77:G326,"&lt;"&amp;G327)+0.5*COUNTIF(G77:G326,G327))/COUNT(G77:G326),COUNTIF(G77:G326,"&lt;"&amp;G327)/COUNT(G77:G326))))</f>
        <v/>
      </c>
      <c r="K327" s="6" t="inlineStr">
        <is>
          <t>中间分位</t>
        </is>
      </c>
      <c r="L327" s="6" t="n">
        <v>94</v>
      </c>
      <c r="M327" s="6" t="inlineStr">
        <is>
          <t>Contango(远强)</t>
        </is>
      </c>
      <c r="N327" s="6" t="n">
        <v>1</v>
      </c>
      <c r="O327" s="6" t="n">
        <v>0</v>
      </c>
      <c r="P327" s="7" t="n">
        <v>-41</v>
      </c>
      <c r="Q327" s="6" t="inlineStr"/>
    </row>
    <row r="328">
      <c r="A328" s="11" t="inlineStr">
        <is>
          <t>2023-12-20</t>
        </is>
      </c>
      <c r="B328" s="11" t="inlineStr">
        <is>
          <t>MA2405</t>
        </is>
      </c>
      <c r="C328" s="11" t="inlineStr">
        <is>
          <t>2024-05</t>
        </is>
      </c>
      <c r="D328" s="12" t="n">
        <v>2455.83</v>
      </c>
      <c r="E328" s="12" t="n">
        <v>2430</v>
      </c>
      <c r="F328" s="12">
        <f>D328-E328</f>
        <v/>
      </c>
      <c r="G328" s="13">
        <f>IF(D328=0,"",(D328-E328)/D328)</f>
        <v/>
      </c>
      <c r="H328" s="14" t="n">
        <v>1220026</v>
      </c>
      <c r="I328" s="15" t="n">
        <v>0.432</v>
      </c>
      <c r="J328" s="15">
        <f>IF(COUNT(G78:G327)&lt;20,"",IF(COUNTIF(G78:G327,"&lt;"&amp;G328)&gt;=COUNT(G78:G327),(COUNT(G78:G327)-0.5)/COUNT(G78:G327),IF(COUNTIF(G78:G327,G328)&gt;0,(COUNTIF(G78:G327,"&lt;"&amp;G328)+0.5*COUNTIF(G78:G327,G328))/COUNT(G78:G327),COUNTIF(G78:G327,"&lt;"&amp;G328)/COUNT(G78:G327))))</f>
        <v/>
      </c>
      <c r="K328" s="11" t="inlineStr">
        <is>
          <t>中间分位</t>
        </is>
      </c>
      <c r="L328" s="11" t="n">
        <v>93</v>
      </c>
      <c r="M328" s="11" t="inlineStr">
        <is>
          <t>Contango(远强)</t>
        </is>
      </c>
      <c r="N328" s="11" t="n">
        <v>1</v>
      </c>
      <c r="O328" s="11" t="n">
        <v>0</v>
      </c>
      <c r="P328" s="12" t="n">
        <v>-22</v>
      </c>
      <c r="Q328" s="11" t="inlineStr"/>
    </row>
    <row r="329">
      <c r="A329" s="6" t="inlineStr">
        <is>
          <t>2023-12-21</t>
        </is>
      </c>
      <c r="B329" s="6" t="inlineStr">
        <is>
          <t>MA2405</t>
        </is>
      </c>
      <c r="C329" s="6" t="inlineStr">
        <is>
          <t>2024-05</t>
        </is>
      </c>
      <c r="D329" s="7" t="n">
        <v>2488.33</v>
      </c>
      <c r="E329" s="7" t="n">
        <v>2445</v>
      </c>
      <c r="F329" s="7">
        <f>D329-E329</f>
        <v/>
      </c>
      <c r="G329" s="8">
        <f>IF(D329=0,"",(D329-E329)/D329)</f>
        <v/>
      </c>
      <c r="H329" s="9" t="n">
        <v>1214728</v>
      </c>
      <c r="I329" s="10" t="n">
        <v>0.532</v>
      </c>
      <c r="J329" s="10">
        <f>IF(COUNT(G79:G328)&lt;20,"",IF(COUNTIF(G79:G328,"&lt;"&amp;G329)&gt;=COUNT(G79:G328),(COUNT(G79:G328)-0.5)/COUNT(G79:G328),IF(COUNTIF(G79:G328,G329)&gt;0,(COUNTIF(G79:G328,"&lt;"&amp;G329)+0.5*COUNTIF(G79:G328,G329))/COUNT(G79:G328),COUNTIF(G79:G328,"&lt;"&amp;G329)/COUNT(G79:G328))))</f>
        <v/>
      </c>
      <c r="K329" s="6" t="inlineStr">
        <is>
          <t>中间分位</t>
        </is>
      </c>
      <c r="L329" s="6" t="n">
        <v>92</v>
      </c>
      <c r="M329" s="6" t="inlineStr">
        <is>
          <t>Contango(远强)</t>
        </is>
      </c>
      <c r="N329" s="6" t="n">
        <v>1</v>
      </c>
      <c r="O329" s="6" t="n">
        <v>0</v>
      </c>
      <c r="P329" s="7" t="n">
        <v>-26</v>
      </c>
      <c r="Q329" s="6" t="inlineStr"/>
    </row>
    <row r="330">
      <c r="A330" s="11" t="inlineStr">
        <is>
          <t>2023-12-22</t>
        </is>
      </c>
      <c r="B330" s="11" t="inlineStr">
        <is>
          <t>MA2405</t>
        </is>
      </c>
      <c r="C330" s="11" t="inlineStr">
        <is>
          <t>2024-05</t>
        </is>
      </c>
      <c r="D330" s="12" t="n">
        <v>2485.83</v>
      </c>
      <c r="E330" s="12" t="n">
        <v>2486</v>
      </c>
      <c r="F330" s="12">
        <f>D330-E330</f>
        <v/>
      </c>
      <c r="G330" s="13">
        <f>IF(D330=0,"",(D330-E330)/D330)</f>
        <v/>
      </c>
      <c r="H330" s="14" t="n">
        <v>1235874</v>
      </c>
      <c r="I330" s="15" t="n">
        <v>0.276</v>
      </c>
      <c r="J330" s="15">
        <f>IF(COUNT(G80:G329)&lt;20,"",IF(COUNTIF(G80:G329,"&lt;"&amp;G330)&gt;=COUNT(G80:G329),(COUNT(G80:G329)-0.5)/COUNT(G80:G329),IF(COUNTIF(G80:G329,G330)&gt;0,(COUNTIF(G80:G329,"&lt;"&amp;G330)+0.5*COUNTIF(G80:G329,G330))/COUNT(G80:G329),COUNTIF(G80:G329,"&lt;"&amp;G330)/COUNT(G80:G329))))</f>
        <v/>
      </c>
      <c r="K330" s="11" t="inlineStr">
        <is>
          <t>中间分位</t>
        </is>
      </c>
      <c r="L330" s="11" t="n">
        <v>91</v>
      </c>
      <c r="M330" s="11" t="inlineStr">
        <is>
          <t>Contango(远强)</t>
        </is>
      </c>
      <c r="N330" s="11" t="n">
        <v>1</v>
      </c>
      <c r="O330" s="11" t="n">
        <v>0</v>
      </c>
      <c r="P330" s="12" t="n">
        <v>-12</v>
      </c>
      <c r="Q330" s="11" t="inlineStr"/>
    </row>
    <row r="331">
      <c r="A331" s="6" t="inlineStr">
        <is>
          <t>2023-12-25</t>
        </is>
      </c>
      <c r="B331" s="6" t="inlineStr">
        <is>
          <t>MA2405</t>
        </is>
      </c>
      <c r="C331" s="6" t="inlineStr">
        <is>
          <t>2024-05</t>
        </is>
      </c>
      <c r="D331" s="7" t="n">
        <v>2505.83</v>
      </c>
      <c r="E331" s="7" t="n">
        <v>2443</v>
      </c>
      <c r="F331" s="7">
        <f>D331-E331</f>
        <v/>
      </c>
      <c r="G331" s="8">
        <f>IF(D331=0,"",(D331-E331)/D331)</f>
        <v/>
      </c>
      <c r="H331" s="9" t="n">
        <v>1191686</v>
      </c>
      <c r="I331" s="10" t="n">
        <v>0.648</v>
      </c>
      <c r="J331" s="10">
        <f>IF(COUNT(G81:G330)&lt;20,"",IF(COUNTIF(G81:G330,"&lt;"&amp;G331)&gt;=COUNT(G81:G330),(COUNT(G81:G330)-0.5)/COUNT(G81:G330),IF(COUNTIF(G81:G330,G331)&gt;0,(COUNTIF(G81:G330,"&lt;"&amp;G331)+0.5*COUNTIF(G81:G330,G331))/COUNT(G81:G330),COUNTIF(G81:G330,"&lt;"&amp;G331)/COUNT(G81:G330))))</f>
        <v/>
      </c>
      <c r="K331" s="6" t="inlineStr">
        <is>
          <t>中间分位</t>
        </is>
      </c>
      <c r="L331" s="6" t="n">
        <v>90</v>
      </c>
      <c r="M331" s="6" t="inlineStr">
        <is>
          <t>Contango(远强)</t>
        </is>
      </c>
      <c r="N331" s="6" t="n">
        <v>1</v>
      </c>
      <c r="O331" s="6" t="n">
        <v>0</v>
      </c>
      <c r="P331" s="7" t="n">
        <v>-8</v>
      </c>
      <c r="Q331" s="6" t="inlineStr"/>
    </row>
    <row r="332">
      <c r="A332" s="11" t="inlineStr">
        <is>
          <t>2023-12-26</t>
        </is>
      </c>
      <c r="B332" s="11" t="inlineStr">
        <is>
          <t>MA2405</t>
        </is>
      </c>
      <c r="C332" s="11" t="inlineStr">
        <is>
          <t>2024-05</t>
        </is>
      </c>
      <c r="D332" s="12" t="n">
        <v>2475.83</v>
      </c>
      <c r="E332" s="12" t="n">
        <v>2435</v>
      </c>
      <c r="F332" s="12">
        <f>D332-E332</f>
        <v/>
      </c>
      <c r="G332" s="13">
        <f>IF(D332=0,"",(D332-E332)/D332)</f>
        <v/>
      </c>
      <c r="H332" s="14" t="n">
        <v>1181623</v>
      </c>
      <c r="I332" s="15" t="n">
        <v>0.528</v>
      </c>
      <c r="J332" s="15">
        <f>IF(COUNT(G82:G331)&lt;20,"",IF(COUNTIF(G82:G331,"&lt;"&amp;G332)&gt;=COUNT(G82:G331),(COUNT(G82:G331)-0.5)/COUNT(G82:G331),IF(COUNTIF(G82:G331,G332)&gt;0,(COUNTIF(G82:G331,"&lt;"&amp;G332)+0.5*COUNTIF(G82:G331,G332))/COUNT(G82:G331),COUNTIF(G82:G331,"&lt;"&amp;G332)/COUNT(G82:G331))))</f>
        <v/>
      </c>
      <c r="K332" s="11" t="inlineStr">
        <is>
          <t>中间分位</t>
        </is>
      </c>
      <c r="L332" s="11" t="n">
        <v>89</v>
      </c>
      <c r="M332" s="11" t="inlineStr">
        <is>
          <t>Contango(远强)</t>
        </is>
      </c>
      <c r="N332" s="11" t="n">
        <v>1</v>
      </c>
      <c r="O332" s="11" t="n">
        <v>0</v>
      </c>
      <c r="P332" s="12" t="n">
        <v>-8</v>
      </c>
      <c r="Q332" s="11" t="inlineStr"/>
    </row>
    <row r="333">
      <c r="A333" s="6" t="inlineStr">
        <is>
          <t>2023-12-27</t>
        </is>
      </c>
      <c r="B333" s="6" t="inlineStr">
        <is>
          <t>MA2405</t>
        </is>
      </c>
      <c r="C333" s="6" t="inlineStr">
        <is>
          <t>2024-05</t>
        </is>
      </c>
      <c r="D333" s="7" t="n">
        <v>2465.83</v>
      </c>
      <c r="E333" s="7" t="n">
        <v>2426</v>
      </c>
      <c r="F333" s="7">
        <f>D333-E333</f>
        <v/>
      </c>
      <c r="G333" s="8">
        <f>IF(D333=0,"",(D333-E333)/D333)</f>
        <v/>
      </c>
      <c r="H333" s="9" t="n">
        <v>1158908</v>
      </c>
      <c r="I333" s="10" t="n">
        <v>0.524</v>
      </c>
      <c r="J333" s="10">
        <f>IF(COUNT(G83:G332)&lt;20,"",IF(COUNTIF(G83:G332,"&lt;"&amp;G333)&gt;=COUNT(G83:G332),(COUNT(G83:G332)-0.5)/COUNT(G83:G332),IF(COUNTIF(G83:G332,G333)&gt;0,(COUNTIF(G83:G332,"&lt;"&amp;G333)+0.5*COUNTIF(G83:G332,G333))/COUNT(G83:G332),COUNTIF(G83:G332,"&lt;"&amp;G333)/COUNT(G83:G332))))</f>
        <v/>
      </c>
      <c r="K333" s="6" t="inlineStr">
        <is>
          <t>中间分位</t>
        </is>
      </c>
      <c r="L333" s="6" t="n">
        <v>88</v>
      </c>
      <c r="M333" s="6" t="inlineStr">
        <is>
          <t>Contango(远强)</t>
        </is>
      </c>
      <c r="N333" s="6" t="n">
        <v>1</v>
      </c>
      <c r="O333" s="6" t="n">
        <v>0</v>
      </c>
      <c r="P333" s="7" t="n">
        <v>-19</v>
      </c>
      <c r="Q333" s="6" t="inlineStr"/>
    </row>
    <row r="334">
      <c r="A334" s="11" t="inlineStr">
        <is>
          <t>2023-12-28</t>
        </is>
      </c>
      <c r="B334" s="11" t="inlineStr">
        <is>
          <t>MA2405</t>
        </is>
      </c>
      <c r="C334" s="11" t="inlineStr">
        <is>
          <t>2024-05</t>
        </is>
      </c>
      <c r="D334" s="12" t="n">
        <v>2447.5</v>
      </c>
      <c r="E334" s="12" t="n">
        <v>2447</v>
      </c>
      <c r="F334" s="12">
        <f>D334-E334</f>
        <v/>
      </c>
      <c r="G334" s="13">
        <f>IF(D334=0,"",(D334-E334)/D334)</f>
        <v/>
      </c>
      <c r="H334" s="14" t="n">
        <v>1173509</v>
      </c>
      <c r="I334" s="15" t="n">
        <v>0.28</v>
      </c>
      <c r="J334" s="15">
        <f>IF(COUNT(G84:G333)&lt;20,"",IF(COUNTIF(G84:G333,"&lt;"&amp;G334)&gt;=COUNT(G84:G333),(COUNT(G84:G333)-0.5)/COUNT(G84:G333),IF(COUNTIF(G84:G333,G334)&gt;0,(COUNTIF(G84:G333,"&lt;"&amp;G334)+0.5*COUNTIF(G84:G333,G334))/COUNT(G84:G333),COUNTIF(G84:G333,"&lt;"&amp;G334)/COUNT(G84:G333))))</f>
        <v/>
      </c>
      <c r="K334" s="11" t="inlineStr">
        <is>
          <t>中间分位</t>
        </is>
      </c>
      <c r="L334" s="11" t="n">
        <v>87</v>
      </c>
      <c r="M334" s="11" t="inlineStr">
        <is>
          <t>Contango(远强)</t>
        </is>
      </c>
      <c r="N334" s="11" t="n">
        <v>1</v>
      </c>
      <c r="O334" s="11" t="n">
        <v>0</v>
      </c>
      <c r="P334" s="12" t="n">
        <v>-11</v>
      </c>
      <c r="Q334" s="11" t="inlineStr"/>
    </row>
    <row r="335">
      <c r="A335" s="6" t="inlineStr">
        <is>
          <t>2023-12-29</t>
        </is>
      </c>
      <c r="B335" s="6" t="inlineStr">
        <is>
          <t>MA2405</t>
        </is>
      </c>
      <c r="C335" s="6" t="inlineStr">
        <is>
          <t>2024-05</t>
        </is>
      </c>
      <c r="D335" s="7" t="n">
        <v>2456.67</v>
      </c>
      <c r="E335" s="7" t="n">
        <v>2431</v>
      </c>
      <c r="F335" s="7">
        <f>D335-E335</f>
        <v/>
      </c>
      <c r="G335" s="8">
        <f>IF(D335=0,"",(D335-E335)/D335)</f>
        <v/>
      </c>
      <c r="H335" s="9" t="n">
        <v>1135040</v>
      </c>
      <c r="I335" s="10" t="n">
        <v>0.44</v>
      </c>
      <c r="J335" s="10">
        <f>IF(COUNT(G85:G334)&lt;20,"",IF(COUNTIF(G85:G334,"&lt;"&amp;G335)&gt;=COUNT(G85:G334),(COUNT(G85:G334)-0.5)/COUNT(G85:G334),IF(COUNTIF(G85:G334,G335)&gt;0,(COUNTIF(G85:G334,"&lt;"&amp;G335)+0.5*COUNTIF(G85:G334,G335))/COUNT(G85:G334),COUNTIF(G85:G334,"&lt;"&amp;G335)/COUNT(G85:G334))))</f>
        <v/>
      </c>
      <c r="K335" s="6" t="inlineStr">
        <is>
          <t>中间分位</t>
        </is>
      </c>
      <c r="L335" s="6" t="n">
        <v>86</v>
      </c>
      <c r="M335" s="6" t="inlineStr">
        <is>
          <t>Back(近强)</t>
        </is>
      </c>
      <c r="N335" s="6" t="n">
        <v>1</v>
      </c>
      <c r="O335" s="6" t="n">
        <v>0</v>
      </c>
      <c r="P335" s="7" t="n">
        <v>34</v>
      </c>
      <c r="Q335" s="6" t="inlineStr"/>
    </row>
    <row r="336">
      <c r="A336" s="11" t="inlineStr">
        <is>
          <t>2024-01-02</t>
        </is>
      </c>
      <c r="B336" s="11" t="inlineStr">
        <is>
          <t>MA2405</t>
        </is>
      </c>
      <c r="C336" s="11" t="inlineStr">
        <is>
          <t>2024-05</t>
        </is>
      </c>
      <c r="D336" s="12" t="n">
        <v>2450</v>
      </c>
      <c r="E336" s="12" t="n">
        <v>2395</v>
      </c>
      <c r="F336" s="12">
        <f>D336-E336</f>
        <v/>
      </c>
      <c r="G336" s="13">
        <f>IF(D336=0,"",(D336-E336)/D336)</f>
        <v/>
      </c>
      <c r="H336" s="14" t="n">
        <v>1154486</v>
      </c>
      <c r="I336" s="15" t="n">
        <v>0.62</v>
      </c>
      <c r="J336" s="15">
        <f>IF(COUNT(G86:G335)&lt;20,"",IF(COUNTIF(G86:G335,"&lt;"&amp;G336)&gt;=COUNT(G86:G335),(COUNT(G86:G335)-0.5)/COUNT(G86:G335),IF(COUNTIF(G86:G335,G336)&gt;0,(COUNTIF(G86:G335,"&lt;"&amp;G336)+0.5*COUNTIF(G86:G335,G336))/COUNT(G86:G335),COUNTIF(G86:G335,"&lt;"&amp;G336)/COUNT(G86:G335))))</f>
        <v/>
      </c>
      <c r="K336" s="11" t="inlineStr">
        <is>
          <t>中间分位</t>
        </is>
      </c>
      <c r="L336" s="11" t="n">
        <v>85</v>
      </c>
      <c r="M336" s="11" t="inlineStr">
        <is>
          <t>Back(近强)</t>
        </is>
      </c>
      <c r="N336" s="11" t="n">
        <v>1</v>
      </c>
      <c r="O336" s="11" t="n">
        <v>0</v>
      </c>
      <c r="P336" s="12" t="n">
        <v>37</v>
      </c>
      <c r="Q336" s="11" t="inlineStr"/>
    </row>
    <row r="337">
      <c r="A337" s="6" t="inlineStr">
        <is>
          <t>2024-01-03</t>
        </is>
      </c>
      <c r="B337" s="6" t="inlineStr">
        <is>
          <t>MA2405</t>
        </is>
      </c>
      <c r="C337" s="6" t="inlineStr">
        <is>
          <t>2024-05</t>
        </is>
      </c>
      <c r="D337" s="7" t="n">
        <v>2420</v>
      </c>
      <c r="E337" s="7" t="n">
        <v>2404</v>
      </c>
      <c r="F337" s="7">
        <f>D337-E337</f>
        <v/>
      </c>
      <c r="G337" s="8">
        <f>IF(D337=0,"",(D337-E337)/D337)</f>
        <v/>
      </c>
      <c r="H337" s="9" t="n">
        <v>1135769</v>
      </c>
      <c r="I337" s="10" t="n">
        <v>0.38</v>
      </c>
      <c r="J337" s="10">
        <f>IF(COUNT(G87:G336)&lt;20,"",IF(COUNTIF(G87:G336,"&lt;"&amp;G337)&gt;=COUNT(G87:G336),(COUNT(G87:G336)-0.5)/COUNT(G87:G336),IF(COUNTIF(G87:G336,G337)&gt;0,(COUNTIF(G87:G336,"&lt;"&amp;G337)+0.5*COUNTIF(G87:G336,G337))/COUNT(G87:G336),COUNTIF(G87:G336,"&lt;"&amp;G337)/COUNT(G87:G336))))</f>
        <v/>
      </c>
      <c r="K337" s="6" t="inlineStr">
        <is>
          <t>中间分位</t>
        </is>
      </c>
      <c r="L337" s="6" t="n">
        <v>84</v>
      </c>
      <c r="M337" s="6" t="inlineStr">
        <is>
          <t>Back(近强)</t>
        </is>
      </c>
      <c r="N337" s="6" t="n">
        <v>1</v>
      </c>
      <c r="O337" s="6" t="n">
        <v>0</v>
      </c>
      <c r="P337" s="7" t="n">
        <v>43</v>
      </c>
      <c r="Q337" s="6" t="inlineStr"/>
    </row>
    <row r="338">
      <c r="A338" s="11" t="inlineStr">
        <is>
          <t>2024-01-04</t>
        </is>
      </c>
      <c r="B338" s="11" t="inlineStr">
        <is>
          <t>MA2405</t>
        </is>
      </c>
      <c r="C338" s="11" t="inlineStr">
        <is>
          <t>2024-05</t>
        </is>
      </c>
      <c r="D338" s="12" t="n">
        <v>2422.5</v>
      </c>
      <c r="E338" s="12" t="n">
        <v>2387</v>
      </c>
      <c r="F338" s="12">
        <f>D338-E338</f>
        <v/>
      </c>
      <c r="G338" s="13">
        <f>IF(D338=0,"",(D338-E338)/D338)</f>
        <v/>
      </c>
      <c r="H338" s="14" t="n">
        <v>1129076</v>
      </c>
      <c r="I338" s="15" t="n">
        <v>0.512</v>
      </c>
      <c r="J338" s="15">
        <f>IF(COUNT(G88:G337)&lt;20,"",IF(COUNTIF(G88:G337,"&lt;"&amp;G338)&gt;=COUNT(G88:G337),(COUNT(G88:G337)-0.5)/COUNT(G88:G337),IF(COUNTIF(G88:G337,G338)&gt;0,(COUNTIF(G88:G337,"&lt;"&amp;G338)+0.5*COUNTIF(G88:G337,G338))/COUNT(G88:G337),COUNTIF(G88:G337,"&lt;"&amp;G338)/COUNT(G88:G337))))</f>
        <v/>
      </c>
      <c r="K338" s="11" t="inlineStr">
        <is>
          <t>中间分位</t>
        </is>
      </c>
      <c r="L338" s="11" t="n">
        <v>83</v>
      </c>
      <c r="M338" s="11" t="inlineStr">
        <is>
          <t>Back(近强)</t>
        </is>
      </c>
      <c r="N338" s="11" t="n">
        <v>1</v>
      </c>
      <c r="O338" s="11" t="n">
        <v>0</v>
      </c>
      <c r="P338" s="12" t="n">
        <v>36</v>
      </c>
      <c r="Q338" s="11" t="inlineStr"/>
    </row>
    <row r="339">
      <c r="A339" s="6" t="inlineStr">
        <is>
          <t>2024-01-05</t>
        </is>
      </c>
      <c r="B339" s="6" t="inlineStr">
        <is>
          <t>MA2405</t>
        </is>
      </c>
      <c r="C339" s="6" t="inlineStr">
        <is>
          <t>2024-05</t>
        </is>
      </c>
      <c r="D339" s="7" t="n">
        <v>2414.17</v>
      </c>
      <c r="E339" s="7" t="n">
        <v>2386</v>
      </c>
      <c r="F339" s="7">
        <f>D339-E339</f>
        <v/>
      </c>
      <c r="G339" s="8">
        <f>IF(D339=0,"",(D339-E339)/D339)</f>
        <v/>
      </c>
      <c r="H339" s="9" t="n">
        <v>1153815</v>
      </c>
      <c r="I339" s="10" t="n">
        <v>0.472</v>
      </c>
      <c r="J339" s="10">
        <f>IF(COUNT(G89:G338)&lt;20,"",IF(COUNTIF(G89:G338,"&lt;"&amp;G339)&gt;=COUNT(G89:G338),(COUNT(G89:G338)-0.5)/COUNT(G89:G338),IF(COUNTIF(G89:G338,G339)&gt;0,(COUNTIF(G89:G338,"&lt;"&amp;G339)+0.5*COUNTIF(G89:G338,G339))/COUNT(G89:G338),COUNTIF(G89:G338,"&lt;"&amp;G339)/COUNT(G89:G338))))</f>
        <v/>
      </c>
      <c r="K339" s="6" t="inlineStr">
        <is>
          <t>中间分位</t>
        </is>
      </c>
      <c r="L339" s="6" t="n">
        <v>82</v>
      </c>
      <c r="M339" s="6" t="inlineStr">
        <is>
          <t>Back(近强)</t>
        </is>
      </c>
      <c r="N339" s="6" t="n">
        <v>1</v>
      </c>
      <c r="O339" s="6" t="n">
        <v>0</v>
      </c>
      <c r="P339" s="7" t="n">
        <v>32</v>
      </c>
      <c r="Q339" s="6" t="inlineStr"/>
    </row>
    <row r="340">
      <c r="A340" s="11" t="inlineStr">
        <is>
          <t>2024-01-08</t>
        </is>
      </c>
      <c r="B340" s="11" t="inlineStr">
        <is>
          <t>MA2405</t>
        </is>
      </c>
      <c r="C340" s="11" t="inlineStr">
        <is>
          <t>2024-05</t>
        </is>
      </c>
      <c r="D340" s="12" t="n">
        <v>2409.17</v>
      </c>
      <c r="E340" s="12" t="n">
        <v>2387</v>
      </c>
      <c r="F340" s="12">
        <f>D340-E340</f>
        <v/>
      </c>
      <c r="G340" s="13">
        <f>IF(D340=0,"",(D340-E340)/D340)</f>
        <v/>
      </c>
      <c r="H340" s="14" t="n">
        <v>1150832</v>
      </c>
      <c r="I340" s="15" t="n">
        <v>0.424</v>
      </c>
      <c r="J340" s="15">
        <f>IF(COUNT(G90:G339)&lt;20,"",IF(COUNTIF(G90:G339,"&lt;"&amp;G340)&gt;=COUNT(G90:G339),(COUNT(G90:G339)-0.5)/COUNT(G90:G339),IF(COUNTIF(G90:G339,G340)&gt;0,(COUNTIF(G90:G339,"&lt;"&amp;G340)+0.5*COUNTIF(G90:G339,G340))/COUNT(G90:G339),COUNTIF(G90:G339,"&lt;"&amp;G340)/COUNT(G90:G339))))</f>
        <v/>
      </c>
      <c r="K340" s="11" t="inlineStr">
        <is>
          <t>中间分位</t>
        </is>
      </c>
      <c r="L340" s="11" t="n">
        <v>81</v>
      </c>
      <c r="M340" s="11" t="inlineStr">
        <is>
          <t>Back(近强)</t>
        </is>
      </c>
      <c r="N340" s="11" t="n">
        <v>1</v>
      </c>
      <c r="O340" s="11" t="n">
        <v>0</v>
      </c>
      <c r="P340" s="12" t="n">
        <v>50</v>
      </c>
      <c r="Q340" s="11" t="inlineStr"/>
    </row>
    <row r="341">
      <c r="A341" s="6" t="inlineStr">
        <is>
          <t>2024-01-09</t>
        </is>
      </c>
      <c r="B341" s="6" t="inlineStr">
        <is>
          <t>MA2405</t>
        </is>
      </c>
      <c r="C341" s="6" t="inlineStr">
        <is>
          <t>2024-05</t>
        </is>
      </c>
      <c r="D341" s="7" t="n">
        <v>2423.33</v>
      </c>
      <c r="E341" s="7" t="n">
        <v>2384</v>
      </c>
      <c r="F341" s="7">
        <f>D341-E341</f>
        <v/>
      </c>
      <c r="G341" s="8">
        <f>IF(D341=0,"",(D341-E341)/D341)</f>
        <v/>
      </c>
      <c r="H341" s="9" t="n">
        <v>1130104</v>
      </c>
      <c r="I341" s="10" t="n">
        <v>0.552</v>
      </c>
      <c r="J341" s="10">
        <f>IF(COUNT(G91:G340)&lt;20,"",IF(COUNTIF(G91:G340,"&lt;"&amp;G341)&gt;=COUNT(G91:G340),(COUNT(G91:G340)-0.5)/COUNT(G91:G340),IF(COUNTIF(G91:G340,G341)&gt;0,(COUNTIF(G91:G340,"&lt;"&amp;G341)+0.5*COUNTIF(G91:G340,G341))/COUNT(G91:G340),COUNTIF(G91:G340,"&lt;"&amp;G341)/COUNT(G91:G340))))</f>
        <v/>
      </c>
      <c r="K341" s="6" t="inlineStr">
        <is>
          <t>中间分位</t>
        </is>
      </c>
      <c r="L341" s="6" t="n">
        <v>80</v>
      </c>
      <c r="M341" s="6" t="inlineStr">
        <is>
          <t>Back(近强)</t>
        </is>
      </c>
      <c r="N341" s="6" t="n">
        <v>1</v>
      </c>
      <c r="O341" s="6" t="n">
        <v>0</v>
      </c>
      <c r="P341" s="7" t="n">
        <v>25</v>
      </c>
      <c r="Q341" s="6" t="inlineStr"/>
    </row>
    <row r="342">
      <c r="A342" s="11" t="inlineStr">
        <is>
          <t>2024-01-10</t>
        </is>
      </c>
      <c r="B342" s="11" t="inlineStr">
        <is>
          <t>MA2405</t>
        </is>
      </c>
      <c r="C342" s="11" t="inlineStr">
        <is>
          <t>2024-05</t>
        </is>
      </c>
      <c r="D342" s="12" t="n">
        <v>2434.17</v>
      </c>
      <c r="E342" s="12" t="n">
        <v>2299</v>
      </c>
      <c r="F342" s="12">
        <f>D342-E342</f>
        <v/>
      </c>
      <c r="G342" s="13">
        <f>IF(D342=0,"",(D342-E342)/D342)</f>
        <v/>
      </c>
      <c r="H342" s="14" t="n">
        <v>1248108</v>
      </c>
      <c r="I342" s="15" t="n">
        <v>0.928</v>
      </c>
      <c r="J342" s="15">
        <f>IF(COUNT(G92:G341)&lt;20,"",IF(COUNTIF(G92:G341,"&lt;"&amp;G342)&gt;=COUNT(G92:G341),(COUNT(G92:G341)-0.5)/COUNT(G92:G341),IF(COUNTIF(G92:G341,G342)&gt;0,(COUNTIF(G92:G341,"&lt;"&amp;G342)+0.5*COUNTIF(G92:G341,G342))/COUNT(G92:G341),COUNTIF(G92:G341,"&lt;"&amp;G342)/COUNT(G92:G341))))</f>
        <v/>
      </c>
      <c r="K342" s="11" t="inlineStr">
        <is>
          <t>高分位</t>
        </is>
      </c>
      <c r="L342" s="11" t="n">
        <v>79</v>
      </c>
      <c r="M342" s="11" t="inlineStr">
        <is>
          <t>Contango(远强)</t>
        </is>
      </c>
      <c r="N342" s="11" t="n">
        <v>1</v>
      </c>
      <c r="O342" s="11" t="n">
        <v>0</v>
      </c>
      <c r="P342" s="12" t="n">
        <v>-29</v>
      </c>
      <c r="Q342" s="11" t="inlineStr"/>
    </row>
    <row r="343">
      <c r="A343" s="6" t="inlineStr">
        <is>
          <t>2024-01-11</t>
        </is>
      </c>
      <c r="B343" s="6" t="inlineStr">
        <is>
          <t>MA2405</t>
        </is>
      </c>
      <c r="C343" s="6" t="inlineStr">
        <is>
          <t>2024-05</t>
        </is>
      </c>
      <c r="D343" s="7" t="n">
        <v>2370</v>
      </c>
      <c r="E343" s="7" t="n">
        <v>2337</v>
      </c>
      <c r="F343" s="7">
        <f>D343-E343</f>
        <v/>
      </c>
      <c r="G343" s="8">
        <f>IF(D343=0,"",(D343-E343)/D343)</f>
        <v/>
      </c>
      <c r="H343" s="9" t="n">
        <v>1152796</v>
      </c>
      <c r="I343" s="10" t="n">
        <v>0.516</v>
      </c>
      <c r="J343" s="10">
        <f>IF(COUNT(G93:G342)&lt;20,"",IF(COUNTIF(G93:G342,"&lt;"&amp;G343)&gt;=COUNT(G93:G342),(COUNT(G93:G342)-0.5)/COUNT(G93:G342),IF(COUNTIF(G93:G342,G343)&gt;0,(COUNTIF(G93:G342,"&lt;"&amp;G343)+0.5*COUNTIF(G93:G342,G343))/COUNT(G93:G342),COUNTIF(G93:G342,"&lt;"&amp;G343)/COUNT(G93:G342))))</f>
        <v/>
      </c>
      <c r="K343" s="6" t="inlineStr">
        <is>
          <t>中间分位</t>
        </is>
      </c>
      <c r="L343" s="6" t="n">
        <v>78</v>
      </c>
      <c r="M343" s="6" t="inlineStr">
        <is>
          <t>Back(近强)</t>
        </is>
      </c>
      <c r="N343" s="6" t="n">
        <v>1</v>
      </c>
      <c r="O343" s="6" t="n">
        <v>0</v>
      </c>
      <c r="P343" s="7" t="n">
        <v>58</v>
      </c>
      <c r="Q343" s="6" t="inlineStr"/>
    </row>
    <row r="344">
      <c r="A344" s="11" t="inlineStr">
        <is>
          <t>2024-01-12</t>
        </is>
      </c>
      <c r="B344" s="11" t="inlineStr">
        <is>
          <t>MA2405</t>
        </is>
      </c>
      <c r="C344" s="11" t="inlineStr">
        <is>
          <t>2024-05</t>
        </is>
      </c>
      <c r="D344" s="12" t="n">
        <v>2415.83</v>
      </c>
      <c r="E344" s="12" t="n">
        <v>2343</v>
      </c>
      <c r="F344" s="12">
        <f>D344-E344</f>
        <v/>
      </c>
      <c r="G344" s="13">
        <f>IF(D344=0,"",(D344-E344)/D344)</f>
        <v/>
      </c>
      <c r="H344" s="14" t="n">
        <v>1062465</v>
      </c>
      <c r="I344" s="15" t="n">
        <v>0.724</v>
      </c>
      <c r="J344" s="15">
        <f>IF(COUNT(G94:G343)&lt;20,"",IF(COUNTIF(G94:G343,"&lt;"&amp;G344)&gt;=COUNT(G94:G343),(COUNT(G94:G343)-0.5)/COUNT(G94:G343),IF(COUNTIF(G94:G343,G344)&gt;0,(COUNTIF(G94:G343,"&lt;"&amp;G344)+0.5*COUNTIF(G94:G343,G344))/COUNT(G94:G343),COUNTIF(G94:G343,"&lt;"&amp;G344)/COUNT(G94:G343))))</f>
        <v/>
      </c>
      <c r="K344" s="11" t="inlineStr">
        <is>
          <t>中间分位</t>
        </is>
      </c>
      <c r="L344" s="11" t="n">
        <v>77</v>
      </c>
      <c r="M344" s="11" t="inlineStr">
        <is>
          <t>Contango(远强)</t>
        </is>
      </c>
      <c r="N344" s="11" t="n">
        <v>1</v>
      </c>
      <c r="O344" s="11" t="n">
        <v>0</v>
      </c>
      <c r="P344" s="12" t="n">
        <v>-37</v>
      </c>
      <c r="Q344" s="11" t="inlineStr"/>
    </row>
    <row r="345">
      <c r="A345" s="6" t="inlineStr">
        <is>
          <t>2024-01-15</t>
        </is>
      </c>
      <c r="B345" s="6" t="inlineStr">
        <is>
          <t>MA2405</t>
        </is>
      </c>
      <c r="C345" s="6" t="inlineStr">
        <is>
          <t>2024-05</t>
        </is>
      </c>
      <c r="D345" s="7" t="n">
        <v>2415.83</v>
      </c>
      <c r="E345" s="7" t="n">
        <v>2367</v>
      </c>
      <c r="F345" s="7">
        <f>D345-E345</f>
        <v/>
      </c>
      <c r="G345" s="8">
        <f>IF(D345=0,"",(D345-E345)/D345)</f>
        <v/>
      </c>
      <c r="H345" s="9" t="n">
        <v>999930</v>
      </c>
      <c r="I345" s="10" t="n">
        <v>0.6</v>
      </c>
      <c r="J345" s="10">
        <f>IF(COUNT(G95:G344)&lt;20,"",IF(COUNTIF(G95:G344,"&lt;"&amp;G345)&gt;=COUNT(G95:G344),(COUNT(G95:G344)-0.5)/COUNT(G95:G344),IF(COUNTIF(G95:G344,G345)&gt;0,(COUNTIF(G95:G344,"&lt;"&amp;G345)+0.5*COUNTIF(G95:G344,G345))/COUNT(G95:G344),COUNTIF(G95:G344,"&lt;"&amp;G345)/COUNT(G95:G344))))</f>
        <v/>
      </c>
      <c r="K345" s="6" t="inlineStr">
        <is>
          <t>中间分位</t>
        </is>
      </c>
      <c r="L345" s="6" t="n">
        <v>76</v>
      </c>
      <c r="M345" s="6" t="inlineStr">
        <is>
          <t>Contango(远强)</t>
        </is>
      </c>
      <c r="N345" s="6" t="n">
        <v>1</v>
      </c>
      <c r="O345" s="6" t="n">
        <v>0</v>
      </c>
      <c r="P345" s="7" t="n">
        <v>-14</v>
      </c>
      <c r="Q345" s="6" t="inlineStr"/>
    </row>
    <row r="346">
      <c r="A346" s="11" t="inlineStr">
        <is>
          <t>2024-01-16</t>
        </is>
      </c>
      <c r="B346" s="11" t="inlineStr">
        <is>
          <t>MA2405</t>
        </is>
      </c>
      <c r="C346" s="11" t="inlineStr">
        <is>
          <t>2024-05</t>
        </is>
      </c>
      <c r="D346" s="12" t="n">
        <v>2466.67</v>
      </c>
      <c r="E346" s="12" t="n">
        <v>2354</v>
      </c>
      <c r="F346" s="12">
        <f>D346-E346</f>
        <v/>
      </c>
      <c r="G346" s="13">
        <f>IF(D346=0,"",(D346-E346)/D346)</f>
        <v/>
      </c>
      <c r="H346" s="14" t="n">
        <v>951588</v>
      </c>
      <c r="I346" s="15" t="n">
        <v>0.856</v>
      </c>
      <c r="J346" s="15">
        <f>IF(COUNT(G96:G345)&lt;20,"",IF(COUNTIF(G96:G345,"&lt;"&amp;G346)&gt;=COUNT(G96:G345),(COUNT(G96:G345)-0.5)/COUNT(G96:G345),IF(COUNTIF(G96:G345,G346)&gt;0,(COUNTIF(G96:G345,"&lt;"&amp;G346)+0.5*COUNTIF(G96:G345,G346))/COUNT(G96:G345),COUNTIF(G96:G345,"&lt;"&amp;G346)/COUNT(G96:G345))))</f>
        <v/>
      </c>
      <c r="K346" s="11" t="inlineStr">
        <is>
          <t>中间分位</t>
        </is>
      </c>
      <c r="L346" s="11" t="n">
        <v>75</v>
      </c>
      <c r="M346" s="11" t="inlineStr">
        <is>
          <t>Contango(远强)</t>
        </is>
      </c>
      <c r="N346" s="11" t="n">
        <v>1</v>
      </c>
      <c r="O346" s="11" t="n">
        <v>0</v>
      </c>
      <c r="P346" s="12" t="n">
        <v>-48</v>
      </c>
      <c r="Q346" s="11" t="inlineStr"/>
    </row>
    <row r="347">
      <c r="A347" s="6" t="inlineStr">
        <is>
          <t>2024-01-17</t>
        </is>
      </c>
      <c r="B347" s="6" t="inlineStr">
        <is>
          <t>MA2405</t>
        </is>
      </c>
      <c r="C347" s="6" t="inlineStr">
        <is>
          <t>2024-05</t>
        </is>
      </c>
      <c r="D347" s="7" t="n">
        <v>2432.5</v>
      </c>
      <c r="E347" s="7" t="n">
        <v>2337</v>
      </c>
      <c r="F347" s="7">
        <f>D347-E347</f>
        <v/>
      </c>
      <c r="G347" s="8">
        <f>IF(D347=0,"",(D347-E347)/D347)</f>
        <v/>
      </c>
      <c r="H347" s="9" t="n">
        <v>962479</v>
      </c>
      <c r="I347" s="10" t="n">
        <v>0.8159999999999999</v>
      </c>
      <c r="J347" s="10">
        <f>IF(COUNT(G97:G346)&lt;20,"",IF(COUNTIF(G97:G346,"&lt;"&amp;G347)&gt;=COUNT(G97:G346),(COUNT(G97:G346)-0.5)/COUNT(G97:G346),IF(COUNTIF(G97:G346,G347)&gt;0,(COUNTIF(G97:G346,"&lt;"&amp;G347)+0.5*COUNTIF(G97:G346,G347))/COUNT(G97:G346),COUNTIF(G97:G346,"&lt;"&amp;G347)/COUNT(G97:G346))))</f>
        <v/>
      </c>
      <c r="K347" s="6" t="inlineStr">
        <is>
          <t>中间分位</t>
        </is>
      </c>
      <c r="L347" s="6" t="n">
        <v>74</v>
      </c>
      <c r="M347" s="6" t="inlineStr">
        <is>
          <t>Contango(远强)</t>
        </is>
      </c>
      <c r="N347" s="6" t="n">
        <v>1</v>
      </c>
      <c r="O347" s="6" t="n">
        <v>0</v>
      </c>
      <c r="P347" s="7" t="n">
        <v>-50</v>
      </c>
      <c r="Q347" s="6" t="inlineStr"/>
    </row>
    <row r="348">
      <c r="A348" s="11" t="inlineStr">
        <is>
          <t>2024-01-18</t>
        </is>
      </c>
      <c r="B348" s="11" t="inlineStr">
        <is>
          <t>MA2405</t>
        </is>
      </c>
      <c r="C348" s="11" t="inlineStr">
        <is>
          <t>2024-05</t>
        </is>
      </c>
      <c r="D348" s="12" t="n">
        <v>2420</v>
      </c>
      <c r="E348" s="12" t="n">
        <v>2371</v>
      </c>
      <c r="F348" s="12">
        <f>D348-E348</f>
        <v/>
      </c>
      <c r="G348" s="13">
        <f>IF(D348=0,"",(D348-E348)/D348)</f>
        <v/>
      </c>
      <c r="H348" s="14" t="n">
        <v>899451</v>
      </c>
      <c r="I348" s="15" t="n">
        <v>0.596</v>
      </c>
      <c r="J348" s="15">
        <f>IF(COUNT(G98:G347)&lt;20,"",IF(COUNTIF(G98:G347,"&lt;"&amp;G348)&gt;=COUNT(G98:G347),(COUNT(G98:G347)-0.5)/COUNT(G98:G347),IF(COUNTIF(G98:G347,G348)&gt;0,(COUNTIF(G98:G347,"&lt;"&amp;G348)+0.5*COUNTIF(G98:G347,G348))/COUNT(G98:G347),COUNTIF(G98:G347,"&lt;"&amp;G348)/COUNT(G98:G347))))</f>
        <v/>
      </c>
      <c r="K348" s="11" t="inlineStr">
        <is>
          <t>中间分位</t>
        </is>
      </c>
      <c r="L348" s="11" t="n">
        <v>73</v>
      </c>
      <c r="M348" s="11" t="inlineStr">
        <is>
          <t>Contango(远强)</t>
        </is>
      </c>
      <c r="N348" s="11" t="n">
        <v>1</v>
      </c>
      <c r="O348" s="11" t="n">
        <v>0</v>
      </c>
      <c r="P348" s="12" t="n">
        <v>-51</v>
      </c>
      <c r="Q348" s="11" t="inlineStr"/>
    </row>
    <row r="349">
      <c r="A349" s="6" t="inlineStr">
        <is>
          <t>2024-01-19</t>
        </is>
      </c>
      <c r="B349" s="6" t="inlineStr">
        <is>
          <t>MA2405</t>
        </is>
      </c>
      <c r="C349" s="6" t="inlineStr">
        <is>
          <t>2024-05</t>
        </is>
      </c>
      <c r="D349" s="7" t="n">
        <v>2447.5</v>
      </c>
      <c r="E349" s="7" t="n">
        <v>2351</v>
      </c>
      <c r="F349" s="7">
        <f>D349-E349</f>
        <v/>
      </c>
      <c r="G349" s="8">
        <f>IF(D349=0,"",(D349-E349)/D349)</f>
        <v/>
      </c>
      <c r="H349" s="9" t="n">
        <v>894485</v>
      </c>
      <c r="I349" s="10" t="n">
        <v>0.82</v>
      </c>
      <c r="J349" s="10">
        <f>IF(COUNT(G99:G348)&lt;20,"",IF(COUNTIF(G99:G348,"&lt;"&amp;G349)&gt;=COUNT(G99:G348),(COUNT(G99:G348)-0.5)/COUNT(G99:G348),IF(COUNTIF(G99:G348,G349)&gt;0,(COUNTIF(G99:G348,"&lt;"&amp;G349)+0.5*COUNTIF(G99:G348,G349))/COUNT(G99:G348),COUNTIF(G99:G348,"&lt;"&amp;G349)/COUNT(G99:G348))))</f>
        <v/>
      </c>
      <c r="K349" s="6" t="inlineStr">
        <is>
          <t>中间分位</t>
        </is>
      </c>
      <c r="L349" s="6" t="n">
        <v>72</v>
      </c>
      <c r="M349" s="6" t="inlineStr">
        <is>
          <t>Contango(远强)</t>
        </is>
      </c>
      <c r="N349" s="6" t="n">
        <v>1</v>
      </c>
      <c r="O349" s="6" t="n">
        <v>0</v>
      </c>
      <c r="P349" s="7" t="n">
        <v>-53</v>
      </c>
      <c r="Q349" s="6" t="inlineStr"/>
    </row>
    <row r="350">
      <c r="A350" s="11" t="inlineStr">
        <is>
          <t>2024-01-22</t>
        </is>
      </c>
      <c r="B350" s="11" t="inlineStr">
        <is>
          <t>MA2405</t>
        </is>
      </c>
      <c r="C350" s="11" t="inlineStr">
        <is>
          <t>2024-05</t>
        </is>
      </c>
      <c r="D350" s="12" t="n">
        <v>2445</v>
      </c>
      <c r="E350" s="12" t="n">
        <v>2399</v>
      </c>
      <c r="F350" s="12">
        <f>D350-E350</f>
        <v/>
      </c>
      <c r="G350" s="13">
        <f>IF(D350=0,"",(D350-E350)/D350)</f>
        <v/>
      </c>
      <c r="H350" s="14" t="n">
        <v>837834</v>
      </c>
      <c r="I350" s="15" t="n">
        <v>0.584</v>
      </c>
      <c r="J350" s="15">
        <f>IF(COUNT(G100:G349)&lt;20,"",IF(COUNTIF(G100:G349,"&lt;"&amp;G350)&gt;=COUNT(G100:G349),(COUNT(G100:G349)-0.5)/COUNT(G100:G349),IF(COUNTIF(G100:G349,G350)&gt;0,(COUNTIF(G100:G349,"&lt;"&amp;G350)+0.5*COUNTIF(G100:G349,G350))/COUNT(G100:G349),COUNTIF(G100:G349,"&lt;"&amp;G350)/COUNT(G100:G349))))</f>
        <v/>
      </c>
      <c r="K350" s="11" t="inlineStr">
        <is>
          <t>中间分位</t>
        </is>
      </c>
      <c r="L350" s="11" t="n">
        <v>71</v>
      </c>
      <c r="M350" s="11" t="inlineStr">
        <is>
          <t>Contango(远强)</t>
        </is>
      </c>
      <c r="N350" s="11" t="n">
        <v>1</v>
      </c>
      <c r="O350" s="11" t="n">
        <v>0</v>
      </c>
      <c r="P350" s="12" t="n">
        <v>-46</v>
      </c>
      <c r="Q350" s="11" t="inlineStr"/>
    </row>
    <row r="351">
      <c r="A351" s="6" t="inlineStr">
        <is>
          <t>2024-01-23</t>
        </is>
      </c>
      <c r="B351" s="6" t="inlineStr">
        <is>
          <t>MA2405</t>
        </is>
      </c>
      <c r="C351" s="6" t="inlineStr">
        <is>
          <t>2024-05</t>
        </is>
      </c>
      <c r="D351" s="7" t="n">
        <v>2508.33</v>
      </c>
      <c r="E351" s="7" t="n">
        <v>2407</v>
      </c>
      <c r="F351" s="7">
        <f>D351-E351</f>
        <v/>
      </c>
      <c r="G351" s="8">
        <f>IF(D351=0,"",(D351-E351)/D351)</f>
        <v/>
      </c>
      <c r="H351" s="9" t="n">
        <v>826847</v>
      </c>
      <c r="I351" s="10" t="n">
        <v>0.832</v>
      </c>
      <c r="J351" s="10">
        <f>IF(COUNT(G101:G350)&lt;20,"",IF(COUNTIF(G101:G350,"&lt;"&amp;G351)&gt;=COUNT(G101:G350),(COUNT(G101:G350)-0.5)/COUNT(G101:G350),IF(COUNTIF(G101:G350,G351)&gt;0,(COUNTIF(G101:G350,"&lt;"&amp;G351)+0.5*COUNTIF(G101:G350,G351))/COUNT(G101:G350),COUNTIF(G101:G350,"&lt;"&amp;G351)/COUNT(G101:G350))))</f>
        <v/>
      </c>
      <c r="K351" s="6" t="inlineStr">
        <is>
          <t>中间分位</t>
        </is>
      </c>
      <c r="L351" s="6" t="n">
        <v>70</v>
      </c>
      <c r="M351" s="6" t="inlineStr">
        <is>
          <t>Contango(远强)</t>
        </is>
      </c>
      <c r="N351" s="6" t="n">
        <v>1</v>
      </c>
      <c r="O351" s="6" t="n">
        <v>0</v>
      </c>
      <c r="P351" s="7" t="n">
        <v>-91</v>
      </c>
      <c r="Q351" s="6" t="inlineStr"/>
    </row>
    <row r="352">
      <c r="A352" s="11" t="inlineStr">
        <is>
          <t>2024-01-24</t>
        </is>
      </c>
      <c r="B352" s="11" t="inlineStr">
        <is>
          <t>MA2405</t>
        </is>
      </c>
      <c r="C352" s="11" t="inlineStr">
        <is>
          <t>2024-05</t>
        </is>
      </c>
      <c r="D352" s="12" t="n">
        <v>2545</v>
      </c>
      <c r="E352" s="12" t="n">
        <v>2439</v>
      </c>
      <c r="F352" s="12">
        <f>D352-E352</f>
        <v/>
      </c>
      <c r="G352" s="13">
        <f>IF(D352=0,"",(D352-E352)/D352)</f>
        <v/>
      </c>
      <c r="H352" s="14" t="n">
        <v>859268</v>
      </c>
      <c r="I352" s="15" t="n">
        <v>0.848</v>
      </c>
      <c r="J352" s="15">
        <f>IF(COUNT(G102:G351)&lt;20,"",IF(COUNTIF(G102:G351,"&lt;"&amp;G352)&gt;=COUNT(G102:G351),(COUNT(G102:G351)-0.5)/COUNT(G102:G351),IF(COUNTIF(G102:G351,G352)&gt;0,(COUNTIF(G102:G351,"&lt;"&amp;G352)+0.5*COUNTIF(G102:G351,G352))/COUNT(G102:G351),COUNTIF(G102:G351,"&lt;"&amp;G352)/COUNT(G102:G351))))</f>
        <v/>
      </c>
      <c r="K352" s="11" t="inlineStr">
        <is>
          <t>中间分位</t>
        </is>
      </c>
      <c r="L352" s="11" t="n">
        <v>69</v>
      </c>
      <c r="M352" s="11" t="inlineStr">
        <is>
          <t>Contango(远强)</t>
        </is>
      </c>
      <c r="N352" s="11" t="n">
        <v>1</v>
      </c>
      <c r="O352" s="11" t="n">
        <v>0</v>
      </c>
      <c r="P352" s="12" t="n">
        <v>-58</v>
      </c>
      <c r="Q352" s="11" t="inlineStr"/>
    </row>
    <row r="353">
      <c r="A353" s="6" t="inlineStr">
        <is>
          <t>2024-01-25</t>
        </is>
      </c>
      <c r="B353" s="6" t="inlineStr">
        <is>
          <t>MA2405</t>
        </is>
      </c>
      <c r="C353" s="6" t="inlineStr">
        <is>
          <t>2024-05</t>
        </is>
      </c>
      <c r="D353" s="7" t="n">
        <v>2590</v>
      </c>
      <c r="E353" s="7" t="n">
        <v>2440</v>
      </c>
      <c r="F353" s="7">
        <f>D353-E353</f>
        <v/>
      </c>
      <c r="G353" s="8">
        <f>IF(D353=0,"",(D353-E353)/D353)</f>
        <v/>
      </c>
      <c r="H353" s="9" t="n">
        <v>864043</v>
      </c>
      <c r="I353" s="10" t="n">
        <v>0.9360000000000001</v>
      </c>
      <c r="J353" s="10">
        <f>IF(COUNT(G103:G352)&lt;20,"",IF(COUNTIF(G103:G352,"&lt;"&amp;G353)&gt;=COUNT(G103:G352),(COUNT(G103:G352)-0.5)/COUNT(G103:G352),IF(COUNTIF(G103:G352,G353)&gt;0,(COUNTIF(G103:G352,"&lt;"&amp;G353)+0.5*COUNTIF(G103:G352,G353))/COUNT(G103:G352),COUNTIF(G103:G352,"&lt;"&amp;G353)/COUNT(G103:G352))))</f>
        <v/>
      </c>
      <c r="K353" s="6" t="inlineStr">
        <is>
          <t>高分位</t>
        </is>
      </c>
      <c r="L353" s="6" t="n">
        <v>68</v>
      </c>
      <c r="M353" s="6" t="inlineStr">
        <is>
          <t>Contango(远强)</t>
        </is>
      </c>
      <c r="N353" s="6" t="n">
        <v>1</v>
      </c>
      <c r="O353" s="6" t="n">
        <v>0</v>
      </c>
      <c r="P353" s="7" t="n">
        <v>-50</v>
      </c>
      <c r="Q353" s="6" t="inlineStr"/>
    </row>
    <row r="354">
      <c r="A354" s="11" t="inlineStr">
        <is>
          <t>2024-01-26</t>
        </is>
      </c>
      <c r="B354" s="11" t="inlineStr">
        <is>
          <t>MA2405</t>
        </is>
      </c>
      <c r="C354" s="11" t="inlineStr">
        <is>
          <t>2024-05</t>
        </is>
      </c>
      <c r="D354" s="12" t="n">
        <v>2615.83</v>
      </c>
      <c r="E354" s="12" t="n">
        <v>2437</v>
      </c>
      <c r="F354" s="12">
        <f>D354-E354</f>
        <v/>
      </c>
      <c r="G354" s="13">
        <f>IF(D354=0,"",(D354-E354)/D354)</f>
        <v/>
      </c>
      <c r="H354" s="14" t="n">
        <v>843382</v>
      </c>
      <c r="I354" s="15" t="n">
        <v>0.98</v>
      </c>
      <c r="J354" s="15">
        <f>IF(COUNT(G104:G353)&lt;20,"",IF(COUNTIF(G104:G353,"&lt;"&amp;G354)&gt;=COUNT(G104:G353),(COUNT(G104:G353)-0.5)/COUNT(G104:G353),IF(COUNTIF(G104:G353,G354)&gt;0,(COUNTIF(G104:G353,"&lt;"&amp;G354)+0.5*COUNTIF(G104:G353,G354))/COUNT(G104:G353),COUNTIF(G104:G353,"&lt;"&amp;G354)/COUNT(G104:G353))))</f>
        <v/>
      </c>
      <c r="K354" s="11" t="inlineStr">
        <is>
          <t>高分位</t>
        </is>
      </c>
      <c r="L354" s="11" t="n">
        <v>67</v>
      </c>
      <c r="M354" s="11" t="inlineStr">
        <is>
          <t>Contango(远强)</t>
        </is>
      </c>
      <c r="N354" s="11" t="n">
        <v>1</v>
      </c>
      <c r="O354" s="11" t="n">
        <v>0</v>
      </c>
      <c r="P354" s="12" t="n">
        <v>-48</v>
      </c>
      <c r="Q354" s="11" t="inlineStr"/>
    </row>
    <row r="355">
      <c r="A355" s="6" t="inlineStr">
        <is>
          <t>2024-01-29</t>
        </is>
      </c>
      <c r="B355" s="6" t="inlineStr">
        <is>
          <t>MA2405</t>
        </is>
      </c>
      <c r="C355" s="6" t="inlineStr">
        <is>
          <t>2024-05</t>
        </is>
      </c>
      <c r="D355" s="7" t="n">
        <v>2563.33</v>
      </c>
      <c r="E355" s="7" t="n">
        <v>2469</v>
      </c>
      <c r="F355" s="7">
        <f>D355-E355</f>
        <v/>
      </c>
      <c r="G355" s="8">
        <f>IF(D355=0,"",(D355-E355)/D355)</f>
        <v/>
      </c>
      <c r="H355" s="9" t="n">
        <v>867802</v>
      </c>
      <c r="I355" s="10" t="n">
        <v>0.768</v>
      </c>
      <c r="J355" s="10">
        <f>IF(COUNT(G105:G354)&lt;20,"",IF(COUNTIF(G105:G354,"&lt;"&amp;G355)&gt;=COUNT(G105:G354),(COUNT(G105:G354)-0.5)/COUNT(G105:G354),IF(COUNTIF(G105:G354,G355)&gt;0,(COUNTIF(G105:G354,"&lt;"&amp;G355)+0.5*COUNTIF(G105:G354,G355))/COUNT(G105:G354),COUNTIF(G105:G354,"&lt;"&amp;G355)/COUNT(G105:G354))))</f>
        <v/>
      </c>
      <c r="K355" s="6" t="inlineStr">
        <is>
          <t>中间分位</t>
        </is>
      </c>
      <c r="L355" s="6" t="n">
        <v>66</v>
      </c>
      <c r="M355" s="6" t="inlineStr">
        <is>
          <t>Contango(远强)</t>
        </is>
      </c>
      <c r="N355" s="6" t="n">
        <v>1</v>
      </c>
      <c r="O355" s="6" t="n">
        <v>0</v>
      </c>
      <c r="P355" s="7" t="n">
        <v>-41</v>
      </c>
      <c r="Q355" s="6" t="inlineStr"/>
    </row>
    <row r="356">
      <c r="A356" s="11" t="inlineStr">
        <is>
          <t>2024-01-30</t>
        </is>
      </c>
      <c r="B356" s="11" t="inlineStr">
        <is>
          <t>MA2405</t>
        </is>
      </c>
      <c r="C356" s="11" t="inlineStr">
        <is>
          <t>2024-05</t>
        </is>
      </c>
      <c r="D356" s="12" t="n">
        <v>2580</v>
      </c>
      <c r="E356" s="12" t="n">
        <v>2468</v>
      </c>
      <c r="F356" s="12">
        <f>D356-E356</f>
        <v/>
      </c>
      <c r="G356" s="13">
        <f>IF(D356=0,"",(D356-E356)/D356)</f>
        <v/>
      </c>
      <c r="H356" s="14" t="n">
        <v>885530</v>
      </c>
      <c r="I356" s="15" t="n">
        <v>0.844</v>
      </c>
      <c r="J356" s="15">
        <f>IF(COUNT(G106:G355)&lt;20,"",IF(COUNTIF(G106:G355,"&lt;"&amp;G356)&gt;=COUNT(G106:G355),(COUNT(G106:G355)-0.5)/COUNT(G106:G355),IF(COUNTIF(G106:G355,G356)&gt;0,(COUNTIF(G106:G355,"&lt;"&amp;G356)+0.5*COUNTIF(G106:G355,G356))/COUNT(G106:G355),COUNTIF(G106:G355,"&lt;"&amp;G356)/COUNT(G106:G355))))</f>
        <v/>
      </c>
      <c r="K356" s="11" t="inlineStr">
        <is>
          <t>中间分位</t>
        </is>
      </c>
      <c r="L356" s="11" t="n">
        <v>65</v>
      </c>
      <c r="M356" s="11" t="inlineStr">
        <is>
          <t>Contango(远强)</t>
        </is>
      </c>
      <c r="N356" s="11" t="n">
        <v>1</v>
      </c>
      <c r="O356" s="11" t="n">
        <v>0</v>
      </c>
      <c r="P356" s="12" t="n">
        <v>-49</v>
      </c>
      <c r="Q356" s="11" t="inlineStr"/>
    </row>
    <row r="357">
      <c r="A357" s="6" t="inlineStr">
        <is>
          <t>2024-01-31</t>
        </is>
      </c>
      <c r="B357" s="6" t="inlineStr">
        <is>
          <t>MA2405</t>
        </is>
      </c>
      <c r="C357" s="6" t="inlineStr">
        <is>
          <t>2024-05</t>
        </is>
      </c>
      <c r="D357" s="7" t="n">
        <v>2571.67</v>
      </c>
      <c r="E357" s="7" t="n">
        <v>2481</v>
      </c>
      <c r="F357" s="7">
        <f>D357-E357</f>
        <v/>
      </c>
      <c r="G357" s="8">
        <f>IF(D357=0,"",(D357-E357)/D357)</f>
        <v/>
      </c>
      <c r="H357" s="9" t="n">
        <v>940407</v>
      </c>
      <c r="I357" s="10" t="n">
        <v>0.752</v>
      </c>
      <c r="J357" s="10">
        <f>IF(COUNT(G107:G356)&lt;20,"",IF(COUNTIF(G107:G356,"&lt;"&amp;G357)&gt;=COUNT(G107:G356),(COUNT(G107:G356)-0.5)/COUNT(G107:G356),IF(COUNTIF(G107:G356,G357)&gt;0,(COUNTIF(G107:G356,"&lt;"&amp;G357)+0.5*COUNTIF(G107:G356,G357))/COUNT(G107:G356),COUNTIF(G107:G356,"&lt;"&amp;G357)/COUNT(G107:G356))))</f>
        <v/>
      </c>
      <c r="K357" s="6" t="inlineStr">
        <is>
          <t>中间分位</t>
        </is>
      </c>
      <c r="L357" s="6" t="n">
        <v>64</v>
      </c>
      <c r="M357" s="6" t="inlineStr">
        <is>
          <t>Contango(远强)</t>
        </is>
      </c>
      <c r="N357" s="6" t="n">
        <v>1</v>
      </c>
      <c r="O357" s="6" t="n">
        <v>0</v>
      </c>
      <c r="P357" s="7" t="n">
        <v>-71</v>
      </c>
      <c r="Q357" s="6" t="inlineStr"/>
    </row>
    <row r="358">
      <c r="A358" s="11" t="inlineStr">
        <is>
          <t>2024-02-01</t>
        </is>
      </c>
      <c r="B358" s="11" t="inlineStr">
        <is>
          <t>MA2405</t>
        </is>
      </c>
      <c r="C358" s="11" t="inlineStr">
        <is>
          <t>2024-05</t>
        </is>
      </c>
      <c r="D358" s="12" t="n">
        <v>2580.83</v>
      </c>
      <c r="E358" s="12" t="n">
        <v>2461</v>
      </c>
      <c r="F358" s="12">
        <f>D358-E358</f>
        <v/>
      </c>
      <c r="G358" s="13">
        <f>IF(D358=0,"",(D358-E358)/D358)</f>
        <v/>
      </c>
      <c r="H358" s="14" t="n">
        <v>921508</v>
      </c>
      <c r="I358" s="15" t="n">
        <v>0.86</v>
      </c>
      <c r="J358" s="15">
        <f>IF(COUNT(G108:G357)&lt;20,"",IF(COUNTIF(G108:G357,"&lt;"&amp;G358)&gt;=COUNT(G108:G357),(COUNT(G108:G357)-0.5)/COUNT(G108:G357),IF(COUNTIF(G108:G357,G358)&gt;0,(COUNTIF(G108:G357,"&lt;"&amp;G358)+0.5*COUNTIF(G108:G357,G358))/COUNT(G108:G357),COUNTIF(G108:G357,"&lt;"&amp;G358)/COUNT(G108:G357))))</f>
        <v/>
      </c>
      <c r="K358" s="11" t="inlineStr">
        <is>
          <t>中间分位</t>
        </is>
      </c>
      <c r="L358" s="11" t="n">
        <v>63</v>
      </c>
      <c r="M358" s="11" t="inlineStr">
        <is>
          <t>Contango(远强)</t>
        </is>
      </c>
      <c r="N358" s="11" t="n">
        <v>1</v>
      </c>
      <c r="O358" s="11" t="n">
        <v>0</v>
      </c>
      <c r="P358" s="12" t="n">
        <v>-68</v>
      </c>
      <c r="Q358" s="11" t="inlineStr"/>
    </row>
    <row r="359">
      <c r="A359" s="6" t="inlineStr">
        <is>
          <t>2024-02-02</t>
        </is>
      </c>
      <c r="B359" s="6" t="inlineStr">
        <is>
          <t>MA2405</t>
        </is>
      </c>
      <c r="C359" s="6" t="inlineStr">
        <is>
          <t>2024-05</t>
        </is>
      </c>
      <c r="D359" s="7" t="n">
        <v>2561.67</v>
      </c>
      <c r="E359" s="7" t="n">
        <v>2445</v>
      </c>
      <c r="F359" s="7">
        <f>D359-E359</f>
        <v/>
      </c>
      <c r="G359" s="8">
        <f>IF(D359=0,"",(D359-E359)/D359)</f>
        <v/>
      </c>
      <c r="H359" s="9" t="n">
        <v>880583</v>
      </c>
      <c r="I359" s="10" t="n">
        <v>0.84</v>
      </c>
      <c r="J359" s="10">
        <f>IF(COUNT(G109:G358)&lt;20,"",IF(COUNTIF(G109:G358,"&lt;"&amp;G359)&gt;=COUNT(G109:G358),(COUNT(G109:G358)-0.5)/COUNT(G109:G358),IF(COUNTIF(G109:G358,G359)&gt;0,(COUNTIF(G109:G358,"&lt;"&amp;G359)+0.5*COUNTIF(G109:G358,G359))/COUNT(G109:G358),COUNTIF(G109:G358,"&lt;"&amp;G359)/COUNT(G109:G358))))</f>
        <v/>
      </c>
      <c r="K359" s="6" t="inlineStr">
        <is>
          <t>中间分位</t>
        </is>
      </c>
      <c r="L359" s="6" t="n">
        <v>62</v>
      </c>
      <c r="M359" s="6" t="inlineStr">
        <is>
          <t>Contango(远强)</t>
        </is>
      </c>
      <c r="N359" s="6" t="n">
        <v>1</v>
      </c>
      <c r="O359" s="6" t="n">
        <v>0</v>
      </c>
      <c r="P359" s="7" t="n">
        <v>-57</v>
      </c>
      <c r="Q359" s="6" t="inlineStr"/>
    </row>
    <row r="360">
      <c r="A360" s="11" t="inlineStr">
        <is>
          <t>2024-02-05</t>
        </is>
      </c>
      <c r="B360" s="11" t="inlineStr">
        <is>
          <t>MA2405</t>
        </is>
      </c>
      <c r="C360" s="11" t="inlineStr">
        <is>
          <t>2024-05</t>
        </is>
      </c>
      <c r="D360" s="12" t="n">
        <v>2578.33</v>
      </c>
      <c r="E360" s="12" t="n">
        <v>2453</v>
      </c>
      <c r="F360" s="12">
        <f>D360-E360</f>
        <v/>
      </c>
      <c r="G360" s="13">
        <f>IF(D360=0,"",(D360-E360)/D360)</f>
        <v/>
      </c>
      <c r="H360" s="14" t="n">
        <v>868727</v>
      </c>
      <c r="I360" s="15" t="n">
        <v>0.876</v>
      </c>
      <c r="J360" s="15">
        <f>IF(COUNT(G110:G359)&lt;20,"",IF(COUNTIF(G110:G359,"&lt;"&amp;G360)&gt;=COUNT(G110:G359),(COUNT(G110:G359)-0.5)/COUNT(G110:G359),IF(COUNTIF(G110:G359,G360)&gt;0,(COUNTIF(G110:G359,"&lt;"&amp;G360)+0.5*COUNTIF(G110:G359,G360))/COUNT(G110:G359),COUNTIF(G110:G359,"&lt;"&amp;G360)/COUNT(G110:G359))))</f>
        <v/>
      </c>
      <c r="K360" s="11" t="inlineStr">
        <is>
          <t>中间分位</t>
        </is>
      </c>
      <c r="L360" s="11" t="n">
        <v>61</v>
      </c>
      <c r="M360" s="11" t="inlineStr">
        <is>
          <t>Contango(远强)</t>
        </is>
      </c>
      <c r="N360" s="11" t="n">
        <v>1</v>
      </c>
      <c r="O360" s="11" t="n">
        <v>0</v>
      </c>
      <c r="P360" s="12" t="n">
        <v>-84</v>
      </c>
      <c r="Q360" s="11" t="inlineStr"/>
    </row>
    <row r="361">
      <c r="A361" s="6" t="inlineStr">
        <is>
          <t>2024-02-06</t>
        </is>
      </c>
      <c r="B361" s="6" t="inlineStr">
        <is>
          <t>MA2405</t>
        </is>
      </c>
      <c r="C361" s="6" t="inlineStr">
        <is>
          <t>2024-05</t>
        </is>
      </c>
      <c r="D361" s="7" t="n">
        <v>2571.67</v>
      </c>
      <c r="E361" s="7" t="n">
        <v>2459</v>
      </c>
      <c r="F361" s="7">
        <f>D361-E361</f>
        <v/>
      </c>
      <c r="G361" s="8">
        <f>IF(D361=0,"",(D361-E361)/D361)</f>
        <v/>
      </c>
      <c r="H361" s="9" t="n">
        <v>811518</v>
      </c>
      <c r="I361" s="10" t="n">
        <v>0.832</v>
      </c>
      <c r="J361" s="10">
        <f>IF(COUNT(G111:G360)&lt;20,"",IF(COUNTIF(G111:G360,"&lt;"&amp;G361)&gt;=COUNT(G111:G360),(COUNT(G111:G360)-0.5)/COUNT(G111:G360),IF(COUNTIF(G111:G360,G361)&gt;0,(COUNTIF(G111:G360,"&lt;"&amp;G361)+0.5*COUNTIF(G111:G360,G361))/COUNT(G111:G360),COUNTIF(G111:G360,"&lt;"&amp;G361)/COUNT(G111:G360))))</f>
        <v/>
      </c>
      <c r="K361" s="6" t="inlineStr">
        <is>
          <t>中间分位</t>
        </is>
      </c>
      <c r="L361" s="6" t="n">
        <v>60</v>
      </c>
      <c r="M361" s="6" t="inlineStr">
        <is>
          <t>Contango(远强)</t>
        </is>
      </c>
      <c r="N361" s="6" t="n">
        <v>1</v>
      </c>
      <c r="O361" s="6" t="n">
        <v>0</v>
      </c>
      <c r="P361" s="7" t="n">
        <v>-86</v>
      </c>
      <c r="Q361" s="6" t="inlineStr"/>
    </row>
    <row r="362">
      <c r="A362" s="11" t="inlineStr">
        <is>
          <t>2024-02-07</t>
        </is>
      </c>
      <c r="B362" s="11" t="inlineStr">
        <is>
          <t>MA2405</t>
        </is>
      </c>
      <c r="C362" s="11" t="inlineStr">
        <is>
          <t>2024-05</t>
        </is>
      </c>
      <c r="D362" s="12" t="n">
        <v>2583.33</v>
      </c>
      <c r="E362" s="12" t="n">
        <v>2506</v>
      </c>
      <c r="F362" s="12">
        <f>D362-E362</f>
        <v/>
      </c>
      <c r="G362" s="13">
        <f>IF(D362=0,"",(D362-E362)/D362)</f>
        <v/>
      </c>
      <c r="H362" s="14" t="n">
        <v>821861</v>
      </c>
      <c r="I362" s="15" t="n">
        <v>0.664</v>
      </c>
      <c r="J362" s="15">
        <f>IF(COUNT(G112:G361)&lt;20,"",IF(COUNTIF(G112:G361,"&lt;"&amp;G362)&gt;=COUNT(G112:G361),(COUNT(G112:G361)-0.5)/COUNT(G112:G361),IF(COUNTIF(G112:G361,G362)&gt;0,(COUNTIF(G112:G361,"&lt;"&amp;G362)+0.5*COUNTIF(G112:G361,G362))/COUNT(G112:G361),COUNTIF(G112:G361,"&lt;"&amp;G362)/COUNT(G112:G361))))</f>
        <v/>
      </c>
      <c r="K362" s="11" t="inlineStr">
        <is>
          <t>中间分位</t>
        </is>
      </c>
      <c r="L362" s="11" t="n">
        <v>59</v>
      </c>
      <c r="M362" s="11" t="inlineStr">
        <is>
          <t>Contango(远强)</t>
        </is>
      </c>
      <c r="N362" s="11" t="n">
        <v>1</v>
      </c>
      <c r="O362" s="11" t="n">
        <v>0</v>
      </c>
      <c r="P362" s="12" t="n">
        <v>-61</v>
      </c>
      <c r="Q362" s="11" t="inlineStr"/>
    </row>
    <row r="363">
      <c r="A363" s="6" t="inlineStr">
        <is>
          <t>2024-02-08</t>
        </is>
      </c>
      <c r="B363" s="6" t="inlineStr">
        <is>
          <t>MA2405</t>
        </is>
      </c>
      <c r="C363" s="6" t="inlineStr">
        <is>
          <t>2024-05</t>
        </is>
      </c>
      <c r="D363" s="7" t="n">
        <v>2640</v>
      </c>
      <c r="E363" s="7" t="n">
        <v>2513</v>
      </c>
      <c r="F363" s="7">
        <f>D363-E363</f>
        <v/>
      </c>
      <c r="G363" s="8">
        <f>IF(D363=0,"",(D363-E363)/D363)</f>
        <v/>
      </c>
      <c r="H363" s="9" t="n">
        <v>745750</v>
      </c>
      <c r="I363" s="10" t="n">
        <v>0.868</v>
      </c>
      <c r="J363" s="10">
        <f>IF(COUNT(G113:G362)&lt;20,"",IF(COUNTIF(G113:G362,"&lt;"&amp;G363)&gt;=COUNT(G113:G362),(COUNT(G113:G362)-0.5)/COUNT(G113:G362),IF(COUNTIF(G113:G362,G363)&gt;0,(COUNTIF(G113:G362,"&lt;"&amp;G363)+0.5*COUNTIF(G113:G362,G363))/COUNT(G113:G362),COUNTIF(G113:G362,"&lt;"&amp;G363)/COUNT(G113:G362))))</f>
        <v/>
      </c>
      <c r="K363" s="6" t="inlineStr">
        <is>
          <t>中间分位</t>
        </is>
      </c>
      <c r="L363" s="6" t="n">
        <v>58</v>
      </c>
      <c r="M363" s="6" t="inlineStr">
        <is>
          <t>Back(近强)</t>
        </is>
      </c>
      <c r="N363" s="6" t="n">
        <v>1</v>
      </c>
      <c r="O363" s="6" t="n">
        <v>0</v>
      </c>
      <c r="P363" s="7" t="n">
        <v>32</v>
      </c>
      <c r="Q363" s="6" t="inlineStr"/>
    </row>
    <row r="364">
      <c r="A364" s="11" t="inlineStr">
        <is>
          <t>2024-02-19</t>
        </is>
      </c>
      <c r="B364" s="11" t="inlineStr">
        <is>
          <t>MA2405</t>
        </is>
      </c>
      <c r="C364" s="11" t="inlineStr">
        <is>
          <t>2024-05</t>
        </is>
      </c>
      <c r="D364" s="12" t="n">
        <v>2700</v>
      </c>
      <c r="E364" s="12" t="n">
        <v>2506</v>
      </c>
      <c r="F364" s="12">
        <f>D364-E364</f>
        <v/>
      </c>
      <c r="G364" s="13">
        <f>IF(D364=0,"",(D364-E364)/D364)</f>
        <v/>
      </c>
      <c r="H364" s="14" t="n">
        <v>802992</v>
      </c>
      <c r="I364" s="15" t="n">
        <v>0.984</v>
      </c>
      <c r="J364" s="15">
        <f>IF(COUNT(G114:G363)&lt;20,"",IF(COUNTIF(G114:G363,"&lt;"&amp;G364)&gt;=COUNT(G114:G363),(COUNT(G114:G363)-0.5)/COUNT(G114:G363),IF(COUNTIF(G114:G363,G364)&gt;0,(COUNTIF(G114:G363,"&lt;"&amp;G364)+0.5*COUNTIF(G114:G363,G364))/COUNT(G114:G363),COUNTIF(G114:G363,"&lt;"&amp;G364)/COUNT(G114:G363))))</f>
        <v/>
      </c>
      <c r="K364" s="11" t="inlineStr">
        <is>
          <t>高分位</t>
        </is>
      </c>
      <c r="L364" s="11" t="n">
        <v>57</v>
      </c>
      <c r="M364" s="11" t="inlineStr">
        <is>
          <t>Back(近强)</t>
        </is>
      </c>
      <c r="N364" s="11" t="n">
        <v>1</v>
      </c>
      <c r="O364" s="11" t="n">
        <v>0</v>
      </c>
      <c r="P364" s="12" t="n">
        <v>16</v>
      </c>
      <c r="Q364" s="11" t="inlineStr"/>
    </row>
    <row r="365">
      <c r="A365" s="6" t="inlineStr">
        <is>
          <t>2024-02-20</t>
        </is>
      </c>
      <c r="B365" s="6" t="inlineStr">
        <is>
          <t>MA2405</t>
        </is>
      </c>
      <c r="C365" s="6" t="inlineStr">
        <is>
          <t>2024-05</t>
        </is>
      </c>
      <c r="D365" s="7" t="n">
        <v>2659.17</v>
      </c>
      <c r="E365" s="7" t="n">
        <v>2460</v>
      </c>
      <c r="F365" s="7">
        <f>D365-E365</f>
        <v/>
      </c>
      <c r="G365" s="8">
        <f>IF(D365=0,"",(D365-E365)/D365)</f>
        <v/>
      </c>
      <c r="H365" s="9" t="n">
        <v>788571</v>
      </c>
      <c r="I365" s="10" t="n">
        <v>0.984</v>
      </c>
      <c r="J365" s="10">
        <f>IF(COUNT(G115:G364)&lt;20,"",IF(COUNTIF(G115:G364,"&lt;"&amp;G365)&gt;=COUNT(G115:G364),(COUNT(G115:G364)-0.5)/COUNT(G115:G364),IF(COUNTIF(G115:G364,G365)&gt;0,(COUNTIF(G115:G364,"&lt;"&amp;G365)+0.5*COUNTIF(G115:G364,G365))/COUNT(G115:G364),COUNTIF(G115:G364,"&lt;"&amp;G365)/COUNT(G115:G364))))</f>
        <v/>
      </c>
      <c r="K365" s="6" t="inlineStr">
        <is>
          <t>高分位</t>
        </is>
      </c>
      <c r="L365" s="6" t="n">
        <v>56</v>
      </c>
      <c r="M365" s="6" t="inlineStr">
        <is>
          <t>Contango(远强)</t>
        </is>
      </c>
      <c r="N365" s="6" t="n">
        <v>1</v>
      </c>
      <c r="O365" s="6" t="n">
        <v>0</v>
      </c>
      <c r="P365" s="7" t="n">
        <v>-30</v>
      </c>
      <c r="Q365" s="6" t="inlineStr"/>
    </row>
    <row r="366">
      <c r="A366" s="11" t="inlineStr">
        <is>
          <t>2024-02-21</t>
        </is>
      </c>
      <c r="B366" s="11" t="inlineStr">
        <is>
          <t>MA2405</t>
        </is>
      </c>
      <c r="C366" s="11" t="inlineStr">
        <is>
          <t>2024-05</t>
        </is>
      </c>
      <c r="D366" s="12" t="n">
        <v>2600</v>
      </c>
      <c r="E366" s="12" t="n">
        <v>2480</v>
      </c>
      <c r="F366" s="12">
        <f>D366-E366</f>
        <v/>
      </c>
      <c r="G366" s="13">
        <f>IF(D366=0,"",(D366-E366)/D366)</f>
        <v/>
      </c>
      <c r="H366" s="14" t="n">
        <v>818833</v>
      </c>
      <c r="I366" s="15" t="n">
        <v>0.836</v>
      </c>
      <c r="J366" s="15">
        <f>IF(COUNT(G116:G365)&lt;20,"",IF(COUNTIF(G116:G365,"&lt;"&amp;G366)&gt;=COUNT(G116:G365),(COUNT(G116:G365)-0.5)/COUNT(G116:G365),IF(COUNTIF(G116:G365,G366)&gt;0,(COUNTIF(G116:G365,"&lt;"&amp;G366)+0.5*COUNTIF(G116:G365,G366))/COUNT(G116:G365),COUNTIF(G116:G365,"&lt;"&amp;G366)/COUNT(G116:G365))))</f>
        <v/>
      </c>
      <c r="K366" s="11" t="inlineStr">
        <is>
          <t>中间分位</t>
        </is>
      </c>
      <c r="L366" s="11" t="n">
        <v>55</v>
      </c>
      <c r="M366" s="11" t="inlineStr">
        <is>
          <t>Back(近强)</t>
        </is>
      </c>
      <c r="N366" s="11" t="n">
        <v>1</v>
      </c>
      <c r="O366" s="11" t="n">
        <v>0</v>
      </c>
      <c r="P366" s="12" t="n">
        <v>28</v>
      </c>
      <c r="Q366" s="11" t="inlineStr"/>
    </row>
    <row r="367">
      <c r="A367" s="6" t="inlineStr">
        <is>
          <t>2024-02-22</t>
        </is>
      </c>
      <c r="B367" s="6" t="inlineStr">
        <is>
          <t>MA2405</t>
        </is>
      </c>
      <c r="C367" s="6" t="inlineStr">
        <is>
          <t>2024-05</t>
        </is>
      </c>
      <c r="D367" s="7" t="n">
        <v>2615.83</v>
      </c>
      <c r="E367" s="7" t="n">
        <v>2501</v>
      </c>
      <c r="F367" s="7">
        <f>D367-E367</f>
        <v/>
      </c>
      <c r="G367" s="8">
        <f>IF(D367=0,"",(D367-E367)/D367)</f>
        <v/>
      </c>
      <c r="H367" s="9" t="n">
        <v>861169</v>
      </c>
      <c r="I367" s="10" t="n">
        <v>0.8159999999999999</v>
      </c>
      <c r="J367" s="10">
        <f>IF(COUNT(G117:G366)&lt;20,"",IF(COUNTIF(G117:G366,"&lt;"&amp;G367)&gt;=COUNT(G117:G366),(COUNT(G117:G366)-0.5)/COUNT(G117:G366),IF(COUNTIF(G117:G366,G367)&gt;0,(COUNTIF(G117:G366,"&lt;"&amp;G367)+0.5*COUNTIF(G117:G366,G367))/COUNT(G117:G366),COUNTIF(G117:G366,"&lt;"&amp;G367)/COUNT(G117:G366))))</f>
        <v/>
      </c>
      <c r="K367" s="6" t="inlineStr">
        <is>
          <t>中间分位</t>
        </is>
      </c>
      <c r="L367" s="6" t="n">
        <v>54</v>
      </c>
      <c r="M367" s="6" t="inlineStr">
        <is>
          <t>Back(近强)</t>
        </is>
      </c>
      <c r="N367" s="6" t="n">
        <v>1</v>
      </c>
      <c r="O367" s="6" t="n">
        <v>0</v>
      </c>
      <c r="P367" s="7" t="n">
        <v>45</v>
      </c>
      <c r="Q367" s="6" t="inlineStr"/>
    </row>
    <row r="368">
      <c r="A368" s="11" t="inlineStr">
        <is>
          <t>2024-02-23</t>
        </is>
      </c>
      <c r="B368" s="11" t="inlineStr">
        <is>
          <t>MA2405</t>
        </is>
      </c>
      <c r="C368" s="11" t="inlineStr">
        <is>
          <t>2024-05</t>
        </is>
      </c>
      <c r="D368" s="12" t="n">
        <v>2635.83</v>
      </c>
      <c r="E368" s="12" t="n">
        <v>2508</v>
      </c>
      <c r="F368" s="12">
        <f>D368-E368</f>
        <v/>
      </c>
      <c r="G368" s="13">
        <f>IF(D368=0,"",(D368-E368)/D368)</f>
        <v/>
      </c>
      <c r="H368" s="14" t="n">
        <v>910249</v>
      </c>
      <c r="I368" s="15" t="n">
        <v>0.864</v>
      </c>
      <c r="J368" s="15">
        <f>IF(COUNT(G118:G367)&lt;20,"",IF(COUNTIF(G118:G367,"&lt;"&amp;G368)&gt;=COUNT(G118:G367),(COUNT(G118:G367)-0.5)/COUNT(G118:G367),IF(COUNTIF(G118:G367,G368)&gt;0,(COUNTIF(G118:G367,"&lt;"&amp;G368)+0.5*COUNTIF(G118:G367,G368))/COUNT(G118:G367),COUNTIF(G118:G367,"&lt;"&amp;G368)/COUNT(G118:G367))))</f>
        <v/>
      </c>
      <c r="K368" s="11" t="inlineStr">
        <is>
          <t>中间分位</t>
        </is>
      </c>
      <c r="L368" s="11" t="n">
        <v>53</v>
      </c>
      <c r="M368" s="11" t="inlineStr">
        <is>
          <t>Contango(远强)</t>
        </is>
      </c>
      <c r="N368" s="11" t="n">
        <v>1</v>
      </c>
      <c r="O368" s="11" t="n">
        <v>0</v>
      </c>
      <c r="P368" s="12" t="n">
        <v>-64</v>
      </c>
      <c r="Q368" s="11" t="inlineStr"/>
    </row>
    <row r="369">
      <c r="A369" s="6" t="inlineStr">
        <is>
          <t>2024-02-26</t>
        </is>
      </c>
      <c r="B369" s="6" t="inlineStr">
        <is>
          <t>MA2405</t>
        </is>
      </c>
      <c r="C369" s="6" t="inlineStr">
        <is>
          <t>2024-05</t>
        </is>
      </c>
      <c r="D369" s="7" t="n">
        <v>2647.5</v>
      </c>
      <c r="E369" s="7" t="n">
        <v>2502</v>
      </c>
      <c r="F369" s="7">
        <f>D369-E369</f>
        <v/>
      </c>
      <c r="G369" s="8">
        <f>IF(D369=0,"",(D369-E369)/D369)</f>
        <v/>
      </c>
      <c r="H369" s="9" t="n">
        <v>917179</v>
      </c>
      <c r="I369" s="10" t="n">
        <v>0.904</v>
      </c>
      <c r="J369" s="10">
        <f>IF(COUNT(G119:G368)&lt;20,"",IF(COUNTIF(G119:G368,"&lt;"&amp;G369)&gt;=COUNT(G119:G368),(COUNT(G119:G368)-0.5)/COUNT(G119:G368),IF(COUNTIF(G119:G368,G369)&gt;0,(COUNTIF(G119:G368,"&lt;"&amp;G369)+0.5*COUNTIF(G119:G368,G369))/COUNT(G119:G368),COUNTIF(G119:G368,"&lt;"&amp;G369)/COUNT(G119:G368))))</f>
        <v/>
      </c>
      <c r="K369" s="6" t="inlineStr">
        <is>
          <t>高分位</t>
        </is>
      </c>
      <c r="L369" s="6" t="n">
        <v>52</v>
      </c>
      <c r="M369" s="6" t="inlineStr">
        <is>
          <t>Contango(远强)</t>
        </is>
      </c>
      <c r="N369" s="6" t="n">
        <v>1</v>
      </c>
      <c r="O369" s="6" t="n">
        <v>0</v>
      </c>
      <c r="P369" s="7" t="n">
        <v>-69</v>
      </c>
      <c r="Q369" s="6" t="inlineStr"/>
    </row>
    <row r="370">
      <c r="A370" s="11" t="inlineStr">
        <is>
          <t>2024-02-27</t>
        </is>
      </c>
      <c r="B370" s="11" t="inlineStr">
        <is>
          <t>MA2405</t>
        </is>
      </c>
      <c r="C370" s="11" t="inlineStr">
        <is>
          <t>2024-05</t>
        </is>
      </c>
      <c r="D370" s="12" t="n">
        <v>2671.67</v>
      </c>
      <c r="E370" s="12" t="n">
        <v>2533</v>
      </c>
      <c r="F370" s="12">
        <f>D370-E370</f>
        <v/>
      </c>
      <c r="G370" s="13">
        <f>IF(D370=0,"",(D370-E370)/D370)</f>
        <v/>
      </c>
      <c r="H370" s="14" t="n">
        <v>1021119</v>
      </c>
      <c r="I370" s="15" t="n">
        <v>0.884</v>
      </c>
      <c r="J370" s="15">
        <f>IF(COUNT(G120:G369)&lt;20,"",IF(COUNTIF(G120:G369,"&lt;"&amp;G370)&gt;=COUNT(G120:G369),(COUNT(G120:G369)-0.5)/COUNT(G120:G369),IF(COUNTIF(G120:G369,G370)&gt;0,(COUNTIF(G120:G369,"&lt;"&amp;G370)+0.5*COUNTIF(G120:G369,G370))/COUNT(G120:G369),COUNTIF(G120:G369,"&lt;"&amp;G370)/COUNT(G120:G369))))</f>
        <v/>
      </c>
      <c r="K370" s="11" t="inlineStr">
        <is>
          <t>中间分位</t>
        </is>
      </c>
      <c r="L370" s="11" t="n">
        <v>51</v>
      </c>
      <c r="M370" s="11" t="inlineStr">
        <is>
          <t>Contango(远强)</t>
        </is>
      </c>
      <c r="N370" s="11" t="n">
        <v>1</v>
      </c>
      <c r="O370" s="11" t="n">
        <v>0</v>
      </c>
      <c r="P370" s="12" t="n">
        <v>-66</v>
      </c>
      <c r="Q370" s="11" t="inlineStr"/>
    </row>
    <row r="371">
      <c r="A371" s="6" t="inlineStr">
        <is>
          <t>2024-02-28</t>
        </is>
      </c>
      <c r="B371" s="6" t="inlineStr">
        <is>
          <t>MA2405</t>
        </is>
      </c>
      <c r="C371" s="6" t="inlineStr">
        <is>
          <t>2024-05</t>
        </is>
      </c>
      <c r="D371" s="7" t="n">
        <v>2731.67</v>
      </c>
      <c r="E371" s="7" t="n">
        <v>2526</v>
      </c>
      <c r="F371" s="7">
        <f>D371-E371</f>
        <v/>
      </c>
      <c r="G371" s="8">
        <f>IF(D371=0,"",(D371-E371)/D371)</f>
        <v/>
      </c>
      <c r="H371" s="9" t="n">
        <v>1003598</v>
      </c>
      <c r="I371" s="10" t="n">
        <v>0.988</v>
      </c>
      <c r="J371" s="10">
        <f>IF(COUNT(G121:G370)&lt;20,"",IF(COUNTIF(G121:G370,"&lt;"&amp;G371)&gt;=COUNT(G121:G370),(COUNT(G121:G370)-0.5)/COUNT(G121:G370),IF(COUNTIF(G121:G370,G371)&gt;0,(COUNTIF(G121:G370,"&lt;"&amp;G371)+0.5*COUNTIF(G121:G370,G371))/COUNT(G121:G370),COUNTIF(G121:G370,"&lt;"&amp;G371)/COUNT(G121:G370))))</f>
        <v/>
      </c>
      <c r="K371" s="6" t="inlineStr">
        <is>
          <t>高分位</t>
        </is>
      </c>
      <c r="L371" s="6" t="n">
        <v>50</v>
      </c>
      <c r="M371" s="6" t="inlineStr">
        <is>
          <t>Contango(远强)</t>
        </is>
      </c>
      <c r="N371" s="6" t="n">
        <v>1</v>
      </c>
      <c r="O371" s="6" t="n">
        <v>0</v>
      </c>
      <c r="P371" s="7" t="n">
        <v>-66</v>
      </c>
      <c r="Q371" s="6" t="inlineStr"/>
    </row>
    <row r="372">
      <c r="A372" s="11" t="inlineStr">
        <is>
          <t>2024-02-29</t>
        </is>
      </c>
      <c r="B372" s="11" t="inlineStr">
        <is>
          <t>MA2405</t>
        </is>
      </c>
      <c r="C372" s="11" t="inlineStr">
        <is>
          <t>2024-05</t>
        </is>
      </c>
      <c r="D372" s="12" t="n">
        <v>2741.67</v>
      </c>
      <c r="E372" s="12" t="n">
        <v>2516</v>
      </c>
      <c r="F372" s="12">
        <f>D372-E372</f>
        <v/>
      </c>
      <c r="G372" s="13">
        <f>IF(D372=0,"",(D372-E372)/D372)</f>
        <v/>
      </c>
      <c r="H372" s="14" t="n">
        <v>945804</v>
      </c>
      <c r="I372" s="15" t="n">
        <v>0.992</v>
      </c>
      <c r="J372" s="15">
        <f>IF(COUNT(G122:G371)&lt;20,"",IF(COUNTIF(G122:G371,"&lt;"&amp;G372)&gt;=COUNT(G122:G371),(COUNT(G122:G371)-0.5)/COUNT(G122:G371),IF(COUNTIF(G122:G371,G372)&gt;0,(COUNTIF(G122:G371,"&lt;"&amp;G372)+0.5*COUNTIF(G122:G371,G372))/COUNT(G122:G371),COUNTIF(G122:G371,"&lt;"&amp;G372)/COUNT(G122:G371))))</f>
        <v/>
      </c>
      <c r="K372" s="11" t="inlineStr">
        <is>
          <t>高分位</t>
        </is>
      </c>
      <c r="L372" s="11" t="n">
        <v>49</v>
      </c>
      <c r="M372" s="11" t="inlineStr">
        <is>
          <t>Contango(远强)</t>
        </is>
      </c>
      <c r="N372" s="11" t="n">
        <v>1</v>
      </c>
      <c r="O372" s="11" t="n">
        <v>0</v>
      </c>
      <c r="P372" s="12" t="n">
        <v>-70</v>
      </c>
      <c r="Q372" s="11" t="inlineStr"/>
    </row>
    <row r="373">
      <c r="A373" s="6" t="inlineStr">
        <is>
          <t>2024-03-01</t>
        </is>
      </c>
      <c r="B373" s="6" t="inlineStr">
        <is>
          <t>MA2405</t>
        </is>
      </c>
      <c r="C373" s="6" t="inlineStr">
        <is>
          <t>2024-05</t>
        </is>
      </c>
      <c r="D373" s="7" t="n">
        <v>2730</v>
      </c>
      <c r="E373" s="7" t="n">
        <v>2529</v>
      </c>
      <c r="F373" s="7">
        <f>D373-E373</f>
        <v/>
      </c>
      <c r="G373" s="8">
        <f>IF(D373=0,"",(D373-E373)/D373)</f>
        <v/>
      </c>
      <c r="H373" s="9" t="n">
        <v>936277</v>
      </c>
      <c r="I373" s="10" t="n">
        <v>0.972</v>
      </c>
      <c r="J373" s="10">
        <f>IF(COUNT(G123:G372)&lt;20,"",IF(COUNTIF(G123:G372,"&lt;"&amp;G373)&gt;=COUNT(G123:G372),(COUNT(G123:G372)-0.5)/COUNT(G123:G372),IF(COUNTIF(G123:G372,G373)&gt;0,(COUNTIF(G123:G372,"&lt;"&amp;G373)+0.5*COUNTIF(G123:G372,G373))/COUNT(G123:G372),COUNTIF(G123:G372,"&lt;"&amp;G373)/COUNT(G123:G372))))</f>
        <v/>
      </c>
      <c r="K373" s="6" t="inlineStr">
        <is>
          <t>高分位</t>
        </is>
      </c>
      <c r="L373" s="6" t="n">
        <v>48</v>
      </c>
      <c r="M373" s="6" t="inlineStr">
        <is>
          <t>Contango(远强)</t>
        </is>
      </c>
      <c r="N373" s="6" t="n">
        <v>1</v>
      </c>
      <c r="O373" s="6" t="n">
        <v>0</v>
      </c>
      <c r="P373" s="7" t="n">
        <v>-38</v>
      </c>
      <c r="Q373" s="6" t="inlineStr"/>
    </row>
    <row r="374">
      <c r="A374" s="11" t="inlineStr">
        <is>
          <t>2024-03-04</t>
        </is>
      </c>
      <c r="B374" s="11" t="inlineStr">
        <is>
          <t>MA2405</t>
        </is>
      </c>
      <c r="C374" s="11" t="inlineStr">
        <is>
          <t>2024-05</t>
        </is>
      </c>
      <c r="D374" s="12" t="n">
        <v>2740</v>
      </c>
      <c r="E374" s="12" t="n">
        <v>2504</v>
      </c>
      <c r="F374" s="12">
        <f>D374-E374</f>
        <v/>
      </c>
      <c r="G374" s="13">
        <f>IF(D374=0,"",(D374-E374)/D374)</f>
        <v/>
      </c>
      <c r="H374" s="14" t="n">
        <v>879744</v>
      </c>
      <c r="I374" s="15" t="n">
        <v>0.992</v>
      </c>
      <c r="J374" s="15">
        <f>IF(COUNT(G124:G373)&lt;20,"",IF(COUNTIF(G124:G373,"&lt;"&amp;G374)&gt;=COUNT(G124:G373),(COUNT(G124:G373)-0.5)/COUNT(G124:G373),IF(COUNTIF(G124:G373,G374)&gt;0,(COUNTIF(G124:G373,"&lt;"&amp;G374)+0.5*COUNTIF(G124:G373,G374))/COUNT(G124:G373),COUNTIF(G124:G373,"&lt;"&amp;G374)/COUNT(G124:G373))))</f>
        <v/>
      </c>
      <c r="K374" s="11" t="inlineStr">
        <is>
          <t>高分位</t>
        </is>
      </c>
      <c r="L374" s="11" t="n">
        <v>47</v>
      </c>
      <c r="M374" s="11" t="inlineStr">
        <is>
          <t>Contango(远强)</t>
        </is>
      </c>
      <c r="N374" s="11" t="n">
        <v>1</v>
      </c>
      <c r="O374" s="11" t="n">
        <v>0</v>
      </c>
      <c r="P374" s="12" t="n">
        <v>-60</v>
      </c>
      <c r="Q374" s="11" t="inlineStr"/>
    </row>
    <row r="375">
      <c r="A375" s="6" t="inlineStr">
        <is>
          <t>2024-03-05</t>
        </is>
      </c>
      <c r="B375" s="6" t="inlineStr">
        <is>
          <t>MA2405</t>
        </is>
      </c>
      <c r="C375" s="6" t="inlineStr">
        <is>
          <t>2024-05</t>
        </is>
      </c>
      <c r="D375" s="7" t="n">
        <v>2711.67</v>
      </c>
      <c r="E375" s="7" t="n">
        <v>2490</v>
      </c>
      <c r="F375" s="7">
        <f>D375-E375</f>
        <v/>
      </c>
      <c r="G375" s="8">
        <f>IF(D375=0,"",(D375-E375)/D375)</f>
        <v/>
      </c>
      <c r="H375" s="9" t="n">
        <v>844910</v>
      </c>
      <c r="I375" s="10" t="n">
        <v>0.984</v>
      </c>
      <c r="J375" s="10">
        <f>IF(COUNT(G125:G374)&lt;20,"",IF(COUNTIF(G125:G374,"&lt;"&amp;G375)&gt;=COUNT(G125:G374),(COUNT(G125:G374)-0.5)/COUNT(G125:G374),IF(COUNTIF(G125:G374,G375)&gt;0,(COUNTIF(G125:G374,"&lt;"&amp;G375)+0.5*COUNTIF(G125:G374,G375))/COUNT(G125:G374),COUNTIF(G125:G374,"&lt;"&amp;G375)/COUNT(G125:G374))))</f>
        <v/>
      </c>
      <c r="K375" s="6" t="inlineStr">
        <is>
          <t>高分位</t>
        </is>
      </c>
      <c r="L375" s="6" t="n">
        <v>46</v>
      </c>
      <c r="M375" s="6" t="inlineStr">
        <is>
          <t>Contango(远强)</t>
        </is>
      </c>
      <c r="N375" s="6" t="n">
        <v>1</v>
      </c>
      <c r="O375" s="6" t="n">
        <v>0</v>
      </c>
      <c r="P375" s="7" t="n">
        <v>-78</v>
      </c>
      <c r="Q375" s="6" t="inlineStr"/>
    </row>
    <row r="376">
      <c r="A376" s="11" t="inlineStr">
        <is>
          <t>2024-03-06</t>
        </is>
      </c>
      <c r="B376" s="11" t="inlineStr">
        <is>
          <t>MA2405</t>
        </is>
      </c>
      <c r="C376" s="11" t="inlineStr">
        <is>
          <t>2024-05</t>
        </is>
      </c>
      <c r="D376" s="12" t="n">
        <v>2691.67</v>
      </c>
      <c r="E376" s="12" t="n">
        <v>2514</v>
      </c>
      <c r="F376" s="12">
        <f>D376-E376</f>
        <v/>
      </c>
      <c r="G376" s="13">
        <f>IF(D376=0,"",(D376-E376)/D376)</f>
        <v/>
      </c>
      <c r="H376" s="14" t="n">
        <v>862699</v>
      </c>
      <c r="I376" s="15" t="n">
        <v>0.948</v>
      </c>
      <c r="J376" s="15">
        <f>IF(COUNT(G126:G375)&lt;20,"",IF(COUNTIF(G126:G375,"&lt;"&amp;G376)&gt;=COUNT(G126:G375),(COUNT(G126:G375)-0.5)/COUNT(G126:G375),IF(COUNTIF(G126:G375,G376)&gt;0,(COUNTIF(G126:G375,"&lt;"&amp;G376)+0.5*COUNTIF(G126:G375,G376))/COUNT(G126:G375),COUNTIF(G126:G375,"&lt;"&amp;G376)/COUNT(G126:G375))))</f>
        <v/>
      </c>
      <c r="K376" s="11" t="inlineStr">
        <is>
          <t>高分位</t>
        </is>
      </c>
      <c r="L376" s="11" t="n">
        <v>45</v>
      </c>
      <c r="M376" s="11" t="inlineStr">
        <is>
          <t>Contango(远强)</t>
        </is>
      </c>
      <c r="N376" s="11" t="n">
        <v>1</v>
      </c>
      <c r="O376" s="11" t="n">
        <v>0</v>
      </c>
      <c r="P376" s="12" t="n">
        <v>-32</v>
      </c>
      <c r="Q376" s="11" t="inlineStr"/>
    </row>
    <row r="377">
      <c r="A377" s="6" t="inlineStr">
        <is>
          <t>2024-03-07</t>
        </is>
      </c>
      <c r="B377" s="6" t="inlineStr">
        <is>
          <t>MA2405</t>
        </is>
      </c>
      <c r="C377" s="6" t="inlineStr">
        <is>
          <t>2024-05</t>
        </is>
      </c>
      <c r="D377" s="7" t="n">
        <v>2713.33</v>
      </c>
      <c r="E377" s="7" t="n">
        <v>2505</v>
      </c>
      <c r="F377" s="7">
        <f>D377-E377</f>
        <v/>
      </c>
      <c r="G377" s="8">
        <f>IF(D377=0,"",(D377-E377)/D377)</f>
        <v/>
      </c>
      <c r="H377" s="9" t="n">
        <v>862061</v>
      </c>
      <c r="I377" s="10" t="n">
        <v>0.98</v>
      </c>
      <c r="J377" s="10">
        <f>IF(COUNT(G127:G376)&lt;20,"",IF(COUNTIF(G127:G376,"&lt;"&amp;G377)&gt;=COUNT(G127:G376),(COUNT(G127:G376)-0.5)/COUNT(G127:G376),IF(COUNTIF(G127:G376,G377)&gt;0,(COUNTIF(G127:G376,"&lt;"&amp;G377)+0.5*COUNTIF(G127:G376,G377))/COUNT(G127:G376),COUNTIF(G127:G376,"&lt;"&amp;G377)/COUNT(G127:G376))))</f>
        <v/>
      </c>
      <c r="K377" s="6" t="inlineStr">
        <is>
          <t>高分位</t>
        </is>
      </c>
      <c r="L377" s="6" t="n">
        <v>44</v>
      </c>
      <c r="M377" s="6" t="inlineStr">
        <is>
          <t>Contango(远强)</t>
        </is>
      </c>
      <c r="N377" s="6" t="n">
        <v>1</v>
      </c>
      <c r="O377" s="6" t="n">
        <v>0</v>
      </c>
      <c r="P377" s="7" t="n">
        <v>-79</v>
      </c>
      <c r="Q377" s="6" t="inlineStr"/>
    </row>
    <row r="378">
      <c r="A378" s="11" t="inlineStr">
        <is>
          <t>2024-03-08</t>
        </is>
      </c>
      <c r="B378" s="11" t="inlineStr">
        <is>
          <t>MA2405</t>
        </is>
      </c>
      <c r="C378" s="11" t="inlineStr">
        <is>
          <t>2024-05</t>
        </is>
      </c>
      <c r="D378" s="12" t="n">
        <v>2711.67</v>
      </c>
      <c r="E378" s="12" t="n">
        <v>2519</v>
      </c>
      <c r="F378" s="12">
        <f>D378-E378</f>
        <v/>
      </c>
      <c r="G378" s="13">
        <f>IF(D378=0,"",(D378-E378)/D378)</f>
        <v/>
      </c>
      <c r="H378" s="14" t="n">
        <v>857523</v>
      </c>
      <c r="I378" s="15" t="n">
        <v>0.948</v>
      </c>
      <c r="J378" s="15">
        <f>IF(COUNT(G128:G377)&lt;20,"",IF(COUNTIF(G128:G377,"&lt;"&amp;G378)&gt;=COUNT(G128:G377),(COUNT(G128:G377)-0.5)/COUNT(G128:G377),IF(COUNTIF(G128:G377,G378)&gt;0,(COUNTIF(G128:G377,"&lt;"&amp;G378)+0.5*COUNTIF(G128:G377,G378))/COUNT(G128:G377),COUNTIF(G128:G377,"&lt;"&amp;G378)/COUNT(G128:G377))))</f>
        <v/>
      </c>
      <c r="K378" s="11" t="inlineStr">
        <is>
          <t>高分位</t>
        </is>
      </c>
      <c r="L378" s="11" t="n">
        <v>43</v>
      </c>
      <c r="M378" s="11" t="inlineStr">
        <is>
          <t>Contango(远强)</t>
        </is>
      </c>
      <c r="N378" s="11" t="n">
        <v>1</v>
      </c>
      <c r="O378" s="11" t="n">
        <v>0</v>
      </c>
      <c r="P378" s="12" t="n">
        <v>-40</v>
      </c>
      <c r="Q378" s="11" t="inlineStr"/>
    </row>
    <row r="379">
      <c r="A379" s="6" t="inlineStr">
        <is>
          <t>2024-03-11</t>
        </is>
      </c>
      <c r="B379" s="6" t="inlineStr">
        <is>
          <t>MA2405</t>
        </is>
      </c>
      <c r="C379" s="6" t="inlineStr">
        <is>
          <t>2024-05</t>
        </is>
      </c>
      <c r="D379" s="7" t="n">
        <v>2717.5</v>
      </c>
      <c r="E379" s="7" t="n">
        <v>2541</v>
      </c>
      <c r="F379" s="7">
        <f>D379-E379</f>
        <v/>
      </c>
      <c r="G379" s="8">
        <f>IF(D379=0,"",(D379-E379)/D379)</f>
        <v/>
      </c>
      <c r="H379" s="9" t="n">
        <v>952192</v>
      </c>
      <c r="I379" s="10" t="n">
        <v>0.9320000000000001</v>
      </c>
      <c r="J379" s="10">
        <f>IF(COUNT(G129:G378)&lt;20,"",IF(COUNTIF(G129:G378,"&lt;"&amp;G379)&gt;=COUNT(G129:G378),(COUNT(G129:G378)-0.5)/COUNT(G129:G378),IF(COUNTIF(G129:G378,G379)&gt;0,(COUNTIF(G129:G378,"&lt;"&amp;G379)+0.5*COUNTIF(G129:G378,G379))/COUNT(G129:G378),COUNTIF(G129:G378,"&lt;"&amp;G379)/COUNT(G129:G378))))</f>
        <v/>
      </c>
      <c r="K379" s="6" t="inlineStr">
        <is>
          <t>高分位</t>
        </is>
      </c>
      <c r="L379" s="6" t="n">
        <v>42</v>
      </c>
      <c r="M379" s="6" t="inlineStr">
        <is>
          <t>Contango(远强)</t>
        </is>
      </c>
      <c r="N379" s="6" t="n">
        <v>1</v>
      </c>
      <c r="O379" s="6" t="n">
        <v>0</v>
      </c>
      <c r="P379" s="7" t="n">
        <v>-51</v>
      </c>
      <c r="Q379" s="6" t="inlineStr"/>
    </row>
    <row r="380">
      <c r="A380" s="11" t="inlineStr">
        <is>
          <t>2024-03-12</t>
        </is>
      </c>
      <c r="B380" s="11" t="inlineStr">
        <is>
          <t>MA2405</t>
        </is>
      </c>
      <c r="C380" s="11" t="inlineStr">
        <is>
          <t>2024-05</t>
        </is>
      </c>
      <c r="D380" s="12" t="n">
        <v>2750</v>
      </c>
      <c r="E380" s="12" t="n">
        <v>2499</v>
      </c>
      <c r="F380" s="12">
        <f>D380-E380</f>
        <v/>
      </c>
      <c r="G380" s="13">
        <f>IF(D380=0,"",(D380-E380)/D380)</f>
        <v/>
      </c>
      <c r="H380" s="14" t="n">
        <v>898426</v>
      </c>
      <c r="I380" s="15" t="n">
        <v>0.998</v>
      </c>
      <c r="J380" s="15">
        <f>IF(COUNT(G130:G379)&lt;20,"",IF(COUNTIF(G130:G379,"&lt;"&amp;G380)&gt;=COUNT(G130:G379),(COUNT(G130:G379)-0.5)/COUNT(G130:G379),IF(COUNTIF(G130:G379,G380)&gt;0,(COUNTIF(G130:G379,"&lt;"&amp;G380)+0.5*COUNTIF(G130:G379,G380))/COUNT(G130:G379),COUNTIF(G130:G379,"&lt;"&amp;G380)/COUNT(G130:G379))))</f>
        <v/>
      </c>
      <c r="K380" s="11" t="inlineStr">
        <is>
          <t>高分位</t>
        </is>
      </c>
      <c r="L380" s="11" t="n">
        <v>41</v>
      </c>
      <c r="M380" s="11" t="inlineStr">
        <is>
          <t>Contango(远强)</t>
        </is>
      </c>
      <c r="N380" s="11" t="n">
        <v>1</v>
      </c>
      <c r="O380" s="11" t="n">
        <v>0</v>
      </c>
      <c r="P380" s="12" t="n">
        <v>-52</v>
      </c>
      <c r="Q380" s="11" t="inlineStr"/>
    </row>
    <row r="381">
      <c r="A381" s="6" t="inlineStr">
        <is>
          <t>2024-03-13</t>
        </is>
      </c>
      <c r="B381" s="6" t="inlineStr">
        <is>
          <t>MA2405</t>
        </is>
      </c>
      <c r="C381" s="6" t="inlineStr">
        <is>
          <t>2024-05</t>
        </is>
      </c>
      <c r="D381" s="7" t="n">
        <v>2701.67</v>
      </c>
      <c r="E381" s="7" t="n">
        <v>2503</v>
      </c>
      <c r="F381" s="7">
        <f>D381-E381</f>
        <v/>
      </c>
      <c r="G381" s="8">
        <f>IF(D381=0,"",(D381-E381)/D381)</f>
        <v/>
      </c>
      <c r="H381" s="9" t="n">
        <v>861062</v>
      </c>
      <c r="I381" s="10" t="n">
        <v>0.952</v>
      </c>
      <c r="J381" s="10">
        <f>IF(COUNT(G131:G380)&lt;20,"",IF(COUNTIF(G131:G380,"&lt;"&amp;G381)&gt;=COUNT(G131:G380),(COUNT(G131:G380)-0.5)/COUNT(G131:G380),IF(COUNTIF(G131:G380,G381)&gt;0,(COUNTIF(G131:G380,"&lt;"&amp;G381)+0.5*COUNTIF(G131:G380,G381))/COUNT(G131:G380),COUNTIF(G131:G380,"&lt;"&amp;G381)/COUNT(G131:G380))))</f>
        <v/>
      </c>
      <c r="K381" s="6" t="inlineStr">
        <is>
          <t>高分位</t>
        </is>
      </c>
      <c r="L381" s="6" t="n">
        <v>40</v>
      </c>
      <c r="M381" s="6" t="inlineStr">
        <is>
          <t>Contango(远强)</t>
        </is>
      </c>
      <c r="N381" s="6" t="n">
        <v>1</v>
      </c>
      <c r="O381" s="6" t="n">
        <v>0</v>
      </c>
      <c r="P381" s="7" t="n">
        <v>-50</v>
      </c>
      <c r="Q381" s="6" t="inlineStr"/>
    </row>
    <row r="382">
      <c r="A382" s="11" t="inlineStr">
        <is>
          <t>2024-03-14</t>
        </is>
      </c>
      <c r="B382" s="11" t="inlineStr">
        <is>
          <t>MA2405</t>
        </is>
      </c>
      <c r="C382" s="11" t="inlineStr">
        <is>
          <t>2024-05</t>
        </is>
      </c>
      <c r="D382" s="12" t="n">
        <v>2701.67</v>
      </c>
      <c r="E382" s="12" t="n">
        <v>2536</v>
      </c>
      <c r="F382" s="12">
        <f>D382-E382</f>
        <v/>
      </c>
      <c r="G382" s="13">
        <f>IF(D382=0,"",(D382-E382)/D382)</f>
        <v/>
      </c>
      <c r="H382" s="14" t="n">
        <v>894826</v>
      </c>
      <c r="I382" s="15" t="n">
        <v>0.896</v>
      </c>
      <c r="J382" s="15">
        <f>IF(COUNT(G132:G381)&lt;20,"",IF(COUNTIF(G132:G381,"&lt;"&amp;G382)&gt;=COUNT(G132:G381),(COUNT(G132:G381)-0.5)/COUNT(G132:G381),IF(COUNTIF(G132:G381,G382)&gt;0,(COUNTIF(G132:G381,"&lt;"&amp;G382)+0.5*COUNTIF(G132:G381,G382))/COUNT(G132:G381),COUNTIF(G132:G381,"&lt;"&amp;G382)/COUNT(G132:G381))))</f>
        <v/>
      </c>
      <c r="K382" s="11" t="inlineStr">
        <is>
          <t>中间分位</t>
        </is>
      </c>
      <c r="L382" s="11" t="n">
        <v>39</v>
      </c>
      <c r="M382" s="11" t="inlineStr">
        <is>
          <t>Contango(远强)</t>
        </is>
      </c>
      <c r="N382" s="11" t="n">
        <v>1</v>
      </c>
      <c r="O382" s="11" t="n">
        <v>0</v>
      </c>
      <c r="P382" s="12" t="n">
        <v>-30</v>
      </c>
      <c r="Q382" s="11" t="inlineStr"/>
    </row>
    <row r="383">
      <c r="A383" s="6" t="inlineStr">
        <is>
          <t>2024-03-15</t>
        </is>
      </c>
      <c r="B383" s="6" t="inlineStr">
        <is>
          <t>MA2405</t>
        </is>
      </c>
      <c r="C383" s="6" t="inlineStr">
        <is>
          <t>2024-05</t>
        </is>
      </c>
      <c r="D383" s="7" t="n">
        <v>2710</v>
      </c>
      <c r="E383" s="7" t="n">
        <v>2565</v>
      </c>
      <c r="F383" s="7">
        <f>D383-E383</f>
        <v/>
      </c>
      <c r="G383" s="8">
        <f>IF(D383=0,"",(D383-E383)/D383)</f>
        <v/>
      </c>
      <c r="H383" s="9" t="n">
        <v>934242</v>
      </c>
      <c r="I383" s="10" t="n">
        <v>0.856</v>
      </c>
      <c r="J383" s="10">
        <f>IF(COUNT(G133:G382)&lt;20,"",IF(COUNTIF(G133:G382,"&lt;"&amp;G383)&gt;=COUNT(G133:G382),(COUNT(G133:G382)-0.5)/COUNT(G133:G382),IF(COUNTIF(G133:G382,G383)&gt;0,(COUNTIF(G133:G382,"&lt;"&amp;G383)+0.5*COUNTIF(G133:G382,G383))/COUNT(G133:G382),COUNTIF(G133:G382,"&lt;"&amp;G383)/COUNT(G133:G382))))</f>
        <v/>
      </c>
      <c r="K383" s="6" t="inlineStr">
        <is>
          <t>中间分位</t>
        </is>
      </c>
      <c r="L383" s="6" t="n">
        <v>38</v>
      </c>
      <c r="M383" s="6" t="inlineStr">
        <is>
          <t>结构不明</t>
        </is>
      </c>
      <c r="N383" s="6" t="n">
        <v>1</v>
      </c>
      <c r="O383" s="6" t="n">
        <v>0</v>
      </c>
      <c r="P383" s="7" t="n">
        <v>-20</v>
      </c>
      <c r="Q383" s="6" t="inlineStr"/>
    </row>
    <row r="384">
      <c r="A384" s="11" t="inlineStr">
        <is>
          <t>2024-03-18</t>
        </is>
      </c>
      <c r="B384" s="11" t="inlineStr">
        <is>
          <t>MA2405</t>
        </is>
      </c>
      <c r="C384" s="11" t="inlineStr">
        <is>
          <t>2024-05</t>
        </is>
      </c>
      <c r="D384" s="12" t="n">
        <v>2721.67</v>
      </c>
      <c r="E384" s="12" t="n">
        <v>2568</v>
      </c>
      <c r="F384" s="12">
        <f>D384-E384</f>
        <v/>
      </c>
      <c r="G384" s="13">
        <f>IF(D384=0,"",(D384-E384)/D384)</f>
        <v/>
      </c>
      <c r="H384" s="14" t="n">
        <v>971197</v>
      </c>
      <c r="I384" s="15" t="n">
        <v>0.868</v>
      </c>
      <c r="J384" s="15">
        <f>IF(COUNT(G134:G383)&lt;20,"",IF(COUNTIF(G134:G383,"&lt;"&amp;G384)&gt;=COUNT(G134:G383),(COUNT(G134:G383)-0.5)/COUNT(G134:G383),IF(COUNTIF(G134:G383,G384)&gt;0,(COUNTIF(G134:G383,"&lt;"&amp;G384)+0.5*COUNTIF(G134:G383,G384))/COUNT(G134:G383),COUNTIF(G134:G383,"&lt;"&amp;G384)/COUNT(G134:G383))))</f>
        <v/>
      </c>
      <c r="K384" s="11" t="inlineStr">
        <is>
          <t>中间分位</t>
        </is>
      </c>
      <c r="L384" s="11" t="n">
        <v>37</v>
      </c>
      <c r="M384" s="11" t="inlineStr">
        <is>
          <t>结构不明</t>
        </is>
      </c>
      <c r="N384" s="11" t="n">
        <v>1</v>
      </c>
      <c r="O384" s="11" t="n">
        <v>0</v>
      </c>
      <c r="P384" s="12" t="n">
        <v>-14</v>
      </c>
      <c r="Q384" s="11" t="inlineStr"/>
    </row>
    <row r="385">
      <c r="A385" s="6" t="inlineStr">
        <is>
          <t>2024-03-19</t>
        </is>
      </c>
      <c r="B385" s="6" t="inlineStr">
        <is>
          <t>MA2405</t>
        </is>
      </c>
      <c r="C385" s="6" t="inlineStr">
        <is>
          <t>2024-05</t>
        </is>
      </c>
      <c r="D385" s="7" t="n">
        <v>2701.67</v>
      </c>
      <c r="E385" s="7" t="n">
        <v>2587</v>
      </c>
      <c r="F385" s="7">
        <f>D385-E385</f>
        <v/>
      </c>
      <c r="G385" s="8">
        <f>IF(D385=0,"",(D385-E385)/D385)</f>
        <v/>
      </c>
      <c r="H385" s="9" t="n">
        <v>997678</v>
      </c>
      <c r="I385" s="10" t="n">
        <v>0.772</v>
      </c>
      <c r="J385" s="10">
        <f>IF(COUNT(G135:G384)&lt;20,"",IF(COUNTIF(G135:G384,"&lt;"&amp;G385)&gt;=COUNT(G135:G384),(COUNT(G135:G384)-0.5)/COUNT(G135:G384),IF(COUNTIF(G135:G384,G385)&gt;0,(COUNTIF(G135:G384,"&lt;"&amp;G385)+0.5*COUNTIF(G135:G384,G385))/COUNT(G135:G384),COUNTIF(G135:G384,"&lt;"&amp;G385)/COUNT(G135:G384))))</f>
        <v/>
      </c>
      <c r="K385" s="6" t="inlineStr">
        <is>
          <t>中间分位</t>
        </is>
      </c>
      <c r="L385" s="6" t="n">
        <v>36</v>
      </c>
      <c r="M385" s="6" t="inlineStr">
        <is>
          <t>结构不明</t>
        </is>
      </c>
      <c r="N385" s="6" t="n">
        <v>1</v>
      </c>
      <c r="O385" s="6" t="n">
        <v>0</v>
      </c>
      <c r="P385" s="7" t="n">
        <v>-16</v>
      </c>
      <c r="Q385" s="6" t="inlineStr"/>
    </row>
    <row r="386">
      <c r="A386" s="11" t="inlineStr">
        <is>
          <t>2024-03-20</t>
        </is>
      </c>
      <c r="B386" s="11" t="inlineStr">
        <is>
          <t>MA2405</t>
        </is>
      </c>
      <c r="C386" s="11" t="inlineStr">
        <is>
          <t>2024-05</t>
        </is>
      </c>
      <c r="D386" s="12" t="n">
        <v>2735.83</v>
      </c>
      <c r="E386" s="12" t="n">
        <v>2580</v>
      </c>
      <c r="F386" s="12">
        <f>D386-E386</f>
        <v/>
      </c>
      <c r="G386" s="13">
        <f>IF(D386=0,"",(D386-E386)/D386)</f>
        <v/>
      </c>
      <c r="H386" s="14" t="n">
        <v>962394</v>
      </c>
      <c r="I386" s="15" t="n">
        <v>0.868</v>
      </c>
      <c r="J386" s="15">
        <f>IF(COUNT(G136:G385)&lt;20,"",IF(COUNTIF(G136:G385,"&lt;"&amp;G386)&gt;=COUNT(G136:G385),(COUNT(G136:G385)-0.5)/COUNT(G136:G385),IF(COUNTIF(G136:G385,G386)&gt;0,(COUNTIF(G136:G385,"&lt;"&amp;G386)+0.5*COUNTIF(G136:G385,G386))/COUNT(G136:G385),COUNTIF(G136:G385,"&lt;"&amp;G386)/COUNT(G136:G385))))</f>
        <v/>
      </c>
      <c r="K386" s="11" t="inlineStr">
        <is>
          <t>中间分位</t>
        </is>
      </c>
      <c r="L386" s="11" t="n">
        <v>35</v>
      </c>
      <c r="M386" s="11" t="inlineStr">
        <is>
          <t>结构不明</t>
        </is>
      </c>
      <c r="N386" s="11" t="n">
        <v>1</v>
      </c>
      <c r="O386" s="11" t="n">
        <v>0</v>
      </c>
      <c r="P386" s="12" t="n">
        <v>-22</v>
      </c>
      <c r="Q386" s="11" t="inlineStr"/>
    </row>
    <row r="387">
      <c r="A387" s="6" t="inlineStr">
        <is>
          <t>2024-03-21</t>
        </is>
      </c>
      <c r="B387" s="6" t="inlineStr">
        <is>
          <t>MA2405</t>
        </is>
      </c>
      <c r="C387" s="6" t="inlineStr">
        <is>
          <t>2024-05</t>
        </is>
      </c>
      <c r="D387" s="7" t="n">
        <v>2723.33</v>
      </c>
      <c r="E387" s="7" t="n">
        <v>2554</v>
      </c>
      <c r="F387" s="7">
        <f>D387-E387</f>
        <v/>
      </c>
      <c r="G387" s="8">
        <f>IF(D387=0,"",(D387-E387)/D387)</f>
        <v/>
      </c>
      <c r="H387" s="9" t="n">
        <v>878753</v>
      </c>
      <c r="I387" s="10" t="n">
        <v>0.904</v>
      </c>
      <c r="J387" s="10">
        <f>IF(COUNT(G137:G386)&lt;20,"",IF(COUNTIF(G137:G386,"&lt;"&amp;G387)&gt;=COUNT(G137:G386),(COUNT(G137:G386)-0.5)/COUNT(G137:G386),IF(COUNTIF(G137:G386,G387)&gt;0,(COUNTIF(G137:G386,"&lt;"&amp;G387)+0.5*COUNTIF(G137:G386,G387))/COUNT(G137:G386),COUNTIF(G137:G386,"&lt;"&amp;G387)/COUNT(G137:G386))))</f>
        <v/>
      </c>
      <c r="K387" s="6" t="inlineStr">
        <is>
          <t>高分位</t>
        </is>
      </c>
      <c r="L387" s="6" t="n">
        <v>34</v>
      </c>
      <c r="M387" s="6" t="inlineStr">
        <is>
          <t>Contango(远强)</t>
        </is>
      </c>
      <c r="N387" s="6" t="n">
        <v>1</v>
      </c>
      <c r="O387" s="6" t="n">
        <v>0</v>
      </c>
      <c r="P387" s="7" t="n">
        <v>-42</v>
      </c>
      <c r="Q387" s="6" t="inlineStr"/>
    </row>
    <row r="388">
      <c r="A388" s="11" t="inlineStr">
        <is>
          <t>2024-03-22</t>
        </is>
      </c>
      <c r="B388" s="11" t="inlineStr">
        <is>
          <t>MA2405</t>
        </is>
      </c>
      <c r="C388" s="11" t="inlineStr">
        <is>
          <t>2024-05</t>
        </is>
      </c>
      <c r="D388" s="12" t="n">
        <v>2685.83</v>
      </c>
      <c r="E388" s="12" t="n">
        <v>2543</v>
      </c>
      <c r="F388" s="12">
        <f>D388-E388</f>
        <v/>
      </c>
      <c r="G388" s="13">
        <f>IF(D388=0,"",(D388-E388)/D388)</f>
        <v/>
      </c>
      <c r="H388" s="14" t="n">
        <v>826255</v>
      </c>
      <c r="I388" s="15" t="n">
        <v>0.836</v>
      </c>
      <c r="J388" s="15">
        <f>IF(COUNT(G138:G387)&lt;20,"",IF(COUNTIF(G138:G387,"&lt;"&amp;G388)&gt;=COUNT(G138:G387),(COUNT(G138:G387)-0.5)/COUNT(G138:G387),IF(COUNTIF(G138:G387,G388)&gt;0,(COUNTIF(G138:G387,"&lt;"&amp;G388)+0.5*COUNTIF(G138:G387,G388))/COUNT(G138:G387),COUNTIF(G138:G387,"&lt;"&amp;G388)/COUNT(G138:G387))))</f>
        <v/>
      </c>
      <c r="K388" s="11" t="inlineStr">
        <is>
          <t>中间分位</t>
        </is>
      </c>
      <c r="L388" s="11" t="n">
        <v>33</v>
      </c>
      <c r="M388" s="11" t="inlineStr">
        <is>
          <t>Contango(远强)</t>
        </is>
      </c>
      <c r="N388" s="11" t="n">
        <v>1</v>
      </c>
      <c r="O388" s="11" t="n">
        <v>0</v>
      </c>
      <c r="P388" s="12" t="n">
        <v>-42</v>
      </c>
      <c r="Q388" s="11" t="inlineStr"/>
    </row>
    <row r="389">
      <c r="A389" s="6" t="inlineStr">
        <is>
          <t>2024-03-25</t>
        </is>
      </c>
      <c r="B389" s="6" t="inlineStr">
        <is>
          <t>MA2405</t>
        </is>
      </c>
      <c r="C389" s="6" t="inlineStr">
        <is>
          <t>2024-05</t>
        </is>
      </c>
      <c r="D389" s="7" t="n">
        <v>2670</v>
      </c>
      <c r="E389" s="7" t="n">
        <v>2521</v>
      </c>
      <c r="F389" s="7">
        <f>D389-E389</f>
        <v/>
      </c>
      <c r="G389" s="8">
        <f>IF(D389=0,"",(D389-E389)/D389)</f>
        <v/>
      </c>
      <c r="H389" s="9" t="n">
        <v>790962</v>
      </c>
      <c r="I389" s="10" t="n">
        <v>0.856</v>
      </c>
      <c r="J389" s="10">
        <f>IF(COUNT(G139:G388)&lt;20,"",IF(COUNTIF(G139:G388,"&lt;"&amp;G389)&gt;=COUNT(G139:G388),(COUNT(G139:G388)-0.5)/COUNT(G139:G388),IF(COUNTIF(G139:G388,G389)&gt;0,(COUNTIF(G139:G388,"&lt;"&amp;G389)+0.5*COUNTIF(G139:G388,G389))/COUNT(G139:G388),COUNTIF(G139:G388,"&lt;"&amp;G389)/COUNT(G139:G388))))</f>
        <v/>
      </c>
      <c r="K389" s="6" t="inlineStr">
        <is>
          <t>中间分位</t>
        </is>
      </c>
      <c r="L389" s="6" t="n">
        <v>32</v>
      </c>
      <c r="M389" s="6" t="inlineStr">
        <is>
          <t>Contango(远强)</t>
        </is>
      </c>
      <c r="N389" s="6" t="n">
        <v>1</v>
      </c>
      <c r="O389" s="6" t="n">
        <v>0</v>
      </c>
      <c r="P389" s="7" t="n">
        <v>-42</v>
      </c>
      <c r="Q389" s="6" t="inlineStr"/>
    </row>
    <row r="390">
      <c r="A390" s="11" t="inlineStr">
        <is>
          <t>2024-03-26</t>
        </is>
      </c>
      <c r="B390" s="11" t="inlineStr">
        <is>
          <t>MA2405</t>
        </is>
      </c>
      <c r="C390" s="11" t="inlineStr">
        <is>
          <t>2024-05</t>
        </is>
      </c>
      <c r="D390" s="12" t="n">
        <v>2685.83</v>
      </c>
      <c r="E390" s="12" t="n">
        <v>2504</v>
      </c>
      <c r="F390" s="12">
        <f>D390-E390</f>
        <v/>
      </c>
      <c r="G390" s="13">
        <f>IF(D390=0,"",(D390-E390)/D390)</f>
        <v/>
      </c>
      <c r="H390" s="14" t="n">
        <v>752854</v>
      </c>
      <c r="I390" s="15" t="n">
        <v>0.9320000000000001</v>
      </c>
      <c r="J390" s="15">
        <f>IF(COUNT(G140:G389)&lt;20,"",IF(COUNTIF(G140:G389,"&lt;"&amp;G390)&gt;=COUNT(G140:G389),(COUNT(G140:G389)-0.5)/COUNT(G140:G389),IF(COUNTIF(G140:G389,G390)&gt;0,(COUNTIF(G140:G389,"&lt;"&amp;G390)+0.5*COUNTIF(G140:G389,G390))/COUNT(G140:G389),COUNTIF(G140:G389,"&lt;"&amp;G390)/COUNT(G140:G389))))</f>
        <v/>
      </c>
      <c r="K390" s="11" t="inlineStr">
        <is>
          <t>高分位</t>
        </is>
      </c>
      <c r="L390" s="11" t="n">
        <v>31</v>
      </c>
      <c r="M390" s="11" t="inlineStr">
        <is>
          <t>Contango(远强)</t>
        </is>
      </c>
      <c r="N390" s="11" t="n">
        <v>1</v>
      </c>
      <c r="O390" s="11" t="n">
        <v>0</v>
      </c>
      <c r="P390" s="12" t="n">
        <v>-52</v>
      </c>
      <c r="Q390" s="11" t="inlineStr"/>
    </row>
    <row r="391">
      <c r="A391" s="6" t="inlineStr">
        <is>
          <t>2024-03-27</t>
        </is>
      </c>
      <c r="B391" s="6" t="inlineStr">
        <is>
          <t>MA2405</t>
        </is>
      </c>
      <c r="C391" s="6" t="inlineStr">
        <is>
          <t>2024-05</t>
        </is>
      </c>
      <c r="D391" s="7" t="n">
        <v>2654.17</v>
      </c>
      <c r="E391" s="7" t="n">
        <v>2485</v>
      </c>
      <c r="F391" s="7">
        <f>D391-E391</f>
        <v/>
      </c>
      <c r="G391" s="8">
        <f>IF(D391=0,"",(D391-E391)/D391)</f>
        <v/>
      </c>
      <c r="H391" s="9" t="n">
        <v>712356</v>
      </c>
      <c r="I391" s="10" t="n">
        <v>0.908</v>
      </c>
      <c r="J391" s="10">
        <f>IF(COUNT(G141:G390)&lt;20,"",IF(COUNTIF(G141:G390,"&lt;"&amp;G391)&gt;=COUNT(G141:G390),(COUNT(G141:G390)-0.5)/COUNT(G141:G390),IF(COUNTIF(G141:G390,G391)&gt;0,(COUNTIF(G141:G390,"&lt;"&amp;G391)+0.5*COUNTIF(G141:G390,G391))/COUNT(G141:G390),COUNTIF(G141:G390,"&lt;"&amp;G391)/COUNT(G141:G390))))</f>
        <v/>
      </c>
      <c r="K391" s="6" t="inlineStr">
        <is>
          <t>高分位</t>
        </is>
      </c>
      <c r="L391" s="6" t="n">
        <v>30</v>
      </c>
      <c r="M391" s="6" t="inlineStr">
        <is>
          <t>Contango(远强)</t>
        </is>
      </c>
      <c r="N391" s="6" t="n">
        <v>1</v>
      </c>
      <c r="O391" s="6" t="n">
        <v>0</v>
      </c>
      <c r="P391" s="7" t="n">
        <v>-56</v>
      </c>
      <c r="Q391" s="6" t="inlineStr"/>
    </row>
    <row r="392">
      <c r="A392" s="11" t="inlineStr">
        <is>
          <t>2024-03-28</t>
        </is>
      </c>
      <c r="B392" s="11" t="inlineStr">
        <is>
          <t>MA2405</t>
        </is>
      </c>
      <c r="C392" s="11" t="inlineStr">
        <is>
          <t>2024-05</t>
        </is>
      </c>
      <c r="D392" s="12" t="n">
        <v>2636.67</v>
      </c>
      <c r="E392" s="12" t="n">
        <v>2462</v>
      </c>
      <c r="F392" s="12">
        <f>D392-E392</f>
        <v/>
      </c>
      <c r="G392" s="13">
        <f>IF(D392=0,"",(D392-E392)/D392)</f>
        <v/>
      </c>
      <c r="H392" s="14" t="n">
        <v>660116</v>
      </c>
      <c r="I392" s="15" t="n">
        <v>0.928</v>
      </c>
      <c r="J392" s="15">
        <f>IF(COUNT(G142:G391)&lt;20,"",IF(COUNTIF(G142:G391,"&lt;"&amp;G392)&gt;=COUNT(G142:G391),(COUNT(G142:G391)-0.5)/COUNT(G142:G391),IF(COUNTIF(G142:G391,G392)&gt;0,(COUNTIF(G142:G391,"&lt;"&amp;G392)+0.5*COUNTIF(G142:G391,G392))/COUNT(G142:G391),COUNTIF(G142:G391,"&lt;"&amp;G392)/COUNT(G142:G391))))</f>
        <v/>
      </c>
      <c r="K392" s="11" t="inlineStr">
        <is>
          <t>高分位</t>
        </is>
      </c>
      <c r="L392" s="11" t="n">
        <v>29</v>
      </c>
      <c r="M392" s="11" t="inlineStr">
        <is>
          <t>Contango(远强)</t>
        </is>
      </c>
      <c r="N392" s="11" t="n">
        <v>1</v>
      </c>
      <c r="O392" s="11" t="n">
        <v>0</v>
      </c>
      <c r="P392" s="12" t="n">
        <v>-51</v>
      </c>
      <c r="Q392" s="11" t="inlineStr"/>
    </row>
    <row r="393">
      <c r="A393" s="6" t="inlineStr">
        <is>
          <t>2024-03-29</t>
        </is>
      </c>
      <c r="B393" s="6" t="inlineStr">
        <is>
          <t>MA2405</t>
        </is>
      </c>
      <c r="C393" s="6" t="inlineStr">
        <is>
          <t>2024-05</t>
        </is>
      </c>
      <c r="D393" s="7" t="n">
        <v>2583.33</v>
      </c>
      <c r="E393" s="7" t="n">
        <v>2490</v>
      </c>
      <c r="F393" s="7">
        <f>D393-E393</f>
        <v/>
      </c>
      <c r="G393" s="8">
        <f>IF(D393=0,"",(D393-E393)/D393)</f>
        <v/>
      </c>
      <c r="H393" s="9" t="n">
        <v>673999</v>
      </c>
      <c r="I393" s="10" t="n">
        <v>0.68</v>
      </c>
      <c r="J393" s="10">
        <f>IF(COUNT(G143:G392)&lt;20,"",IF(COUNTIF(G143:G392,"&lt;"&amp;G393)&gt;=COUNT(G143:G392),(COUNT(G143:G392)-0.5)/COUNT(G143:G392),IF(COUNTIF(G143:G392,G393)&gt;0,(COUNTIF(G143:G392,"&lt;"&amp;G393)+0.5*COUNTIF(G143:G392,G393))/COUNT(G143:G392),COUNTIF(G143:G392,"&lt;"&amp;G393)/COUNT(G143:G392))))</f>
        <v/>
      </c>
      <c r="K393" s="6" t="inlineStr">
        <is>
          <t>中间分位</t>
        </is>
      </c>
      <c r="L393" s="6" t="n">
        <v>28</v>
      </c>
      <c r="M393" s="6" t="inlineStr">
        <is>
          <t>Back(近强)</t>
        </is>
      </c>
      <c r="N393" s="6" t="n">
        <v>1</v>
      </c>
      <c r="O393" s="6" t="n">
        <v>0</v>
      </c>
      <c r="P393" s="7" t="n">
        <v>-10</v>
      </c>
      <c r="Q393" s="6" t="inlineStr"/>
    </row>
    <row r="394">
      <c r="A394" s="11" t="inlineStr">
        <is>
          <t>2024-04-01</t>
        </is>
      </c>
      <c r="B394" s="11" t="inlineStr">
        <is>
          <t>MA2405</t>
        </is>
      </c>
      <c r="C394" s="11" t="inlineStr">
        <is>
          <t>2024-05</t>
        </is>
      </c>
      <c r="D394" s="12" t="n">
        <v>2593.33</v>
      </c>
      <c r="E394" s="12" t="n">
        <v>2524</v>
      </c>
      <c r="F394" s="12">
        <f>D394-E394</f>
        <v/>
      </c>
      <c r="G394" s="13">
        <f>IF(D394=0,"",(D394-E394)/D394)</f>
        <v/>
      </c>
      <c r="H394" s="14" t="n">
        <v>646718</v>
      </c>
      <c r="I394" s="15" t="n">
        <v>0.6</v>
      </c>
      <c r="J394" s="15">
        <f>IF(COUNT(G144:G393)&lt;20,"",IF(COUNTIF(G144:G393,"&lt;"&amp;G394)&gt;=COUNT(G144:G393),(COUNT(G144:G393)-0.5)/COUNT(G144:G393),IF(COUNTIF(G144:G393,G394)&gt;0,(COUNTIF(G144:G393,"&lt;"&amp;G394)+0.5*COUNTIF(G144:G393,G394))/COUNT(G144:G393),COUNTIF(G144:G393,"&lt;"&amp;G394)/COUNT(G144:G393))))</f>
        <v/>
      </c>
      <c r="K394" s="11" t="inlineStr">
        <is>
          <t>中间分位</t>
        </is>
      </c>
      <c r="L394" s="11" t="n">
        <v>27</v>
      </c>
      <c r="M394" s="11" t="inlineStr">
        <is>
          <t>Contango(远强)</t>
        </is>
      </c>
      <c r="N394" s="11" t="n">
        <v>1</v>
      </c>
      <c r="O394" s="11" t="n">
        <v>0</v>
      </c>
      <c r="P394" s="12" t="n">
        <v>-35</v>
      </c>
      <c r="Q394" s="11" t="inlineStr"/>
    </row>
    <row r="395">
      <c r="A395" s="6" t="inlineStr">
        <is>
          <t>2024-04-02</t>
        </is>
      </c>
      <c r="B395" s="6" t="inlineStr">
        <is>
          <t>MA2405</t>
        </is>
      </c>
      <c r="C395" s="6" t="inlineStr">
        <is>
          <t>2024-05</t>
        </is>
      </c>
      <c r="D395" s="7" t="n">
        <v>2623.33</v>
      </c>
      <c r="E395" s="7" t="n">
        <v>2521</v>
      </c>
      <c r="F395" s="7">
        <f>D395-E395</f>
        <v/>
      </c>
      <c r="G395" s="8">
        <f>IF(D395=0,"",(D395-E395)/D395)</f>
        <v/>
      </c>
      <c r="H395" s="9" t="n">
        <v>588166</v>
      </c>
      <c r="I395" s="10" t="n">
        <v>0.7</v>
      </c>
      <c r="J395" s="10">
        <f>IF(COUNT(G145:G394)&lt;20,"",IF(COUNTIF(G145:G394,"&lt;"&amp;G395)&gt;=COUNT(G145:G394),(COUNT(G145:G394)-0.5)/COUNT(G145:G394),IF(COUNTIF(G145:G394,G395)&gt;0,(COUNTIF(G145:G394,"&lt;"&amp;G395)+0.5*COUNTIF(G145:G394,G395))/COUNT(G145:G394),COUNTIF(G145:G394,"&lt;"&amp;G395)/COUNT(G145:G394))))</f>
        <v/>
      </c>
      <c r="K395" s="6" t="inlineStr">
        <is>
          <t>中间分位</t>
        </is>
      </c>
      <c r="L395" s="6" t="n">
        <v>26</v>
      </c>
      <c r="M395" s="6" t="inlineStr">
        <is>
          <t>Back(近强)</t>
        </is>
      </c>
      <c r="N395" s="6" t="n">
        <v>1</v>
      </c>
      <c r="O395" s="6" t="n">
        <v>0</v>
      </c>
      <c r="P395" s="7" t="n">
        <v>40</v>
      </c>
      <c r="Q395" s="6" t="inlineStr"/>
    </row>
    <row r="396">
      <c r="A396" s="11" t="inlineStr">
        <is>
          <t>2024-04-03</t>
        </is>
      </c>
      <c r="B396" s="11" t="inlineStr">
        <is>
          <t>MA2405</t>
        </is>
      </c>
      <c r="C396" s="11" t="inlineStr">
        <is>
          <t>2024-05</t>
        </is>
      </c>
      <c r="D396" s="12" t="n">
        <v>2628.33</v>
      </c>
      <c r="E396" s="12" t="n">
        <v>2517</v>
      </c>
      <c r="F396" s="12">
        <f>D396-E396</f>
        <v/>
      </c>
      <c r="G396" s="13">
        <f>IF(D396=0,"",(D396-E396)/D396)</f>
        <v/>
      </c>
      <c r="H396" s="14" t="n">
        <v>536115</v>
      </c>
      <c r="I396" s="15" t="n">
        <v>0.748</v>
      </c>
      <c r="J396" s="15">
        <f>IF(COUNT(G146:G395)&lt;20,"",IF(COUNTIF(G146:G395,"&lt;"&amp;G396)&gt;=COUNT(G146:G395),(COUNT(G146:G395)-0.5)/COUNT(G146:G395),IF(COUNTIF(G146:G395,G396)&gt;0,(COUNTIF(G146:G395,"&lt;"&amp;G396)+0.5*COUNTIF(G146:G395,G396))/COUNT(G146:G395),COUNTIF(G146:G395,"&lt;"&amp;G396)/COUNT(G146:G395))))</f>
        <v/>
      </c>
      <c r="K396" s="11" t="inlineStr">
        <is>
          <t>中间分位</t>
        </is>
      </c>
      <c r="L396" s="11" t="n">
        <v>25</v>
      </c>
      <c r="M396" s="11" t="inlineStr">
        <is>
          <t>Back(近强)</t>
        </is>
      </c>
      <c r="N396" s="11" t="n">
        <v>1</v>
      </c>
      <c r="O396" s="11" t="n">
        <v>0</v>
      </c>
      <c r="P396" s="12" t="n">
        <v>40</v>
      </c>
      <c r="Q396" s="11" t="inlineStr"/>
    </row>
    <row r="397">
      <c r="A397" s="6" t="inlineStr">
        <is>
          <t>2024-04-08</t>
        </is>
      </c>
      <c r="B397" s="6" t="inlineStr">
        <is>
          <t>MA2405</t>
        </is>
      </c>
      <c r="C397" s="6" t="inlineStr">
        <is>
          <t>2024-05</t>
        </is>
      </c>
      <c r="D397" s="7" t="n">
        <v>2615.83</v>
      </c>
      <c r="E397" s="7" t="n">
        <v>2493</v>
      </c>
      <c r="F397" s="7">
        <f>D397-E397</f>
        <v/>
      </c>
      <c r="G397" s="8">
        <f>IF(D397=0,"",(D397-E397)/D397)</f>
        <v/>
      </c>
      <c r="H397" s="9" t="n">
        <v>510051</v>
      </c>
      <c r="I397" s="10" t="n">
        <v>0.784</v>
      </c>
      <c r="J397" s="10">
        <f>IF(COUNT(G147:G396)&lt;20,"",IF(COUNTIF(G147:G396,"&lt;"&amp;G397)&gt;=COUNT(G147:G396),(COUNT(G147:G396)-0.5)/COUNT(G147:G396),IF(COUNTIF(G147:G396,G397)&gt;0,(COUNTIF(G147:G396,"&lt;"&amp;G397)+0.5*COUNTIF(G147:G396,G397))/COUNT(G147:G396),COUNTIF(G147:G396,"&lt;"&amp;G397)/COUNT(G147:G396))))</f>
        <v/>
      </c>
      <c r="K397" s="6" t="inlineStr">
        <is>
          <t>中间分位</t>
        </is>
      </c>
      <c r="L397" s="6" t="n">
        <v>24</v>
      </c>
      <c r="M397" s="6" t="inlineStr">
        <is>
          <t>Back(近强)</t>
        </is>
      </c>
      <c r="N397" s="6" t="n">
        <v>1</v>
      </c>
      <c r="O397" s="6" t="n">
        <v>0</v>
      </c>
      <c r="P397" s="7" t="n">
        <v>37</v>
      </c>
      <c r="Q397" s="6" t="inlineStr"/>
    </row>
    <row r="398">
      <c r="A398" s="11" t="inlineStr">
        <is>
          <t>2024-04-09</t>
        </is>
      </c>
      <c r="B398" s="11" t="inlineStr">
        <is>
          <t>MA2405</t>
        </is>
      </c>
      <c r="C398" s="11" t="inlineStr">
        <is>
          <t>2024-05</t>
        </is>
      </c>
      <c r="D398" s="12" t="n">
        <v>2580</v>
      </c>
      <c r="E398" s="12" t="n">
        <v>2479</v>
      </c>
      <c r="F398" s="12">
        <f>D398-E398</f>
        <v/>
      </c>
      <c r="G398" s="13">
        <f>IF(D398=0,"",(D398-E398)/D398)</f>
        <v/>
      </c>
      <c r="H398" s="14" t="n">
        <v>486551</v>
      </c>
      <c r="I398" s="15" t="n">
        <v>0.696</v>
      </c>
      <c r="J398" s="15">
        <f>IF(COUNT(G148:G397)&lt;20,"",IF(COUNTIF(G148:G397,"&lt;"&amp;G398)&gt;=COUNT(G148:G397),(COUNT(G148:G397)-0.5)/COUNT(G148:G397),IF(COUNTIF(G148:G397,G398)&gt;0,(COUNTIF(G148:G397,"&lt;"&amp;G398)+0.5*COUNTIF(G148:G397,G398))/COUNT(G148:G397),COUNTIF(G148:G397,"&lt;"&amp;G398)/COUNT(G148:G397))))</f>
        <v/>
      </c>
      <c r="K398" s="11" t="inlineStr">
        <is>
          <t>中间分位</t>
        </is>
      </c>
      <c r="L398" s="11" t="n">
        <v>23</v>
      </c>
      <c r="M398" s="11" t="inlineStr">
        <is>
          <t>Back(近强)</t>
        </is>
      </c>
      <c r="N398" s="11" t="n">
        <v>1</v>
      </c>
      <c r="O398" s="11" t="n">
        <v>0</v>
      </c>
      <c r="P398" s="12" t="n">
        <v>24</v>
      </c>
      <c r="Q398" s="11" t="inlineStr"/>
    </row>
    <row r="399">
      <c r="A399" s="6" t="inlineStr">
        <is>
          <t>2024-04-10</t>
        </is>
      </c>
      <c r="B399" s="6" t="inlineStr">
        <is>
          <t>MA2405</t>
        </is>
      </c>
      <c r="C399" s="6" t="inlineStr">
        <is>
          <t>2024-05</t>
        </is>
      </c>
      <c r="D399" s="7" t="n">
        <v>2545.83</v>
      </c>
      <c r="E399" s="7" t="n">
        <v>2520</v>
      </c>
      <c r="F399" s="7">
        <f>D399-E399</f>
        <v/>
      </c>
      <c r="G399" s="8">
        <f>IF(D399=0,"",(D399-E399)/D399)</f>
        <v/>
      </c>
      <c r="H399" s="9" t="n">
        <v>451194</v>
      </c>
      <c r="I399" s="10" t="n">
        <v>0.396</v>
      </c>
      <c r="J399" s="10">
        <f>IF(COUNT(G149:G398)&lt;20,"",IF(COUNTIF(G149:G398,"&lt;"&amp;G399)&gt;=COUNT(G149:G398),(COUNT(G149:G398)-0.5)/COUNT(G149:G398),IF(COUNTIF(G149:G398,G399)&gt;0,(COUNTIF(G149:G398,"&lt;"&amp;G399)+0.5*COUNTIF(G149:G398,G399))/COUNT(G149:G398),COUNTIF(G149:G398,"&lt;"&amp;G399)/COUNT(G149:G398))))</f>
        <v/>
      </c>
      <c r="K399" s="6" t="inlineStr">
        <is>
          <t>中间分位</t>
        </is>
      </c>
      <c r="L399" s="6" t="n">
        <v>22</v>
      </c>
      <c r="M399" s="6" t="inlineStr">
        <is>
          <t>Back(近强)</t>
        </is>
      </c>
      <c r="N399" s="6" t="n">
        <v>1</v>
      </c>
      <c r="O399" s="6" t="n">
        <v>0</v>
      </c>
      <c r="P399" s="7" t="n">
        <v>33</v>
      </c>
      <c r="Q399" s="6" t="inlineStr"/>
    </row>
    <row r="400">
      <c r="A400" s="11" t="inlineStr">
        <is>
          <t>2024-04-11</t>
        </is>
      </c>
      <c r="B400" s="11" t="inlineStr">
        <is>
          <t>MA2409</t>
        </is>
      </c>
      <c r="C400" s="11" t="inlineStr">
        <is>
          <t>2024-09</t>
        </is>
      </c>
      <c r="D400" s="12" t="n">
        <v>2571.67</v>
      </c>
      <c r="E400" s="12" t="n">
        <v>2468</v>
      </c>
      <c r="F400" s="12">
        <f>D400-E400</f>
        <v/>
      </c>
      <c r="G400" s="13">
        <f>IF(D400=0,"",(D400-E400)/D400)</f>
        <v/>
      </c>
      <c r="H400" s="14" t="n">
        <v>491480</v>
      </c>
      <c r="I400" s="15" t="n">
        <v>0.716</v>
      </c>
      <c r="J400" s="15">
        <f>IF(COUNT(G150:G399)&lt;20,"",IF(COUNTIF(G150:G399,"&lt;"&amp;G400)&gt;=COUNT(G150:G399),(COUNT(G150:G399)-0.5)/COUNT(G150:G399),IF(COUNTIF(G150:G399,G400)&gt;0,(COUNTIF(G150:G399,"&lt;"&amp;G400)+0.5*COUNTIF(G150:G399,G400))/COUNT(G150:G399),COUNTIF(G150:G399,"&lt;"&amp;G400)/COUNT(G150:G399))))</f>
        <v/>
      </c>
      <c r="K400" s="11" t="inlineStr">
        <is>
          <t>中间分位</t>
        </is>
      </c>
      <c r="L400" s="11" t="n">
        <v>106</v>
      </c>
      <c r="M400" s="11" t="inlineStr">
        <is>
          <t>Contango(远强)</t>
        </is>
      </c>
      <c r="N400" s="11" t="n">
        <v>1</v>
      </c>
      <c r="O400" s="11" t="n">
        <v>1</v>
      </c>
      <c r="P400" s="12" t="n">
        <v>-46</v>
      </c>
      <c r="Q400" s="11" t="inlineStr"/>
    </row>
    <row r="401">
      <c r="A401" s="6" t="inlineStr">
        <is>
          <t>2024-04-12</t>
        </is>
      </c>
      <c r="B401" s="6" t="inlineStr">
        <is>
          <t>MA2409</t>
        </is>
      </c>
      <c r="C401" s="6" t="inlineStr">
        <is>
          <t>2024-09</t>
        </is>
      </c>
      <c r="D401" s="7" t="n">
        <v>2580</v>
      </c>
      <c r="E401" s="7" t="n">
        <v>2476</v>
      </c>
      <c r="F401" s="7">
        <f>D401-E401</f>
        <v/>
      </c>
      <c r="G401" s="8">
        <f>IF(D401=0,"",(D401-E401)/D401)</f>
        <v/>
      </c>
      <c r="H401" s="9" t="n">
        <v>540359</v>
      </c>
      <c r="I401" s="10" t="n">
        <v>0.716</v>
      </c>
      <c r="J401" s="10">
        <f>IF(COUNT(G151:G400)&lt;20,"",IF(COUNTIF(G151:G400,"&lt;"&amp;G401)&gt;=COUNT(G151:G400),(COUNT(G151:G400)-0.5)/COUNT(G151:G400),IF(COUNTIF(G151:G400,G401)&gt;0,(COUNTIF(G151:G400,"&lt;"&amp;G401)+0.5*COUNTIF(G151:G400,G401))/COUNT(G151:G400),COUNTIF(G151:G400,"&lt;"&amp;G401)/COUNT(G151:G400))))</f>
        <v/>
      </c>
      <c r="K401" s="6" t="inlineStr">
        <is>
          <t>中间分位</t>
        </is>
      </c>
      <c r="L401" s="6" t="n">
        <v>105</v>
      </c>
      <c r="M401" s="6" t="inlineStr">
        <is>
          <t>Contango(远强)</t>
        </is>
      </c>
      <c r="N401" s="6" t="n">
        <v>1</v>
      </c>
      <c r="O401" s="6" t="n">
        <v>0</v>
      </c>
      <c r="P401" s="7" t="n">
        <v>-37</v>
      </c>
      <c r="Q401" s="6" t="inlineStr"/>
    </row>
    <row r="402">
      <c r="A402" s="11" t="inlineStr">
        <is>
          <t>2024-04-15</t>
        </is>
      </c>
      <c r="B402" s="11" t="inlineStr">
        <is>
          <t>MA2409</t>
        </is>
      </c>
      <c r="C402" s="11" t="inlineStr">
        <is>
          <t>2024-09</t>
        </is>
      </c>
      <c r="D402" s="12" t="n">
        <v>2580</v>
      </c>
      <c r="E402" s="12" t="n">
        <v>2521</v>
      </c>
      <c r="F402" s="12">
        <f>D402-E402</f>
        <v/>
      </c>
      <c r="G402" s="13">
        <f>IF(D402=0,"",(D402-E402)/D402)</f>
        <v/>
      </c>
      <c r="H402" s="14" t="n">
        <v>691742</v>
      </c>
      <c r="I402" s="15" t="n">
        <v>0.5679999999999999</v>
      </c>
      <c r="J402" s="15">
        <f>IF(COUNT(G152:G401)&lt;20,"",IF(COUNTIF(G152:G401,"&lt;"&amp;G402)&gt;=COUNT(G152:G401),(COUNT(G152:G401)-0.5)/COUNT(G152:G401),IF(COUNTIF(G152:G401,G402)&gt;0,(COUNTIF(G152:G401,"&lt;"&amp;G402)+0.5*COUNTIF(G152:G401,G402))/COUNT(G152:G401),COUNTIF(G152:G401,"&lt;"&amp;G402)/COUNT(G152:G401))))</f>
        <v/>
      </c>
      <c r="K402" s="11" t="inlineStr">
        <is>
          <t>中间分位</t>
        </is>
      </c>
      <c r="L402" s="11" t="n">
        <v>104</v>
      </c>
      <c r="M402" s="11" t="inlineStr">
        <is>
          <t>Contango(远强)</t>
        </is>
      </c>
      <c r="N402" s="11" t="n">
        <v>1</v>
      </c>
      <c r="O402" s="11" t="n">
        <v>0</v>
      </c>
      <c r="P402" s="12" t="n">
        <v>-35</v>
      </c>
      <c r="Q402" s="11" t="inlineStr"/>
    </row>
    <row r="403">
      <c r="A403" s="6" t="inlineStr">
        <is>
          <t>2024-04-16</t>
        </is>
      </c>
      <c r="B403" s="6" t="inlineStr">
        <is>
          <t>MA2409</t>
        </is>
      </c>
      <c r="C403" s="6" t="inlineStr">
        <is>
          <t>2024-09</t>
        </is>
      </c>
      <c r="D403" s="7" t="n">
        <v>2645.83</v>
      </c>
      <c r="E403" s="7" t="n">
        <v>2513</v>
      </c>
      <c r="F403" s="7">
        <f>D403-E403</f>
        <v/>
      </c>
      <c r="G403" s="8">
        <f>IF(D403=0,"",(D403-E403)/D403)</f>
        <v/>
      </c>
      <c r="H403" s="9" t="n">
        <v>749894</v>
      </c>
      <c r="I403" s="10" t="n">
        <v>0.8080000000000001</v>
      </c>
      <c r="J403" s="10">
        <f>IF(COUNT(G153:G402)&lt;20,"",IF(COUNTIF(G153:G402,"&lt;"&amp;G403)&gt;=COUNT(G153:G402),(COUNT(G153:G402)-0.5)/COUNT(G153:G402),IF(COUNTIF(G153:G402,G403)&gt;0,(COUNTIF(G153:G402,"&lt;"&amp;G403)+0.5*COUNTIF(G153:G402,G403))/COUNT(G153:G402),COUNTIF(G153:G402,"&lt;"&amp;G403)/COUNT(G153:G402))))</f>
        <v/>
      </c>
      <c r="K403" s="6" t="inlineStr">
        <is>
          <t>中间分位</t>
        </is>
      </c>
      <c r="L403" s="6" t="n">
        <v>103</v>
      </c>
      <c r="M403" s="6" t="inlineStr">
        <is>
          <t>结构不明</t>
        </is>
      </c>
      <c r="N403" s="6" t="n">
        <v>1</v>
      </c>
      <c r="O403" s="6" t="n">
        <v>0</v>
      </c>
      <c r="P403" s="7" t="n">
        <v>-33</v>
      </c>
      <c r="Q403" s="6" t="inlineStr"/>
    </row>
    <row r="404">
      <c r="A404" s="11" t="inlineStr">
        <is>
          <t>2024-04-17</t>
        </is>
      </c>
      <c r="B404" s="11" t="inlineStr">
        <is>
          <t>MA2409</t>
        </is>
      </c>
      <c r="C404" s="11" t="inlineStr">
        <is>
          <t>2024-09</t>
        </is>
      </c>
      <c r="D404" s="12" t="n">
        <v>2640</v>
      </c>
      <c r="E404" s="12" t="n">
        <v>2527</v>
      </c>
      <c r="F404" s="12">
        <f>D404-E404</f>
        <v/>
      </c>
      <c r="G404" s="13">
        <f>IF(D404=0,"",(D404-E404)/D404)</f>
        <v/>
      </c>
      <c r="H404" s="14" t="n">
        <v>810019</v>
      </c>
      <c r="I404" s="15" t="n">
        <v>0.744</v>
      </c>
      <c r="J404" s="15">
        <f>IF(COUNT(G154:G403)&lt;20,"",IF(COUNTIF(G154:G403,"&lt;"&amp;G404)&gt;=COUNT(G154:G403),(COUNT(G154:G403)-0.5)/COUNT(G154:G403),IF(COUNTIF(G154:G403,G404)&gt;0,(COUNTIF(G154:G403,"&lt;"&amp;G404)+0.5*COUNTIF(G154:G403,G404))/COUNT(G154:G403),COUNTIF(G154:G403,"&lt;"&amp;G404)/COUNT(G154:G403))))</f>
        <v/>
      </c>
      <c r="K404" s="11" t="inlineStr">
        <is>
          <t>中间分位</t>
        </is>
      </c>
      <c r="L404" s="11" t="n">
        <v>102</v>
      </c>
      <c r="M404" s="11" t="inlineStr">
        <is>
          <t>Contango(远强)</t>
        </is>
      </c>
      <c r="N404" s="11" t="n">
        <v>1</v>
      </c>
      <c r="O404" s="11" t="n">
        <v>0</v>
      </c>
      <c r="P404" s="12" t="n">
        <v>-41</v>
      </c>
      <c r="Q404" s="11" t="inlineStr"/>
    </row>
    <row r="405">
      <c r="A405" s="6" t="inlineStr">
        <is>
          <t>2024-04-18</t>
        </is>
      </c>
      <c r="B405" s="6" t="inlineStr">
        <is>
          <t>MA2409</t>
        </is>
      </c>
      <c r="C405" s="6" t="inlineStr">
        <is>
          <t>2024-09</t>
        </is>
      </c>
      <c r="D405" s="7" t="n">
        <v>2660</v>
      </c>
      <c r="E405" s="7" t="n">
        <v>2558</v>
      </c>
      <c r="F405" s="7">
        <f>D405-E405</f>
        <v/>
      </c>
      <c r="G405" s="8">
        <f>IF(D405=0,"",(D405-E405)/D405)</f>
        <v/>
      </c>
      <c r="H405" s="9" t="n">
        <v>881185</v>
      </c>
      <c r="I405" s="10" t="n">
        <v>0.68</v>
      </c>
      <c r="J405" s="10">
        <f>IF(COUNT(G155:G404)&lt;20,"",IF(COUNTIF(G155:G404,"&lt;"&amp;G405)&gt;=COUNT(G155:G404),(COUNT(G155:G404)-0.5)/COUNT(G155:G404),IF(COUNTIF(G155:G404,G405)&gt;0,(COUNTIF(G155:G404,"&lt;"&amp;G405)+0.5*COUNTIF(G155:G404,G405))/COUNT(G155:G404),COUNTIF(G155:G404,"&lt;"&amp;G405)/COUNT(G155:G404))))</f>
        <v/>
      </c>
      <c r="K405" s="6" t="inlineStr">
        <is>
          <t>中间分位</t>
        </is>
      </c>
      <c r="L405" s="6" t="n">
        <v>101</v>
      </c>
      <c r="M405" s="6" t="inlineStr">
        <is>
          <t>Contango(远强)</t>
        </is>
      </c>
      <c r="N405" s="6" t="n">
        <v>1</v>
      </c>
      <c r="O405" s="6" t="n">
        <v>0</v>
      </c>
      <c r="P405" s="7" t="n">
        <v>-42</v>
      </c>
      <c r="Q405" s="6" t="inlineStr"/>
    </row>
    <row r="406">
      <c r="A406" s="11" t="inlineStr">
        <is>
          <t>2024-04-19</t>
        </is>
      </c>
      <c r="B406" s="11" t="inlineStr">
        <is>
          <t>MA2409</t>
        </is>
      </c>
      <c r="C406" s="11" t="inlineStr">
        <is>
          <t>2024-09</t>
        </is>
      </c>
      <c r="D406" s="12" t="n">
        <v>2691.67</v>
      </c>
      <c r="E406" s="12" t="n">
        <v>2579</v>
      </c>
      <c r="F406" s="12">
        <f>D406-E406</f>
        <v/>
      </c>
      <c r="G406" s="13">
        <f>IF(D406=0,"",(D406-E406)/D406)</f>
        <v/>
      </c>
      <c r="H406" s="14" t="n">
        <v>888081</v>
      </c>
      <c r="I406" s="15" t="n">
        <v>0.732</v>
      </c>
      <c r="J406" s="15">
        <f>IF(COUNT(G156:G405)&lt;20,"",IF(COUNTIF(G156:G405,"&lt;"&amp;G406)&gt;=COUNT(G156:G405),(COUNT(G156:G405)-0.5)/COUNT(G156:G405),IF(COUNTIF(G156:G405,G406)&gt;0,(COUNTIF(G156:G405,"&lt;"&amp;G406)+0.5*COUNTIF(G156:G405,G406))/COUNT(G156:G405),COUNTIF(G156:G405,"&lt;"&amp;G406)/COUNT(G156:G405))))</f>
        <v/>
      </c>
      <c r="K406" s="11" t="inlineStr">
        <is>
          <t>中间分位</t>
        </is>
      </c>
      <c r="L406" s="11" t="n">
        <v>100</v>
      </c>
      <c r="M406" s="11" t="inlineStr">
        <is>
          <t>Contango(远强)</t>
        </is>
      </c>
      <c r="N406" s="11" t="n">
        <v>1</v>
      </c>
      <c r="O406" s="11" t="n">
        <v>0</v>
      </c>
      <c r="P406" s="12" t="n">
        <v>-38</v>
      </c>
      <c r="Q406" s="11" t="inlineStr"/>
    </row>
    <row r="407">
      <c r="A407" s="6" t="inlineStr">
        <is>
          <t>2024-04-22</t>
        </is>
      </c>
      <c r="B407" s="6" t="inlineStr">
        <is>
          <t>MA2409</t>
        </is>
      </c>
      <c r="C407" s="6" t="inlineStr">
        <is>
          <t>2024-09</t>
        </is>
      </c>
      <c r="D407" s="7" t="n">
        <v>2713.33</v>
      </c>
      <c r="E407" s="7" t="n">
        <v>2558</v>
      </c>
      <c r="F407" s="7">
        <f>D407-E407</f>
        <v/>
      </c>
      <c r="G407" s="8">
        <f>IF(D407=0,"",(D407-E407)/D407)</f>
        <v/>
      </c>
      <c r="H407" s="9" t="n">
        <v>908238</v>
      </c>
      <c r="I407" s="10" t="n">
        <v>0.856</v>
      </c>
      <c r="J407" s="10">
        <f>IF(COUNT(G157:G406)&lt;20,"",IF(COUNTIF(G157:G406,"&lt;"&amp;G407)&gt;=COUNT(G157:G406),(COUNT(G157:G406)-0.5)/COUNT(G157:G406),IF(COUNTIF(G157:G406,G407)&gt;0,(COUNTIF(G157:G406,"&lt;"&amp;G407)+0.5*COUNTIF(G157:G406,G407))/COUNT(G157:G406),COUNTIF(G157:G406,"&lt;"&amp;G407)/COUNT(G157:G406))))</f>
        <v/>
      </c>
      <c r="K407" s="6" t="inlineStr">
        <is>
          <t>中间分位</t>
        </is>
      </c>
      <c r="L407" s="6" t="n">
        <v>99</v>
      </c>
      <c r="M407" s="6" t="inlineStr">
        <is>
          <t>Contango(远强)</t>
        </is>
      </c>
      <c r="N407" s="6" t="n">
        <v>1</v>
      </c>
      <c r="O407" s="6" t="n">
        <v>0</v>
      </c>
      <c r="P407" s="7" t="n">
        <v>-56</v>
      </c>
      <c r="Q407" s="6" t="inlineStr"/>
    </row>
    <row r="408">
      <c r="A408" s="11" t="inlineStr">
        <is>
          <t>2024-04-23</t>
        </is>
      </c>
      <c r="B408" s="11" t="inlineStr">
        <is>
          <t>MA2409</t>
        </is>
      </c>
      <c r="C408" s="11" t="inlineStr">
        <is>
          <t>2024-09</t>
        </is>
      </c>
      <c r="D408" s="12" t="n">
        <v>2715.83</v>
      </c>
      <c r="E408" s="12" t="n">
        <v>2506</v>
      </c>
      <c r="F408" s="12">
        <f>D408-E408</f>
        <v/>
      </c>
      <c r="G408" s="13">
        <f>IF(D408=0,"",(D408-E408)/D408)</f>
        <v/>
      </c>
      <c r="H408" s="14" t="n">
        <v>861294</v>
      </c>
      <c r="I408" s="15" t="n">
        <v>0.976</v>
      </c>
      <c r="J408" s="15">
        <f>IF(COUNT(G158:G407)&lt;20,"",IF(COUNTIF(G158:G407,"&lt;"&amp;G408)&gt;=COUNT(G158:G407),(COUNT(G158:G407)-0.5)/COUNT(G158:G407),IF(COUNTIF(G158:G407,G408)&gt;0,(COUNTIF(G158:G407,"&lt;"&amp;G408)+0.5*COUNTIF(G158:G407,G408))/COUNT(G158:G407),COUNTIF(G158:G407,"&lt;"&amp;G408)/COUNT(G158:G407))))</f>
        <v/>
      </c>
      <c r="K408" s="11" t="inlineStr">
        <is>
          <t>高分位</t>
        </is>
      </c>
      <c r="L408" s="11" t="n">
        <v>98</v>
      </c>
      <c r="M408" s="11" t="inlineStr">
        <is>
          <t>Contango(远强)</t>
        </is>
      </c>
      <c r="N408" s="11" t="n">
        <v>1</v>
      </c>
      <c r="O408" s="11" t="n">
        <v>0</v>
      </c>
      <c r="P408" s="12" t="n">
        <v>-41</v>
      </c>
      <c r="Q408" s="11" t="inlineStr"/>
    </row>
    <row r="409">
      <c r="A409" s="6" t="inlineStr">
        <is>
          <t>2024-04-24</t>
        </is>
      </c>
      <c r="B409" s="6" t="inlineStr">
        <is>
          <t>MA2409</t>
        </is>
      </c>
      <c r="C409" s="6" t="inlineStr">
        <is>
          <t>2024-09</t>
        </is>
      </c>
      <c r="D409" s="7" t="n">
        <v>2700</v>
      </c>
      <c r="E409" s="7" t="n">
        <v>2511</v>
      </c>
      <c r="F409" s="7">
        <f>D409-E409</f>
        <v/>
      </c>
      <c r="G409" s="8">
        <f>IF(D409=0,"",(D409-E409)/D409)</f>
        <v/>
      </c>
      <c r="H409" s="9" t="n">
        <v>830305</v>
      </c>
      <c r="I409" s="10" t="n">
        <v>0.9320000000000001</v>
      </c>
      <c r="J409" s="10">
        <f>IF(COUNT(G159:G408)&lt;20,"",IF(COUNTIF(G159:G408,"&lt;"&amp;G409)&gt;=COUNT(G159:G408),(COUNT(G159:G408)-0.5)/COUNT(G159:G408),IF(COUNTIF(G159:G408,G409)&gt;0,(COUNTIF(G159:G408,"&lt;"&amp;G409)+0.5*COUNTIF(G159:G408,G409))/COUNT(G159:G408),COUNTIF(G159:G408,"&lt;"&amp;G409)/COUNT(G159:G408))))</f>
        <v/>
      </c>
      <c r="K409" s="6" t="inlineStr">
        <is>
          <t>高分位</t>
        </is>
      </c>
      <c r="L409" s="6" t="n">
        <v>97</v>
      </c>
      <c r="M409" s="6" t="inlineStr">
        <is>
          <t>Contango(远强)</t>
        </is>
      </c>
      <c r="N409" s="6" t="n">
        <v>1</v>
      </c>
      <c r="O409" s="6" t="n">
        <v>0</v>
      </c>
      <c r="P409" s="7" t="n">
        <v>-38</v>
      </c>
      <c r="Q409" s="6" t="inlineStr"/>
    </row>
    <row r="410">
      <c r="A410" s="11" t="inlineStr">
        <is>
          <t>2024-04-25</t>
        </is>
      </c>
      <c r="B410" s="11" t="inlineStr">
        <is>
          <t>MA2409</t>
        </is>
      </c>
      <c r="C410" s="11" t="inlineStr">
        <is>
          <t>2024-09</t>
        </is>
      </c>
      <c r="D410" s="12" t="n">
        <v>2650</v>
      </c>
      <c r="E410" s="12" t="n">
        <v>2494</v>
      </c>
      <c r="F410" s="12">
        <f>D410-E410</f>
        <v/>
      </c>
      <c r="G410" s="13">
        <f>IF(D410=0,"",(D410-E410)/D410)</f>
        <v/>
      </c>
      <c r="H410" s="14" t="n">
        <v>798527</v>
      </c>
      <c r="I410" s="15" t="n">
        <v>0.856</v>
      </c>
      <c r="J410" s="15">
        <f>IF(COUNT(G160:G409)&lt;20,"",IF(COUNTIF(G160:G409,"&lt;"&amp;G410)&gt;=COUNT(G160:G409),(COUNT(G160:G409)-0.5)/COUNT(G160:G409),IF(COUNTIF(G160:G409,G410)&gt;0,(COUNTIF(G160:G409,"&lt;"&amp;G410)+0.5*COUNTIF(G160:G409,G410))/COUNT(G160:G409),COUNTIF(G160:G409,"&lt;"&amp;G410)/COUNT(G160:G409))))</f>
        <v/>
      </c>
      <c r="K410" s="11" t="inlineStr">
        <is>
          <t>中间分位</t>
        </is>
      </c>
      <c r="L410" s="11" t="n">
        <v>96</v>
      </c>
      <c r="M410" s="11" t="inlineStr">
        <is>
          <t>结构不明</t>
        </is>
      </c>
      <c r="N410" s="11" t="n">
        <v>1</v>
      </c>
      <c r="O410" s="11" t="n">
        <v>0</v>
      </c>
      <c r="P410" s="12" t="n">
        <v>-37</v>
      </c>
      <c r="Q410" s="11" t="inlineStr"/>
    </row>
    <row r="411">
      <c r="A411" s="6" t="inlineStr">
        <is>
          <t>2024-04-26</t>
        </is>
      </c>
      <c r="B411" s="6" t="inlineStr">
        <is>
          <t>MA2409</t>
        </is>
      </c>
      <c r="C411" s="6" t="inlineStr">
        <is>
          <t>2024-09</t>
        </is>
      </c>
      <c r="D411" s="7" t="n">
        <v>2611.67</v>
      </c>
      <c r="E411" s="7" t="n">
        <v>2509</v>
      </c>
      <c r="F411" s="7">
        <f>D411-E411</f>
        <v/>
      </c>
      <c r="G411" s="8">
        <f>IF(D411=0,"",(D411-E411)/D411)</f>
        <v/>
      </c>
      <c r="H411" s="9" t="n">
        <v>788167</v>
      </c>
      <c r="I411" s="10" t="n">
        <v>0.672</v>
      </c>
      <c r="J411" s="10">
        <f>IF(COUNT(G161:G410)&lt;20,"",IF(COUNTIF(G161:G410,"&lt;"&amp;G411)&gt;=COUNT(G161:G410),(COUNT(G161:G410)-0.5)/COUNT(G161:G410),IF(COUNTIF(G161:G410,G411)&gt;0,(COUNTIF(G161:G410,"&lt;"&amp;G411)+0.5*COUNTIF(G161:G410,G411))/COUNT(G161:G410),COUNTIF(G161:G410,"&lt;"&amp;G411)/COUNT(G161:G410))))</f>
        <v/>
      </c>
      <c r="K411" s="6" t="inlineStr">
        <is>
          <t>中间分位</t>
        </is>
      </c>
      <c r="L411" s="6" t="n">
        <v>95</v>
      </c>
      <c r="M411" s="6" t="inlineStr">
        <is>
          <t>Contango(远强)</t>
        </is>
      </c>
      <c r="N411" s="6" t="n">
        <v>1</v>
      </c>
      <c r="O411" s="6" t="n">
        <v>0</v>
      </c>
      <c r="P411" s="7" t="n">
        <v>-38</v>
      </c>
      <c r="Q411" s="6" t="inlineStr"/>
    </row>
    <row r="412">
      <c r="A412" s="11" t="inlineStr">
        <is>
          <t>2024-04-29</t>
        </is>
      </c>
      <c r="B412" s="11" t="inlineStr">
        <is>
          <t>MA2409</t>
        </is>
      </c>
      <c r="C412" s="11" t="inlineStr">
        <is>
          <t>2024-09</t>
        </is>
      </c>
      <c r="D412" s="12" t="n">
        <v>2632.5</v>
      </c>
      <c r="E412" s="12" t="n">
        <v>2546</v>
      </c>
      <c r="F412" s="12">
        <f>D412-E412</f>
        <v/>
      </c>
      <c r="G412" s="13">
        <f>IF(D412=0,"",(D412-E412)/D412)</f>
        <v/>
      </c>
      <c r="H412" s="14" t="n">
        <v>787382</v>
      </c>
      <c r="I412" s="15" t="n">
        <v>0.612</v>
      </c>
      <c r="J412" s="15">
        <f>IF(COUNT(G162:G411)&lt;20,"",IF(COUNTIF(G162:G411,"&lt;"&amp;G412)&gt;=COUNT(G162:G411),(COUNT(G162:G411)-0.5)/COUNT(G162:G411),IF(COUNTIF(G162:G411,G412)&gt;0,(COUNTIF(G162:G411,"&lt;"&amp;G412)+0.5*COUNTIF(G162:G411,G412))/COUNT(G162:G411),COUNTIF(G162:G411,"&lt;"&amp;G412)/COUNT(G162:G411))))</f>
        <v/>
      </c>
      <c r="K412" s="11" t="inlineStr">
        <is>
          <t>中间分位</t>
        </is>
      </c>
      <c r="L412" s="11" t="n">
        <v>94</v>
      </c>
      <c r="M412" s="11" t="inlineStr">
        <is>
          <t>结构不明</t>
        </is>
      </c>
      <c r="N412" s="11" t="n">
        <v>1</v>
      </c>
      <c r="O412" s="11" t="n">
        <v>0</v>
      </c>
      <c r="P412" s="12" t="n">
        <v>-32</v>
      </c>
      <c r="Q412" s="11" t="inlineStr"/>
    </row>
    <row r="413">
      <c r="A413" s="6" t="inlineStr">
        <is>
          <t>2024-04-30</t>
        </is>
      </c>
      <c r="B413" s="6" t="inlineStr">
        <is>
          <t>MA2409</t>
        </is>
      </c>
      <c r="C413" s="6" t="inlineStr">
        <is>
          <t>2024-09</t>
        </is>
      </c>
      <c r="D413" s="7" t="n">
        <v>2649.17</v>
      </c>
      <c r="E413" s="7" t="n">
        <v>2558</v>
      </c>
      <c r="F413" s="7">
        <f>D413-E413</f>
        <v/>
      </c>
      <c r="G413" s="8">
        <f>IF(D413=0,"",(D413-E413)/D413)</f>
        <v/>
      </c>
      <c r="H413" s="9" t="n">
        <v>775613</v>
      </c>
      <c r="I413" s="10" t="n">
        <v>0.628</v>
      </c>
      <c r="J413" s="10">
        <f>IF(COUNT(G163:G412)&lt;20,"",IF(COUNTIF(G163:G412,"&lt;"&amp;G413)&gt;=COUNT(G163:G412),(COUNT(G163:G412)-0.5)/COUNT(G163:G412),IF(COUNTIF(G163:G412,G413)&gt;0,(COUNTIF(G163:G412,"&lt;"&amp;G413)+0.5*COUNTIF(G163:G412,G413))/COUNT(G163:G412),COUNTIF(G163:G412,"&lt;"&amp;G413)/COUNT(G163:G412))))</f>
        <v/>
      </c>
      <c r="K413" s="6" t="inlineStr">
        <is>
          <t>中间分位</t>
        </is>
      </c>
      <c r="L413" s="6" t="n">
        <v>93</v>
      </c>
      <c r="M413" s="6" t="inlineStr">
        <is>
          <t>Contango(远强)</t>
        </is>
      </c>
      <c r="N413" s="6" t="n">
        <v>1</v>
      </c>
      <c r="O413" s="6" t="n">
        <v>0</v>
      </c>
      <c r="P413" s="7" t="n">
        <v>-44</v>
      </c>
      <c r="Q413" s="6" t="inlineStr"/>
    </row>
    <row r="414">
      <c r="A414" s="11" t="inlineStr">
        <is>
          <t>2024-05-06</t>
        </is>
      </c>
      <c r="B414" s="11" t="inlineStr">
        <is>
          <t>MA2409</t>
        </is>
      </c>
      <c r="C414" s="11" t="inlineStr">
        <is>
          <t>2024-09</t>
        </is>
      </c>
      <c r="D414" s="12" t="n">
        <v>2651.67</v>
      </c>
      <c r="E414" s="12" t="n">
        <v>2543</v>
      </c>
      <c r="F414" s="12">
        <f>D414-E414</f>
        <v/>
      </c>
      <c r="G414" s="13">
        <f>IF(D414=0,"",(D414-E414)/D414)</f>
        <v/>
      </c>
      <c r="H414" s="14" t="n">
        <v>823442</v>
      </c>
      <c r="I414" s="15" t="n">
        <v>0.7</v>
      </c>
      <c r="J414" s="15">
        <f>IF(COUNT(G164:G413)&lt;20,"",IF(COUNTIF(G164:G413,"&lt;"&amp;G414)&gt;=COUNT(G164:G413),(COUNT(G164:G413)-0.5)/COUNT(G164:G413),IF(COUNTIF(G164:G413,G414)&gt;0,(COUNTIF(G164:G413,"&lt;"&amp;G414)+0.5*COUNTIF(G164:G413,G414))/COUNT(G164:G413),COUNTIF(G164:G413,"&lt;"&amp;G414)/COUNT(G164:G413))))</f>
        <v/>
      </c>
      <c r="K414" s="11" t="inlineStr">
        <is>
          <t>中间分位</t>
        </is>
      </c>
      <c r="L414" s="11" t="n">
        <v>92</v>
      </c>
      <c r="M414" s="11" t="inlineStr">
        <is>
          <t>Contango(远强)</t>
        </is>
      </c>
      <c r="N414" s="11" t="n">
        <v>1</v>
      </c>
      <c r="O414" s="11" t="n">
        <v>0</v>
      </c>
      <c r="P414" s="12" t="n">
        <v>-51</v>
      </c>
      <c r="Q414" s="11" t="inlineStr"/>
    </row>
    <row r="415">
      <c r="A415" s="6" t="inlineStr">
        <is>
          <t>2024-05-07</t>
        </is>
      </c>
      <c r="B415" s="6" t="inlineStr">
        <is>
          <t>MA2409</t>
        </is>
      </c>
      <c r="C415" s="6" t="inlineStr">
        <is>
          <t>2024-09</t>
        </is>
      </c>
      <c r="D415" s="7" t="n">
        <v>2635.83</v>
      </c>
      <c r="E415" s="7" t="n">
        <v>2567</v>
      </c>
      <c r="F415" s="7">
        <f>D415-E415</f>
        <v/>
      </c>
      <c r="G415" s="8">
        <f>IF(D415=0,"",(D415-E415)/D415)</f>
        <v/>
      </c>
      <c r="H415" s="9" t="n">
        <v>905617</v>
      </c>
      <c r="I415" s="10" t="n">
        <v>0.5679999999999999</v>
      </c>
      <c r="J415" s="10">
        <f>IF(COUNT(G165:G414)&lt;20,"",IF(COUNTIF(G165:G414,"&lt;"&amp;G415)&gt;=COUNT(G165:G414),(COUNT(G165:G414)-0.5)/COUNT(G165:G414),IF(COUNTIF(G165:G414,G415)&gt;0,(COUNTIF(G165:G414,"&lt;"&amp;G415)+0.5*COUNTIF(G165:G414,G415))/COUNT(G165:G414),COUNTIF(G165:G414,"&lt;"&amp;G415)/COUNT(G165:G414))))</f>
        <v/>
      </c>
      <c r="K415" s="6" t="inlineStr">
        <is>
          <t>中间分位</t>
        </is>
      </c>
      <c r="L415" s="6" t="n">
        <v>91</v>
      </c>
      <c r="M415" s="6" t="inlineStr">
        <is>
          <t>Contango(远强)</t>
        </is>
      </c>
      <c r="N415" s="6" t="n">
        <v>1</v>
      </c>
      <c r="O415" s="6" t="n">
        <v>0</v>
      </c>
      <c r="P415" s="7" t="n">
        <v>-61</v>
      </c>
      <c r="Q415" s="6" t="inlineStr"/>
    </row>
    <row r="416">
      <c r="A416" s="11" t="inlineStr">
        <is>
          <t>2024-05-08</t>
        </is>
      </c>
      <c r="B416" s="11" t="inlineStr">
        <is>
          <t>MA2409</t>
        </is>
      </c>
      <c r="C416" s="11" t="inlineStr">
        <is>
          <t>2024-09</t>
        </is>
      </c>
      <c r="D416" s="12" t="n">
        <v>2665</v>
      </c>
      <c r="E416" s="12" t="n">
        <v>2546</v>
      </c>
      <c r="F416" s="12">
        <f>D416-E416</f>
        <v/>
      </c>
      <c r="G416" s="13">
        <f>IF(D416=0,"",(D416-E416)/D416)</f>
        <v/>
      </c>
      <c r="H416" s="14" t="n">
        <v>912744</v>
      </c>
      <c r="I416" s="15" t="n">
        <v>0.74</v>
      </c>
      <c r="J416" s="15">
        <f>IF(COUNT(G166:G415)&lt;20,"",IF(COUNTIF(G166:G415,"&lt;"&amp;G416)&gt;=COUNT(G166:G415),(COUNT(G166:G415)-0.5)/COUNT(G166:G415),IF(COUNTIF(G166:G415,G416)&gt;0,(COUNTIF(G166:G415,"&lt;"&amp;G416)+0.5*COUNTIF(G166:G415,G416))/COUNT(G166:G415),COUNTIF(G166:G415,"&lt;"&amp;G416)/COUNT(G166:G415))))</f>
        <v/>
      </c>
      <c r="K416" s="11" t="inlineStr">
        <is>
          <t>中间分位</t>
        </is>
      </c>
      <c r="L416" s="11" t="n">
        <v>90</v>
      </c>
      <c r="M416" s="11" t="inlineStr">
        <is>
          <t>Contango(远强)</t>
        </is>
      </c>
      <c r="N416" s="11" t="n">
        <v>1</v>
      </c>
      <c r="O416" s="11" t="n">
        <v>0</v>
      </c>
      <c r="P416" s="12" t="n">
        <v>-96</v>
      </c>
      <c r="Q416" s="11" t="inlineStr"/>
    </row>
    <row r="417">
      <c r="A417" s="6" t="inlineStr">
        <is>
          <t>2024-05-09</t>
        </is>
      </c>
      <c r="B417" s="6" t="inlineStr">
        <is>
          <t>MA2409</t>
        </is>
      </c>
      <c r="C417" s="6" t="inlineStr">
        <is>
          <t>2024-09</t>
        </is>
      </c>
      <c r="D417" s="7" t="n">
        <v>2654.17</v>
      </c>
      <c r="E417" s="7" t="n">
        <v>2564</v>
      </c>
      <c r="F417" s="7">
        <f>D417-E417</f>
        <v/>
      </c>
      <c r="G417" s="8">
        <f>IF(D417=0,"",(D417-E417)/D417)</f>
        <v/>
      </c>
      <c r="H417" s="9" t="n">
        <v>940943</v>
      </c>
      <c r="I417" s="10" t="n">
        <v>0.62</v>
      </c>
      <c r="J417" s="10">
        <f>IF(COUNT(G167:G416)&lt;20,"",IF(COUNTIF(G167:G416,"&lt;"&amp;G417)&gt;=COUNT(G167:G416),(COUNT(G167:G416)-0.5)/COUNT(G167:G416),IF(COUNTIF(G167:G416,G417)&gt;0,(COUNTIF(G167:G416,"&lt;"&amp;G417)+0.5*COUNTIF(G167:G416,G417))/COUNT(G167:G416),COUNTIF(G167:G416,"&lt;"&amp;G417)/COUNT(G167:G416))))</f>
        <v/>
      </c>
      <c r="K417" s="6" t="inlineStr">
        <is>
          <t>中间分位</t>
        </is>
      </c>
      <c r="L417" s="6" t="n">
        <v>89</v>
      </c>
      <c r="M417" s="6" t="inlineStr">
        <is>
          <t>Contango(远强)</t>
        </is>
      </c>
      <c r="N417" s="6" t="n">
        <v>1</v>
      </c>
      <c r="O417" s="6" t="n">
        <v>0</v>
      </c>
      <c r="P417" s="7" t="n">
        <v>-69</v>
      </c>
      <c r="Q417" s="6" t="inlineStr"/>
    </row>
    <row r="418">
      <c r="A418" s="11" t="inlineStr">
        <is>
          <t>2024-05-10</t>
        </is>
      </c>
      <c r="B418" s="11" t="inlineStr">
        <is>
          <t>MA2409</t>
        </is>
      </c>
      <c r="C418" s="11" t="inlineStr">
        <is>
          <t>2024-09</t>
        </is>
      </c>
      <c r="D418" s="12" t="n">
        <v>2670</v>
      </c>
      <c r="E418" s="12" t="n">
        <v>2552</v>
      </c>
      <c r="F418" s="12">
        <f>D418-E418</f>
        <v/>
      </c>
      <c r="G418" s="13">
        <f>IF(D418=0,"",(D418-E418)/D418)</f>
        <v/>
      </c>
      <c r="H418" s="14" t="n">
        <v>878336</v>
      </c>
      <c r="I418" s="15" t="n">
        <v>0.736</v>
      </c>
      <c r="J418" s="15">
        <f>IF(COUNT(G168:G417)&lt;20,"",IF(COUNTIF(G168:G417,"&lt;"&amp;G418)&gt;=COUNT(G168:G417),(COUNT(G168:G417)-0.5)/COUNT(G168:G417),IF(COUNTIF(G168:G417,G418)&gt;0,(COUNTIF(G168:G417,"&lt;"&amp;G418)+0.5*COUNTIF(G168:G417,G418))/COUNT(G168:G417),COUNTIF(G168:G417,"&lt;"&amp;G418)/COUNT(G168:G417))))</f>
        <v/>
      </c>
      <c r="K418" s="11" t="inlineStr">
        <is>
          <t>中间分位</t>
        </is>
      </c>
      <c r="L418" s="11" t="n">
        <v>88</v>
      </c>
      <c r="M418" s="11" t="inlineStr">
        <is>
          <t>Contango(远强)</t>
        </is>
      </c>
      <c r="N418" s="11" t="n">
        <v>1</v>
      </c>
      <c r="O418" s="11" t="n">
        <v>0</v>
      </c>
      <c r="P418" s="12" t="n">
        <v>-69</v>
      </c>
      <c r="Q418" s="11" t="inlineStr"/>
    </row>
    <row r="419">
      <c r="A419" s="6" t="inlineStr">
        <is>
          <t>2024-05-13</t>
        </is>
      </c>
      <c r="B419" s="6" t="inlineStr">
        <is>
          <t>MA2409</t>
        </is>
      </c>
      <c r="C419" s="6" t="inlineStr">
        <is>
          <t>2024-09</t>
        </is>
      </c>
      <c r="D419" s="7" t="n">
        <v>2684.17</v>
      </c>
      <c r="E419" s="7" t="n">
        <v>2601</v>
      </c>
      <c r="F419" s="7">
        <f>D419-E419</f>
        <v/>
      </c>
      <c r="G419" s="8">
        <f>IF(D419=0,"",(D419-E419)/D419)</f>
        <v/>
      </c>
      <c r="H419" s="9" t="n">
        <v>1032030</v>
      </c>
      <c r="I419" s="10" t="n">
        <v>0.6</v>
      </c>
      <c r="J419" s="10">
        <f>IF(COUNT(G169:G418)&lt;20,"",IF(COUNTIF(G169:G418,"&lt;"&amp;G419)&gt;=COUNT(G169:G418),(COUNT(G169:G418)-0.5)/COUNT(G169:G418),IF(COUNTIF(G169:G418,G419)&gt;0,(COUNTIF(G169:G418,"&lt;"&amp;G419)+0.5*COUNTIF(G169:G418,G419))/COUNT(G169:G418),COUNTIF(G169:G418,"&lt;"&amp;G419)/COUNT(G169:G418))))</f>
        <v/>
      </c>
      <c r="K419" s="6" t="inlineStr">
        <is>
          <t>中间分位</t>
        </is>
      </c>
      <c r="L419" s="6" t="n">
        <v>87</v>
      </c>
      <c r="M419" s="6" t="inlineStr">
        <is>
          <t>Contango(远强)</t>
        </is>
      </c>
      <c r="N419" s="6" t="n">
        <v>1</v>
      </c>
      <c r="O419" s="6" t="n">
        <v>0</v>
      </c>
      <c r="P419" s="7" t="n">
        <v>-79</v>
      </c>
      <c r="Q419" s="6" t="inlineStr"/>
    </row>
    <row r="420">
      <c r="A420" s="11" t="inlineStr">
        <is>
          <t>2024-05-14</t>
        </is>
      </c>
      <c r="B420" s="11" t="inlineStr">
        <is>
          <t>MA2409</t>
        </is>
      </c>
      <c r="C420" s="11" t="inlineStr">
        <is>
          <t>2024-09</t>
        </is>
      </c>
      <c r="D420" s="12" t="n">
        <v>2700</v>
      </c>
      <c r="E420" s="12" t="n">
        <v>2577</v>
      </c>
      <c r="F420" s="12">
        <f>D420-E420</f>
        <v/>
      </c>
      <c r="G420" s="13">
        <f>IF(D420=0,"",(D420-E420)/D420)</f>
        <v/>
      </c>
      <c r="H420" s="14" t="n">
        <v>1016598</v>
      </c>
      <c r="I420" s="15" t="n">
        <v>0.752</v>
      </c>
      <c r="J420" s="15">
        <f>IF(COUNT(G170:G419)&lt;20,"",IF(COUNTIF(G170:G419,"&lt;"&amp;G420)&gt;=COUNT(G170:G419),(COUNT(G170:G419)-0.5)/COUNT(G170:G419),IF(COUNTIF(G170:G419,G420)&gt;0,(COUNTIF(G170:G419,"&lt;"&amp;G420)+0.5*COUNTIF(G170:G419,G420))/COUNT(G170:G419),COUNTIF(G170:G419,"&lt;"&amp;G420)/COUNT(G170:G419))))</f>
        <v/>
      </c>
      <c r="K420" s="11" t="inlineStr">
        <is>
          <t>中间分位</t>
        </is>
      </c>
      <c r="L420" s="11" t="n">
        <v>86</v>
      </c>
      <c r="M420" s="11" t="inlineStr">
        <is>
          <t>Contango(远强)</t>
        </is>
      </c>
      <c r="N420" s="11" t="n">
        <v>1</v>
      </c>
      <c r="O420" s="11" t="n">
        <v>0</v>
      </c>
      <c r="P420" s="12" t="n">
        <v>-47</v>
      </c>
      <c r="Q420" s="11" t="inlineStr"/>
    </row>
    <row r="421">
      <c r="A421" s="6" t="inlineStr">
        <is>
          <t>2024-05-15</t>
        </is>
      </c>
      <c r="B421" s="6" t="inlineStr">
        <is>
          <t>MA2409</t>
        </is>
      </c>
      <c r="C421" s="6" t="inlineStr">
        <is>
          <t>2024-09</t>
        </is>
      </c>
      <c r="D421" s="7" t="n">
        <v>2804.17</v>
      </c>
      <c r="E421" s="7" t="n">
        <v>2589</v>
      </c>
      <c r="F421" s="7">
        <f>D421-E421</f>
        <v/>
      </c>
      <c r="G421" s="8">
        <f>IF(D421=0,"",(D421-E421)/D421)</f>
        <v/>
      </c>
      <c r="H421" s="9" t="n">
        <v>981362</v>
      </c>
      <c r="I421" s="10" t="n">
        <v>0.968</v>
      </c>
      <c r="J421" s="10">
        <f>IF(COUNT(G171:G420)&lt;20,"",IF(COUNTIF(G171:G420,"&lt;"&amp;G421)&gt;=COUNT(G171:G420),(COUNT(G171:G420)-0.5)/COUNT(G171:G420),IF(COUNTIF(G171:G420,G421)&gt;0,(COUNTIF(G171:G420,"&lt;"&amp;G421)+0.5*COUNTIF(G171:G420,G421))/COUNT(G171:G420),COUNTIF(G171:G420,"&lt;"&amp;G421)/COUNT(G171:G420))))</f>
        <v/>
      </c>
      <c r="K421" s="6" t="inlineStr">
        <is>
          <t>高分位</t>
        </is>
      </c>
      <c r="L421" s="6" t="n">
        <v>85</v>
      </c>
      <c r="M421" s="6" t="inlineStr">
        <is>
          <t>Contango(远强)</t>
        </is>
      </c>
      <c r="N421" s="6" t="n">
        <v>1</v>
      </c>
      <c r="O421" s="6" t="n">
        <v>0</v>
      </c>
      <c r="P421" s="7" t="n">
        <v>-61</v>
      </c>
      <c r="Q421" s="6" t="inlineStr"/>
    </row>
    <row r="422">
      <c r="A422" s="11" t="inlineStr">
        <is>
          <t>2024-05-16</t>
        </is>
      </c>
      <c r="B422" s="11" t="inlineStr">
        <is>
          <t>MA2409</t>
        </is>
      </c>
      <c r="C422" s="11" t="inlineStr">
        <is>
          <t>2024-09</t>
        </is>
      </c>
      <c r="D422" s="12" t="n">
        <v>2828.33</v>
      </c>
      <c r="E422" s="12" t="n">
        <v>2606</v>
      </c>
      <c r="F422" s="12">
        <f>D422-E422</f>
        <v/>
      </c>
      <c r="G422" s="13">
        <f>IF(D422=0,"",(D422-E422)/D422)</f>
        <v/>
      </c>
      <c r="H422" s="14" t="n">
        <v>1005332</v>
      </c>
      <c r="I422" s="15" t="n">
        <v>0.976</v>
      </c>
      <c r="J422" s="15">
        <f>IF(COUNT(G172:G421)&lt;20,"",IF(COUNTIF(G172:G421,"&lt;"&amp;G422)&gt;=COUNT(G172:G421),(COUNT(G172:G421)-0.5)/COUNT(G172:G421),IF(COUNTIF(G172:G421,G422)&gt;0,(COUNTIF(G172:G421,"&lt;"&amp;G422)+0.5*COUNTIF(G172:G421,G422))/COUNT(G172:G421),COUNTIF(G172:G421,"&lt;"&amp;G422)/COUNT(G172:G421))))</f>
        <v/>
      </c>
      <c r="K422" s="11" t="inlineStr">
        <is>
          <t>高分位</t>
        </is>
      </c>
      <c r="L422" s="11" t="n">
        <v>84</v>
      </c>
      <c r="M422" s="11" t="inlineStr">
        <is>
          <t>Contango(远强)</t>
        </is>
      </c>
      <c r="N422" s="11" t="n">
        <v>1</v>
      </c>
      <c r="O422" s="11" t="n">
        <v>0</v>
      </c>
      <c r="P422" s="12" t="n">
        <v>-149</v>
      </c>
      <c r="Q422" s="11" t="inlineStr"/>
    </row>
    <row r="423">
      <c r="A423" s="6" t="inlineStr">
        <is>
          <t>2024-05-17</t>
        </is>
      </c>
      <c r="B423" s="6" t="inlineStr">
        <is>
          <t>MA2409</t>
        </is>
      </c>
      <c r="C423" s="6" t="inlineStr">
        <is>
          <t>2024-09</t>
        </is>
      </c>
      <c r="D423" s="7" t="n">
        <v>2864.17</v>
      </c>
      <c r="E423" s="7" t="n">
        <v>2655</v>
      </c>
      <c r="F423" s="7">
        <f>D423-E423</f>
        <v/>
      </c>
      <c r="G423" s="8">
        <f>IF(D423=0,"",(D423-E423)/D423)</f>
        <v/>
      </c>
      <c r="H423" s="9" t="n">
        <v>1067111</v>
      </c>
      <c r="I423" s="10" t="n">
        <v>0.9360000000000001</v>
      </c>
      <c r="J423" s="10">
        <f>IF(COUNT(G173:G422)&lt;20,"",IF(COUNTIF(G173:G422,"&lt;"&amp;G423)&gt;=COUNT(G173:G422),(COUNT(G173:G422)-0.5)/COUNT(G173:G422),IF(COUNTIF(G173:G422,G423)&gt;0,(COUNTIF(G173:G422,"&lt;"&amp;G423)+0.5*COUNTIF(G173:G422,G423))/COUNT(G173:G422),COUNTIF(G173:G422,"&lt;"&amp;G423)/COUNT(G173:G422))))</f>
        <v/>
      </c>
      <c r="K423" s="6" t="inlineStr">
        <is>
          <t>高分位</t>
        </is>
      </c>
      <c r="L423" s="6" t="n">
        <v>83</v>
      </c>
      <c r="M423" s="6" t="inlineStr">
        <is>
          <t>Contango(远强)</t>
        </is>
      </c>
      <c r="N423" s="6" t="n">
        <v>1</v>
      </c>
      <c r="O423" s="6" t="n">
        <v>0</v>
      </c>
      <c r="P423" s="7" t="n">
        <v>-77</v>
      </c>
      <c r="Q423" s="6" t="inlineStr"/>
    </row>
    <row r="424">
      <c r="A424" s="11" t="inlineStr">
        <is>
          <t>2024-05-20</t>
        </is>
      </c>
      <c r="B424" s="11" t="inlineStr">
        <is>
          <t>MA2409</t>
        </is>
      </c>
      <c r="C424" s="11" t="inlineStr">
        <is>
          <t>2024-09</t>
        </is>
      </c>
      <c r="D424" s="12" t="n">
        <v>2953.33</v>
      </c>
      <c r="E424" s="12" t="n">
        <v>2664</v>
      </c>
      <c r="F424" s="12">
        <f>D424-E424</f>
        <v/>
      </c>
      <c r="G424" s="13">
        <f>IF(D424=0,"",(D424-E424)/D424)</f>
        <v/>
      </c>
      <c r="H424" s="14" t="n">
        <v>1079123</v>
      </c>
      <c r="I424" s="15" t="n">
        <v>0.998</v>
      </c>
      <c r="J424" s="15">
        <f>IF(COUNT(G174:G423)&lt;20,"",IF(COUNTIF(G174:G423,"&lt;"&amp;G424)&gt;=COUNT(G174:G423),(COUNT(G174:G423)-0.5)/COUNT(G174:G423),IF(COUNTIF(G174:G423,G424)&gt;0,(COUNTIF(G174:G423,"&lt;"&amp;G424)+0.5*COUNTIF(G174:G423,G424))/COUNT(G174:G423),COUNTIF(G174:G423,"&lt;"&amp;G424)/COUNT(G174:G423))))</f>
        <v/>
      </c>
      <c r="K424" s="11" t="inlineStr">
        <is>
          <t>高分位</t>
        </is>
      </c>
      <c r="L424" s="11" t="n">
        <v>82</v>
      </c>
      <c r="M424" s="11" t="inlineStr">
        <is>
          <t>Contango(远强)</t>
        </is>
      </c>
      <c r="N424" s="11" t="n">
        <v>1</v>
      </c>
      <c r="O424" s="11" t="n">
        <v>0</v>
      </c>
      <c r="P424" s="12" t="n">
        <v>-54</v>
      </c>
      <c r="Q424" s="11" t="inlineStr"/>
    </row>
    <row r="425">
      <c r="A425" s="6" t="inlineStr">
        <is>
          <t>2024-05-21</t>
        </is>
      </c>
      <c r="B425" s="6" t="inlineStr">
        <is>
          <t>MA2409</t>
        </is>
      </c>
      <c r="C425" s="6" t="inlineStr">
        <is>
          <t>2024-09</t>
        </is>
      </c>
      <c r="D425" s="7" t="n">
        <v>3020</v>
      </c>
      <c r="E425" s="7" t="n">
        <v>2632</v>
      </c>
      <c r="F425" s="7">
        <f>D425-E425</f>
        <v/>
      </c>
      <c r="G425" s="8">
        <f>IF(D425=0,"",(D425-E425)/D425)</f>
        <v/>
      </c>
      <c r="H425" s="9" t="n">
        <v>1027226</v>
      </c>
      <c r="I425" s="10" t="n">
        <v>0.998</v>
      </c>
      <c r="J425" s="10">
        <f>IF(COUNT(G175:G424)&lt;20,"",IF(COUNTIF(G175:G424,"&lt;"&amp;G425)&gt;=COUNT(G175:G424),(COUNT(G175:G424)-0.5)/COUNT(G175:G424),IF(COUNTIF(G175:G424,G425)&gt;0,(COUNTIF(G175:G424,"&lt;"&amp;G425)+0.5*COUNTIF(G175:G424,G425))/COUNT(G175:G424),COUNTIF(G175:G424,"&lt;"&amp;G425)/COUNT(G175:G424))))</f>
        <v/>
      </c>
      <c r="K425" s="6" t="inlineStr">
        <is>
          <t>高分位</t>
        </is>
      </c>
      <c r="L425" s="6" t="n">
        <v>81</v>
      </c>
      <c r="M425" s="6" t="inlineStr">
        <is>
          <t>Contango(远强)</t>
        </is>
      </c>
      <c r="N425" s="6" t="n">
        <v>1</v>
      </c>
      <c r="O425" s="6" t="n">
        <v>0</v>
      </c>
      <c r="P425" s="7" t="n">
        <v>-47</v>
      </c>
      <c r="Q425" s="6" t="inlineStr"/>
    </row>
    <row r="426">
      <c r="A426" s="11" t="inlineStr">
        <is>
          <t>2024-05-22</t>
        </is>
      </c>
      <c r="B426" s="11" t="inlineStr">
        <is>
          <t>MA2409</t>
        </is>
      </c>
      <c r="C426" s="11" t="inlineStr">
        <is>
          <t>2024-09</t>
        </is>
      </c>
      <c r="D426" s="12" t="n">
        <v>2950</v>
      </c>
      <c r="E426" s="12" t="n">
        <v>2628</v>
      </c>
      <c r="F426" s="12">
        <f>D426-E426</f>
        <v/>
      </c>
      <c r="G426" s="13">
        <f>IF(D426=0,"",(D426-E426)/D426)</f>
        <v/>
      </c>
      <c r="H426" s="14" t="n">
        <v>1005487</v>
      </c>
      <c r="I426" s="15" t="n">
        <v>0.996</v>
      </c>
      <c r="J426" s="15">
        <f>IF(COUNT(G176:G425)&lt;20,"",IF(COUNTIF(G176:G425,"&lt;"&amp;G426)&gt;=COUNT(G176:G425),(COUNT(G176:G425)-0.5)/COUNT(G176:G425),IF(COUNTIF(G176:G425,G426)&gt;0,(COUNTIF(G176:G425,"&lt;"&amp;G426)+0.5*COUNTIF(G176:G425,G426))/COUNT(G176:G425),COUNTIF(G176:G425,"&lt;"&amp;G426)/COUNT(G176:G425))))</f>
        <v/>
      </c>
      <c r="K426" s="11" t="inlineStr">
        <is>
          <t>高分位</t>
        </is>
      </c>
      <c r="L426" s="11" t="n">
        <v>80</v>
      </c>
      <c r="M426" s="11" t="inlineStr">
        <is>
          <t>Contango(远强)</t>
        </is>
      </c>
      <c r="N426" s="11" t="n">
        <v>1</v>
      </c>
      <c r="O426" s="11" t="n">
        <v>0</v>
      </c>
      <c r="P426" s="12" t="n">
        <v>-47</v>
      </c>
      <c r="Q426" s="11" t="inlineStr"/>
    </row>
    <row r="427">
      <c r="A427" s="6" t="inlineStr">
        <is>
          <t>2024-05-23</t>
        </is>
      </c>
      <c r="B427" s="6" t="inlineStr">
        <is>
          <t>MA2409</t>
        </is>
      </c>
      <c r="C427" s="6" t="inlineStr">
        <is>
          <t>2024-09</t>
        </is>
      </c>
      <c r="D427" s="7" t="n">
        <v>2811.67</v>
      </c>
      <c r="E427" s="7" t="n">
        <v>2591</v>
      </c>
      <c r="F427" s="7">
        <f>D427-E427</f>
        <v/>
      </c>
      <c r="G427" s="8">
        <f>IF(D427=0,"",(D427-E427)/D427)</f>
        <v/>
      </c>
      <c r="H427" s="9" t="n">
        <v>951001</v>
      </c>
      <c r="I427" s="10" t="n">
        <v>0.96</v>
      </c>
      <c r="J427" s="10">
        <f>IF(COUNT(G177:G426)&lt;20,"",IF(COUNTIF(G177:G426,"&lt;"&amp;G427)&gt;=COUNT(G177:G426),(COUNT(G177:G426)-0.5)/COUNT(G177:G426),IF(COUNTIF(G177:G426,G427)&gt;0,(COUNTIF(G177:G426,"&lt;"&amp;G427)+0.5*COUNTIF(G177:G426,G427))/COUNT(G177:G426),COUNTIF(G177:G426,"&lt;"&amp;G427)/COUNT(G177:G426))))</f>
        <v/>
      </c>
      <c r="K427" s="6" t="inlineStr">
        <is>
          <t>高分位</t>
        </is>
      </c>
      <c r="L427" s="6" t="n">
        <v>79</v>
      </c>
      <c r="M427" s="6" t="inlineStr">
        <is>
          <t>Contango(远强)</t>
        </is>
      </c>
      <c r="N427" s="6" t="n">
        <v>1</v>
      </c>
      <c r="O427" s="6" t="n">
        <v>0</v>
      </c>
      <c r="P427" s="7" t="n">
        <v>-43</v>
      </c>
      <c r="Q427" s="6" t="inlineStr"/>
    </row>
    <row r="428">
      <c r="A428" s="11" t="inlineStr">
        <is>
          <t>2024-05-24</t>
        </is>
      </c>
      <c r="B428" s="11" t="inlineStr">
        <is>
          <t>MA2409</t>
        </is>
      </c>
      <c r="C428" s="11" t="inlineStr">
        <is>
          <t>2024-09</t>
        </is>
      </c>
      <c r="D428" s="12" t="n">
        <v>2758.33</v>
      </c>
      <c r="E428" s="12" t="n">
        <v>2600</v>
      </c>
      <c r="F428" s="12">
        <f>D428-E428</f>
        <v/>
      </c>
      <c r="G428" s="13">
        <f>IF(D428=0,"",(D428-E428)/D428)</f>
        <v/>
      </c>
      <c r="H428" s="14" t="n">
        <v>938612</v>
      </c>
      <c r="I428" s="15" t="n">
        <v>0.836</v>
      </c>
      <c r="J428" s="15">
        <f>IF(COUNT(G178:G427)&lt;20,"",IF(COUNTIF(G178:G427,"&lt;"&amp;G428)&gt;=COUNT(G178:G427),(COUNT(G178:G427)-0.5)/COUNT(G178:G427),IF(COUNTIF(G178:G427,G428)&gt;0,(COUNTIF(G178:G427,"&lt;"&amp;G428)+0.5*COUNTIF(G178:G427,G428))/COUNT(G178:G427),COUNTIF(G178:G427,"&lt;"&amp;G428)/COUNT(G178:G427))))</f>
        <v/>
      </c>
      <c r="K428" s="11" t="inlineStr">
        <is>
          <t>中间分位</t>
        </is>
      </c>
      <c r="L428" s="11" t="n">
        <v>78</v>
      </c>
      <c r="M428" s="11" t="inlineStr">
        <is>
          <t>Contango(远强)</t>
        </is>
      </c>
      <c r="N428" s="11" t="n">
        <v>1</v>
      </c>
      <c r="O428" s="11" t="n">
        <v>0</v>
      </c>
      <c r="P428" s="12" t="n">
        <v>-44</v>
      </c>
      <c r="Q428" s="11" t="inlineStr"/>
    </row>
    <row r="429">
      <c r="A429" s="6" t="inlineStr">
        <is>
          <t>2024-05-27</t>
        </is>
      </c>
      <c r="B429" s="6" t="inlineStr">
        <is>
          <t>MA2409</t>
        </is>
      </c>
      <c r="C429" s="6" t="inlineStr">
        <is>
          <t>2024-09</t>
        </is>
      </c>
      <c r="D429" s="7" t="n">
        <v>2750</v>
      </c>
      <c r="E429" s="7" t="n">
        <v>2619</v>
      </c>
      <c r="F429" s="7">
        <f>D429-E429</f>
        <v/>
      </c>
      <c r="G429" s="8">
        <f>IF(D429=0,"",(D429-E429)/D429)</f>
        <v/>
      </c>
      <c r="H429" s="9" t="n">
        <v>933592</v>
      </c>
      <c r="I429" s="10" t="n">
        <v>0.772</v>
      </c>
      <c r="J429" s="10">
        <f>IF(COUNT(G179:G428)&lt;20,"",IF(COUNTIF(G179:G428,"&lt;"&amp;G429)&gt;=COUNT(G179:G428),(COUNT(G179:G428)-0.5)/COUNT(G179:G428),IF(COUNTIF(G179:G428,G429)&gt;0,(COUNTIF(G179:G428,"&lt;"&amp;G429)+0.5*COUNTIF(G179:G428,G429))/COUNT(G179:G428),COUNTIF(G179:G428,"&lt;"&amp;G429)/COUNT(G179:G428))))</f>
        <v/>
      </c>
      <c r="K429" s="6" t="inlineStr">
        <is>
          <t>中间分位</t>
        </is>
      </c>
      <c r="L429" s="6" t="n">
        <v>77</v>
      </c>
      <c r="M429" s="6" t="inlineStr">
        <is>
          <t>结构不明</t>
        </is>
      </c>
      <c r="N429" s="6" t="n">
        <v>1</v>
      </c>
      <c r="O429" s="6" t="n">
        <v>0</v>
      </c>
      <c r="P429" s="7" t="n">
        <v>-41</v>
      </c>
      <c r="Q429" s="6" t="inlineStr"/>
    </row>
    <row r="430">
      <c r="A430" s="11" t="inlineStr">
        <is>
          <t>2024-05-28</t>
        </is>
      </c>
      <c r="B430" s="11" t="inlineStr">
        <is>
          <t>MA2409</t>
        </is>
      </c>
      <c r="C430" s="11" t="inlineStr">
        <is>
          <t>2024-09</t>
        </is>
      </c>
      <c r="D430" s="12" t="n">
        <v>2770.83</v>
      </c>
      <c r="E430" s="12" t="n">
        <v>2619</v>
      </c>
      <c r="F430" s="12">
        <f>D430-E430</f>
        <v/>
      </c>
      <c r="G430" s="13">
        <f>IF(D430=0,"",(D430-E430)/D430)</f>
        <v/>
      </c>
      <c r="H430" s="14" t="n">
        <v>918524</v>
      </c>
      <c r="I430" s="15" t="n">
        <v>0.8120000000000001</v>
      </c>
      <c r="J430" s="15">
        <f>IF(COUNT(G180:G429)&lt;20,"",IF(COUNTIF(G180:G429,"&lt;"&amp;G430)&gt;=COUNT(G180:G429),(COUNT(G180:G429)-0.5)/COUNT(G180:G429),IF(COUNTIF(G180:G429,G430)&gt;0,(COUNTIF(G180:G429,"&lt;"&amp;G430)+0.5*COUNTIF(G180:G429,G430))/COUNT(G180:G429),COUNTIF(G180:G429,"&lt;"&amp;G430)/COUNT(G180:G429))))</f>
        <v/>
      </c>
      <c r="K430" s="11" t="inlineStr">
        <is>
          <t>中间分位</t>
        </is>
      </c>
      <c r="L430" s="11" t="n">
        <v>76</v>
      </c>
      <c r="M430" s="11" t="inlineStr">
        <is>
          <t>Back(近强)</t>
        </is>
      </c>
      <c r="N430" s="11" t="n">
        <v>1</v>
      </c>
      <c r="O430" s="11" t="n">
        <v>0</v>
      </c>
      <c r="P430" s="12" t="n">
        <v>-21</v>
      </c>
      <c r="Q430" s="11" t="inlineStr"/>
    </row>
    <row r="431">
      <c r="A431" s="6" t="inlineStr">
        <is>
          <t>2024-05-29</t>
        </is>
      </c>
      <c r="B431" s="6" t="inlineStr">
        <is>
          <t>MA2409</t>
        </is>
      </c>
      <c r="C431" s="6" t="inlineStr">
        <is>
          <t>2024-09</t>
        </is>
      </c>
      <c r="D431" s="7" t="n">
        <v>2794.17</v>
      </c>
      <c r="E431" s="7" t="n">
        <v>2625</v>
      </c>
      <c r="F431" s="7">
        <f>D431-E431</f>
        <v/>
      </c>
      <c r="G431" s="8">
        <f>IF(D431=0,"",(D431-E431)/D431)</f>
        <v/>
      </c>
      <c r="H431" s="9" t="n">
        <v>931696</v>
      </c>
      <c r="I431" s="10" t="n">
        <v>0.852</v>
      </c>
      <c r="J431" s="10">
        <f>IF(COUNT(G181:G430)&lt;20,"",IF(COUNTIF(G181:G430,"&lt;"&amp;G431)&gt;=COUNT(G181:G430),(COUNT(G181:G430)-0.5)/COUNT(G181:G430),IF(COUNTIF(G181:G430,G431)&gt;0,(COUNTIF(G181:G430,"&lt;"&amp;G431)+0.5*COUNTIF(G181:G430,G431))/COUNT(G181:G430),COUNTIF(G181:G430,"&lt;"&amp;G431)/COUNT(G181:G430))))</f>
        <v/>
      </c>
      <c r="K431" s="6" t="inlineStr">
        <is>
          <t>中间分位</t>
        </is>
      </c>
      <c r="L431" s="6" t="n">
        <v>75</v>
      </c>
      <c r="M431" s="6" t="inlineStr">
        <is>
          <t>结构不明</t>
        </is>
      </c>
      <c r="N431" s="6" t="n">
        <v>1</v>
      </c>
      <c r="O431" s="6" t="n">
        <v>0</v>
      </c>
      <c r="P431" s="7" t="n">
        <v>-34</v>
      </c>
      <c r="Q431" s="6" t="inlineStr"/>
    </row>
    <row r="432">
      <c r="A432" s="11" t="inlineStr">
        <is>
          <t>2024-05-30</t>
        </is>
      </c>
      <c r="B432" s="11" t="inlineStr">
        <is>
          <t>MA2409</t>
        </is>
      </c>
      <c r="C432" s="11" t="inlineStr">
        <is>
          <t>2024-09</t>
        </is>
      </c>
      <c r="D432" s="12" t="n">
        <v>2785.83</v>
      </c>
      <c r="E432" s="12" t="n">
        <v>2659</v>
      </c>
      <c r="F432" s="12">
        <f>D432-E432</f>
        <v/>
      </c>
      <c r="G432" s="13">
        <f>IF(D432=0,"",(D432-E432)/D432)</f>
        <v/>
      </c>
      <c r="H432" s="14" t="n">
        <v>954097</v>
      </c>
      <c r="I432" s="15" t="n">
        <v>0.732</v>
      </c>
      <c r="J432" s="15">
        <f>IF(COUNT(G182:G431)&lt;20,"",IF(COUNTIF(G182:G431,"&lt;"&amp;G432)&gt;=COUNT(G182:G431),(COUNT(G182:G431)-0.5)/COUNT(G182:G431),IF(COUNTIF(G182:G431,G432)&gt;0,(COUNTIF(G182:G431,"&lt;"&amp;G432)+0.5*COUNTIF(G182:G431,G432))/COUNT(G182:G431),COUNTIF(G182:G431,"&lt;"&amp;G432)/COUNT(G182:G431))))</f>
        <v/>
      </c>
      <c r="K432" s="11" t="inlineStr">
        <is>
          <t>中间分位</t>
        </is>
      </c>
      <c r="L432" s="11" t="n">
        <v>74</v>
      </c>
      <c r="M432" s="11" t="inlineStr">
        <is>
          <t>Back(近强)</t>
        </is>
      </c>
      <c r="N432" s="11" t="n">
        <v>1</v>
      </c>
      <c r="O432" s="11" t="n">
        <v>0</v>
      </c>
      <c r="P432" s="12" t="n">
        <v>8</v>
      </c>
      <c r="Q432" s="11" t="inlineStr"/>
    </row>
    <row r="433">
      <c r="A433" s="6" t="inlineStr">
        <is>
          <t>2024-05-31</t>
        </is>
      </c>
      <c r="B433" s="6" t="inlineStr">
        <is>
          <t>MA2409</t>
        </is>
      </c>
      <c r="C433" s="6" t="inlineStr">
        <is>
          <t>2024-09</t>
        </is>
      </c>
      <c r="D433" s="7" t="n">
        <v>2800</v>
      </c>
      <c r="E433" s="7" t="n">
        <v>2631</v>
      </c>
      <c r="F433" s="7">
        <f>D433-E433</f>
        <v/>
      </c>
      <c r="G433" s="8">
        <f>IF(D433=0,"",(D433-E433)/D433)</f>
        <v/>
      </c>
      <c r="H433" s="9" t="n">
        <v>919665</v>
      </c>
      <c r="I433" s="10" t="n">
        <v>0.844</v>
      </c>
      <c r="J433" s="10">
        <f>IF(COUNT(G183:G432)&lt;20,"",IF(COUNTIF(G183:G432,"&lt;"&amp;G433)&gt;=COUNT(G183:G432),(COUNT(G183:G432)-0.5)/COUNT(G183:G432),IF(COUNTIF(G183:G432,G433)&gt;0,(COUNTIF(G183:G432,"&lt;"&amp;G433)+0.5*COUNTIF(G183:G432,G433))/COUNT(G183:G432),COUNTIF(G183:G432,"&lt;"&amp;G433)/COUNT(G183:G432))))</f>
        <v/>
      </c>
      <c r="K433" s="6" t="inlineStr">
        <is>
          <t>中间分位</t>
        </is>
      </c>
      <c r="L433" s="6" t="n">
        <v>73</v>
      </c>
      <c r="M433" s="6" t="inlineStr">
        <is>
          <t>Back(近强)</t>
        </is>
      </c>
      <c r="N433" s="6" t="n">
        <v>1</v>
      </c>
      <c r="O433" s="6" t="n">
        <v>0</v>
      </c>
      <c r="P433" s="7" t="n">
        <v>-4</v>
      </c>
      <c r="Q433" s="6" t="inlineStr"/>
    </row>
    <row r="434">
      <c r="A434" s="11" t="inlineStr">
        <is>
          <t>2024-06-03</t>
        </is>
      </c>
      <c r="B434" s="11" t="inlineStr">
        <is>
          <t>MA2409</t>
        </is>
      </c>
      <c r="C434" s="11" t="inlineStr">
        <is>
          <t>2024-09</t>
        </is>
      </c>
      <c r="D434" s="12" t="n">
        <v>2761.67</v>
      </c>
      <c r="E434" s="12" t="n">
        <v>2568</v>
      </c>
      <c r="F434" s="12">
        <f>D434-E434</f>
        <v/>
      </c>
      <c r="G434" s="13">
        <f>IF(D434=0,"",(D434-E434)/D434)</f>
        <v/>
      </c>
      <c r="H434" s="14" t="n">
        <v>830050</v>
      </c>
      <c r="I434" s="15" t="n">
        <v>0.908</v>
      </c>
      <c r="J434" s="15">
        <f>IF(COUNT(G184:G433)&lt;20,"",IF(COUNTIF(G184:G433,"&lt;"&amp;G434)&gt;=COUNT(G184:G433),(COUNT(G184:G433)-0.5)/COUNT(G184:G433),IF(COUNTIF(G184:G433,G434)&gt;0,(COUNTIF(G184:G433,"&lt;"&amp;G434)+0.5*COUNTIF(G184:G433,G434))/COUNT(G184:G433),COUNTIF(G184:G433,"&lt;"&amp;G434)/COUNT(G184:G433))))</f>
        <v/>
      </c>
      <c r="K434" s="11" t="inlineStr">
        <is>
          <t>高分位</t>
        </is>
      </c>
      <c r="L434" s="11" t="n">
        <v>72</v>
      </c>
      <c r="M434" s="11" t="inlineStr">
        <is>
          <t>Back(近强)</t>
        </is>
      </c>
      <c r="N434" s="11" t="n">
        <v>1</v>
      </c>
      <c r="O434" s="11" t="n">
        <v>0</v>
      </c>
      <c r="P434" s="12" t="n">
        <v>6</v>
      </c>
      <c r="Q434" s="11" t="inlineStr"/>
    </row>
    <row r="435">
      <c r="A435" s="6" t="inlineStr">
        <is>
          <t>2024-06-04</t>
        </is>
      </c>
      <c r="B435" s="6" t="inlineStr">
        <is>
          <t>MA2409</t>
        </is>
      </c>
      <c r="C435" s="6" t="inlineStr">
        <is>
          <t>2024-09</t>
        </is>
      </c>
      <c r="D435" s="7" t="n">
        <v>2686.67</v>
      </c>
      <c r="E435" s="7" t="n">
        <v>2562</v>
      </c>
      <c r="F435" s="7">
        <f>D435-E435</f>
        <v/>
      </c>
      <c r="G435" s="8">
        <f>IF(D435=0,"",(D435-E435)/D435)</f>
        <v/>
      </c>
      <c r="H435" s="9" t="n">
        <v>812526</v>
      </c>
      <c r="I435" s="10" t="n">
        <v>0.752</v>
      </c>
      <c r="J435" s="10">
        <f>IF(COUNT(G185:G434)&lt;20,"",IF(COUNTIF(G185:G434,"&lt;"&amp;G435)&gt;=COUNT(G185:G434),(COUNT(G185:G434)-0.5)/COUNT(G185:G434),IF(COUNTIF(G185:G434,G435)&gt;0,(COUNTIF(G185:G434,"&lt;"&amp;G435)+0.5*COUNTIF(G185:G434,G435))/COUNT(G185:G434),COUNTIF(G185:G434,"&lt;"&amp;G435)/COUNT(G185:G434))))</f>
        <v/>
      </c>
      <c r="K435" s="6" t="inlineStr">
        <is>
          <t>中间分位</t>
        </is>
      </c>
      <c r="L435" s="6" t="n">
        <v>71</v>
      </c>
      <c r="M435" s="6" t="inlineStr">
        <is>
          <t>Back(近强)</t>
        </is>
      </c>
      <c r="N435" s="6" t="n">
        <v>1</v>
      </c>
      <c r="O435" s="6" t="n">
        <v>0</v>
      </c>
      <c r="P435" s="7" t="n">
        <v>-4</v>
      </c>
      <c r="Q435" s="6" t="inlineStr"/>
    </row>
    <row r="436">
      <c r="A436" s="11" t="inlineStr">
        <is>
          <t>2024-06-05</t>
        </is>
      </c>
      <c r="B436" s="11" t="inlineStr">
        <is>
          <t>MA2409</t>
        </is>
      </c>
      <c r="C436" s="11" t="inlineStr">
        <is>
          <t>2024-09</t>
        </is>
      </c>
      <c r="D436" s="12" t="n">
        <v>2655.83</v>
      </c>
      <c r="E436" s="12" t="n">
        <v>2573</v>
      </c>
      <c r="F436" s="12">
        <f>D436-E436</f>
        <v/>
      </c>
      <c r="G436" s="13">
        <f>IF(D436=0,"",(D436-E436)/D436)</f>
        <v/>
      </c>
      <c r="H436" s="14" t="n">
        <v>802729</v>
      </c>
      <c r="I436" s="15" t="n">
        <v>0.6</v>
      </c>
      <c r="J436" s="15">
        <f>IF(COUNT(G186:G435)&lt;20,"",IF(COUNTIF(G186:G435,"&lt;"&amp;G436)&gt;=COUNT(G186:G435),(COUNT(G186:G435)-0.5)/COUNT(G186:G435),IF(COUNTIF(G186:G435,G436)&gt;0,(COUNTIF(G186:G435,"&lt;"&amp;G436)+0.5*COUNTIF(G186:G435,G436))/COUNT(G186:G435),COUNTIF(G186:G435,"&lt;"&amp;G436)/COUNT(G186:G435))))</f>
        <v/>
      </c>
      <c r="K436" s="11" t="inlineStr">
        <is>
          <t>中间分位</t>
        </is>
      </c>
      <c r="L436" s="11" t="n">
        <v>70</v>
      </c>
      <c r="M436" s="11" t="inlineStr">
        <is>
          <t>Back(近强)</t>
        </is>
      </c>
      <c r="N436" s="11" t="n">
        <v>1</v>
      </c>
      <c r="O436" s="11" t="n">
        <v>0</v>
      </c>
      <c r="P436" s="12" t="n">
        <v>-12</v>
      </c>
      <c r="Q436" s="11" t="inlineStr"/>
    </row>
    <row r="437">
      <c r="A437" s="6" t="inlineStr">
        <is>
          <t>2024-06-06</t>
        </is>
      </c>
      <c r="B437" s="6" t="inlineStr">
        <is>
          <t>MA2409</t>
        </is>
      </c>
      <c r="C437" s="6" t="inlineStr">
        <is>
          <t>2024-09</t>
        </is>
      </c>
      <c r="D437" s="7" t="n">
        <v>2660</v>
      </c>
      <c r="E437" s="7" t="n">
        <v>2564</v>
      </c>
      <c r="F437" s="7">
        <f>D437-E437</f>
        <v/>
      </c>
      <c r="G437" s="8">
        <f>IF(D437=0,"",(D437-E437)/D437)</f>
        <v/>
      </c>
      <c r="H437" s="9" t="n">
        <v>791207</v>
      </c>
      <c r="I437" s="10" t="n">
        <v>0.636</v>
      </c>
      <c r="J437" s="10">
        <f>IF(COUNT(G187:G436)&lt;20,"",IF(COUNTIF(G187:G436,"&lt;"&amp;G437)&gt;=COUNT(G187:G436),(COUNT(G187:G436)-0.5)/COUNT(G187:G436),IF(COUNTIF(G187:G436,G437)&gt;0,(COUNTIF(G187:G436,"&lt;"&amp;G437)+0.5*COUNTIF(G187:G436,G437))/COUNT(G187:G436),COUNTIF(G187:G436,"&lt;"&amp;G437)/COUNT(G187:G436))))</f>
        <v/>
      </c>
      <c r="K437" s="6" t="inlineStr">
        <is>
          <t>中间分位</t>
        </is>
      </c>
      <c r="L437" s="6" t="n">
        <v>69</v>
      </c>
      <c r="M437" s="6" t="inlineStr">
        <is>
          <t>Back(近强)</t>
        </is>
      </c>
      <c r="N437" s="6" t="n">
        <v>1</v>
      </c>
      <c r="O437" s="6" t="n">
        <v>0</v>
      </c>
      <c r="P437" s="7" t="n">
        <v>-5</v>
      </c>
      <c r="Q437" s="6" t="inlineStr"/>
    </row>
    <row r="438">
      <c r="A438" s="11" t="inlineStr">
        <is>
          <t>2024-06-07</t>
        </is>
      </c>
      <c r="B438" s="11" t="inlineStr">
        <is>
          <t>MA2409</t>
        </is>
      </c>
      <c r="C438" s="11" t="inlineStr">
        <is>
          <t>2024-09</t>
        </is>
      </c>
      <c r="D438" s="12" t="n">
        <v>2620</v>
      </c>
      <c r="E438" s="12" t="n">
        <v>2554</v>
      </c>
      <c r="F438" s="12">
        <f>D438-E438</f>
        <v/>
      </c>
      <c r="G438" s="13">
        <f>IF(D438=0,"",(D438-E438)/D438)</f>
        <v/>
      </c>
      <c r="H438" s="14" t="n">
        <v>754058</v>
      </c>
      <c r="I438" s="15" t="n">
        <v>0.5639999999999999</v>
      </c>
      <c r="J438" s="15">
        <f>IF(COUNT(G188:G437)&lt;20,"",IF(COUNTIF(G188:G437,"&lt;"&amp;G438)&gt;=COUNT(G188:G437),(COUNT(G188:G437)-0.5)/COUNT(G188:G437),IF(COUNTIF(G188:G437,G438)&gt;0,(COUNTIF(G188:G437,"&lt;"&amp;G438)+0.5*COUNTIF(G188:G437,G438))/COUNT(G188:G437),COUNTIF(G188:G437,"&lt;"&amp;G438)/COUNT(G188:G437))))</f>
        <v/>
      </c>
      <c r="K438" s="11" t="inlineStr">
        <is>
          <t>中间分位</t>
        </is>
      </c>
      <c r="L438" s="11" t="n">
        <v>68</v>
      </c>
      <c r="M438" s="11" t="inlineStr">
        <is>
          <t>Back(近强)</t>
        </is>
      </c>
      <c r="N438" s="11" t="n">
        <v>1</v>
      </c>
      <c r="O438" s="11" t="n">
        <v>0</v>
      </c>
      <c r="P438" s="12" t="n">
        <v>-5</v>
      </c>
      <c r="Q438" s="11" t="inlineStr"/>
    </row>
    <row r="439">
      <c r="A439" s="6" t="inlineStr">
        <is>
          <t>2024-06-11</t>
        </is>
      </c>
      <c r="B439" s="6" t="inlineStr">
        <is>
          <t>MA2409</t>
        </is>
      </c>
      <c r="C439" s="6" t="inlineStr">
        <is>
          <t>2024-09</t>
        </is>
      </c>
      <c r="D439" s="7" t="n">
        <v>2600</v>
      </c>
      <c r="E439" s="7" t="n">
        <v>2550</v>
      </c>
      <c r="F439" s="7">
        <f>D439-E439</f>
        <v/>
      </c>
      <c r="G439" s="8">
        <f>IF(D439=0,"",(D439-E439)/D439)</f>
        <v/>
      </c>
      <c r="H439" s="9" t="n">
        <v>760353</v>
      </c>
      <c r="I439" s="10" t="n">
        <v>0.508</v>
      </c>
      <c r="J439" s="10">
        <f>IF(COUNT(G189:G438)&lt;20,"",IF(COUNTIF(G189:G438,"&lt;"&amp;G439)&gt;=COUNT(G189:G438),(COUNT(G189:G438)-0.5)/COUNT(G189:G438),IF(COUNTIF(G189:G438,G439)&gt;0,(COUNTIF(G189:G438,"&lt;"&amp;G439)+0.5*COUNTIF(G189:G438,G439))/COUNT(G189:G438),COUNTIF(G189:G438,"&lt;"&amp;G439)/COUNT(G189:G438))))</f>
        <v/>
      </c>
      <c r="K439" s="6" t="inlineStr">
        <is>
          <t>中间分位</t>
        </is>
      </c>
      <c r="L439" s="6" t="n">
        <v>67</v>
      </c>
      <c r="M439" s="6" t="inlineStr">
        <is>
          <t>Back(近强)</t>
        </is>
      </c>
      <c r="N439" s="6" t="n">
        <v>1</v>
      </c>
      <c r="O439" s="6" t="n">
        <v>0</v>
      </c>
      <c r="P439" s="7" t="n">
        <v>-27</v>
      </c>
      <c r="Q439" s="6" t="inlineStr"/>
    </row>
    <row r="440">
      <c r="A440" s="11" t="inlineStr">
        <is>
          <t>2024-06-12</t>
        </is>
      </c>
      <c r="B440" s="11" t="inlineStr">
        <is>
          <t>MA2409</t>
        </is>
      </c>
      <c r="C440" s="11" t="inlineStr">
        <is>
          <t>2024-09</t>
        </is>
      </c>
      <c r="D440" s="12" t="n">
        <v>2600</v>
      </c>
      <c r="E440" s="12" t="n">
        <v>2560</v>
      </c>
      <c r="F440" s="12">
        <f>D440-E440</f>
        <v/>
      </c>
      <c r="G440" s="13">
        <f>IF(D440=0,"",(D440-E440)/D440)</f>
        <v/>
      </c>
      <c r="H440" s="14" t="n">
        <v>767017</v>
      </c>
      <c r="I440" s="15" t="n">
        <v>0.468</v>
      </c>
      <c r="J440" s="15">
        <f>IF(COUNT(G190:G439)&lt;20,"",IF(COUNTIF(G190:G439,"&lt;"&amp;G440)&gt;=COUNT(G190:G439),(COUNT(G190:G439)-0.5)/COUNT(G190:G439),IF(COUNTIF(G190:G439,G440)&gt;0,(COUNTIF(G190:G439,"&lt;"&amp;G440)+0.5*COUNTIF(G190:G439,G440))/COUNT(G190:G439),COUNTIF(G190:G439,"&lt;"&amp;G440)/COUNT(G190:G439))))</f>
        <v/>
      </c>
      <c r="K440" s="11" t="inlineStr">
        <is>
          <t>中间分位</t>
        </is>
      </c>
      <c r="L440" s="11" t="n">
        <v>66</v>
      </c>
      <c r="M440" s="11" t="inlineStr">
        <is>
          <t>Contango(远强)</t>
        </is>
      </c>
      <c r="N440" s="11" t="n">
        <v>1</v>
      </c>
      <c r="O440" s="11" t="n">
        <v>0</v>
      </c>
      <c r="P440" s="12" t="n">
        <v>-120</v>
      </c>
      <c r="Q440" s="11" t="inlineStr"/>
    </row>
    <row r="441">
      <c r="A441" s="6" t="inlineStr">
        <is>
          <t>2024-06-13</t>
        </is>
      </c>
      <c r="B441" s="6" t="inlineStr">
        <is>
          <t>MA2409</t>
        </is>
      </c>
      <c r="C441" s="6" t="inlineStr">
        <is>
          <t>2024-09</t>
        </is>
      </c>
      <c r="D441" s="7" t="n">
        <v>2600</v>
      </c>
      <c r="E441" s="7" t="n">
        <v>2532</v>
      </c>
      <c r="F441" s="7">
        <f>D441-E441</f>
        <v/>
      </c>
      <c r="G441" s="8">
        <f>IF(D441=0,"",(D441-E441)/D441)</f>
        <v/>
      </c>
      <c r="H441" s="9" t="n">
        <v>752710</v>
      </c>
      <c r="I441" s="10" t="n">
        <v>0.584</v>
      </c>
      <c r="J441" s="10">
        <f>IF(COUNT(G191:G440)&lt;20,"",IF(COUNTIF(G191:G440,"&lt;"&amp;G441)&gt;=COUNT(G191:G440),(COUNT(G191:G440)-0.5)/COUNT(G191:G440),IF(COUNTIF(G191:G440,G441)&gt;0,(COUNTIF(G191:G440,"&lt;"&amp;G441)+0.5*COUNTIF(G191:G440,G441))/COUNT(G191:G440),COUNTIF(G191:G440,"&lt;"&amp;G441)/COUNT(G191:G440))))</f>
        <v/>
      </c>
      <c r="K441" s="6" t="inlineStr">
        <is>
          <t>中间分位</t>
        </is>
      </c>
      <c r="L441" s="6" t="n">
        <v>65</v>
      </c>
      <c r="M441" s="6" t="inlineStr">
        <is>
          <t>Back(近强)</t>
        </is>
      </c>
      <c r="N441" s="6" t="n">
        <v>1</v>
      </c>
      <c r="O441" s="6" t="n">
        <v>0</v>
      </c>
      <c r="P441" s="7" t="n">
        <v>22</v>
      </c>
      <c r="Q441" s="6" t="inlineStr"/>
    </row>
    <row r="442">
      <c r="A442" s="11" t="inlineStr">
        <is>
          <t>2024-06-14</t>
        </is>
      </c>
      <c r="B442" s="11" t="inlineStr">
        <is>
          <t>MA2409</t>
        </is>
      </c>
      <c r="C442" s="11" t="inlineStr">
        <is>
          <t>2024-09</t>
        </is>
      </c>
      <c r="D442" s="12" t="n">
        <v>2560</v>
      </c>
      <c r="E442" s="12" t="n">
        <v>2529</v>
      </c>
      <c r="F442" s="12">
        <f>D442-E442</f>
        <v/>
      </c>
      <c r="G442" s="13">
        <f>IF(D442=0,"",(D442-E442)/D442)</f>
        <v/>
      </c>
      <c r="H442" s="14" t="n">
        <v>741289</v>
      </c>
      <c r="I442" s="15" t="n">
        <v>0.432</v>
      </c>
      <c r="J442" s="15">
        <f>IF(COUNT(G192:G441)&lt;20,"",IF(COUNTIF(G192:G441,"&lt;"&amp;G442)&gt;=COUNT(G192:G441),(COUNT(G192:G441)-0.5)/COUNT(G192:G441),IF(COUNTIF(G192:G441,G442)&gt;0,(COUNTIF(G192:G441,"&lt;"&amp;G442)+0.5*COUNTIF(G192:G441,G442))/COUNT(G192:G441),COUNTIF(G192:G441,"&lt;"&amp;G442)/COUNT(G192:G441))))</f>
        <v/>
      </c>
      <c r="K442" s="11" t="inlineStr">
        <is>
          <t>中间分位</t>
        </is>
      </c>
      <c r="L442" s="11" t="n">
        <v>64</v>
      </c>
      <c r="M442" s="11" t="inlineStr">
        <is>
          <t>Back(近强)</t>
        </is>
      </c>
      <c r="N442" s="11" t="n">
        <v>1</v>
      </c>
      <c r="O442" s="11" t="n">
        <v>0</v>
      </c>
      <c r="P442" s="12" t="n">
        <v>-1</v>
      </c>
      <c r="Q442" s="11" t="inlineStr"/>
    </row>
    <row r="443">
      <c r="A443" s="6" t="inlineStr">
        <is>
          <t>2024-06-17</t>
        </is>
      </c>
      <c r="B443" s="6" t="inlineStr">
        <is>
          <t>MA2409</t>
        </is>
      </c>
      <c r="C443" s="6" t="inlineStr">
        <is>
          <t>2024-09</t>
        </is>
      </c>
      <c r="D443" s="7" t="n">
        <v>2545.83</v>
      </c>
      <c r="E443" s="7" t="n">
        <v>2516</v>
      </c>
      <c r="F443" s="7">
        <f>D443-E443</f>
        <v/>
      </c>
      <c r="G443" s="8">
        <f>IF(D443=0,"",(D443-E443)/D443)</f>
        <v/>
      </c>
      <c r="H443" s="9" t="n">
        <v>742509</v>
      </c>
      <c r="I443" s="10" t="n">
        <v>0.42</v>
      </c>
      <c r="J443" s="10">
        <f>IF(COUNT(G193:G442)&lt;20,"",IF(COUNTIF(G193:G442,"&lt;"&amp;G443)&gt;=COUNT(G193:G442),(COUNT(G193:G442)-0.5)/COUNT(G193:G442),IF(COUNTIF(G193:G442,G443)&gt;0,(COUNTIF(G193:G442,"&lt;"&amp;G443)+0.5*COUNTIF(G193:G442,G443))/COUNT(G193:G442),COUNTIF(G193:G442,"&lt;"&amp;G443)/COUNT(G193:G442))))</f>
        <v/>
      </c>
      <c r="K443" s="6" t="inlineStr">
        <is>
          <t>中间分位</t>
        </is>
      </c>
      <c r="L443" s="6" t="n">
        <v>63</v>
      </c>
      <c r="M443" s="6" t="inlineStr">
        <is>
          <t>Contango(远强)</t>
        </is>
      </c>
      <c r="N443" s="6" t="n">
        <v>1</v>
      </c>
      <c r="O443" s="6" t="n">
        <v>0</v>
      </c>
      <c r="P443" s="7" t="n">
        <v>-144</v>
      </c>
      <c r="Q443" s="6" t="inlineStr"/>
    </row>
    <row r="444">
      <c r="A444" s="11" t="inlineStr">
        <is>
          <t>2024-06-18</t>
        </is>
      </c>
      <c r="B444" s="11" t="inlineStr">
        <is>
          <t>MA2409</t>
        </is>
      </c>
      <c r="C444" s="11" t="inlineStr">
        <is>
          <t>2024-09</t>
        </is>
      </c>
      <c r="D444" s="12" t="n">
        <v>2520</v>
      </c>
      <c r="E444" s="12" t="n">
        <v>2511</v>
      </c>
      <c r="F444" s="12">
        <f>D444-E444</f>
        <v/>
      </c>
      <c r="G444" s="13">
        <f>IF(D444=0,"",(D444-E444)/D444)</f>
        <v/>
      </c>
      <c r="H444" s="14" t="n">
        <v>733079</v>
      </c>
      <c r="I444" s="15" t="n">
        <v>0.304</v>
      </c>
      <c r="J444" s="15">
        <f>IF(COUNT(G194:G443)&lt;20,"",IF(COUNTIF(G194:G443,"&lt;"&amp;G444)&gt;=COUNT(G194:G443),(COUNT(G194:G443)-0.5)/COUNT(G194:G443),IF(COUNTIF(G194:G443,G444)&gt;0,(COUNTIF(G194:G443,"&lt;"&amp;G444)+0.5*COUNTIF(G194:G443,G444))/COUNT(G194:G443),COUNTIF(G194:G443,"&lt;"&amp;G444)/COUNT(G194:G443))))</f>
        <v/>
      </c>
      <c r="K444" s="11" t="inlineStr">
        <is>
          <t>中间分位</t>
        </is>
      </c>
      <c r="L444" s="11" t="n">
        <v>62</v>
      </c>
      <c r="M444" s="11" t="inlineStr">
        <is>
          <t>Back(近强)</t>
        </is>
      </c>
      <c r="N444" s="11" t="n">
        <v>1</v>
      </c>
      <c r="O444" s="11" t="n">
        <v>0</v>
      </c>
      <c r="P444" s="12" t="n">
        <v>-6</v>
      </c>
      <c r="Q444" s="11" t="inlineStr"/>
    </row>
    <row r="445">
      <c r="A445" s="6" t="inlineStr">
        <is>
          <t>2024-06-19</t>
        </is>
      </c>
      <c r="B445" s="6" t="inlineStr">
        <is>
          <t>MA2409</t>
        </is>
      </c>
      <c r="C445" s="6" t="inlineStr">
        <is>
          <t>2024-09</t>
        </is>
      </c>
      <c r="D445" s="7" t="n">
        <v>2515.83</v>
      </c>
      <c r="E445" s="7" t="n">
        <v>2537</v>
      </c>
      <c r="F445" s="7">
        <f>D445-E445</f>
        <v/>
      </c>
      <c r="G445" s="8">
        <f>IF(D445=0,"",(D445-E445)/D445)</f>
        <v/>
      </c>
      <c r="H445" s="9" t="n">
        <v>716916</v>
      </c>
      <c r="I445" s="10" t="n">
        <v>0.172</v>
      </c>
      <c r="J445" s="10">
        <f>IF(COUNT(G195:G444)&lt;20,"",IF(COUNTIF(G195:G444,"&lt;"&amp;G445)&gt;=COUNT(G195:G444),(COUNT(G195:G444)-0.5)/COUNT(G195:G444),IF(COUNTIF(G195:G444,G445)&gt;0,(COUNTIF(G195:G444,"&lt;"&amp;G445)+0.5*COUNTIF(G195:G444,G445))/COUNT(G195:G444),COUNTIF(G195:G444,"&lt;"&amp;G445)/COUNT(G195:G444))))</f>
        <v/>
      </c>
      <c r="K445" s="6" t="inlineStr">
        <is>
          <t>中间分位</t>
        </is>
      </c>
      <c r="L445" s="6" t="n">
        <v>61</v>
      </c>
      <c r="M445" s="6" t="inlineStr">
        <is>
          <t>Back(近强)</t>
        </is>
      </c>
      <c r="N445" s="6" t="n">
        <v>1</v>
      </c>
      <c r="O445" s="6" t="n">
        <v>0</v>
      </c>
      <c r="P445" s="7" t="n">
        <v>-3</v>
      </c>
      <c r="Q445" s="6" t="inlineStr"/>
    </row>
    <row r="446">
      <c r="A446" s="11" t="inlineStr">
        <is>
          <t>2024-06-20</t>
        </is>
      </c>
      <c r="B446" s="11" t="inlineStr">
        <is>
          <t>MA2409</t>
        </is>
      </c>
      <c r="C446" s="11" t="inlineStr">
        <is>
          <t>2024-09</t>
        </is>
      </c>
      <c r="D446" s="12" t="n">
        <v>2530</v>
      </c>
      <c r="E446" s="12" t="n">
        <v>2529</v>
      </c>
      <c r="F446" s="12">
        <f>D446-E446</f>
        <v/>
      </c>
      <c r="G446" s="13">
        <f>IF(D446=0,"",(D446-E446)/D446)</f>
        <v/>
      </c>
      <c r="H446" s="14" t="n">
        <v>712851</v>
      </c>
      <c r="I446" s="15" t="n">
        <v>0.268</v>
      </c>
      <c r="J446" s="15">
        <f>IF(COUNT(G196:G445)&lt;20,"",IF(COUNTIF(G196:G445,"&lt;"&amp;G446)&gt;=COUNT(G196:G445),(COUNT(G196:G445)-0.5)/COUNT(G196:G445),IF(COUNTIF(G196:G445,G446)&gt;0,(COUNTIF(G196:G445,"&lt;"&amp;G446)+0.5*COUNTIF(G196:G445,G446))/COUNT(G196:G445),COUNTIF(G196:G445,"&lt;"&amp;G446)/COUNT(G196:G445))))</f>
        <v/>
      </c>
      <c r="K446" s="11" t="inlineStr">
        <is>
          <t>中间分位</t>
        </is>
      </c>
      <c r="L446" s="11" t="n">
        <v>60</v>
      </c>
      <c r="M446" s="11" t="inlineStr">
        <is>
          <t>Back(近强)</t>
        </is>
      </c>
      <c r="N446" s="11" t="n">
        <v>1</v>
      </c>
      <c r="O446" s="11" t="n">
        <v>0</v>
      </c>
      <c r="P446" s="12" t="n">
        <v>-8</v>
      </c>
      <c r="Q446" s="11" t="inlineStr"/>
    </row>
    <row r="447">
      <c r="A447" s="6" t="inlineStr">
        <is>
          <t>2024-06-21</t>
        </is>
      </c>
      <c r="B447" s="6" t="inlineStr">
        <is>
          <t>MA2409</t>
        </is>
      </c>
      <c r="C447" s="6" t="inlineStr">
        <is>
          <t>2024-09</t>
        </is>
      </c>
      <c r="D447" s="7" t="n">
        <v>2526.67</v>
      </c>
      <c r="E447" s="7" t="n">
        <v>2498</v>
      </c>
      <c r="F447" s="7">
        <f>D447-E447</f>
        <v/>
      </c>
      <c r="G447" s="8">
        <f>IF(D447=0,"",(D447-E447)/D447)</f>
        <v/>
      </c>
      <c r="H447" s="9" t="n">
        <v>721242</v>
      </c>
      <c r="I447" s="10" t="n">
        <v>0.428</v>
      </c>
      <c r="J447" s="10">
        <f>IF(COUNT(G197:G446)&lt;20,"",IF(COUNTIF(G197:G446,"&lt;"&amp;G447)&gt;=COUNT(G197:G446),(COUNT(G197:G446)-0.5)/COUNT(G197:G446),IF(COUNTIF(G197:G446,G447)&gt;0,(COUNTIF(G197:G446,"&lt;"&amp;G447)+0.5*COUNTIF(G197:G446,G447))/COUNT(G197:G446),COUNTIF(G197:G446,"&lt;"&amp;G447)/COUNT(G197:G446))))</f>
        <v/>
      </c>
      <c r="K447" s="6" t="inlineStr">
        <is>
          <t>中间分位</t>
        </is>
      </c>
      <c r="L447" s="6" t="n">
        <v>59</v>
      </c>
      <c r="M447" s="6" t="inlineStr">
        <is>
          <t>Back(近强)</t>
        </is>
      </c>
      <c r="N447" s="6" t="n">
        <v>1</v>
      </c>
      <c r="O447" s="6" t="n">
        <v>0</v>
      </c>
      <c r="P447" s="7" t="n">
        <v>-5</v>
      </c>
      <c r="Q447" s="6" t="inlineStr"/>
    </row>
    <row r="448">
      <c r="A448" s="11" t="inlineStr">
        <is>
          <t>2024-06-24</t>
        </is>
      </c>
      <c r="B448" s="11" t="inlineStr">
        <is>
          <t>MA2409</t>
        </is>
      </c>
      <c r="C448" s="11" t="inlineStr">
        <is>
          <t>2024-09</t>
        </is>
      </c>
      <c r="D448" s="12" t="n">
        <v>2500</v>
      </c>
      <c r="E448" s="12" t="n">
        <v>2478</v>
      </c>
      <c r="F448" s="12">
        <f>D448-E448</f>
        <v/>
      </c>
      <c r="G448" s="13">
        <f>IF(D448=0,"",(D448-E448)/D448)</f>
        <v/>
      </c>
      <c r="H448" s="14" t="n">
        <v>726475</v>
      </c>
      <c r="I448" s="15" t="n">
        <v>0.392</v>
      </c>
      <c r="J448" s="15">
        <f>IF(COUNT(G198:G447)&lt;20,"",IF(COUNTIF(G198:G447,"&lt;"&amp;G448)&gt;=COUNT(G198:G447),(COUNT(G198:G447)-0.5)/COUNT(G198:G447),IF(COUNTIF(G198:G447,G448)&gt;0,(COUNTIF(G198:G447,"&lt;"&amp;G448)+0.5*COUNTIF(G198:G447,G448))/COUNT(G198:G447),COUNTIF(G198:G447,"&lt;"&amp;G448)/COUNT(G198:G447))))</f>
        <v/>
      </c>
      <c r="K448" s="11" t="inlineStr">
        <is>
          <t>中间分位</t>
        </is>
      </c>
      <c r="L448" s="11" t="n">
        <v>58</v>
      </c>
      <c r="M448" s="11" t="inlineStr">
        <is>
          <t>Back(近强)</t>
        </is>
      </c>
      <c r="N448" s="11" t="n">
        <v>1</v>
      </c>
      <c r="O448" s="11" t="n">
        <v>0</v>
      </c>
      <c r="P448" s="12" t="n">
        <v>-5</v>
      </c>
      <c r="Q448" s="11" t="inlineStr"/>
    </row>
    <row r="449">
      <c r="A449" s="6" t="inlineStr">
        <is>
          <t>2024-06-25</t>
        </is>
      </c>
      <c r="B449" s="6" t="inlineStr">
        <is>
          <t>MA2409</t>
        </is>
      </c>
      <c r="C449" s="6" t="inlineStr">
        <is>
          <t>2024-09</t>
        </is>
      </c>
      <c r="D449" s="7" t="n">
        <v>2485</v>
      </c>
      <c r="E449" s="7" t="n">
        <v>2513</v>
      </c>
      <c r="F449" s="7">
        <f>D449-E449</f>
        <v/>
      </c>
      <c r="G449" s="8">
        <f>IF(D449=0,"",(D449-E449)/D449)</f>
        <v/>
      </c>
      <c r="H449" s="9" t="n">
        <v>723110</v>
      </c>
      <c r="I449" s="10" t="n">
        <v>0.156</v>
      </c>
      <c r="J449" s="10">
        <f>IF(COUNT(G199:G448)&lt;20,"",IF(COUNTIF(G199:G448,"&lt;"&amp;G449)&gt;=COUNT(G199:G448),(COUNT(G199:G448)-0.5)/COUNT(G199:G448),IF(COUNTIF(G199:G448,G449)&gt;0,(COUNTIF(G199:G448,"&lt;"&amp;G449)+0.5*COUNTIF(G199:G448,G449))/COUNT(G199:G448),COUNTIF(G199:G448,"&lt;"&amp;G449)/COUNT(G199:G448))))</f>
        <v/>
      </c>
      <c r="K449" s="6" t="inlineStr">
        <is>
          <t>中间分位</t>
        </is>
      </c>
      <c r="L449" s="6" t="n">
        <v>57</v>
      </c>
      <c r="M449" s="6" t="inlineStr">
        <is>
          <t>Back(近强)</t>
        </is>
      </c>
      <c r="N449" s="6" t="n">
        <v>1</v>
      </c>
      <c r="O449" s="6" t="n">
        <v>0</v>
      </c>
      <c r="P449" s="7" t="n">
        <v>-9</v>
      </c>
      <c r="Q449" s="6" t="inlineStr"/>
    </row>
    <row r="450">
      <c r="A450" s="11" t="inlineStr">
        <is>
          <t>2024-06-26</t>
        </is>
      </c>
      <c r="B450" s="11" t="inlineStr">
        <is>
          <t>MA2409</t>
        </is>
      </c>
      <c r="C450" s="11" t="inlineStr">
        <is>
          <t>2024-09</t>
        </is>
      </c>
      <c r="D450" s="12" t="n">
        <v>2520</v>
      </c>
      <c r="E450" s="12" t="n">
        <v>2506</v>
      </c>
      <c r="F450" s="12">
        <f>D450-E450</f>
        <v/>
      </c>
      <c r="G450" s="13">
        <f>IF(D450=0,"",(D450-E450)/D450)</f>
        <v/>
      </c>
      <c r="H450" s="14" t="n">
        <v>717913</v>
      </c>
      <c r="I450" s="15" t="n">
        <v>0.344</v>
      </c>
      <c r="J450" s="15">
        <f>IF(COUNT(G200:G449)&lt;20,"",IF(COUNTIF(G200:G449,"&lt;"&amp;G450)&gt;=COUNT(G200:G449),(COUNT(G200:G449)-0.5)/COUNT(G200:G449),IF(COUNTIF(G200:G449,G450)&gt;0,(COUNTIF(G200:G449,"&lt;"&amp;G450)+0.5*COUNTIF(G200:G449,G450))/COUNT(G200:G449),COUNTIF(G200:G449,"&lt;"&amp;G450)/COUNT(G200:G449))))</f>
        <v/>
      </c>
      <c r="K450" s="11" t="inlineStr">
        <is>
          <t>中间分位</t>
        </is>
      </c>
      <c r="L450" s="11" t="n">
        <v>56</v>
      </c>
      <c r="M450" s="11" t="inlineStr">
        <is>
          <t>Back(近强)</t>
        </is>
      </c>
      <c r="N450" s="11" t="n">
        <v>1</v>
      </c>
      <c r="O450" s="11" t="n">
        <v>0</v>
      </c>
      <c r="P450" s="12" t="n">
        <v>-6</v>
      </c>
      <c r="Q450" s="11" t="inlineStr"/>
    </row>
    <row r="451">
      <c r="A451" s="6" t="inlineStr">
        <is>
          <t>2024-06-27</t>
        </is>
      </c>
      <c r="B451" s="6" t="inlineStr">
        <is>
          <t>MA2409</t>
        </is>
      </c>
      <c r="C451" s="6" t="inlineStr">
        <is>
          <t>2024-09</t>
        </is>
      </c>
      <c r="D451" s="7" t="n">
        <v>2520</v>
      </c>
      <c r="E451" s="7" t="n">
        <v>2518</v>
      </c>
      <c r="F451" s="7">
        <f>D451-E451</f>
        <v/>
      </c>
      <c r="G451" s="8">
        <f>IF(D451=0,"",(D451-E451)/D451)</f>
        <v/>
      </c>
      <c r="H451" s="9" t="n">
        <v>703477</v>
      </c>
      <c r="I451" s="10" t="n">
        <v>0.276</v>
      </c>
      <c r="J451" s="10">
        <f>IF(COUNT(G201:G450)&lt;20,"",IF(COUNTIF(G201:G450,"&lt;"&amp;G451)&gt;=COUNT(G201:G450),(COUNT(G201:G450)-0.5)/COUNT(G201:G450),IF(COUNTIF(G201:G450,G451)&gt;0,(COUNTIF(G201:G450,"&lt;"&amp;G451)+0.5*COUNTIF(G201:G450,G451))/COUNT(G201:G450),COUNTIF(G201:G450,"&lt;"&amp;G451)/COUNT(G201:G450))))</f>
        <v/>
      </c>
      <c r="K451" s="6" t="inlineStr">
        <is>
          <t>中间分位</t>
        </is>
      </c>
      <c r="L451" s="6" t="n">
        <v>55</v>
      </c>
      <c r="M451" s="6" t="inlineStr">
        <is>
          <t>Back(近强)</t>
        </is>
      </c>
      <c r="N451" s="6" t="n">
        <v>1</v>
      </c>
      <c r="O451" s="6" t="n">
        <v>0</v>
      </c>
      <c r="P451" s="7" t="n">
        <v>-3</v>
      </c>
      <c r="Q451" s="6" t="inlineStr"/>
    </row>
    <row r="452">
      <c r="A452" s="11" t="inlineStr">
        <is>
          <t>2024-06-28</t>
        </is>
      </c>
      <c r="B452" s="11" t="inlineStr">
        <is>
          <t>MA2409</t>
        </is>
      </c>
      <c r="C452" s="11" t="inlineStr">
        <is>
          <t>2024-09</t>
        </is>
      </c>
      <c r="D452" s="12" t="n">
        <v>2530</v>
      </c>
      <c r="E452" s="12" t="n">
        <v>2553</v>
      </c>
      <c r="F452" s="12">
        <f>D452-E452</f>
        <v/>
      </c>
      <c r="G452" s="13">
        <f>IF(D452=0,"",(D452-E452)/D452)</f>
        <v/>
      </c>
      <c r="H452" s="14" t="n">
        <v>696348</v>
      </c>
      <c r="I452" s="15" t="n">
        <v>0.176</v>
      </c>
      <c r="J452" s="15">
        <f>IF(COUNT(G202:G451)&lt;20,"",IF(COUNTIF(G202:G451,"&lt;"&amp;G452)&gt;=COUNT(G202:G451),(COUNT(G202:G451)-0.5)/COUNT(G202:G451),IF(COUNTIF(G202:G451,G452)&gt;0,(COUNTIF(G202:G451,"&lt;"&amp;G452)+0.5*COUNTIF(G202:G451,G452))/COUNT(G202:G451),COUNTIF(G202:G451,"&lt;"&amp;G452)/COUNT(G202:G451))))</f>
        <v/>
      </c>
      <c r="K452" s="11" t="inlineStr">
        <is>
          <t>中间分位</t>
        </is>
      </c>
      <c r="L452" s="11" t="n">
        <v>54</v>
      </c>
      <c r="M452" s="11" t="inlineStr">
        <is>
          <t>Back(近强)</t>
        </is>
      </c>
      <c r="N452" s="11" t="n">
        <v>1</v>
      </c>
      <c r="O452" s="11" t="n">
        <v>0</v>
      </c>
      <c r="P452" s="12" t="n">
        <v>5</v>
      </c>
      <c r="Q452" s="11" t="inlineStr"/>
    </row>
    <row r="453">
      <c r="A453" s="6" t="inlineStr">
        <is>
          <t>2024-07-01</t>
        </is>
      </c>
      <c r="B453" s="6" t="inlineStr">
        <is>
          <t>MA2409</t>
        </is>
      </c>
      <c r="C453" s="6" t="inlineStr">
        <is>
          <t>2024-09</t>
        </is>
      </c>
      <c r="D453" s="7" t="n">
        <v>2554.17</v>
      </c>
      <c r="E453" s="7" t="n">
        <v>2545</v>
      </c>
      <c r="F453" s="7">
        <f>D453-E453</f>
        <v/>
      </c>
      <c r="G453" s="8">
        <f>IF(D453=0,"",(D453-E453)/D453)</f>
        <v/>
      </c>
      <c r="H453" s="9" t="n">
        <v>704386</v>
      </c>
      <c r="I453" s="10" t="n">
        <v>0.32</v>
      </c>
      <c r="J453" s="10">
        <f>IF(COUNT(G203:G452)&lt;20,"",IF(COUNTIF(G203:G452,"&lt;"&amp;G453)&gt;=COUNT(G203:G452),(COUNT(G203:G452)-0.5)/COUNT(G203:G452),IF(COUNTIF(G203:G452,G453)&gt;0,(COUNTIF(G203:G452,"&lt;"&amp;G453)+0.5*COUNTIF(G203:G452,G453))/COUNT(G203:G452),COUNTIF(G203:G452,"&lt;"&amp;G453)/COUNT(G203:G452))))</f>
        <v/>
      </c>
      <c r="K453" s="6" t="inlineStr">
        <is>
          <t>中间分位</t>
        </is>
      </c>
      <c r="L453" s="6" t="n">
        <v>53</v>
      </c>
      <c r="M453" s="6" t="inlineStr">
        <is>
          <t>Back(近强)</t>
        </is>
      </c>
      <c r="N453" s="6" t="n">
        <v>1</v>
      </c>
      <c r="O453" s="6" t="n">
        <v>0</v>
      </c>
      <c r="P453" s="7" t="n">
        <v>23</v>
      </c>
      <c r="Q453" s="6" t="inlineStr"/>
    </row>
    <row r="454">
      <c r="A454" s="11" t="inlineStr">
        <is>
          <t>2024-07-02</t>
        </is>
      </c>
      <c r="B454" s="11" t="inlineStr">
        <is>
          <t>MA2409</t>
        </is>
      </c>
      <c r="C454" s="11" t="inlineStr">
        <is>
          <t>2024-09</t>
        </is>
      </c>
      <c r="D454" s="12" t="n">
        <v>2532.5</v>
      </c>
      <c r="E454" s="12" t="n">
        <v>2572</v>
      </c>
      <c r="F454" s="12">
        <f>D454-E454</f>
        <v/>
      </c>
      <c r="G454" s="13">
        <f>IF(D454=0,"",(D454-E454)/D454)</f>
        <v/>
      </c>
      <c r="H454" s="14" t="n">
        <v>693098</v>
      </c>
      <c r="I454" s="15" t="n">
        <v>0.128</v>
      </c>
      <c r="J454" s="15">
        <f>IF(COUNT(G204:G453)&lt;20,"",IF(COUNTIF(G204:G453,"&lt;"&amp;G454)&gt;=COUNT(G204:G453),(COUNT(G204:G453)-0.5)/COUNT(G204:G453),IF(COUNTIF(G204:G453,G454)&gt;0,(COUNTIF(G204:G453,"&lt;"&amp;G454)+0.5*COUNTIF(G204:G453,G454))/COUNT(G204:G453),COUNTIF(G204:G453,"&lt;"&amp;G454)/COUNT(G204:G453))))</f>
        <v/>
      </c>
      <c r="K454" s="11" t="inlineStr">
        <is>
          <t>中间分位</t>
        </is>
      </c>
      <c r="L454" s="11" t="n">
        <v>52</v>
      </c>
      <c r="M454" s="11" t="inlineStr">
        <is>
          <t>Back(近强)</t>
        </is>
      </c>
      <c r="N454" s="11" t="n">
        <v>1</v>
      </c>
      <c r="O454" s="11" t="n">
        <v>0</v>
      </c>
      <c r="P454" s="12" t="n">
        <v>42</v>
      </c>
      <c r="Q454" s="11" t="inlineStr"/>
    </row>
    <row r="455">
      <c r="A455" s="6" t="inlineStr">
        <is>
          <t>2024-07-03</t>
        </is>
      </c>
      <c r="B455" s="6" t="inlineStr">
        <is>
          <t>MA2409</t>
        </is>
      </c>
      <c r="C455" s="6" t="inlineStr">
        <is>
          <t>2024-09</t>
        </is>
      </c>
      <c r="D455" s="7" t="n">
        <v>2560</v>
      </c>
      <c r="E455" s="7" t="n">
        <v>2570</v>
      </c>
      <c r="F455" s="7">
        <f>D455-E455</f>
        <v/>
      </c>
      <c r="G455" s="8">
        <f>IF(D455=0,"",(D455-E455)/D455)</f>
        <v/>
      </c>
      <c r="H455" s="9" t="n">
        <v>706570</v>
      </c>
      <c r="I455" s="10" t="n">
        <v>0.228</v>
      </c>
      <c r="J455" s="10">
        <f>IF(COUNT(G205:G454)&lt;20,"",IF(COUNTIF(G205:G454,"&lt;"&amp;G455)&gt;=COUNT(G205:G454),(COUNT(G205:G454)-0.5)/COUNT(G205:G454),IF(COUNTIF(G205:G454,G455)&gt;0,(COUNTIF(G205:G454,"&lt;"&amp;G455)+0.5*COUNTIF(G205:G454,G455))/COUNT(G205:G454),COUNTIF(G205:G454,"&lt;"&amp;G455)/COUNT(G205:G454))))</f>
        <v/>
      </c>
      <c r="K455" s="6" t="inlineStr">
        <is>
          <t>中间分位</t>
        </is>
      </c>
      <c r="L455" s="6" t="n">
        <v>51</v>
      </c>
      <c r="M455" s="6" t="inlineStr">
        <is>
          <t>Back(近强)</t>
        </is>
      </c>
      <c r="N455" s="6" t="n">
        <v>1</v>
      </c>
      <c r="O455" s="6" t="n">
        <v>0</v>
      </c>
      <c r="P455" s="7" t="n">
        <v>28</v>
      </c>
      <c r="Q455" s="6" t="inlineStr"/>
    </row>
    <row r="456">
      <c r="A456" s="11" t="inlineStr">
        <is>
          <t>2024-07-04</t>
        </is>
      </c>
      <c r="B456" s="11" t="inlineStr">
        <is>
          <t>MA2409</t>
        </is>
      </c>
      <c r="C456" s="11" t="inlineStr">
        <is>
          <t>2024-09</t>
        </is>
      </c>
      <c r="D456" s="12" t="n">
        <v>2550</v>
      </c>
      <c r="E456" s="12" t="n">
        <v>2564</v>
      </c>
      <c r="F456" s="12">
        <f>D456-E456</f>
        <v/>
      </c>
      <c r="G456" s="13">
        <f>IF(D456=0,"",(D456-E456)/D456)</f>
        <v/>
      </c>
      <c r="H456" s="14" t="n">
        <v>705690</v>
      </c>
      <c r="I456" s="15" t="n">
        <v>0.22</v>
      </c>
      <c r="J456" s="15">
        <f>IF(COUNT(G206:G455)&lt;20,"",IF(COUNTIF(G206:G455,"&lt;"&amp;G456)&gt;=COUNT(G206:G455),(COUNT(G206:G455)-0.5)/COUNT(G206:G455),IF(COUNTIF(G206:G455,G456)&gt;0,(COUNTIF(G206:G455,"&lt;"&amp;G456)+0.5*COUNTIF(G206:G455,G456))/COUNT(G206:G455),COUNTIF(G206:G455,"&lt;"&amp;G456)/COUNT(G206:G455))))</f>
        <v/>
      </c>
      <c r="K456" s="11" t="inlineStr">
        <is>
          <t>中间分位</t>
        </is>
      </c>
      <c r="L456" s="11" t="n">
        <v>50</v>
      </c>
      <c r="M456" s="11" t="inlineStr">
        <is>
          <t>Back(近强)</t>
        </is>
      </c>
      <c r="N456" s="11" t="n">
        <v>1</v>
      </c>
      <c r="O456" s="11" t="n">
        <v>0</v>
      </c>
      <c r="P456" s="12" t="n">
        <v>22</v>
      </c>
      <c r="Q456" s="11" t="inlineStr"/>
    </row>
    <row r="457">
      <c r="A457" s="6" t="inlineStr">
        <is>
          <t>2024-07-05</t>
        </is>
      </c>
      <c r="B457" s="6" t="inlineStr">
        <is>
          <t>MA2409</t>
        </is>
      </c>
      <c r="C457" s="6" t="inlineStr">
        <is>
          <t>2024-09</t>
        </is>
      </c>
      <c r="D457" s="7" t="n">
        <v>2540</v>
      </c>
      <c r="E457" s="7" t="n">
        <v>2540</v>
      </c>
      <c r="F457" s="7">
        <f>D457-E457</f>
        <v/>
      </c>
      <c r="G457" s="8">
        <f>IF(D457=0,"",(D457-E457)/D457)</f>
        <v/>
      </c>
      <c r="H457" s="9" t="n">
        <v>696766</v>
      </c>
      <c r="I457" s="10" t="n">
        <v>0.276</v>
      </c>
      <c r="J457" s="10">
        <f>IF(COUNT(G207:G456)&lt;20,"",IF(COUNTIF(G207:G456,"&lt;"&amp;G457)&gt;=COUNT(G207:G456),(COUNT(G207:G456)-0.5)/COUNT(G207:G456),IF(COUNTIF(G207:G456,G457)&gt;0,(COUNTIF(G207:G456,"&lt;"&amp;G457)+0.5*COUNTIF(G207:G456,G457))/COUNT(G207:G456),COUNTIF(G207:G456,"&lt;"&amp;G457)/COUNT(G207:G456))))</f>
        <v/>
      </c>
      <c r="K457" s="6" t="inlineStr">
        <is>
          <t>中间分位</t>
        </is>
      </c>
      <c r="L457" s="6" t="n">
        <v>49</v>
      </c>
      <c r="M457" s="6" t="inlineStr">
        <is>
          <t>Back(近强)</t>
        </is>
      </c>
      <c r="N457" s="6" t="n">
        <v>1</v>
      </c>
      <c r="O457" s="6" t="n">
        <v>0</v>
      </c>
      <c r="P457" s="7" t="n">
        <v>27</v>
      </c>
      <c r="Q457" s="6" t="inlineStr"/>
    </row>
    <row r="458">
      <c r="A458" s="11" t="inlineStr">
        <is>
          <t>2024-07-08</t>
        </is>
      </c>
      <c r="B458" s="11" t="inlineStr">
        <is>
          <t>MA2409</t>
        </is>
      </c>
      <c r="C458" s="11" t="inlineStr">
        <is>
          <t>2024-09</t>
        </is>
      </c>
      <c r="D458" s="12" t="n">
        <v>2515.83</v>
      </c>
      <c r="E458" s="12" t="n">
        <v>2523</v>
      </c>
      <c r="F458" s="12">
        <f>D458-E458</f>
        <v/>
      </c>
      <c r="G458" s="13">
        <f>IF(D458=0,"",(D458-E458)/D458)</f>
        <v/>
      </c>
      <c r="H458" s="14" t="n">
        <v>683142</v>
      </c>
      <c r="I458" s="15" t="n">
        <v>0.236</v>
      </c>
      <c r="J458" s="15">
        <f>IF(COUNT(G208:G457)&lt;20,"",IF(COUNTIF(G208:G457,"&lt;"&amp;G458)&gt;=COUNT(G208:G457),(COUNT(G208:G457)-0.5)/COUNT(G208:G457),IF(COUNTIF(G208:G457,G458)&gt;0,(COUNTIF(G208:G457,"&lt;"&amp;G458)+0.5*COUNTIF(G208:G457,G458))/COUNT(G208:G457),COUNTIF(G208:G457,"&lt;"&amp;G458)/COUNT(G208:G457))))</f>
        <v/>
      </c>
      <c r="K458" s="11" t="inlineStr">
        <is>
          <t>中间分位</t>
        </is>
      </c>
      <c r="L458" s="11" t="n">
        <v>48</v>
      </c>
      <c r="M458" s="11" t="inlineStr">
        <is>
          <t>Back(近强)</t>
        </is>
      </c>
      <c r="N458" s="11" t="n">
        <v>1</v>
      </c>
      <c r="O458" s="11" t="n">
        <v>0</v>
      </c>
      <c r="P458" s="12" t="n">
        <v>34</v>
      </c>
      <c r="Q458" s="11" t="inlineStr"/>
    </row>
    <row r="459">
      <c r="A459" s="6" t="inlineStr">
        <is>
          <t>2024-07-09</t>
        </is>
      </c>
      <c r="B459" s="6" t="inlineStr">
        <is>
          <t>MA2409</t>
        </is>
      </c>
      <c r="C459" s="6" t="inlineStr">
        <is>
          <t>2024-09</t>
        </is>
      </c>
      <c r="D459" s="7" t="n">
        <v>2505</v>
      </c>
      <c r="E459" s="7" t="n">
        <v>2550</v>
      </c>
      <c r="F459" s="7">
        <f>D459-E459</f>
        <v/>
      </c>
      <c r="G459" s="8">
        <f>IF(D459=0,"",(D459-E459)/D459)</f>
        <v/>
      </c>
      <c r="H459" s="9" t="n">
        <v>723978</v>
      </c>
      <c r="I459" s="10" t="n">
        <v>0.12</v>
      </c>
      <c r="J459" s="10">
        <f>IF(COUNT(G209:G458)&lt;20,"",IF(COUNTIF(G209:G458,"&lt;"&amp;G459)&gt;=COUNT(G209:G458),(COUNT(G209:G458)-0.5)/COUNT(G209:G458),IF(COUNTIF(G209:G458,G459)&gt;0,(COUNTIF(G209:G458,"&lt;"&amp;G459)+0.5*COUNTIF(G209:G458,G459))/COUNT(G209:G458),COUNTIF(G209:G458,"&lt;"&amp;G459)/COUNT(G209:G458))))</f>
        <v/>
      </c>
      <c r="K459" s="6" t="inlineStr">
        <is>
          <t>中间分位</t>
        </is>
      </c>
      <c r="L459" s="6" t="n">
        <v>47</v>
      </c>
      <c r="M459" s="6" t="inlineStr">
        <is>
          <t>Back(近强)</t>
        </is>
      </c>
      <c r="N459" s="6" t="n">
        <v>1</v>
      </c>
      <c r="O459" s="6" t="n">
        <v>0</v>
      </c>
      <c r="P459" s="7" t="n">
        <v>53</v>
      </c>
      <c r="Q459" s="6" t="inlineStr"/>
    </row>
    <row r="460">
      <c r="A460" s="11" t="inlineStr">
        <is>
          <t>2024-07-10</t>
        </is>
      </c>
      <c r="B460" s="11" t="inlineStr">
        <is>
          <t>MA2409</t>
        </is>
      </c>
      <c r="C460" s="11" t="inlineStr">
        <is>
          <t>2024-09</t>
        </is>
      </c>
      <c r="D460" s="12" t="n">
        <v>2529.17</v>
      </c>
      <c r="E460" s="12" t="n">
        <v>2537</v>
      </c>
      <c r="F460" s="12">
        <f>D460-E460</f>
        <v/>
      </c>
      <c r="G460" s="13">
        <f>IF(D460=0,"",(D460-E460)/D460)</f>
        <v/>
      </c>
      <c r="H460" s="14" t="n">
        <v>707864</v>
      </c>
      <c r="I460" s="15" t="n">
        <v>0.232</v>
      </c>
      <c r="J460" s="15">
        <f>IF(COUNT(G210:G459)&lt;20,"",IF(COUNTIF(G210:G459,"&lt;"&amp;G460)&gt;=COUNT(G210:G459),(COUNT(G210:G459)-0.5)/COUNT(G210:G459),IF(COUNTIF(G210:G459,G460)&gt;0,(COUNTIF(G210:G459,"&lt;"&amp;G460)+0.5*COUNTIF(G210:G459,G460))/COUNT(G210:G459),COUNTIF(G210:G459,"&lt;"&amp;G460)/COUNT(G210:G459))))</f>
        <v/>
      </c>
      <c r="K460" s="11" t="inlineStr">
        <is>
          <t>中间分位</t>
        </is>
      </c>
      <c r="L460" s="11" t="n">
        <v>46</v>
      </c>
      <c r="M460" s="11" t="inlineStr">
        <is>
          <t>Back(近强)</t>
        </is>
      </c>
      <c r="N460" s="11" t="n">
        <v>1</v>
      </c>
      <c r="O460" s="11" t="n">
        <v>0</v>
      </c>
      <c r="P460" s="12" t="n">
        <v>34</v>
      </c>
      <c r="Q460" s="11" t="inlineStr"/>
    </row>
    <row r="461">
      <c r="A461" s="6" t="inlineStr">
        <is>
          <t>2024-07-11</t>
        </is>
      </c>
      <c r="B461" s="6" t="inlineStr">
        <is>
          <t>MA2409</t>
        </is>
      </c>
      <c r="C461" s="6" t="inlineStr">
        <is>
          <t>2024-09</t>
        </is>
      </c>
      <c r="D461" s="7" t="n">
        <v>2515.83</v>
      </c>
      <c r="E461" s="7" t="n">
        <v>2584</v>
      </c>
      <c r="F461" s="7">
        <f>D461-E461</f>
        <v/>
      </c>
      <c r="G461" s="8">
        <f>IF(D461=0,"",(D461-E461)/D461)</f>
        <v/>
      </c>
      <c r="H461" s="9" t="n">
        <v>794705</v>
      </c>
      <c r="I461" s="10" t="n">
        <v>0.07199999999999999</v>
      </c>
      <c r="J461" s="10">
        <f>IF(COUNT(G211:G460)&lt;20,"",IF(COUNTIF(G211:G460,"&lt;"&amp;G461)&gt;=COUNT(G211:G460),(COUNT(G211:G460)-0.5)/COUNT(G211:G460),IF(COUNTIF(G211:G460,G461)&gt;0,(COUNTIF(G211:G460,"&lt;"&amp;G461)+0.5*COUNTIF(G211:G460,G461))/COUNT(G211:G460),COUNTIF(G211:G460,"&lt;"&amp;G461)/COUNT(G211:G460))))</f>
        <v/>
      </c>
      <c r="K461" s="6" t="inlineStr">
        <is>
          <t>低分位</t>
        </is>
      </c>
      <c r="L461" s="6" t="n">
        <v>45</v>
      </c>
      <c r="M461" s="6" t="inlineStr">
        <is>
          <t>Back(近强)</t>
        </is>
      </c>
      <c r="N461" s="6" t="n">
        <v>1</v>
      </c>
      <c r="O461" s="6" t="n">
        <v>0</v>
      </c>
      <c r="P461" s="7" t="n">
        <v>47</v>
      </c>
      <c r="Q461" s="6" t="inlineStr"/>
    </row>
    <row r="462">
      <c r="A462" s="11" t="inlineStr">
        <is>
          <t>2024-07-12</t>
        </is>
      </c>
      <c r="B462" s="11" t="inlineStr">
        <is>
          <t>MA2409</t>
        </is>
      </c>
      <c r="C462" s="11" t="inlineStr">
        <is>
          <t>2024-09</t>
        </is>
      </c>
      <c r="D462" s="12" t="n">
        <v>2550</v>
      </c>
      <c r="E462" s="12" t="n">
        <v>2573</v>
      </c>
      <c r="F462" s="12">
        <f>D462-E462</f>
        <v/>
      </c>
      <c r="G462" s="13">
        <f>IF(D462=0,"",(D462-E462)/D462)</f>
        <v/>
      </c>
      <c r="H462" s="14" t="n">
        <v>763431</v>
      </c>
      <c r="I462" s="15" t="n">
        <v>0.188</v>
      </c>
      <c r="J462" s="15">
        <f>IF(COUNT(G212:G461)&lt;20,"",IF(COUNTIF(G212:G461,"&lt;"&amp;G462)&gt;=COUNT(G212:G461),(COUNT(G212:G461)-0.5)/COUNT(G212:G461),IF(COUNTIF(G212:G461,G462)&gt;0,(COUNTIF(G212:G461,"&lt;"&amp;G462)+0.5*COUNTIF(G212:G461,G462))/COUNT(G212:G461),COUNTIF(G212:G461,"&lt;"&amp;G462)/COUNT(G212:G461))))</f>
        <v/>
      </c>
      <c r="K462" s="11" t="inlineStr">
        <is>
          <t>中间分位</t>
        </is>
      </c>
      <c r="L462" s="11" t="n">
        <v>44</v>
      </c>
      <c r="M462" s="11" t="inlineStr">
        <is>
          <t>Back(近强)</t>
        </is>
      </c>
      <c r="N462" s="11" t="n">
        <v>1</v>
      </c>
      <c r="O462" s="11" t="n">
        <v>0</v>
      </c>
      <c r="P462" s="12" t="n">
        <v>50</v>
      </c>
      <c r="Q462" s="11" t="inlineStr"/>
    </row>
    <row r="463">
      <c r="A463" s="6" t="inlineStr">
        <is>
          <t>2024-07-15</t>
        </is>
      </c>
      <c r="B463" s="6" t="inlineStr">
        <is>
          <t>MA2409</t>
        </is>
      </c>
      <c r="C463" s="6" t="inlineStr">
        <is>
          <t>2024-09</t>
        </is>
      </c>
      <c r="D463" s="7" t="n">
        <v>2560</v>
      </c>
      <c r="E463" s="7" t="n">
        <v>2571</v>
      </c>
      <c r="F463" s="7">
        <f>D463-E463</f>
        <v/>
      </c>
      <c r="G463" s="8">
        <f>IF(D463=0,"",(D463-E463)/D463)</f>
        <v/>
      </c>
      <c r="H463" s="9" t="n">
        <v>769071</v>
      </c>
      <c r="I463" s="10" t="n">
        <v>0.232</v>
      </c>
      <c r="J463" s="10">
        <f>IF(COUNT(G213:G462)&lt;20,"",IF(COUNTIF(G213:G462,"&lt;"&amp;G463)&gt;=COUNT(G213:G462),(COUNT(G213:G462)-0.5)/COUNT(G213:G462),IF(COUNTIF(G213:G462,G463)&gt;0,(COUNTIF(G213:G462,"&lt;"&amp;G463)+0.5*COUNTIF(G213:G462,G463))/COUNT(G213:G462),COUNTIF(G213:G462,"&lt;"&amp;G463)/COUNT(G213:G462))))</f>
        <v/>
      </c>
      <c r="K463" s="6" t="inlineStr">
        <is>
          <t>中间分位</t>
        </is>
      </c>
      <c r="L463" s="6" t="n">
        <v>43</v>
      </c>
      <c r="M463" s="6" t="inlineStr">
        <is>
          <t>Back(近强)</t>
        </is>
      </c>
      <c r="N463" s="6" t="n">
        <v>1</v>
      </c>
      <c r="O463" s="6" t="n">
        <v>0</v>
      </c>
      <c r="P463" s="7" t="n">
        <v>22</v>
      </c>
      <c r="Q463" s="6" t="inlineStr"/>
    </row>
    <row r="464">
      <c r="A464" s="11" t="inlineStr">
        <is>
          <t>2024-07-16</t>
        </is>
      </c>
      <c r="B464" s="11" t="inlineStr">
        <is>
          <t>MA2409</t>
        </is>
      </c>
      <c r="C464" s="11" t="inlineStr">
        <is>
          <t>2024-09</t>
        </is>
      </c>
      <c r="D464" s="12" t="n">
        <v>2573.33</v>
      </c>
      <c r="E464" s="12" t="n">
        <v>2566</v>
      </c>
      <c r="F464" s="12">
        <f>D464-E464</f>
        <v/>
      </c>
      <c r="G464" s="13">
        <f>IF(D464=0,"",(D464-E464)/D464)</f>
        <v/>
      </c>
      <c r="H464" s="14" t="n">
        <v>751619</v>
      </c>
      <c r="I464" s="15" t="n">
        <v>0.328</v>
      </c>
      <c r="J464" s="15">
        <f>IF(COUNT(G214:G463)&lt;20,"",IF(COUNTIF(G214:G463,"&lt;"&amp;G464)&gt;=COUNT(G214:G463),(COUNT(G214:G463)-0.5)/COUNT(G214:G463),IF(COUNTIF(G214:G463,G464)&gt;0,(COUNTIF(G214:G463,"&lt;"&amp;G464)+0.5*COUNTIF(G214:G463,G464))/COUNT(G214:G463),COUNTIF(G214:G463,"&lt;"&amp;G464)/COUNT(G214:G463))))</f>
        <v/>
      </c>
      <c r="K464" s="11" t="inlineStr">
        <is>
          <t>中间分位</t>
        </is>
      </c>
      <c r="L464" s="11" t="n">
        <v>42</v>
      </c>
      <c r="M464" s="11" t="inlineStr">
        <is>
          <t>Back(近强)</t>
        </is>
      </c>
      <c r="N464" s="11" t="n">
        <v>1</v>
      </c>
      <c r="O464" s="11" t="n">
        <v>0</v>
      </c>
      <c r="P464" s="12" t="n">
        <v>19</v>
      </c>
      <c r="Q464" s="11" t="inlineStr"/>
    </row>
    <row r="465">
      <c r="A465" s="6" t="inlineStr">
        <is>
          <t>2024-07-17</t>
        </is>
      </c>
      <c r="B465" s="6" t="inlineStr">
        <is>
          <t>MA2409</t>
        </is>
      </c>
      <c r="C465" s="6" t="inlineStr">
        <is>
          <t>2024-09</t>
        </is>
      </c>
      <c r="D465" s="7" t="n">
        <v>2575</v>
      </c>
      <c r="E465" s="7" t="n">
        <v>2529</v>
      </c>
      <c r="F465" s="7">
        <f>D465-E465</f>
        <v/>
      </c>
      <c r="G465" s="8">
        <f>IF(D465=0,"",(D465-E465)/D465)</f>
        <v/>
      </c>
      <c r="H465" s="9" t="n">
        <v>714190</v>
      </c>
      <c r="I465" s="10" t="n">
        <v>0.54</v>
      </c>
      <c r="J465" s="10">
        <f>IF(COUNT(G215:G464)&lt;20,"",IF(COUNTIF(G215:G464,"&lt;"&amp;G465)&gt;=COUNT(G215:G464),(COUNT(G215:G464)-0.5)/COUNT(G215:G464),IF(COUNTIF(G215:G464,G465)&gt;0,(COUNTIF(G215:G464,"&lt;"&amp;G465)+0.5*COUNTIF(G215:G464,G465))/COUNT(G215:G464),COUNTIF(G215:G464,"&lt;"&amp;G465)/COUNT(G215:G464))))</f>
        <v/>
      </c>
      <c r="K465" s="6" t="inlineStr">
        <is>
          <t>中间分位</t>
        </is>
      </c>
      <c r="L465" s="6" t="n">
        <v>41</v>
      </c>
      <c r="M465" s="6" t="inlineStr">
        <is>
          <t>Back(近强)</t>
        </is>
      </c>
      <c r="N465" s="6" t="n">
        <v>1</v>
      </c>
      <c r="O465" s="6" t="n">
        <v>0</v>
      </c>
      <c r="P465" s="7" t="n">
        <v>16</v>
      </c>
      <c r="Q465" s="6" t="inlineStr"/>
    </row>
    <row r="466">
      <c r="A466" s="11" t="inlineStr">
        <is>
          <t>2024-07-18</t>
        </is>
      </c>
      <c r="B466" s="11" t="inlineStr">
        <is>
          <t>MA2409</t>
        </is>
      </c>
      <c r="C466" s="11" t="inlineStr">
        <is>
          <t>2024-09</t>
        </is>
      </c>
      <c r="D466" s="12" t="n">
        <v>2544.17</v>
      </c>
      <c r="E466" s="12" t="n">
        <v>2525</v>
      </c>
      <c r="F466" s="12">
        <f>D466-E466</f>
        <v/>
      </c>
      <c r="G466" s="13">
        <f>IF(D466=0,"",(D466-E466)/D466)</f>
        <v/>
      </c>
      <c r="H466" s="14" t="n">
        <v>731643</v>
      </c>
      <c r="I466" s="15" t="n">
        <v>0.392</v>
      </c>
      <c r="J466" s="15">
        <f>IF(COUNT(G216:G465)&lt;20,"",IF(COUNTIF(G216:G465,"&lt;"&amp;G466)&gt;=COUNT(G216:G465),(COUNT(G216:G465)-0.5)/COUNT(G216:G465),IF(COUNTIF(G216:G465,G466)&gt;0,(COUNTIF(G216:G465,"&lt;"&amp;G466)+0.5*COUNTIF(G216:G465,G466))/COUNT(G216:G465),COUNTIF(G216:G465,"&lt;"&amp;G466)/COUNT(G216:G465))))</f>
        <v/>
      </c>
      <c r="K466" s="11" t="inlineStr">
        <is>
          <t>中间分位</t>
        </is>
      </c>
      <c r="L466" s="11" t="n">
        <v>40</v>
      </c>
      <c r="M466" s="11" t="inlineStr">
        <is>
          <t>Back(近强)</t>
        </is>
      </c>
      <c r="N466" s="11" t="n">
        <v>1</v>
      </c>
      <c r="O466" s="11" t="n">
        <v>0</v>
      </c>
      <c r="P466" s="12" t="n">
        <v>19</v>
      </c>
      <c r="Q466" s="11" t="inlineStr"/>
    </row>
    <row r="467">
      <c r="A467" s="6" t="inlineStr">
        <is>
          <t>2024-07-19</t>
        </is>
      </c>
      <c r="B467" s="6" t="inlineStr">
        <is>
          <t>MA2409</t>
        </is>
      </c>
      <c r="C467" s="6" t="inlineStr">
        <is>
          <t>2024-09</t>
        </is>
      </c>
      <c r="D467" s="7" t="n">
        <v>2525.83</v>
      </c>
      <c r="E467" s="7" t="n">
        <v>2493</v>
      </c>
      <c r="F467" s="7">
        <f>D467-E467</f>
        <v/>
      </c>
      <c r="G467" s="8">
        <f>IF(D467=0,"",(D467-E467)/D467)</f>
        <v/>
      </c>
      <c r="H467" s="9" t="n">
        <v>766635</v>
      </c>
      <c r="I467" s="10" t="n">
        <v>0.484</v>
      </c>
      <c r="J467" s="10">
        <f>IF(COUNT(G217:G466)&lt;20,"",IF(COUNTIF(G217:G466,"&lt;"&amp;G467)&gt;=COUNT(G217:G466),(COUNT(G217:G466)-0.5)/COUNT(G217:G466),IF(COUNTIF(G217:G466,G467)&gt;0,(COUNTIF(G217:G466,"&lt;"&amp;G467)+0.5*COUNTIF(G217:G466,G467))/COUNT(G217:G466),COUNTIF(G217:G466,"&lt;"&amp;G467)/COUNT(G217:G466))))</f>
        <v/>
      </c>
      <c r="K467" s="6" t="inlineStr">
        <is>
          <t>中间分位</t>
        </is>
      </c>
      <c r="L467" s="6" t="n">
        <v>39</v>
      </c>
      <c r="M467" s="6" t="inlineStr">
        <is>
          <t>Back(近强)</t>
        </is>
      </c>
      <c r="N467" s="6" t="n">
        <v>1</v>
      </c>
      <c r="O467" s="6" t="n">
        <v>0</v>
      </c>
      <c r="P467" s="7" t="n">
        <v>28</v>
      </c>
      <c r="Q467" s="6" t="inlineStr"/>
    </row>
    <row r="468">
      <c r="A468" s="11" t="inlineStr">
        <is>
          <t>2024-07-22</t>
        </is>
      </c>
      <c r="B468" s="11" t="inlineStr">
        <is>
          <t>MA2409</t>
        </is>
      </c>
      <c r="C468" s="11" t="inlineStr">
        <is>
          <t>2024-09</t>
        </is>
      </c>
      <c r="D468" s="12" t="n">
        <v>2500</v>
      </c>
      <c r="E468" s="12" t="n">
        <v>2488</v>
      </c>
      <c r="F468" s="12">
        <f>D468-E468</f>
        <v/>
      </c>
      <c r="G468" s="13">
        <f>IF(D468=0,"",(D468-E468)/D468)</f>
        <v/>
      </c>
      <c r="H468" s="14" t="n">
        <v>776580</v>
      </c>
      <c r="I468" s="15" t="n">
        <v>0.352</v>
      </c>
      <c r="J468" s="15">
        <f>IF(COUNT(G218:G467)&lt;20,"",IF(COUNTIF(G218:G467,"&lt;"&amp;G468)&gt;=COUNT(G218:G467),(COUNT(G218:G467)-0.5)/COUNT(G218:G467),IF(COUNTIF(G218:G467,G468)&gt;0,(COUNTIF(G218:G467,"&lt;"&amp;G468)+0.5*COUNTIF(G218:G467,G468))/COUNT(G218:G467),COUNTIF(G218:G467,"&lt;"&amp;G468)/COUNT(G218:G467))))</f>
        <v/>
      </c>
      <c r="K468" s="11" t="inlineStr">
        <is>
          <t>中间分位</t>
        </is>
      </c>
      <c r="L468" s="11" t="n">
        <v>38</v>
      </c>
      <c r="M468" s="11" t="inlineStr">
        <is>
          <t>Back(近强)</t>
        </is>
      </c>
      <c r="N468" s="11" t="n">
        <v>1</v>
      </c>
      <c r="O468" s="11" t="n">
        <v>0</v>
      </c>
      <c r="P468" s="12" t="n">
        <v>19</v>
      </c>
      <c r="Q468" s="11" t="inlineStr"/>
    </row>
    <row r="469">
      <c r="A469" s="6" t="inlineStr">
        <is>
          <t>2024-07-23</t>
        </is>
      </c>
      <c r="B469" s="6" t="inlineStr">
        <is>
          <t>MA2409</t>
        </is>
      </c>
      <c r="C469" s="6" t="inlineStr">
        <is>
          <t>2024-09</t>
        </is>
      </c>
      <c r="D469" s="7" t="n">
        <v>2495.83</v>
      </c>
      <c r="E469" s="7" t="n">
        <v>2500</v>
      </c>
      <c r="F469" s="7">
        <f>D469-E469</f>
        <v/>
      </c>
      <c r="G469" s="8">
        <f>IF(D469=0,"",(D469-E469)/D469)</f>
        <v/>
      </c>
      <c r="H469" s="9" t="n">
        <v>760081</v>
      </c>
      <c r="I469" s="10" t="n">
        <v>0.252</v>
      </c>
      <c r="J469" s="10">
        <f>IF(COUNT(G219:G468)&lt;20,"",IF(COUNTIF(G219:G468,"&lt;"&amp;G469)&gt;=COUNT(G219:G468),(COUNT(G219:G468)-0.5)/COUNT(G219:G468),IF(COUNTIF(G219:G468,G469)&gt;0,(COUNTIF(G219:G468,"&lt;"&amp;G469)+0.5*COUNTIF(G219:G468,G469))/COUNT(G219:G468),COUNTIF(G219:G468,"&lt;"&amp;G469)/COUNT(G219:G468))))</f>
        <v/>
      </c>
      <c r="K469" s="6" t="inlineStr">
        <is>
          <t>中间分位</t>
        </is>
      </c>
      <c r="L469" s="6" t="n">
        <v>37</v>
      </c>
      <c r="M469" s="6" t="inlineStr">
        <is>
          <t>Back(近强)</t>
        </is>
      </c>
      <c r="N469" s="6" t="n">
        <v>1</v>
      </c>
      <c r="O469" s="6" t="n">
        <v>0</v>
      </c>
      <c r="P469" s="7" t="n">
        <v>21</v>
      </c>
      <c r="Q469" s="6" t="inlineStr"/>
    </row>
    <row r="470">
      <c r="A470" s="11" t="inlineStr">
        <is>
          <t>2024-07-24</t>
        </is>
      </c>
      <c r="B470" s="11" t="inlineStr">
        <is>
          <t>MA2409</t>
        </is>
      </c>
      <c r="C470" s="11" t="inlineStr">
        <is>
          <t>2024-09</t>
        </is>
      </c>
      <c r="D470" s="12" t="n">
        <v>2510</v>
      </c>
      <c r="E470" s="12" t="n">
        <v>2512</v>
      </c>
      <c r="F470" s="12">
        <f>D470-E470</f>
        <v/>
      </c>
      <c r="G470" s="13">
        <f>IF(D470=0,"",(D470-E470)/D470)</f>
        <v/>
      </c>
      <c r="H470" s="14" t="n">
        <v>743559</v>
      </c>
      <c r="I470" s="15" t="n">
        <v>0.26</v>
      </c>
      <c r="J470" s="15">
        <f>IF(COUNT(G220:G469)&lt;20,"",IF(COUNTIF(G220:G469,"&lt;"&amp;G470)&gt;=COUNT(G220:G469),(COUNT(G220:G469)-0.5)/COUNT(G220:G469),IF(COUNTIF(G220:G469,G470)&gt;0,(COUNTIF(G220:G469,"&lt;"&amp;G470)+0.5*COUNTIF(G220:G469,G470))/COUNT(G220:G469),COUNTIF(G220:G469,"&lt;"&amp;G470)/COUNT(G220:G469))))</f>
        <v/>
      </c>
      <c r="K470" s="11" t="inlineStr">
        <is>
          <t>中间分位</t>
        </is>
      </c>
      <c r="L470" s="11" t="n">
        <v>36</v>
      </c>
      <c r="M470" s="11" t="inlineStr">
        <is>
          <t>Back(近强)</t>
        </is>
      </c>
      <c r="N470" s="11" t="n">
        <v>1</v>
      </c>
      <c r="O470" s="11" t="n">
        <v>0</v>
      </c>
      <c r="P470" s="12" t="n">
        <v>21</v>
      </c>
      <c r="Q470" s="11" t="inlineStr"/>
    </row>
    <row r="471">
      <c r="A471" s="6" t="inlineStr">
        <is>
          <t>2024-07-25</t>
        </is>
      </c>
      <c r="B471" s="6" t="inlineStr">
        <is>
          <t>MA2409</t>
        </is>
      </c>
      <c r="C471" s="6" t="inlineStr">
        <is>
          <t>2024-09</t>
        </is>
      </c>
      <c r="D471" s="7" t="n">
        <v>2508.33</v>
      </c>
      <c r="E471" s="7" t="n">
        <v>2484</v>
      </c>
      <c r="F471" s="7">
        <f>D471-E471</f>
        <v/>
      </c>
      <c r="G471" s="8">
        <f>IF(D471=0,"",(D471-E471)/D471)</f>
        <v/>
      </c>
      <c r="H471" s="9" t="n">
        <v>737599</v>
      </c>
      <c r="I471" s="10" t="n">
        <v>0.42</v>
      </c>
      <c r="J471" s="10">
        <f>IF(COUNT(G221:G470)&lt;20,"",IF(COUNTIF(G221:G470,"&lt;"&amp;G471)&gt;=COUNT(G221:G470),(COUNT(G221:G470)-0.5)/COUNT(G221:G470),IF(COUNTIF(G221:G470,G471)&gt;0,(COUNTIF(G221:G470,"&lt;"&amp;G471)+0.5*COUNTIF(G221:G470,G471))/COUNT(G221:G470),COUNTIF(G221:G470,"&lt;"&amp;G471)/COUNT(G221:G470))))</f>
        <v/>
      </c>
      <c r="K471" s="6" t="inlineStr">
        <is>
          <t>中间分位</t>
        </is>
      </c>
      <c r="L471" s="6" t="n">
        <v>35</v>
      </c>
      <c r="M471" s="6" t="inlineStr">
        <is>
          <t>Back(近强)</t>
        </is>
      </c>
      <c r="N471" s="6" t="n">
        <v>1</v>
      </c>
      <c r="O471" s="6" t="n">
        <v>0</v>
      </c>
      <c r="P471" s="7" t="n">
        <v>19</v>
      </c>
      <c r="Q471" s="6" t="inlineStr"/>
    </row>
    <row r="472">
      <c r="A472" s="11" t="inlineStr">
        <is>
          <t>2024-07-26</t>
        </is>
      </c>
      <c r="B472" s="11" t="inlineStr">
        <is>
          <t>MA2409</t>
        </is>
      </c>
      <c r="C472" s="11" t="inlineStr">
        <is>
          <t>2024-09</t>
        </is>
      </c>
      <c r="D472" s="12" t="n">
        <v>2510</v>
      </c>
      <c r="E472" s="12" t="n">
        <v>2514</v>
      </c>
      <c r="F472" s="12">
        <f>D472-E472</f>
        <v/>
      </c>
      <c r="G472" s="13">
        <f>IF(D472=0,"",(D472-E472)/D472)</f>
        <v/>
      </c>
      <c r="H472" s="14" t="n">
        <v>686859</v>
      </c>
      <c r="I472" s="15" t="n">
        <v>0.248</v>
      </c>
      <c r="J472" s="15">
        <f>IF(COUNT(G222:G471)&lt;20,"",IF(COUNTIF(G222:G471,"&lt;"&amp;G472)&gt;=COUNT(G222:G471),(COUNT(G222:G471)-0.5)/COUNT(G222:G471),IF(COUNTIF(G222:G471,G472)&gt;0,(COUNTIF(G222:G471,"&lt;"&amp;G472)+0.5*COUNTIF(G222:G471,G472))/COUNT(G222:G471),COUNTIF(G222:G471,"&lt;"&amp;G472)/COUNT(G222:G471))))</f>
        <v/>
      </c>
      <c r="K472" s="11" t="inlineStr">
        <is>
          <t>中间分位</t>
        </is>
      </c>
      <c r="L472" s="11" t="n">
        <v>34</v>
      </c>
      <c r="M472" s="11" t="inlineStr">
        <is>
          <t>Back(近强)</t>
        </is>
      </c>
      <c r="N472" s="11" t="n">
        <v>1</v>
      </c>
      <c r="O472" s="11" t="n">
        <v>0</v>
      </c>
      <c r="P472" s="12" t="n">
        <v>14</v>
      </c>
      <c r="Q472" s="11" t="inlineStr"/>
    </row>
    <row r="473">
      <c r="A473" s="6" t="inlineStr">
        <is>
          <t>2024-07-29</t>
        </is>
      </c>
      <c r="B473" s="6" t="inlineStr">
        <is>
          <t>MA2409</t>
        </is>
      </c>
      <c r="C473" s="6" t="inlineStr">
        <is>
          <t>2024-09</t>
        </is>
      </c>
      <c r="D473" s="7" t="n">
        <v>2525</v>
      </c>
      <c r="E473" s="7" t="n">
        <v>2486</v>
      </c>
      <c r="F473" s="7">
        <f>D473-E473</f>
        <v/>
      </c>
      <c r="G473" s="8">
        <f>IF(D473=0,"",(D473-E473)/D473)</f>
        <v/>
      </c>
      <c r="H473" s="9" t="n">
        <v>703403</v>
      </c>
      <c r="I473" s="10" t="n">
        <v>0.516</v>
      </c>
      <c r="J473" s="10">
        <f>IF(COUNT(G223:G472)&lt;20,"",IF(COUNTIF(G223:G472,"&lt;"&amp;G473)&gt;=COUNT(G223:G472),(COUNT(G223:G472)-0.5)/COUNT(G223:G472),IF(COUNTIF(G223:G472,G473)&gt;0,(COUNTIF(G223:G472,"&lt;"&amp;G473)+0.5*COUNTIF(G223:G472,G473))/COUNT(G223:G472),COUNTIF(G223:G472,"&lt;"&amp;G473)/COUNT(G223:G472))))</f>
        <v/>
      </c>
      <c r="K473" s="6" t="inlineStr">
        <is>
          <t>中间分位</t>
        </is>
      </c>
      <c r="L473" s="6" t="n">
        <v>33</v>
      </c>
      <c r="M473" s="6" t="inlineStr">
        <is>
          <t>Back(近强)</t>
        </is>
      </c>
      <c r="N473" s="6" t="n">
        <v>1</v>
      </c>
      <c r="O473" s="6" t="n">
        <v>0</v>
      </c>
      <c r="P473" s="7" t="n">
        <v>15</v>
      </c>
      <c r="Q473" s="6" t="inlineStr"/>
    </row>
    <row r="474">
      <c r="A474" s="11" t="inlineStr">
        <is>
          <t>2024-07-30</t>
        </is>
      </c>
      <c r="B474" s="11" t="inlineStr">
        <is>
          <t>MA2409</t>
        </is>
      </c>
      <c r="C474" s="11" t="inlineStr">
        <is>
          <t>2024-09</t>
        </is>
      </c>
      <c r="D474" s="12" t="n">
        <v>2500</v>
      </c>
      <c r="E474" s="12" t="n">
        <v>2448</v>
      </c>
      <c r="F474" s="12">
        <f>D474-E474</f>
        <v/>
      </c>
      <c r="G474" s="13">
        <f>IF(D474=0,"",(D474-E474)/D474)</f>
        <v/>
      </c>
      <c r="H474" s="14" t="n">
        <v>745081</v>
      </c>
      <c r="I474" s="15" t="n">
        <v>0.5679999999999999</v>
      </c>
      <c r="J474" s="15">
        <f>IF(COUNT(G224:G473)&lt;20,"",IF(COUNTIF(G224:G473,"&lt;"&amp;G474)&gt;=COUNT(G224:G473),(COUNT(G224:G473)-0.5)/COUNT(G224:G473),IF(COUNTIF(G224:G473,G474)&gt;0,(COUNTIF(G224:G473,"&lt;"&amp;G474)+0.5*COUNTIF(G224:G473,G474))/COUNT(G224:G473),COUNTIF(G224:G473,"&lt;"&amp;G474)/COUNT(G224:G473))))</f>
        <v/>
      </c>
      <c r="K474" s="11" t="inlineStr">
        <is>
          <t>中间分位</t>
        </is>
      </c>
      <c r="L474" s="11" t="n">
        <v>32</v>
      </c>
      <c r="M474" s="11" t="inlineStr">
        <is>
          <t>Back(近强)</t>
        </is>
      </c>
      <c r="N474" s="11" t="n">
        <v>1</v>
      </c>
      <c r="O474" s="11" t="n">
        <v>0</v>
      </c>
      <c r="P474" s="12" t="n">
        <v>11</v>
      </c>
      <c r="Q474" s="11" t="inlineStr"/>
    </row>
    <row r="475">
      <c r="A475" s="6" t="inlineStr">
        <is>
          <t>2024-07-31</t>
        </is>
      </c>
      <c r="B475" s="6" t="inlineStr">
        <is>
          <t>MA2409</t>
        </is>
      </c>
      <c r="C475" s="6" t="inlineStr">
        <is>
          <t>2024-09</t>
        </is>
      </c>
      <c r="D475" s="7" t="n">
        <v>2465.83</v>
      </c>
      <c r="E475" s="7" t="n">
        <v>2491</v>
      </c>
      <c r="F475" s="7">
        <f>D475-E475</f>
        <v/>
      </c>
      <c r="G475" s="8">
        <f>IF(D475=0,"",(D475-E475)/D475)</f>
        <v/>
      </c>
      <c r="H475" s="9" t="n">
        <v>684009</v>
      </c>
      <c r="I475" s="10" t="n">
        <v>0.156</v>
      </c>
      <c r="J475" s="10">
        <f>IF(COUNT(G225:G474)&lt;20,"",IF(COUNTIF(G225:G474,"&lt;"&amp;G475)&gt;=COUNT(G225:G474),(COUNT(G225:G474)-0.5)/COUNT(G225:G474),IF(COUNTIF(G225:G474,G475)&gt;0,(COUNTIF(G225:G474,"&lt;"&amp;G475)+0.5*COUNTIF(G225:G474,G475))/COUNT(G225:G474),COUNTIF(G225:G474,"&lt;"&amp;G475)/COUNT(G225:G474))))</f>
        <v/>
      </c>
      <c r="K475" s="6" t="inlineStr">
        <is>
          <t>中间分位</t>
        </is>
      </c>
      <c r="L475" s="6" t="n">
        <v>31</v>
      </c>
      <c r="M475" s="6" t="inlineStr">
        <is>
          <t>Back(近强)</t>
        </is>
      </c>
      <c r="N475" s="6" t="n">
        <v>1</v>
      </c>
      <c r="O475" s="6" t="n">
        <v>0</v>
      </c>
      <c r="P475" s="7" t="n">
        <v>16</v>
      </c>
      <c r="Q475" s="6" t="inlineStr"/>
    </row>
    <row r="476">
      <c r="A476" s="11" t="inlineStr">
        <is>
          <t>2024-08-01</t>
        </is>
      </c>
      <c r="B476" s="11" t="inlineStr">
        <is>
          <t>MA2409</t>
        </is>
      </c>
      <c r="C476" s="11" t="inlineStr">
        <is>
          <t>2024-09</t>
        </is>
      </c>
      <c r="D476" s="12" t="n">
        <v>2510</v>
      </c>
      <c r="E476" s="12" t="n">
        <v>2495</v>
      </c>
      <c r="F476" s="12">
        <f>D476-E476</f>
        <v/>
      </c>
      <c r="G476" s="13">
        <f>IF(D476=0,"",(D476-E476)/D476)</f>
        <v/>
      </c>
      <c r="H476" s="14" t="n">
        <v>650059</v>
      </c>
      <c r="I476" s="15" t="n">
        <v>0.376</v>
      </c>
      <c r="J476" s="15">
        <f>IF(COUNT(G226:G475)&lt;20,"",IF(COUNTIF(G226:G475,"&lt;"&amp;G476)&gt;=COUNT(G226:G475),(COUNT(G226:G475)-0.5)/COUNT(G226:G475),IF(COUNTIF(G226:G475,G476)&gt;0,(COUNTIF(G226:G475,"&lt;"&amp;G476)+0.5*COUNTIF(G226:G475,G476))/COUNT(G226:G475),COUNTIF(G226:G475,"&lt;"&amp;G476)/COUNT(G226:G475))))</f>
        <v/>
      </c>
      <c r="K476" s="11" t="inlineStr">
        <is>
          <t>中间分位</t>
        </is>
      </c>
      <c r="L476" s="11" t="n">
        <v>30</v>
      </c>
      <c r="M476" s="11" t="inlineStr">
        <is>
          <t>结构不明</t>
        </is>
      </c>
      <c r="N476" s="11" t="n">
        <v>1</v>
      </c>
      <c r="O476" s="11" t="n">
        <v>0</v>
      </c>
      <c r="P476" s="12" t="n">
        <v>-22</v>
      </c>
      <c r="Q476" s="11" t="inlineStr"/>
    </row>
    <row r="477">
      <c r="A477" s="6" t="inlineStr">
        <is>
          <t>2024-08-02</t>
        </is>
      </c>
      <c r="B477" s="6" t="inlineStr">
        <is>
          <t>MA2409</t>
        </is>
      </c>
      <c r="C477" s="6" t="inlineStr">
        <is>
          <t>2024-09</t>
        </is>
      </c>
      <c r="D477" s="7" t="n">
        <v>2510</v>
      </c>
      <c r="E477" s="7" t="n">
        <v>2505</v>
      </c>
      <c r="F477" s="7">
        <f>D477-E477</f>
        <v/>
      </c>
      <c r="G477" s="8">
        <f>IF(D477=0,"",(D477-E477)/D477)</f>
        <v/>
      </c>
      <c r="H477" s="9" t="n">
        <v>626831</v>
      </c>
      <c r="I477" s="10" t="n">
        <v>0.308</v>
      </c>
      <c r="J477" s="10">
        <f>IF(COUNT(G227:G476)&lt;20,"",IF(COUNTIF(G227:G476,"&lt;"&amp;G477)&gt;=COUNT(G227:G476),(COUNT(G227:G476)-0.5)/COUNT(G227:G476),IF(COUNTIF(G227:G476,G477)&gt;0,(COUNTIF(G227:G476,"&lt;"&amp;G477)+0.5*COUNTIF(G227:G476,G477))/COUNT(G227:G476),COUNTIF(G227:G476,"&lt;"&amp;G477)/COUNT(G227:G476))))</f>
        <v/>
      </c>
      <c r="K477" s="6" t="inlineStr">
        <is>
          <t>中间分位</t>
        </is>
      </c>
      <c r="L477" s="6" t="n">
        <v>29</v>
      </c>
      <c r="M477" s="6" t="inlineStr">
        <is>
          <t>结构不明</t>
        </is>
      </c>
      <c r="N477" s="6" t="n">
        <v>1</v>
      </c>
      <c r="O477" s="6" t="n">
        <v>0</v>
      </c>
      <c r="P477" s="7" t="n">
        <v>-23</v>
      </c>
      <c r="Q477" s="6" t="inlineStr"/>
    </row>
    <row r="478">
      <c r="A478" s="11" t="inlineStr">
        <is>
          <t>2024-08-05</t>
        </is>
      </c>
      <c r="B478" s="11" t="inlineStr">
        <is>
          <t>MA2409</t>
        </is>
      </c>
      <c r="C478" s="11" t="inlineStr">
        <is>
          <t>2024-09</t>
        </is>
      </c>
      <c r="D478" s="12" t="n">
        <v>2515</v>
      </c>
      <c r="E478" s="12" t="n">
        <v>2470</v>
      </c>
      <c r="F478" s="12">
        <f>D478-E478</f>
        <v/>
      </c>
      <c r="G478" s="13">
        <f>IF(D478=0,"",(D478-E478)/D478)</f>
        <v/>
      </c>
      <c r="H478" s="14" t="n">
        <v>609015</v>
      </c>
      <c r="I478" s="15" t="n">
        <v>0.54</v>
      </c>
      <c r="J478" s="15">
        <f>IF(COUNT(G228:G477)&lt;20,"",IF(COUNTIF(G228:G477,"&lt;"&amp;G478)&gt;=COUNT(G228:G477),(COUNT(G228:G477)-0.5)/COUNT(G228:G477),IF(COUNTIF(G228:G477,G478)&gt;0,(COUNTIF(G228:G477,"&lt;"&amp;G478)+0.5*COUNTIF(G228:G477,G478))/COUNT(G228:G477),COUNTIF(G228:G477,"&lt;"&amp;G478)/COUNT(G228:G477))))</f>
        <v/>
      </c>
      <c r="K478" s="11" t="inlineStr">
        <is>
          <t>中间分位</t>
        </is>
      </c>
      <c r="L478" s="11" t="n">
        <v>28</v>
      </c>
      <c r="M478" s="11" t="inlineStr">
        <is>
          <t>Back(近强)</t>
        </is>
      </c>
      <c r="N478" s="11" t="n">
        <v>1</v>
      </c>
      <c r="O478" s="11" t="n">
        <v>0</v>
      </c>
      <c r="P478" s="12" t="n">
        <v>14</v>
      </c>
      <c r="Q478" s="11" t="inlineStr"/>
    </row>
    <row r="479">
      <c r="A479" s="6" t="inlineStr">
        <is>
          <t>2024-08-06</t>
        </is>
      </c>
      <c r="B479" s="6" t="inlineStr">
        <is>
          <t>MA2409</t>
        </is>
      </c>
      <c r="C479" s="6" t="inlineStr">
        <is>
          <t>2024-09</t>
        </is>
      </c>
      <c r="D479" s="7" t="n">
        <v>2490</v>
      </c>
      <c r="E479" s="7" t="n">
        <v>2461</v>
      </c>
      <c r="F479" s="7">
        <f>D479-E479</f>
        <v/>
      </c>
      <c r="G479" s="8">
        <f>IF(D479=0,"",(D479-E479)/D479)</f>
        <v/>
      </c>
      <c r="H479" s="9" t="n">
        <v>576779</v>
      </c>
      <c r="I479" s="10" t="n">
        <v>0.444</v>
      </c>
      <c r="J479" s="10">
        <f>IF(COUNT(G229:G478)&lt;20,"",IF(COUNTIF(G229:G478,"&lt;"&amp;G479)&gt;=COUNT(G229:G478),(COUNT(G229:G478)-0.5)/COUNT(G229:G478),IF(COUNTIF(G229:G478,G479)&gt;0,(COUNTIF(G229:G478,"&lt;"&amp;G479)+0.5*COUNTIF(G229:G478,G479))/COUNT(G229:G478),COUNTIF(G229:G478,"&lt;"&amp;G479)/COUNT(G229:G478))))</f>
        <v/>
      </c>
      <c r="K479" s="6" t="inlineStr">
        <is>
          <t>中间分位</t>
        </is>
      </c>
      <c r="L479" s="6" t="n">
        <v>27</v>
      </c>
      <c r="M479" s="6" t="inlineStr">
        <is>
          <t>结构不明</t>
        </is>
      </c>
      <c r="N479" s="6" t="n">
        <v>1</v>
      </c>
      <c r="O479" s="6" t="n">
        <v>0</v>
      </c>
      <c r="P479" s="7" t="n">
        <v>-20</v>
      </c>
      <c r="Q479" s="6" t="inlineStr"/>
    </row>
    <row r="480">
      <c r="A480" s="11" t="inlineStr">
        <is>
          <t>2024-08-07</t>
        </is>
      </c>
      <c r="B480" s="11" t="inlineStr">
        <is>
          <t>MA2409</t>
        </is>
      </c>
      <c r="C480" s="11" t="inlineStr">
        <is>
          <t>2024-09</t>
        </is>
      </c>
      <c r="D480" s="12" t="n">
        <v>2475.83</v>
      </c>
      <c r="E480" s="12" t="n">
        <v>2459</v>
      </c>
      <c r="F480" s="12">
        <f>D480-E480</f>
        <v/>
      </c>
      <c r="G480" s="13">
        <f>IF(D480=0,"",(D480-E480)/D480)</f>
        <v/>
      </c>
      <c r="H480" s="14" t="n">
        <v>560088</v>
      </c>
      <c r="I480" s="15" t="n">
        <v>0.38</v>
      </c>
      <c r="J480" s="15">
        <f>IF(COUNT(G230:G479)&lt;20,"",IF(COUNTIF(G230:G479,"&lt;"&amp;G480)&gt;=COUNT(G230:G479),(COUNT(G230:G479)-0.5)/COUNT(G230:G479),IF(COUNTIF(G230:G479,G480)&gt;0,(COUNTIF(G230:G479,"&lt;"&amp;G480)+0.5*COUNTIF(G230:G479,G480))/COUNT(G230:G479),COUNTIF(G230:G479,"&lt;"&amp;G480)/COUNT(G230:G479))))</f>
        <v/>
      </c>
      <c r="K480" s="11" t="inlineStr">
        <is>
          <t>中间分位</t>
        </is>
      </c>
      <c r="L480" s="11" t="n">
        <v>26</v>
      </c>
      <c r="M480" s="11" t="inlineStr">
        <is>
          <t>结构不明</t>
        </is>
      </c>
      <c r="N480" s="11" t="n">
        <v>1</v>
      </c>
      <c r="O480" s="11" t="n">
        <v>0</v>
      </c>
      <c r="P480" s="12" t="n">
        <v>-22</v>
      </c>
      <c r="Q480" s="11" t="inlineStr"/>
    </row>
    <row r="481">
      <c r="A481" s="6" t="inlineStr">
        <is>
          <t>2024-08-08</t>
        </is>
      </c>
      <c r="B481" s="6" t="inlineStr">
        <is>
          <t>MA2409</t>
        </is>
      </c>
      <c r="C481" s="6" t="inlineStr">
        <is>
          <t>2024-09</t>
        </is>
      </c>
      <c r="D481" s="7" t="n">
        <v>2471.67</v>
      </c>
      <c r="E481" s="7" t="n">
        <v>2456</v>
      </c>
      <c r="F481" s="7">
        <f>D481-E481</f>
        <v/>
      </c>
      <c r="G481" s="8">
        <f>IF(D481=0,"",(D481-E481)/D481)</f>
        <v/>
      </c>
      <c r="H481" s="9" t="n">
        <v>502971</v>
      </c>
      <c r="I481" s="10" t="n">
        <v>0.372</v>
      </c>
      <c r="J481" s="10">
        <f>IF(COUNT(G231:G480)&lt;20,"",IF(COUNTIF(G231:G480,"&lt;"&amp;G481)&gt;=COUNT(G231:G480),(COUNT(G231:G480)-0.5)/COUNT(G231:G480),IF(COUNTIF(G231:G480,G481)&gt;0,(COUNTIF(G231:G480,"&lt;"&amp;G481)+0.5*COUNTIF(G231:G480,G481))/COUNT(G231:G480),COUNTIF(G231:G480,"&lt;"&amp;G481)/COUNT(G231:G480))))</f>
        <v/>
      </c>
      <c r="K481" s="6" t="inlineStr">
        <is>
          <t>中间分位</t>
        </is>
      </c>
      <c r="L481" s="6" t="n">
        <v>25</v>
      </c>
      <c r="M481" s="6" t="inlineStr">
        <is>
          <t>结构不明</t>
        </is>
      </c>
      <c r="N481" s="6" t="n">
        <v>1</v>
      </c>
      <c r="O481" s="6" t="n">
        <v>0</v>
      </c>
      <c r="P481" s="7" t="n">
        <v>-17</v>
      </c>
      <c r="Q481" s="6" t="inlineStr"/>
    </row>
    <row r="482">
      <c r="A482" s="11" t="inlineStr">
        <is>
          <t>2024-08-09</t>
        </is>
      </c>
      <c r="B482" s="11" t="inlineStr">
        <is>
          <t>MA2409</t>
        </is>
      </c>
      <c r="C482" s="11" t="inlineStr">
        <is>
          <t>2024-09</t>
        </is>
      </c>
      <c r="D482" s="12" t="n">
        <v>2471.67</v>
      </c>
      <c r="E482" s="12" t="n">
        <v>2446</v>
      </c>
      <c r="F482" s="12">
        <f>D482-E482</f>
        <v/>
      </c>
      <c r="G482" s="13">
        <f>IF(D482=0,"",(D482-E482)/D482)</f>
        <v/>
      </c>
      <c r="H482" s="14" t="n">
        <v>472186</v>
      </c>
      <c r="I482" s="15" t="n">
        <v>0.42</v>
      </c>
      <c r="J482" s="15">
        <f>IF(COUNT(G232:G481)&lt;20,"",IF(COUNTIF(G232:G481,"&lt;"&amp;G482)&gt;=COUNT(G232:G481),(COUNT(G232:G481)-0.5)/COUNT(G232:G481),IF(COUNTIF(G232:G481,G482)&gt;0,(COUNTIF(G232:G481,"&lt;"&amp;G482)+0.5*COUNTIF(G232:G481,G482))/COUNT(G232:G481),COUNTIF(G232:G481,"&lt;"&amp;G482)/COUNT(G232:G481))))</f>
        <v/>
      </c>
      <c r="K482" s="11" t="inlineStr">
        <is>
          <t>中间分位</t>
        </is>
      </c>
      <c r="L482" s="11" t="n">
        <v>24</v>
      </c>
      <c r="M482" s="11" t="inlineStr">
        <is>
          <t>结构不明</t>
        </is>
      </c>
      <c r="N482" s="11" t="n">
        <v>1</v>
      </c>
      <c r="O482" s="11" t="n">
        <v>0</v>
      </c>
      <c r="P482" s="12" t="n">
        <v>-25</v>
      </c>
      <c r="Q482" s="11" t="inlineStr"/>
    </row>
    <row r="483">
      <c r="A483" s="6" t="inlineStr">
        <is>
          <t>2024-08-12</t>
        </is>
      </c>
      <c r="B483" s="6" t="inlineStr">
        <is>
          <t>MA2409</t>
        </is>
      </c>
      <c r="C483" s="6" t="inlineStr">
        <is>
          <t>2024-09</t>
        </is>
      </c>
      <c r="D483" s="7" t="n">
        <v>2460</v>
      </c>
      <c r="E483" s="7" t="n">
        <v>2418</v>
      </c>
      <c r="F483" s="7">
        <f>D483-E483</f>
        <v/>
      </c>
      <c r="G483" s="8">
        <f>IF(D483=0,"",(D483-E483)/D483)</f>
        <v/>
      </c>
      <c r="H483" s="9" t="n">
        <v>457998</v>
      </c>
      <c r="I483" s="10" t="n">
        <v>0.524</v>
      </c>
      <c r="J483" s="10">
        <f>IF(COUNT(G233:G482)&lt;20,"",IF(COUNTIF(G233:G482,"&lt;"&amp;G483)&gt;=COUNT(G233:G482),(COUNT(G233:G482)-0.5)/COUNT(G233:G482),IF(COUNTIF(G233:G482,G483)&gt;0,(COUNTIF(G233:G482,"&lt;"&amp;G483)+0.5*COUNTIF(G233:G482,G483))/COUNT(G233:G482),COUNTIF(G233:G482,"&lt;"&amp;G483)/COUNT(G233:G482))))</f>
        <v/>
      </c>
      <c r="K483" s="6" t="inlineStr">
        <is>
          <t>中间分位</t>
        </is>
      </c>
      <c r="L483" s="6" t="n">
        <v>23</v>
      </c>
      <c r="M483" s="6" t="inlineStr">
        <is>
          <t>结构不明</t>
        </is>
      </c>
      <c r="N483" s="6" t="n">
        <v>1</v>
      </c>
      <c r="O483" s="6" t="n">
        <v>0</v>
      </c>
      <c r="P483" s="7" t="n">
        <v>-27</v>
      </c>
      <c r="Q483" s="6" t="inlineStr"/>
    </row>
    <row r="484">
      <c r="A484" s="11" t="inlineStr">
        <is>
          <t>2024-08-13</t>
        </is>
      </c>
      <c r="B484" s="11" t="inlineStr">
        <is>
          <t>MA2501</t>
        </is>
      </c>
      <c r="C484" s="11" t="inlineStr">
        <is>
          <t>2025-01</t>
        </is>
      </c>
      <c r="D484" s="12" t="n">
        <v>2420.83</v>
      </c>
      <c r="E484" s="12" t="n">
        <v>2498</v>
      </c>
      <c r="F484" s="12">
        <f>D484-E484</f>
        <v/>
      </c>
      <c r="G484" s="13">
        <f>IF(D484=0,"",(D484-E484)/D484)</f>
        <v/>
      </c>
      <c r="H484" s="14" t="n">
        <v>475742</v>
      </c>
      <c r="I484" s="15" t="n">
        <v>0.028</v>
      </c>
      <c r="J484" s="15">
        <f>IF(COUNT(G234:G483)&lt;20,"",IF(COUNTIF(G234:G483,"&lt;"&amp;G484)&gt;=COUNT(G234:G483),(COUNT(G234:G483)-0.5)/COUNT(G234:G483),IF(COUNTIF(G234:G483,G484)&gt;0,(COUNTIF(G234:G483,"&lt;"&amp;G484)+0.5*COUNTIF(G234:G483,G484))/COUNT(G234:G483),COUNTIF(G234:G483,"&lt;"&amp;G484)/COUNT(G234:G483))))</f>
        <v/>
      </c>
      <c r="K484" s="11" t="inlineStr">
        <is>
          <t>低分位</t>
        </is>
      </c>
      <c r="L484" s="11" t="n">
        <v>103</v>
      </c>
      <c r="M484" s="11" t="inlineStr">
        <is>
          <t>Back(近强)</t>
        </is>
      </c>
      <c r="N484" s="11" t="n">
        <v>1</v>
      </c>
      <c r="O484" s="11" t="n">
        <v>1</v>
      </c>
      <c r="P484" s="12" t="n">
        <v>93</v>
      </c>
      <c r="Q484" s="11" t="inlineStr"/>
    </row>
    <row r="485">
      <c r="A485" s="6" t="inlineStr">
        <is>
          <t>2024-08-14</t>
        </is>
      </c>
      <c r="B485" s="6" t="inlineStr">
        <is>
          <t>MA2501</t>
        </is>
      </c>
      <c r="C485" s="6" t="inlineStr">
        <is>
          <t>2025-01</t>
        </is>
      </c>
      <c r="D485" s="7" t="n">
        <v>2440.83</v>
      </c>
      <c r="E485" s="7" t="n">
        <v>2477</v>
      </c>
      <c r="F485" s="7">
        <f>D485-E485</f>
        <v/>
      </c>
      <c r="G485" s="8">
        <f>IF(D485=0,"",(D485-E485)/D485)</f>
        <v/>
      </c>
      <c r="H485" s="9" t="n">
        <v>512878</v>
      </c>
      <c r="I485" s="10" t="n">
        <v>0.116</v>
      </c>
      <c r="J485" s="10">
        <f>IF(COUNT(G235:G484)&lt;20,"",IF(COUNTIF(G235:G484,"&lt;"&amp;G485)&gt;=COUNT(G235:G484),(COUNT(G235:G484)-0.5)/COUNT(G235:G484),IF(COUNTIF(G235:G484,G485)&gt;0,(COUNTIF(G235:G484,"&lt;"&amp;G485)+0.5*COUNTIF(G235:G484,G485))/COUNT(G235:G484),COUNTIF(G235:G484,"&lt;"&amp;G485)/COUNT(G235:G484))))</f>
        <v/>
      </c>
      <c r="K485" s="6" t="inlineStr">
        <is>
          <t>中间分位</t>
        </is>
      </c>
      <c r="L485" s="6" t="n">
        <v>102</v>
      </c>
      <c r="M485" s="6" t="inlineStr">
        <is>
          <t>Back(近强)</t>
        </is>
      </c>
      <c r="N485" s="6" t="n">
        <v>1</v>
      </c>
      <c r="O485" s="6" t="n">
        <v>0</v>
      </c>
      <c r="P485" s="7" t="n">
        <v>42</v>
      </c>
      <c r="Q485" s="6" t="inlineStr"/>
    </row>
    <row r="486">
      <c r="A486" s="11" t="inlineStr">
        <is>
          <t>2024-08-15</t>
        </is>
      </c>
      <c r="B486" s="11" t="inlineStr">
        <is>
          <t>MA2501</t>
        </is>
      </c>
      <c r="C486" s="11" t="inlineStr">
        <is>
          <t>2025-01</t>
        </is>
      </c>
      <c r="D486" s="12" t="n">
        <v>2450.83</v>
      </c>
      <c r="E486" s="12" t="n">
        <v>2456</v>
      </c>
      <c r="F486" s="12">
        <f>D486-E486</f>
        <v/>
      </c>
      <c r="G486" s="13">
        <f>IF(D486=0,"",(D486-E486)/D486)</f>
        <v/>
      </c>
      <c r="H486" s="14" t="n">
        <v>575113</v>
      </c>
      <c r="I486" s="15" t="n">
        <v>0.228</v>
      </c>
      <c r="J486" s="15">
        <f>IF(COUNT(G236:G485)&lt;20,"",IF(COUNTIF(G236:G485,"&lt;"&amp;G486)&gt;=COUNT(G236:G485),(COUNT(G236:G485)-0.5)/COUNT(G236:G485),IF(COUNTIF(G236:G485,G486)&gt;0,(COUNTIF(G236:G485,"&lt;"&amp;G486)+0.5*COUNTIF(G236:G485,G486))/COUNT(G236:G485),COUNTIF(G236:G485,"&lt;"&amp;G486)/COUNT(G236:G485))))</f>
        <v/>
      </c>
      <c r="K486" s="11" t="inlineStr">
        <is>
          <t>中间分位</t>
        </is>
      </c>
      <c r="L486" s="11" t="n">
        <v>101</v>
      </c>
      <c r="M486" s="11" t="inlineStr">
        <is>
          <t>Back(近强)</t>
        </is>
      </c>
      <c r="N486" s="11" t="n">
        <v>1</v>
      </c>
      <c r="O486" s="11" t="n">
        <v>0</v>
      </c>
      <c r="P486" s="12" t="n">
        <v>35</v>
      </c>
      <c r="Q486" s="11" t="inlineStr"/>
    </row>
    <row r="487">
      <c r="A487" s="6" t="inlineStr">
        <is>
          <t>2024-08-16</t>
        </is>
      </c>
      <c r="B487" s="6" t="inlineStr">
        <is>
          <t>MA2501</t>
        </is>
      </c>
      <c r="C487" s="6" t="inlineStr">
        <is>
          <t>2025-01</t>
        </is>
      </c>
      <c r="D487" s="7" t="n">
        <v>2411.67</v>
      </c>
      <c r="E487" s="7" t="n">
        <v>2436</v>
      </c>
      <c r="F487" s="7">
        <f>D487-E487</f>
        <v/>
      </c>
      <c r="G487" s="8">
        <f>IF(D487=0,"",(D487-E487)/D487)</f>
        <v/>
      </c>
      <c r="H487" s="9" t="n">
        <v>666727</v>
      </c>
      <c r="I487" s="10" t="n">
        <v>0.156</v>
      </c>
      <c r="J487" s="10">
        <f>IF(COUNT(G237:G486)&lt;20,"",IF(COUNTIF(G237:G486,"&lt;"&amp;G487)&gt;=COUNT(G237:G486),(COUNT(G237:G486)-0.5)/COUNT(G237:G486),IF(COUNTIF(G237:G486,G487)&gt;0,(COUNTIF(G237:G486,"&lt;"&amp;G487)+0.5*COUNTIF(G237:G486,G487))/COUNT(G237:G486),COUNTIF(G237:G486,"&lt;"&amp;G487)/COUNT(G237:G486))))</f>
        <v/>
      </c>
      <c r="K487" s="6" t="inlineStr">
        <is>
          <t>中间分位</t>
        </is>
      </c>
      <c r="L487" s="6" t="n">
        <v>100</v>
      </c>
      <c r="M487" s="6" t="inlineStr">
        <is>
          <t>Back(近强)</t>
        </is>
      </c>
      <c r="N487" s="6" t="n">
        <v>1</v>
      </c>
      <c r="O487" s="6" t="n">
        <v>0</v>
      </c>
      <c r="P487" s="7" t="n">
        <v>22</v>
      </c>
      <c r="Q487" s="6" t="inlineStr"/>
    </row>
    <row r="488">
      <c r="A488" s="11" t="inlineStr">
        <is>
          <t>2024-08-19</t>
        </is>
      </c>
      <c r="B488" s="11" t="inlineStr">
        <is>
          <t>MA2501</t>
        </is>
      </c>
      <c r="C488" s="11" t="inlineStr">
        <is>
          <t>2025-01</t>
        </is>
      </c>
      <c r="D488" s="12" t="n">
        <v>2411.67</v>
      </c>
      <c r="E488" s="12" t="n">
        <v>2443</v>
      </c>
      <c r="F488" s="12">
        <f>D488-E488</f>
        <v/>
      </c>
      <c r="G488" s="13">
        <f>IF(D488=0,"",(D488-E488)/D488)</f>
        <v/>
      </c>
      <c r="H488" s="14" t="n">
        <v>667467</v>
      </c>
      <c r="I488" s="15" t="n">
        <v>0.132</v>
      </c>
      <c r="J488" s="15">
        <f>IF(COUNT(G238:G487)&lt;20,"",IF(COUNTIF(G238:G487,"&lt;"&amp;G488)&gt;=COUNT(G238:G487),(COUNT(G238:G487)-0.5)/COUNT(G238:G487),IF(COUNTIF(G238:G487,G488)&gt;0,(COUNTIF(G238:G487,"&lt;"&amp;G488)+0.5*COUNTIF(G238:G487,G488))/COUNT(G238:G487),COUNTIF(G238:G487,"&lt;"&amp;G488)/COUNT(G238:G487))))</f>
        <v/>
      </c>
      <c r="K488" s="11" t="inlineStr">
        <is>
          <t>中间分位</t>
        </is>
      </c>
      <c r="L488" s="11" t="n">
        <v>99</v>
      </c>
      <c r="M488" s="11" t="inlineStr">
        <is>
          <t>Back(近强)</t>
        </is>
      </c>
      <c r="N488" s="11" t="n">
        <v>1</v>
      </c>
      <c r="O488" s="11" t="n">
        <v>0</v>
      </c>
      <c r="P488" s="12" t="n">
        <v>33</v>
      </c>
      <c r="Q488" s="11" t="inlineStr"/>
    </row>
    <row r="489">
      <c r="A489" s="6" t="inlineStr">
        <is>
          <t>2024-08-20</t>
        </is>
      </c>
      <c r="B489" s="6" t="inlineStr">
        <is>
          <t>MA2501</t>
        </is>
      </c>
      <c r="C489" s="6" t="inlineStr">
        <is>
          <t>2025-01</t>
        </is>
      </c>
      <c r="D489" s="7" t="n">
        <v>2430</v>
      </c>
      <c r="E489" s="7" t="n">
        <v>2487</v>
      </c>
      <c r="F489" s="7">
        <f>D489-E489</f>
        <v/>
      </c>
      <c r="G489" s="8">
        <f>IF(D489=0,"",(D489-E489)/D489)</f>
        <v/>
      </c>
      <c r="H489" s="9" t="n">
        <v>694751</v>
      </c>
      <c r="I489" s="10" t="n">
        <v>0.08400000000000001</v>
      </c>
      <c r="J489" s="10">
        <f>IF(COUNT(G239:G488)&lt;20,"",IF(COUNTIF(G239:G488,"&lt;"&amp;G489)&gt;=COUNT(G239:G488),(COUNT(G239:G488)-0.5)/COUNT(G239:G488),IF(COUNTIF(G239:G488,G489)&gt;0,(COUNTIF(G239:G488,"&lt;"&amp;G489)+0.5*COUNTIF(G239:G488,G489))/COUNT(G239:G488),COUNTIF(G239:G488,"&lt;"&amp;G489)/COUNT(G239:G488))))</f>
        <v/>
      </c>
      <c r="K489" s="6" t="inlineStr">
        <is>
          <t>低分位</t>
        </is>
      </c>
      <c r="L489" s="6" t="n">
        <v>98</v>
      </c>
      <c r="M489" s="6" t="inlineStr">
        <is>
          <t>Back(近强)</t>
        </is>
      </c>
      <c r="N489" s="6" t="n">
        <v>1</v>
      </c>
      <c r="O489" s="6" t="n">
        <v>0</v>
      </c>
      <c r="P489" s="7" t="n">
        <v>47</v>
      </c>
      <c r="Q489" s="6" t="inlineStr"/>
    </row>
    <row r="490">
      <c r="A490" s="11" t="inlineStr">
        <is>
          <t>2024-08-21</t>
        </is>
      </c>
      <c r="B490" s="11" t="inlineStr">
        <is>
          <t>MA2501</t>
        </is>
      </c>
      <c r="C490" s="11" t="inlineStr">
        <is>
          <t>2025-01</t>
        </is>
      </c>
      <c r="D490" s="12" t="n">
        <v>2451.67</v>
      </c>
      <c r="E490" s="12" t="n">
        <v>2517</v>
      </c>
      <c r="F490" s="12">
        <f>D490-E490</f>
        <v/>
      </c>
      <c r="G490" s="13">
        <f>IF(D490=0,"",(D490-E490)/D490)</f>
        <v/>
      </c>
      <c r="H490" s="14" t="n">
        <v>697139</v>
      </c>
      <c r="I490" s="15" t="n">
        <v>0.06</v>
      </c>
      <c r="J490" s="15">
        <f>IF(COUNT(G240:G489)&lt;20,"",IF(COUNTIF(G240:G489,"&lt;"&amp;G490)&gt;=COUNT(G240:G489),(COUNT(G240:G489)-0.5)/COUNT(G240:G489),IF(COUNTIF(G240:G489,G490)&gt;0,(COUNTIF(G240:G489,"&lt;"&amp;G490)+0.5*COUNTIF(G240:G489,G490))/COUNT(G240:G489),COUNTIF(G240:G489,"&lt;"&amp;G490)/COUNT(G240:G489))))</f>
        <v/>
      </c>
      <c r="K490" s="11" t="inlineStr">
        <is>
          <t>低分位</t>
        </is>
      </c>
      <c r="L490" s="11" t="n">
        <v>97</v>
      </c>
      <c r="M490" s="11" t="inlineStr">
        <is>
          <t>Back(近强)</t>
        </is>
      </c>
      <c r="N490" s="11" t="n">
        <v>1</v>
      </c>
      <c r="O490" s="11" t="n">
        <v>0</v>
      </c>
      <c r="P490" s="12" t="n">
        <v>51</v>
      </c>
      <c r="Q490" s="11" t="inlineStr"/>
    </row>
    <row r="491">
      <c r="A491" s="6" t="inlineStr">
        <is>
          <t>2024-08-22</t>
        </is>
      </c>
      <c r="B491" s="6" t="inlineStr">
        <is>
          <t>MA2501</t>
        </is>
      </c>
      <c r="C491" s="6" t="inlineStr">
        <is>
          <t>2025-01</t>
        </is>
      </c>
      <c r="D491" s="7" t="n">
        <v>2469.17</v>
      </c>
      <c r="E491" s="7" t="n">
        <v>2507</v>
      </c>
      <c r="F491" s="7">
        <f>D491-E491</f>
        <v/>
      </c>
      <c r="G491" s="8">
        <f>IF(D491=0,"",(D491-E491)/D491)</f>
        <v/>
      </c>
      <c r="H491" s="9" t="n">
        <v>664743</v>
      </c>
      <c r="I491" s="10" t="n">
        <v>0.108</v>
      </c>
      <c r="J491" s="10">
        <f>IF(COUNT(G241:G490)&lt;20,"",IF(COUNTIF(G241:G490,"&lt;"&amp;G491)&gt;=COUNT(G241:G490),(COUNT(G241:G490)-0.5)/COUNT(G241:G490),IF(COUNTIF(G241:G490,G491)&gt;0,(COUNTIF(G241:G490,"&lt;"&amp;G491)+0.5*COUNTIF(G241:G490,G491))/COUNT(G241:G490),COUNTIF(G241:G490,"&lt;"&amp;G491)/COUNT(G241:G490))))</f>
        <v/>
      </c>
      <c r="K491" s="6" t="inlineStr">
        <is>
          <t>中间分位</t>
        </is>
      </c>
      <c r="L491" s="6" t="n">
        <v>96</v>
      </c>
      <c r="M491" s="6" t="inlineStr">
        <is>
          <t>Back(近强)</t>
        </is>
      </c>
      <c r="N491" s="6" t="n">
        <v>1</v>
      </c>
      <c r="O491" s="6" t="n">
        <v>0</v>
      </c>
      <c r="P491" s="7" t="n">
        <v>52</v>
      </c>
      <c r="Q491" s="6" t="inlineStr"/>
    </row>
    <row r="492">
      <c r="A492" s="11" t="inlineStr">
        <is>
          <t>2024-08-23</t>
        </is>
      </c>
      <c r="B492" s="11" t="inlineStr">
        <is>
          <t>MA2501</t>
        </is>
      </c>
      <c r="C492" s="11" t="inlineStr">
        <is>
          <t>2025-01</t>
        </is>
      </c>
      <c r="D492" s="12" t="n">
        <v>2481.67</v>
      </c>
      <c r="E492" s="12" t="n">
        <v>2493</v>
      </c>
      <c r="F492" s="12">
        <f>D492-E492</f>
        <v/>
      </c>
      <c r="G492" s="13">
        <f>IF(D492=0,"",(D492-E492)/D492)</f>
        <v/>
      </c>
      <c r="H492" s="14" t="n">
        <v>649716</v>
      </c>
      <c r="I492" s="15" t="n">
        <v>0.204</v>
      </c>
      <c r="J492" s="15">
        <f>IF(COUNT(G242:G491)&lt;20,"",IF(COUNTIF(G242:G491,"&lt;"&amp;G492)&gt;=COUNT(G242:G491),(COUNT(G242:G491)-0.5)/COUNT(G242:G491),IF(COUNTIF(G242:G491,G492)&gt;0,(COUNTIF(G242:G491,"&lt;"&amp;G492)+0.5*COUNTIF(G242:G491,G492))/COUNT(G242:G491),COUNTIF(G242:G491,"&lt;"&amp;G492)/COUNT(G242:G491))))</f>
        <v/>
      </c>
      <c r="K492" s="11" t="inlineStr">
        <is>
          <t>中间分位</t>
        </is>
      </c>
      <c r="L492" s="11" t="n">
        <v>95</v>
      </c>
      <c r="M492" s="11" t="inlineStr">
        <is>
          <t>Back(近强)</t>
        </is>
      </c>
      <c r="N492" s="11" t="n">
        <v>1</v>
      </c>
      <c r="O492" s="11" t="n">
        <v>0</v>
      </c>
      <c r="P492" s="12" t="n">
        <v>49</v>
      </c>
      <c r="Q492" s="11" t="inlineStr"/>
    </row>
    <row r="493">
      <c r="A493" s="6" t="inlineStr">
        <is>
          <t>2024-08-26</t>
        </is>
      </c>
      <c r="B493" s="6" t="inlineStr">
        <is>
          <t>MA2501</t>
        </is>
      </c>
      <c r="C493" s="6" t="inlineStr">
        <is>
          <t>2025-01</t>
        </is>
      </c>
      <c r="D493" s="7" t="n">
        <v>2461.67</v>
      </c>
      <c r="E493" s="7" t="n">
        <v>2530</v>
      </c>
      <c r="F493" s="7">
        <f>D493-E493</f>
        <v/>
      </c>
      <c r="G493" s="8">
        <f>IF(D493=0,"",(D493-E493)/D493)</f>
        <v/>
      </c>
      <c r="H493" s="9" t="n">
        <v>650398</v>
      </c>
      <c r="I493" s="10" t="n">
        <v>0.04</v>
      </c>
      <c r="J493" s="10">
        <f>IF(COUNT(G243:G492)&lt;20,"",IF(COUNTIF(G243:G492,"&lt;"&amp;G493)&gt;=COUNT(G243:G492),(COUNT(G243:G492)-0.5)/COUNT(G243:G492),IF(COUNTIF(G243:G492,G493)&gt;0,(COUNTIF(G243:G492,"&lt;"&amp;G493)+0.5*COUNTIF(G243:G492,G493))/COUNT(G243:G492),COUNTIF(G243:G492,"&lt;"&amp;G493)/COUNT(G243:G492))))</f>
        <v/>
      </c>
      <c r="K493" s="6" t="inlineStr">
        <is>
          <t>低分位</t>
        </is>
      </c>
      <c r="L493" s="6" t="n">
        <v>94</v>
      </c>
      <c r="M493" s="6" t="inlineStr">
        <is>
          <t>Back(近强)</t>
        </is>
      </c>
      <c r="N493" s="6" t="n">
        <v>1</v>
      </c>
      <c r="O493" s="6" t="n">
        <v>0</v>
      </c>
      <c r="P493" s="7" t="n">
        <v>56</v>
      </c>
      <c r="Q493" s="6" t="inlineStr"/>
    </row>
    <row r="494">
      <c r="A494" s="11" t="inlineStr">
        <is>
          <t>2024-08-27</t>
        </is>
      </c>
      <c r="B494" s="11" t="inlineStr">
        <is>
          <t>MA2501</t>
        </is>
      </c>
      <c r="C494" s="11" t="inlineStr">
        <is>
          <t>2025-01</t>
        </is>
      </c>
      <c r="D494" s="12" t="n">
        <v>2495.83</v>
      </c>
      <c r="E494" s="12" t="n">
        <v>2535</v>
      </c>
      <c r="F494" s="12">
        <f>D494-E494</f>
        <v/>
      </c>
      <c r="G494" s="13">
        <f>IF(D494=0,"",(D494-E494)/D494)</f>
        <v/>
      </c>
      <c r="H494" s="14" t="n">
        <v>639397</v>
      </c>
      <c r="I494" s="15" t="n">
        <v>0.1</v>
      </c>
      <c r="J494" s="15">
        <f>IF(COUNT(G244:G493)&lt;20,"",IF(COUNTIF(G244:G493,"&lt;"&amp;G494)&gt;=COUNT(G244:G493),(COUNT(G244:G493)-0.5)/COUNT(G244:G493),IF(COUNTIF(G244:G493,G494)&gt;0,(COUNTIF(G244:G493,"&lt;"&amp;G494)+0.5*COUNTIF(G244:G493,G494))/COUNT(G244:G493),COUNTIF(G244:G493,"&lt;"&amp;G494)/COUNT(G244:G493))))</f>
        <v/>
      </c>
      <c r="K494" s="11" t="inlineStr">
        <is>
          <t>低分位</t>
        </is>
      </c>
      <c r="L494" s="11" t="n">
        <v>93</v>
      </c>
      <c r="M494" s="11" t="inlineStr">
        <is>
          <t>Back(近强)</t>
        </is>
      </c>
      <c r="N494" s="11" t="n">
        <v>1</v>
      </c>
      <c r="O494" s="11" t="n">
        <v>0</v>
      </c>
      <c r="P494" s="12" t="n">
        <v>65</v>
      </c>
      <c r="Q494" s="11" t="inlineStr"/>
    </row>
    <row r="495">
      <c r="A495" s="6" t="inlineStr">
        <is>
          <t>2024-08-28</t>
        </is>
      </c>
      <c r="B495" s="6" t="inlineStr">
        <is>
          <t>MA2501</t>
        </is>
      </c>
      <c r="C495" s="6" t="inlineStr">
        <is>
          <t>2025-01</t>
        </is>
      </c>
      <c r="D495" s="7" t="n">
        <v>2500</v>
      </c>
      <c r="E495" s="7" t="n">
        <v>2537</v>
      </c>
      <c r="F495" s="7">
        <f>D495-E495</f>
        <v/>
      </c>
      <c r="G495" s="8">
        <f>IF(D495=0,"",(D495-E495)/D495)</f>
        <v/>
      </c>
      <c r="H495" s="9" t="n">
        <v>633168</v>
      </c>
      <c r="I495" s="10" t="n">
        <v>0.116</v>
      </c>
      <c r="J495" s="10">
        <f>IF(COUNT(G245:G494)&lt;20,"",IF(COUNTIF(G245:G494,"&lt;"&amp;G495)&gt;=COUNT(G245:G494),(COUNT(G245:G494)-0.5)/COUNT(G245:G494),IF(COUNTIF(G245:G494,G495)&gt;0,(COUNTIF(G245:G494,"&lt;"&amp;G495)+0.5*COUNTIF(G245:G494,G495))/COUNT(G245:G494),COUNTIF(G245:G494,"&lt;"&amp;G495)/COUNT(G245:G494))))</f>
        <v/>
      </c>
      <c r="K495" s="6" t="inlineStr">
        <is>
          <t>中间分位</t>
        </is>
      </c>
      <c r="L495" s="6" t="n">
        <v>92</v>
      </c>
      <c r="M495" s="6" t="inlineStr">
        <is>
          <t>Back(近强)</t>
        </is>
      </c>
      <c r="N495" s="6" t="n">
        <v>1</v>
      </c>
      <c r="O495" s="6" t="n">
        <v>0</v>
      </c>
      <c r="P495" s="7" t="n">
        <v>65</v>
      </c>
      <c r="Q495" s="6" t="inlineStr"/>
    </row>
    <row r="496">
      <c r="A496" s="11" t="inlineStr">
        <is>
          <t>2024-08-29</t>
        </is>
      </c>
      <c r="B496" s="11" t="inlineStr">
        <is>
          <t>MA2501</t>
        </is>
      </c>
      <c r="C496" s="11" t="inlineStr">
        <is>
          <t>2025-01</t>
        </is>
      </c>
      <c r="D496" s="12" t="n">
        <v>2505.83</v>
      </c>
      <c r="E496" s="12" t="n">
        <v>2534</v>
      </c>
      <c r="F496" s="12">
        <f>D496-E496</f>
        <v/>
      </c>
      <c r="G496" s="13">
        <f>IF(D496=0,"",(D496-E496)/D496)</f>
        <v/>
      </c>
      <c r="H496" s="14" t="n">
        <v>625414</v>
      </c>
      <c r="I496" s="15" t="n">
        <v>0.144</v>
      </c>
      <c r="J496" s="15">
        <f>IF(COUNT(G246:G495)&lt;20,"",IF(COUNTIF(G246:G495,"&lt;"&amp;G496)&gt;=COUNT(G246:G495),(COUNT(G246:G495)-0.5)/COUNT(G246:G495),IF(COUNTIF(G246:G495,G496)&gt;0,(COUNTIF(G246:G495,"&lt;"&amp;G496)+0.5*COUNTIF(G246:G495,G496))/COUNT(G246:G495),COUNTIF(G246:G495,"&lt;"&amp;G496)/COUNT(G246:G495))))</f>
        <v/>
      </c>
      <c r="K496" s="11" t="inlineStr">
        <is>
          <t>中间分位</t>
        </is>
      </c>
      <c r="L496" s="11" t="n">
        <v>91</v>
      </c>
      <c r="M496" s="11" t="inlineStr">
        <is>
          <t>Back(近强)</t>
        </is>
      </c>
      <c r="N496" s="11" t="n">
        <v>1</v>
      </c>
      <c r="O496" s="11" t="n">
        <v>0</v>
      </c>
      <c r="P496" s="12" t="n">
        <v>63</v>
      </c>
      <c r="Q496" s="11" t="inlineStr"/>
    </row>
    <row r="497">
      <c r="A497" s="6" t="inlineStr">
        <is>
          <t>2024-08-30</t>
        </is>
      </c>
      <c r="B497" s="6" t="inlineStr">
        <is>
          <t>MA2501</t>
        </is>
      </c>
      <c r="C497" s="6" t="inlineStr">
        <is>
          <t>2025-01</t>
        </is>
      </c>
      <c r="D497" s="7" t="n">
        <v>2495.83</v>
      </c>
      <c r="E497" s="7" t="n">
        <v>2528</v>
      </c>
      <c r="F497" s="7">
        <f>D497-E497</f>
        <v/>
      </c>
      <c r="G497" s="8">
        <f>IF(D497=0,"",(D497-E497)/D497)</f>
        <v/>
      </c>
      <c r="H497" s="9" t="n">
        <v>617644</v>
      </c>
      <c r="I497" s="10" t="n">
        <v>0.128</v>
      </c>
      <c r="J497" s="10">
        <f>IF(COUNT(G247:G496)&lt;20,"",IF(COUNTIF(G247:G496,"&lt;"&amp;G497)&gt;=COUNT(G247:G496),(COUNT(G247:G496)-0.5)/COUNT(G247:G496),IF(COUNTIF(G247:G496,G497)&gt;0,(COUNTIF(G247:G496,"&lt;"&amp;G497)+0.5*COUNTIF(G247:G496,G497))/COUNT(G247:G496),COUNTIF(G247:G496,"&lt;"&amp;G497)/COUNT(G247:G496))))</f>
        <v/>
      </c>
      <c r="K497" s="6" t="inlineStr">
        <is>
          <t>中间分位</t>
        </is>
      </c>
      <c r="L497" s="6" t="n">
        <v>90</v>
      </c>
      <c r="M497" s="6" t="inlineStr">
        <is>
          <t>Back(近强)</t>
        </is>
      </c>
      <c r="N497" s="6" t="n">
        <v>1</v>
      </c>
      <c r="O497" s="6" t="n">
        <v>0</v>
      </c>
      <c r="P497" s="7" t="n">
        <v>58</v>
      </c>
      <c r="Q497" s="6" t="inlineStr"/>
    </row>
    <row r="498">
      <c r="A498" s="11" t="inlineStr">
        <is>
          <t>2024-09-02</t>
        </is>
      </c>
      <c r="B498" s="11" t="inlineStr">
        <is>
          <t>MA2501</t>
        </is>
      </c>
      <c r="C498" s="11" t="inlineStr">
        <is>
          <t>2025-01</t>
        </is>
      </c>
      <c r="D498" s="12" t="n">
        <v>2480</v>
      </c>
      <c r="E498" s="12" t="n">
        <v>2477</v>
      </c>
      <c r="F498" s="12">
        <f>D498-E498</f>
        <v/>
      </c>
      <c r="G498" s="13">
        <f>IF(D498=0,"",(D498-E498)/D498)</f>
        <v/>
      </c>
      <c r="H498" s="14" t="n">
        <v>622768</v>
      </c>
      <c r="I498" s="15" t="n">
        <v>0.288</v>
      </c>
      <c r="J498" s="15">
        <f>IF(COUNT(G248:G497)&lt;20,"",IF(COUNTIF(G248:G497,"&lt;"&amp;G498)&gt;=COUNT(G248:G497),(COUNT(G248:G497)-0.5)/COUNT(G248:G497),IF(COUNTIF(G248:G497,G498)&gt;0,(COUNTIF(G248:G497,"&lt;"&amp;G498)+0.5*COUNTIF(G248:G497,G498))/COUNT(G248:G497),COUNTIF(G248:G497,"&lt;"&amp;G498)/COUNT(G248:G497))))</f>
        <v/>
      </c>
      <c r="K498" s="11" t="inlineStr">
        <is>
          <t>中间分位</t>
        </is>
      </c>
      <c r="L498" s="11" t="n">
        <v>89</v>
      </c>
      <c r="M498" s="11" t="inlineStr">
        <is>
          <t>Back(近强)</t>
        </is>
      </c>
      <c r="N498" s="11" t="n">
        <v>1</v>
      </c>
      <c r="O498" s="11" t="n">
        <v>0</v>
      </c>
      <c r="P498" s="12" t="n">
        <v>51</v>
      </c>
      <c r="Q498" s="11" t="inlineStr"/>
    </row>
    <row r="499">
      <c r="A499" s="6" t="inlineStr">
        <is>
          <t>2024-09-03</t>
        </is>
      </c>
      <c r="B499" s="6" t="inlineStr">
        <is>
          <t>MA2501</t>
        </is>
      </c>
      <c r="C499" s="6" t="inlineStr">
        <is>
          <t>2025-01</t>
        </is>
      </c>
      <c r="D499" s="7" t="n">
        <v>2460</v>
      </c>
      <c r="E499" s="7" t="n">
        <v>2464</v>
      </c>
      <c r="F499" s="7">
        <f>D499-E499</f>
        <v/>
      </c>
      <c r="G499" s="8">
        <f>IF(D499=0,"",(D499-E499)/D499)</f>
        <v/>
      </c>
      <c r="H499" s="9" t="n">
        <v>662972</v>
      </c>
      <c r="I499" s="10" t="n">
        <v>0.236</v>
      </c>
      <c r="J499" s="10">
        <f>IF(COUNT(G249:G498)&lt;20,"",IF(COUNTIF(G249:G498,"&lt;"&amp;G499)&gt;=COUNT(G249:G498),(COUNT(G249:G498)-0.5)/COUNT(G249:G498),IF(COUNTIF(G249:G498,G499)&gt;0,(COUNTIF(G249:G498,"&lt;"&amp;G499)+0.5*COUNTIF(G249:G498,G499))/COUNT(G249:G498),COUNTIF(G249:G498,"&lt;"&amp;G499)/COUNT(G249:G498))))</f>
        <v/>
      </c>
      <c r="K499" s="6" t="inlineStr">
        <is>
          <t>中间分位</t>
        </is>
      </c>
      <c r="L499" s="6" t="n">
        <v>88</v>
      </c>
      <c r="M499" s="6" t="inlineStr">
        <is>
          <t>Back(近强)</t>
        </is>
      </c>
      <c r="N499" s="6" t="n">
        <v>1</v>
      </c>
      <c r="O499" s="6" t="n">
        <v>0</v>
      </c>
      <c r="P499" s="7" t="n">
        <v>48</v>
      </c>
      <c r="Q499" s="6" t="inlineStr"/>
    </row>
    <row r="500">
      <c r="A500" s="11" t="inlineStr">
        <is>
          <t>2024-09-04</t>
        </is>
      </c>
      <c r="B500" s="11" t="inlineStr">
        <is>
          <t>MA2501</t>
        </is>
      </c>
      <c r="C500" s="11" t="inlineStr">
        <is>
          <t>2025-01</t>
        </is>
      </c>
      <c r="D500" s="12" t="n">
        <v>2450.83</v>
      </c>
      <c r="E500" s="12" t="n">
        <v>2408</v>
      </c>
      <c r="F500" s="12">
        <f>D500-E500</f>
        <v/>
      </c>
      <c r="G500" s="13">
        <f>IF(D500=0,"",(D500-E500)/D500)</f>
        <v/>
      </c>
      <c r="H500" s="14" t="n">
        <v>733167</v>
      </c>
      <c r="I500" s="15" t="n">
        <v>0.532</v>
      </c>
      <c r="J500" s="15">
        <f>IF(COUNT(G250:G499)&lt;20,"",IF(COUNTIF(G250:G499,"&lt;"&amp;G500)&gt;=COUNT(G250:G499),(COUNT(G250:G499)-0.5)/COUNT(G250:G499),IF(COUNTIF(G250:G499,G500)&gt;0,(COUNTIF(G250:G499,"&lt;"&amp;G500)+0.5*COUNTIF(G250:G499,G500))/COUNT(G250:G499),COUNTIF(G250:G499,"&lt;"&amp;G500)/COUNT(G250:G499))))</f>
        <v/>
      </c>
      <c r="K500" s="11" t="inlineStr">
        <is>
          <t>中间分位</t>
        </is>
      </c>
      <c r="L500" s="11" t="n">
        <v>87</v>
      </c>
      <c r="M500" s="11" t="inlineStr">
        <is>
          <t>Back(近强)</t>
        </is>
      </c>
      <c r="N500" s="11" t="n">
        <v>1</v>
      </c>
      <c r="O500" s="11" t="n">
        <v>0</v>
      </c>
      <c r="P500" s="12" t="n">
        <v>41</v>
      </c>
      <c r="Q500" s="11" t="inlineStr"/>
    </row>
    <row r="501">
      <c r="A501" s="6" t="inlineStr">
        <is>
          <t>2024-09-05</t>
        </is>
      </c>
      <c r="B501" s="6" t="inlineStr">
        <is>
          <t>MA2501</t>
        </is>
      </c>
      <c r="C501" s="6" t="inlineStr">
        <is>
          <t>2025-01</t>
        </is>
      </c>
      <c r="D501" s="7" t="n">
        <v>2425</v>
      </c>
      <c r="E501" s="7" t="n">
        <v>2379</v>
      </c>
      <c r="F501" s="7">
        <f>D501-E501</f>
        <v/>
      </c>
      <c r="G501" s="8">
        <f>IF(D501=0,"",(D501-E501)/D501)</f>
        <v/>
      </c>
      <c r="H501" s="9" t="n">
        <v>771965</v>
      </c>
      <c r="I501" s="10" t="n">
        <v>0.544</v>
      </c>
      <c r="J501" s="10">
        <f>IF(COUNT(G251:G500)&lt;20,"",IF(COUNTIF(G251:G500,"&lt;"&amp;G501)&gt;=COUNT(G251:G500),(COUNT(G251:G500)-0.5)/COUNT(G251:G500),IF(COUNTIF(G251:G500,G501)&gt;0,(COUNTIF(G251:G500,"&lt;"&amp;G501)+0.5*COUNTIF(G251:G500,G501))/COUNT(G251:G500),COUNTIF(G251:G500,"&lt;"&amp;G501)/COUNT(G251:G500))))</f>
        <v/>
      </c>
      <c r="K501" s="6" t="inlineStr">
        <is>
          <t>中间分位</t>
        </is>
      </c>
      <c r="L501" s="6" t="n">
        <v>86</v>
      </c>
      <c r="M501" s="6" t="inlineStr">
        <is>
          <t>Back(近强)</t>
        </is>
      </c>
      <c r="N501" s="6" t="n">
        <v>1</v>
      </c>
      <c r="O501" s="6" t="n">
        <v>0</v>
      </c>
      <c r="P501" s="7" t="n">
        <v>39</v>
      </c>
      <c r="Q501" s="6" t="inlineStr"/>
    </row>
    <row r="502">
      <c r="A502" s="11" t="inlineStr">
        <is>
          <t>2024-09-06</t>
        </is>
      </c>
      <c r="B502" s="11" t="inlineStr">
        <is>
          <t>MA2501</t>
        </is>
      </c>
      <c r="C502" s="11" t="inlineStr">
        <is>
          <t>2025-01</t>
        </is>
      </c>
      <c r="D502" s="12" t="n">
        <v>2385.83</v>
      </c>
      <c r="E502" s="12" t="n">
        <v>2371</v>
      </c>
      <c r="F502" s="12">
        <f>D502-E502</f>
        <v/>
      </c>
      <c r="G502" s="13">
        <f>IF(D502=0,"",(D502-E502)/D502)</f>
        <v/>
      </c>
      <c r="H502" s="14" t="n">
        <v>788828</v>
      </c>
      <c r="I502" s="15" t="n">
        <v>0.356</v>
      </c>
      <c r="J502" s="15">
        <f>IF(COUNT(G252:G501)&lt;20,"",IF(COUNTIF(G252:G501,"&lt;"&amp;G502)&gt;=COUNT(G252:G501),(COUNT(G252:G501)-0.5)/COUNT(G252:G501),IF(COUNTIF(G252:G501,G502)&gt;0,(COUNTIF(G252:G501,"&lt;"&amp;G502)+0.5*COUNTIF(G252:G501,G502))/COUNT(G252:G501),COUNTIF(G252:G501,"&lt;"&amp;G502)/COUNT(G252:G501))))</f>
        <v/>
      </c>
      <c r="K502" s="11" t="inlineStr">
        <is>
          <t>中间分位</t>
        </is>
      </c>
      <c r="L502" s="11" t="n">
        <v>85</v>
      </c>
      <c r="M502" s="11" t="inlineStr">
        <is>
          <t>Back(近强)</t>
        </is>
      </c>
      <c r="N502" s="11" t="n">
        <v>1</v>
      </c>
      <c r="O502" s="11" t="n">
        <v>0</v>
      </c>
      <c r="P502" s="12" t="n">
        <v>21</v>
      </c>
      <c r="Q502" s="11" t="inlineStr"/>
    </row>
    <row r="503">
      <c r="A503" s="6" t="inlineStr">
        <is>
          <t>2024-09-09</t>
        </is>
      </c>
      <c r="B503" s="6" t="inlineStr">
        <is>
          <t>MA2501</t>
        </is>
      </c>
      <c r="C503" s="6" t="inlineStr">
        <is>
          <t>2025-01</t>
        </is>
      </c>
      <c r="D503" s="7" t="n">
        <v>2385.83</v>
      </c>
      <c r="E503" s="7" t="n">
        <v>2366</v>
      </c>
      <c r="F503" s="7">
        <f>D503-E503</f>
        <v/>
      </c>
      <c r="G503" s="8">
        <f>IF(D503=0,"",(D503-E503)/D503)</f>
        <v/>
      </c>
      <c r="H503" s="9" t="n">
        <v>797122</v>
      </c>
      <c r="I503" s="10" t="n">
        <v>0.388</v>
      </c>
      <c r="J503" s="10">
        <f>IF(COUNT(G253:G502)&lt;20,"",IF(COUNTIF(G253:G502,"&lt;"&amp;G503)&gt;=COUNT(G253:G502),(COUNT(G253:G502)-0.5)/COUNT(G253:G502),IF(COUNTIF(G253:G502,G503)&gt;0,(COUNTIF(G253:G502,"&lt;"&amp;G503)+0.5*COUNTIF(G253:G502,G503))/COUNT(G253:G502),COUNTIF(G253:G502,"&lt;"&amp;G503)/COUNT(G253:G502))))</f>
        <v/>
      </c>
      <c r="K503" s="6" t="inlineStr">
        <is>
          <t>中间分位</t>
        </is>
      </c>
      <c r="L503" s="6" t="n">
        <v>84</v>
      </c>
      <c r="M503" s="6" t="inlineStr">
        <is>
          <t>Back(近强)</t>
        </is>
      </c>
      <c r="N503" s="6" t="n">
        <v>1</v>
      </c>
      <c r="O503" s="6" t="n">
        <v>0</v>
      </c>
      <c r="P503" s="7" t="n">
        <v>16</v>
      </c>
      <c r="Q503" s="6" t="inlineStr"/>
    </row>
    <row r="504">
      <c r="A504" s="11" t="inlineStr">
        <is>
          <t>2024-09-10</t>
        </is>
      </c>
      <c r="B504" s="11" t="inlineStr">
        <is>
          <t>MA2501</t>
        </is>
      </c>
      <c r="C504" s="11" t="inlineStr">
        <is>
          <t>2025-01</t>
        </is>
      </c>
      <c r="D504" s="12" t="n">
        <v>2380</v>
      </c>
      <c r="E504" s="12" t="n">
        <v>2325</v>
      </c>
      <c r="F504" s="12">
        <f>D504-E504</f>
        <v/>
      </c>
      <c r="G504" s="13">
        <f>IF(D504=0,"",(D504-E504)/D504)</f>
        <v/>
      </c>
      <c r="H504" s="14" t="n">
        <v>839029</v>
      </c>
      <c r="I504" s="15" t="n">
        <v>0.592</v>
      </c>
      <c r="J504" s="15">
        <f>IF(COUNT(G254:G503)&lt;20,"",IF(COUNTIF(G254:G503,"&lt;"&amp;G504)&gt;=COUNT(G254:G503),(COUNT(G254:G503)-0.5)/COUNT(G254:G503),IF(COUNTIF(G254:G503,G504)&gt;0,(COUNTIF(G254:G503,"&lt;"&amp;G504)+0.5*COUNTIF(G254:G503,G504))/COUNT(G254:G503),COUNTIF(G254:G503,"&lt;"&amp;G504)/COUNT(G254:G503))))</f>
        <v/>
      </c>
      <c r="K504" s="11" t="inlineStr">
        <is>
          <t>中间分位</t>
        </is>
      </c>
      <c r="L504" s="11" t="n">
        <v>83</v>
      </c>
      <c r="M504" s="11" t="inlineStr">
        <is>
          <t>Contango(远强)</t>
        </is>
      </c>
      <c r="N504" s="11" t="n">
        <v>1</v>
      </c>
      <c r="O504" s="11" t="n">
        <v>0</v>
      </c>
      <c r="P504" s="12" t="n">
        <v>-25</v>
      </c>
      <c r="Q504" s="11" t="inlineStr"/>
    </row>
    <row r="505">
      <c r="A505" s="6" t="inlineStr">
        <is>
          <t>2024-09-11</t>
        </is>
      </c>
      <c r="B505" s="6" t="inlineStr">
        <is>
          <t>MA2501</t>
        </is>
      </c>
      <c r="C505" s="6" t="inlineStr">
        <is>
          <t>2025-01</t>
        </is>
      </c>
      <c r="D505" s="7" t="n">
        <v>2337.5</v>
      </c>
      <c r="E505" s="7" t="n">
        <v>2355</v>
      </c>
      <c r="F505" s="7">
        <f>D505-E505</f>
        <v/>
      </c>
      <c r="G505" s="8">
        <f>IF(D505=0,"",(D505-E505)/D505)</f>
        <v/>
      </c>
      <c r="H505" s="9" t="n">
        <v>815797</v>
      </c>
      <c r="I505" s="10" t="n">
        <v>0.16</v>
      </c>
      <c r="J505" s="10">
        <f>IF(COUNT(G255:G504)&lt;20,"",IF(COUNTIF(G255:G504,"&lt;"&amp;G505)&gt;=COUNT(G255:G504),(COUNT(G255:G504)-0.5)/COUNT(G255:G504),IF(COUNTIF(G255:G504,G505)&gt;0,(COUNTIF(G255:G504,"&lt;"&amp;G505)+0.5*COUNTIF(G255:G504,G505))/COUNT(G255:G504),COUNTIF(G255:G504,"&lt;"&amp;G505)/COUNT(G255:G504))))</f>
        <v/>
      </c>
      <c r="K505" s="6" t="inlineStr">
        <is>
          <t>中间分位</t>
        </is>
      </c>
      <c r="L505" s="6" t="n">
        <v>82</v>
      </c>
      <c r="M505" s="6" t="inlineStr">
        <is>
          <t>结构不明</t>
        </is>
      </c>
      <c r="N505" s="6" t="n">
        <v>1</v>
      </c>
      <c r="O505" s="6" t="n">
        <v>0</v>
      </c>
      <c r="P505" s="7" t="n">
        <v>1</v>
      </c>
      <c r="Q505" s="6" t="inlineStr"/>
    </row>
    <row r="506">
      <c r="A506" s="11" t="inlineStr">
        <is>
          <t>2024-09-12</t>
        </is>
      </c>
      <c r="B506" s="11" t="inlineStr">
        <is>
          <t>MA2501</t>
        </is>
      </c>
      <c r="C506" s="11" t="inlineStr">
        <is>
          <t>2025-01</t>
        </is>
      </c>
      <c r="D506" s="12" t="n">
        <v>2370.83</v>
      </c>
      <c r="E506" s="12" t="n">
        <v>2386</v>
      </c>
      <c r="F506" s="12">
        <f>D506-E506</f>
        <v/>
      </c>
      <c r="G506" s="13">
        <f>IF(D506=0,"",(D506-E506)/D506)</f>
        <v/>
      </c>
      <c r="H506" s="14" t="n">
        <v>807510</v>
      </c>
      <c r="I506" s="15" t="n">
        <v>0.164</v>
      </c>
      <c r="J506" s="15">
        <f>IF(COUNT(G256:G505)&lt;20,"",IF(COUNTIF(G256:G505,"&lt;"&amp;G506)&gt;=COUNT(G256:G505),(COUNT(G256:G505)-0.5)/COUNT(G256:G505),IF(COUNTIF(G256:G505,G506)&gt;0,(COUNTIF(G256:G505,"&lt;"&amp;G506)+0.5*COUNTIF(G256:G505,G506))/COUNT(G256:G505),COUNTIF(G256:G505,"&lt;"&amp;G506)/COUNT(G256:G505))))</f>
        <v/>
      </c>
      <c r="K506" s="11" t="inlineStr">
        <is>
          <t>中间分位</t>
        </is>
      </c>
      <c r="L506" s="11" t="n">
        <v>81</v>
      </c>
      <c r="M506" s="11" t="inlineStr">
        <is>
          <t>Back(近强)</t>
        </is>
      </c>
      <c r="N506" s="11" t="n">
        <v>1</v>
      </c>
      <c r="O506" s="11" t="n">
        <v>0</v>
      </c>
      <c r="P506" s="12" t="n">
        <v>41</v>
      </c>
      <c r="Q506" s="11" t="inlineStr"/>
    </row>
    <row r="507">
      <c r="A507" s="6" t="inlineStr">
        <is>
          <t>2024-09-13</t>
        </is>
      </c>
      <c r="B507" s="6" t="inlineStr">
        <is>
          <t>MA2501</t>
        </is>
      </c>
      <c r="C507" s="6" t="inlineStr">
        <is>
          <t>2025-01</t>
        </is>
      </c>
      <c r="D507" s="7" t="n">
        <v>2405.83</v>
      </c>
      <c r="E507" s="7" t="n">
        <v>2383</v>
      </c>
      <c r="F507" s="7">
        <f>D507-E507</f>
        <v/>
      </c>
      <c r="G507" s="8">
        <f>IF(D507=0,"",(D507-E507)/D507)</f>
        <v/>
      </c>
      <c r="H507" s="9" t="n">
        <v>767811</v>
      </c>
      <c r="I507" s="10" t="n">
        <v>0.392</v>
      </c>
      <c r="J507" s="10">
        <f>IF(COUNT(G257:G506)&lt;20,"",IF(COUNTIF(G257:G506,"&lt;"&amp;G507)&gt;=COUNT(G257:G506),(COUNT(G257:G506)-0.5)/COUNT(G257:G506),IF(COUNTIF(G257:G506,G507)&gt;0,(COUNTIF(G257:G506,"&lt;"&amp;G507)+0.5*COUNTIF(G257:G506,G507))/COUNT(G257:G506),COUNTIF(G257:G506,"&lt;"&amp;G507)/COUNT(G257:G506))))</f>
        <v/>
      </c>
      <c r="K507" s="6" t="inlineStr">
        <is>
          <t>中间分位</t>
        </is>
      </c>
      <c r="L507" s="6" t="n">
        <v>80</v>
      </c>
      <c r="M507" s="6" t="inlineStr">
        <is>
          <t>Back(近强)</t>
        </is>
      </c>
      <c r="N507" s="6" t="n">
        <v>1</v>
      </c>
      <c r="O507" s="6" t="n">
        <v>0</v>
      </c>
      <c r="P507" s="7" t="n">
        <v>68</v>
      </c>
      <c r="Q507" s="6" t="inlineStr"/>
    </row>
    <row r="508">
      <c r="A508" s="11" t="inlineStr">
        <is>
          <t>2024-09-18</t>
        </is>
      </c>
      <c r="B508" s="11" t="inlineStr">
        <is>
          <t>MA2501</t>
        </is>
      </c>
      <c r="C508" s="11" t="inlineStr">
        <is>
          <t>2025-01</t>
        </is>
      </c>
      <c r="D508" s="12" t="n">
        <v>2401.67</v>
      </c>
      <c r="E508" s="12" t="n">
        <v>2386</v>
      </c>
      <c r="F508" s="12">
        <f>D508-E508</f>
        <v/>
      </c>
      <c r="G508" s="13">
        <f>IF(D508=0,"",(D508-E508)/D508)</f>
        <v/>
      </c>
      <c r="H508" s="14" t="n">
        <v>771095</v>
      </c>
      <c r="I508" s="15" t="n">
        <v>0.348</v>
      </c>
      <c r="J508" s="15">
        <f>IF(COUNT(G258:G507)&lt;20,"",IF(COUNTIF(G258:G507,"&lt;"&amp;G508)&gt;=COUNT(G258:G507),(COUNT(G258:G507)-0.5)/COUNT(G258:G507),IF(COUNTIF(G258:G507,G508)&gt;0,(COUNTIF(G258:G507,"&lt;"&amp;G508)+0.5*COUNTIF(G258:G507,G508))/COUNT(G258:G507),COUNTIF(G258:G507,"&lt;"&amp;G508)/COUNT(G258:G507))))</f>
        <v/>
      </c>
      <c r="K508" s="11" t="inlineStr">
        <is>
          <t>中间分位</t>
        </is>
      </c>
      <c r="L508" s="11" t="n">
        <v>79</v>
      </c>
      <c r="M508" s="11" t="inlineStr">
        <is>
          <t>结构不明</t>
        </is>
      </c>
      <c r="N508" s="11" t="n">
        <v>1</v>
      </c>
      <c r="O508" s="11" t="n">
        <v>0</v>
      </c>
      <c r="P508" s="12" t="n">
        <v>-16</v>
      </c>
      <c r="Q508" s="11" t="inlineStr"/>
    </row>
    <row r="509">
      <c r="A509" s="6" t="inlineStr">
        <is>
          <t>2024-09-19</t>
        </is>
      </c>
      <c r="B509" s="6" t="inlineStr">
        <is>
          <t>MA2501</t>
        </is>
      </c>
      <c r="C509" s="6" t="inlineStr">
        <is>
          <t>2025-01</t>
        </is>
      </c>
      <c r="D509" s="7" t="n">
        <v>2401.67</v>
      </c>
      <c r="E509" s="7" t="n">
        <v>2412</v>
      </c>
      <c r="F509" s="7">
        <f>D509-E509</f>
        <v/>
      </c>
      <c r="G509" s="8">
        <f>IF(D509=0,"",(D509-E509)/D509)</f>
        <v/>
      </c>
      <c r="H509" s="9" t="n">
        <v>770223</v>
      </c>
      <c r="I509" s="10" t="n">
        <v>0.172</v>
      </c>
      <c r="J509" s="10">
        <f>IF(COUNT(G259:G508)&lt;20,"",IF(COUNTIF(G259:G508,"&lt;"&amp;G509)&gt;=COUNT(G259:G508),(COUNT(G259:G508)-0.5)/COUNT(G259:G508),IF(COUNTIF(G259:G508,G509)&gt;0,(COUNTIF(G259:G508,"&lt;"&amp;G509)+0.5*COUNTIF(G259:G508,G509))/COUNT(G259:G508),COUNTIF(G259:G508,"&lt;"&amp;G509)/COUNT(G259:G508))))</f>
        <v/>
      </c>
      <c r="K509" s="6" t="inlineStr">
        <is>
          <t>中间分位</t>
        </is>
      </c>
      <c r="L509" s="6" t="n">
        <v>78</v>
      </c>
      <c r="M509" s="6" t="inlineStr">
        <is>
          <t>Contango(远强)</t>
        </is>
      </c>
      <c r="N509" s="6" t="n">
        <v>1</v>
      </c>
      <c r="O509" s="6" t="n">
        <v>0</v>
      </c>
      <c r="P509" s="7" t="n">
        <v>-17</v>
      </c>
      <c r="Q509" s="6" t="inlineStr"/>
    </row>
    <row r="510">
      <c r="A510" s="11" t="inlineStr">
        <is>
          <t>2024-09-20</t>
        </is>
      </c>
      <c r="B510" s="11" t="inlineStr">
        <is>
          <t>MA2501</t>
        </is>
      </c>
      <c r="C510" s="11" t="inlineStr">
        <is>
          <t>2025-01</t>
        </is>
      </c>
      <c r="D510" s="12" t="n">
        <v>2440</v>
      </c>
      <c r="E510" s="12" t="n">
        <v>2382</v>
      </c>
      <c r="F510" s="12">
        <f>D510-E510</f>
        <v/>
      </c>
      <c r="G510" s="13">
        <f>IF(D510=0,"",(D510-E510)/D510)</f>
        <v/>
      </c>
      <c r="H510" s="14" t="n">
        <v>791242</v>
      </c>
      <c r="I510" s="15" t="n">
        <v>0.592</v>
      </c>
      <c r="J510" s="15">
        <f>IF(COUNT(G260:G509)&lt;20,"",IF(COUNTIF(G260:G509,"&lt;"&amp;G510)&gt;=COUNT(G260:G509),(COUNT(G260:G509)-0.5)/COUNT(G260:G509),IF(COUNTIF(G260:G509,G510)&gt;0,(COUNTIF(G260:G509,"&lt;"&amp;G510)+0.5*COUNTIF(G260:G509,G510))/COUNT(G260:G509),COUNTIF(G260:G509,"&lt;"&amp;G510)/COUNT(G260:G509))))</f>
        <v/>
      </c>
      <c r="K510" s="11" t="inlineStr">
        <is>
          <t>中间分位</t>
        </is>
      </c>
      <c r="L510" s="11" t="n">
        <v>77</v>
      </c>
      <c r="M510" s="11" t="inlineStr">
        <is>
          <t>Contango(远强)</t>
        </is>
      </c>
      <c r="N510" s="11" t="n">
        <v>1</v>
      </c>
      <c r="O510" s="11" t="n">
        <v>0</v>
      </c>
      <c r="P510" s="12" t="n">
        <v>-18</v>
      </c>
      <c r="Q510" s="11" t="inlineStr"/>
    </row>
    <row r="511">
      <c r="A511" s="6" t="inlineStr">
        <is>
          <t>2024-09-23</t>
        </is>
      </c>
      <c r="B511" s="6" t="inlineStr">
        <is>
          <t>MA2501</t>
        </is>
      </c>
      <c r="C511" s="6" t="inlineStr">
        <is>
          <t>2025-01</t>
        </is>
      </c>
      <c r="D511" s="7" t="n">
        <v>2410</v>
      </c>
      <c r="E511" s="7" t="n">
        <v>2339</v>
      </c>
      <c r="F511" s="7">
        <f>D511-E511</f>
        <v/>
      </c>
      <c r="G511" s="8">
        <f>IF(D511=0,"",(D511-E511)/D511)</f>
        <v/>
      </c>
      <c r="H511" s="9" t="n">
        <v>824551</v>
      </c>
      <c r="I511" s="10" t="n">
        <v>0.628</v>
      </c>
      <c r="J511" s="10">
        <f>IF(COUNT(G261:G510)&lt;20,"",IF(COUNTIF(G261:G510,"&lt;"&amp;G511)&gt;=COUNT(G261:G510),(COUNT(G261:G510)-0.5)/COUNT(G261:G510),IF(COUNTIF(G261:G510,G511)&gt;0,(COUNTIF(G261:G510,"&lt;"&amp;G511)+0.5*COUNTIF(G261:G510,G511))/COUNT(G261:G510),COUNTIF(G261:G510,"&lt;"&amp;G511)/COUNT(G261:G510))))</f>
        <v/>
      </c>
      <c r="K511" s="6" t="inlineStr">
        <is>
          <t>中间分位</t>
        </is>
      </c>
      <c r="L511" s="6" t="n">
        <v>76</v>
      </c>
      <c r="M511" s="6" t="inlineStr">
        <is>
          <t>Contango(远强)</t>
        </is>
      </c>
      <c r="N511" s="6" t="n">
        <v>1</v>
      </c>
      <c r="O511" s="6" t="n">
        <v>0</v>
      </c>
      <c r="P511" s="7" t="n">
        <v>-18</v>
      </c>
      <c r="Q511" s="6" t="inlineStr"/>
    </row>
    <row r="512">
      <c r="A512" s="11" t="inlineStr">
        <is>
          <t>2024-09-24</t>
        </is>
      </c>
      <c r="B512" s="11" t="inlineStr">
        <is>
          <t>MA2501</t>
        </is>
      </c>
      <c r="C512" s="11" t="inlineStr">
        <is>
          <t>2025-01</t>
        </is>
      </c>
      <c r="D512" s="12" t="n">
        <v>2380</v>
      </c>
      <c r="E512" s="12" t="n">
        <v>2396</v>
      </c>
      <c r="F512" s="12">
        <f>D512-E512</f>
        <v/>
      </c>
      <c r="G512" s="13">
        <f>IF(D512=0,"",(D512-E512)/D512)</f>
        <v/>
      </c>
      <c r="H512" s="14" t="n">
        <v>771601</v>
      </c>
      <c r="I512" s="15" t="n">
        <v>0.14</v>
      </c>
      <c r="J512" s="15">
        <f>IF(COUNT(G262:G511)&lt;20,"",IF(COUNTIF(G262:G511,"&lt;"&amp;G512)&gt;=COUNT(G262:G511),(COUNT(G262:G511)-0.5)/COUNT(G262:G511),IF(COUNTIF(G262:G511,G512)&gt;0,(COUNTIF(G262:G511,"&lt;"&amp;G512)+0.5*COUNTIF(G262:G511,G512))/COUNT(G262:G511),COUNTIF(G262:G511,"&lt;"&amp;G512)/COUNT(G262:G511))))</f>
        <v/>
      </c>
      <c r="K512" s="11" t="inlineStr">
        <is>
          <t>中间分位</t>
        </is>
      </c>
      <c r="L512" s="11" t="n">
        <v>75</v>
      </c>
      <c r="M512" s="11" t="inlineStr">
        <is>
          <t>结构不明</t>
        </is>
      </c>
      <c r="N512" s="11" t="n">
        <v>1</v>
      </c>
      <c r="O512" s="11" t="n">
        <v>0</v>
      </c>
      <c r="P512" s="12" t="n">
        <v>-2</v>
      </c>
      <c r="Q512" s="11" t="inlineStr"/>
    </row>
    <row r="513">
      <c r="A513" s="6" t="inlineStr">
        <is>
          <t>2024-09-25</t>
        </is>
      </c>
      <c r="B513" s="6" t="inlineStr">
        <is>
          <t>MA2501</t>
        </is>
      </c>
      <c r="C513" s="6" t="inlineStr">
        <is>
          <t>2025-01</t>
        </is>
      </c>
      <c r="D513" s="7" t="n">
        <v>2385.83</v>
      </c>
      <c r="E513" s="7" t="n">
        <v>2406</v>
      </c>
      <c r="F513" s="7">
        <f>D513-E513</f>
        <v/>
      </c>
      <c r="G513" s="8">
        <f>IF(D513=0,"",(D513-E513)/D513)</f>
        <v/>
      </c>
      <c r="H513" s="9" t="n">
        <v>729769</v>
      </c>
      <c r="I513" s="10" t="n">
        <v>0.12</v>
      </c>
      <c r="J513" s="10">
        <f>IF(COUNT(G263:G512)&lt;20,"",IF(COUNTIF(G263:G512,"&lt;"&amp;G513)&gt;=COUNT(G263:G512),(COUNT(G263:G512)-0.5)/COUNT(G263:G512),IF(COUNTIF(G263:G512,G513)&gt;0,(COUNTIF(G263:G512,"&lt;"&amp;G513)+0.5*COUNTIF(G263:G512,G513))/COUNT(G263:G512),COUNTIF(G263:G512,"&lt;"&amp;G513)/COUNT(G263:G512))))</f>
        <v/>
      </c>
      <c r="K513" s="6" t="inlineStr">
        <is>
          <t>中间分位</t>
        </is>
      </c>
      <c r="L513" s="6" t="n">
        <v>74</v>
      </c>
      <c r="M513" s="6" t="inlineStr">
        <is>
          <t>结构不明</t>
        </is>
      </c>
      <c r="N513" s="6" t="n">
        <v>1</v>
      </c>
      <c r="O513" s="6" t="n">
        <v>0</v>
      </c>
      <c r="P513" s="7" t="n">
        <v>-3</v>
      </c>
      <c r="Q513" s="6" t="inlineStr"/>
    </row>
    <row r="514">
      <c r="A514" s="11" t="inlineStr">
        <is>
          <t>2024-09-26</t>
        </is>
      </c>
      <c r="B514" s="11" t="inlineStr">
        <is>
          <t>MA2501</t>
        </is>
      </c>
      <c r="C514" s="11" t="inlineStr">
        <is>
          <t>2025-01</t>
        </is>
      </c>
      <c r="D514" s="12" t="n">
        <v>2449.17</v>
      </c>
      <c r="E514" s="12" t="n">
        <v>2414</v>
      </c>
      <c r="F514" s="12">
        <f>D514-E514</f>
        <v/>
      </c>
      <c r="G514" s="13">
        <f>IF(D514=0,"",(D514-E514)/D514)</f>
        <v/>
      </c>
      <c r="H514" s="14" t="n">
        <v>697947</v>
      </c>
      <c r="I514" s="15" t="n">
        <v>0.464</v>
      </c>
      <c r="J514" s="15">
        <f>IF(COUNT(G264:G513)&lt;20,"",IF(COUNTIF(G264:G513,"&lt;"&amp;G514)&gt;=COUNT(G264:G513),(COUNT(G264:G513)-0.5)/COUNT(G264:G513),IF(COUNTIF(G264:G513,G514)&gt;0,(COUNTIF(G264:G513,"&lt;"&amp;G514)+0.5*COUNTIF(G264:G513,G514))/COUNT(G264:G513),COUNTIF(G264:G513,"&lt;"&amp;G514)/COUNT(G264:G513))))</f>
        <v/>
      </c>
      <c r="K514" s="11" t="inlineStr">
        <is>
          <t>中间分位</t>
        </is>
      </c>
      <c r="L514" s="11" t="n">
        <v>73</v>
      </c>
      <c r="M514" s="11" t="inlineStr">
        <is>
          <t>结构不明</t>
        </is>
      </c>
      <c r="N514" s="11" t="n">
        <v>1</v>
      </c>
      <c r="O514" s="11" t="n">
        <v>0</v>
      </c>
      <c r="P514" s="12" t="n">
        <v>4</v>
      </c>
      <c r="Q514" s="11" t="inlineStr"/>
    </row>
    <row r="515">
      <c r="A515" s="6" t="inlineStr">
        <is>
          <t>2024-09-27</t>
        </is>
      </c>
      <c r="B515" s="6" t="inlineStr">
        <is>
          <t>MA2501</t>
        </is>
      </c>
      <c r="C515" s="6" t="inlineStr">
        <is>
          <t>2025-01</t>
        </is>
      </c>
      <c r="D515" s="7" t="n">
        <v>2440.83</v>
      </c>
      <c r="E515" s="7" t="n">
        <v>2448</v>
      </c>
      <c r="F515" s="7">
        <f>D515-E515</f>
        <v/>
      </c>
      <c r="G515" s="8">
        <f>IF(D515=0,"",(D515-E515)/D515)</f>
        <v/>
      </c>
      <c r="H515" s="9" t="n">
        <v>650407</v>
      </c>
      <c r="I515" s="10" t="n">
        <v>0.18</v>
      </c>
      <c r="J515" s="10">
        <f>IF(COUNT(G265:G514)&lt;20,"",IF(COUNTIF(G265:G514,"&lt;"&amp;G515)&gt;=COUNT(G265:G514),(COUNT(G265:G514)-0.5)/COUNT(G265:G514),IF(COUNTIF(G265:G514,G515)&gt;0,(COUNTIF(G265:G514,"&lt;"&amp;G515)+0.5*COUNTIF(G265:G514,G515))/COUNT(G265:G514),COUNTIF(G265:G514,"&lt;"&amp;G515)/COUNT(G265:G514))))</f>
        <v/>
      </c>
      <c r="K515" s="6" t="inlineStr">
        <is>
          <t>中间分位</t>
        </is>
      </c>
      <c r="L515" s="6" t="n">
        <v>72</v>
      </c>
      <c r="M515" s="6" t="inlineStr">
        <is>
          <t>结构不明</t>
        </is>
      </c>
      <c r="N515" s="6" t="n">
        <v>1</v>
      </c>
      <c r="O515" s="6" t="n">
        <v>0</v>
      </c>
      <c r="P515" s="7" t="n">
        <v>8</v>
      </c>
      <c r="Q515" s="6" t="inlineStr"/>
    </row>
    <row r="516">
      <c r="A516" s="11" t="inlineStr">
        <is>
          <t>2024-09-30</t>
        </is>
      </c>
      <c r="B516" s="11" t="inlineStr">
        <is>
          <t>MA2501</t>
        </is>
      </c>
      <c r="C516" s="11" t="inlineStr">
        <is>
          <t>2025-01</t>
        </is>
      </c>
      <c r="D516" s="12" t="n">
        <v>2518.33</v>
      </c>
      <c r="E516" s="12" t="n">
        <v>2525</v>
      </c>
      <c r="F516" s="12">
        <f>D516-E516</f>
        <v/>
      </c>
      <c r="G516" s="13">
        <f>IF(D516=0,"",(D516-E516)/D516)</f>
        <v/>
      </c>
      <c r="H516" s="14" t="n">
        <v>581373</v>
      </c>
      <c r="I516" s="15" t="n">
        <v>0.188</v>
      </c>
      <c r="J516" s="15">
        <f>IF(COUNT(G266:G515)&lt;20,"",IF(COUNTIF(G266:G515,"&lt;"&amp;G516)&gt;=COUNT(G266:G515),(COUNT(G266:G515)-0.5)/COUNT(G266:G515),IF(COUNTIF(G266:G515,G516)&gt;0,(COUNTIF(G266:G515,"&lt;"&amp;G516)+0.5*COUNTIF(G266:G515,G516))/COUNT(G266:G515),COUNTIF(G266:G515,"&lt;"&amp;G516)/COUNT(G266:G515))))</f>
        <v/>
      </c>
      <c r="K516" s="11" t="inlineStr">
        <is>
          <t>中间分位</t>
        </is>
      </c>
      <c r="L516" s="11" t="n">
        <v>71</v>
      </c>
      <c r="M516" s="11" t="inlineStr">
        <is>
          <t>Back(近强)</t>
        </is>
      </c>
      <c r="N516" s="11" t="n">
        <v>1</v>
      </c>
      <c r="O516" s="11" t="n">
        <v>0</v>
      </c>
      <c r="P516" s="12" t="n">
        <v>24</v>
      </c>
      <c r="Q516" s="11" t="inlineStr"/>
    </row>
    <row r="517">
      <c r="A517" s="6" t="inlineStr">
        <is>
          <t>2024-10-08</t>
        </is>
      </c>
      <c r="B517" s="6" t="inlineStr">
        <is>
          <t>MA2501</t>
        </is>
      </c>
      <c r="C517" s="6" t="inlineStr">
        <is>
          <t>2025-01</t>
        </is>
      </c>
      <c r="D517" s="7" t="n">
        <v>2577.5</v>
      </c>
      <c r="E517" s="7" t="n">
        <v>2567</v>
      </c>
      <c r="F517" s="7">
        <f>D517-E517</f>
        <v/>
      </c>
      <c r="G517" s="8">
        <f>IF(D517=0,"",(D517-E517)/D517)</f>
        <v/>
      </c>
      <c r="H517" s="9" t="n">
        <v>574872</v>
      </c>
      <c r="I517" s="10" t="n">
        <v>0.292</v>
      </c>
      <c r="J517" s="10">
        <f>IF(COUNT(G267:G516)&lt;20,"",IF(COUNTIF(G267:G516,"&lt;"&amp;G517)&gt;=COUNT(G267:G516),(COUNT(G267:G516)-0.5)/COUNT(G267:G516),IF(COUNTIF(G267:G516,G517)&gt;0,(COUNTIF(G267:G516,"&lt;"&amp;G517)+0.5*COUNTIF(G267:G516,G517))/COUNT(G267:G516),COUNTIF(G267:G516,"&lt;"&amp;G517)/COUNT(G267:G516))))</f>
        <v/>
      </c>
      <c r="K517" s="6" t="inlineStr">
        <is>
          <t>中间分位</t>
        </is>
      </c>
      <c r="L517" s="6" t="n">
        <v>70</v>
      </c>
      <c r="M517" s="6" t="inlineStr">
        <is>
          <t>结构不明</t>
        </is>
      </c>
      <c r="N517" s="6" t="n">
        <v>1</v>
      </c>
      <c r="O517" s="6" t="n">
        <v>0</v>
      </c>
      <c r="P517" s="7" t="n">
        <v>12</v>
      </c>
      <c r="Q517" s="6" t="inlineStr"/>
    </row>
    <row r="518">
      <c r="A518" s="11" t="inlineStr">
        <is>
          <t>2024-10-09</t>
        </is>
      </c>
      <c r="B518" s="11" t="inlineStr">
        <is>
          <t>MA2501</t>
        </is>
      </c>
      <c r="C518" s="11" t="inlineStr">
        <is>
          <t>2025-01</t>
        </is>
      </c>
      <c r="D518" s="12" t="n">
        <v>2620.83</v>
      </c>
      <c r="E518" s="12" t="n">
        <v>2517</v>
      </c>
      <c r="F518" s="12">
        <f>D518-E518</f>
        <v/>
      </c>
      <c r="G518" s="13">
        <f>IF(D518=0,"",(D518-E518)/D518)</f>
        <v/>
      </c>
      <c r="H518" s="14" t="n">
        <v>575341</v>
      </c>
      <c r="I518" s="15" t="n">
        <v>0.716</v>
      </c>
      <c r="J518" s="15">
        <f>IF(COUNT(G268:G517)&lt;20,"",IF(COUNTIF(G268:G517,"&lt;"&amp;G518)&gt;=COUNT(G268:G517),(COUNT(G268:G517)-0.5)/COUNT(G268:G517),IF(COUNTIF(G268:G517,G518)&gt;0,(COUNTIF(G268:G517,"&lt;"&amp;G518)+0.5*COUNTIF(G268:G517,G518))/COUNT(G268:G517),COUNTIF(G268:G517,"&lt;"&amp;G518)/COUNT(G268:G517))))</f>
        <v/>
      </c>
      <c r="K518" s="11" t="inlineStr">
        <is>
          <t>中间分位</t>
        </is>
      </c>
      <c r="L518" s="11" t="n">
        <v>69</v>
      </c>
      <c r="M518" s="11" t="inlineStr">
        <is>
          <t>Back(近强)</t>
        </is>
      </c>
      <c r="N518" s="11" t="n">
        <v>1</v>
      </c>
      <c r="O518" s="11" t="n">
        <v>0</v>
      </c>
      <c r="P518" s="12" t="n">
        <v>29</v>
      </c>
      <c r="Q518" s="11" t="inlineStr"/>
    </row>
    <row r="519">
      <c r="A519" s="6" t="inlineStr">
        <is>
          <t>2024-10-10</t>
        </is>
      </c>
      <c r="B519" s="6" t="inlineStr">
        <is>
          <t>MA2501</t>
        </is>
      </c>
      <c r="C519" s="6" t="inlineStr">
        <is>
          <t>2025-01</t>
        </is>
      </c>
      <c r="D519" s="7" t="n">
        <v>2580</v>
      </c>
      <c r="E519" s="7" t="n">
        <v>2487</v>
      </c>
      <c r="F519" s="7">
        <f>D519-E519</f>
        <v/>
      </c>
      <c r="G519" s="8">
        <f>IF(D519=0,"",(D519-E519)/D519)</f>
        <v/>
      </c>
      <c r="H519" s="9" t="n">
        <v>578029</v>
      </c>
      <c r="I519" s="10" t="n">
        <v>0.672</v>
      </c>
      <c r="J519" s="10">
        <f>IF(COUNT(G269:G518)&lt;20,"",IF(COUNTIF(G269:G518,"&lt;"&amp;G519)&gt;=COUNT(G269:G518),(COUNT(G269:G518)-0.5)/COUNT(G269:G518),IF(COUNTIF(G269:G518,G519)&gt;0,(COUNTIF(G269:G518,"&lt;"&amp;G519)+0.5*COUNTIF(G269:G518,G519))/COUNT(G269:G518),COUNTIF(G269:G518,"&lt;"&amp;G519)/COUNT(G269:G518))))</f>
        <v/>
      </c>
      <c r="K519" s="6" t="inlineStr">
        <is>
          <t>中间分位</t>
        </is>
      </c>
      <c r="L519" s="6" t="n">
        <v>68</v>
      </c>
      <c r="M519" s="6" t="inlineStr">
        <is>
          <t>结构不明</t>
        </is>
      </c>
      <c r="N519" s="6" t="n">
        <v>1</v>
      </c>
      <c r="O519" s="6" t="n">
        <v>0</v>
      </c>
      <c r="P519" s="7" t="n">
        <v>-1</v>
      </c>
      <c r="Q519" s="6" t="inlineStr"/>
    </row>
    <row r="520">
      <c r="A520" s="11" t="inlineStr">
        <is>
          <t>2024-10-11</t>
        </is>
      </c>
      <c r="B520" s="11" t="inlineStr">
        <is>
          <t>MA2501</t>
        </is>
      </c>
      <c r="C520" s="11" t="inlineStr">
        <is>
          <t>2025-01</t>
        </is>
      </c>
      <c r="D520" s="12" t="n">
        <v>2505.83</v>
      </c>
      <c r="E520" s="12" t="n">
        <v>2503</v>
      </c>
      <c r="F520" s="12">
        <f>D520-E520</f>
        <v/>
      </c>
      <c r="G520" s="13">
        <f>IF(D520=0,"",(D520-E520)/D520)</f>
        <v/>
      </c>
      <c r="H520" s="14" t="n">
        <v>599000</v>
      </c>
      <c r="I520" s="15" t="n">
        <v>0.236</v>
      </c>
      <c r="J520" s="15">
        <f>IF(COUNT(G270:G519)&lt;20,"",IF(COUNTIF(G270:G519,"&lt;"&amp;G520)&gt;=COUNT(G270:G519),(COUNT(G270:G519)-0.5)/COUNT(G270:G519),IF(COUNTIF(G270:G519,G520)&gt;0,(COUNTIF(G270:G519,"&lt;"&amp;G520)+0.5*COUNTIF(G270:G519,G520))/COUNT(G270:G519),COUNTIF(G270:G519,"&lt;"&amp;G520)/COUNT(G270:G519))))</f>
        <v/>
      </c>
      <c r="K520" s="11" t="inlineStr">
        <is>
          <t>中间分位</t>
        </is>
      </c>
      <c r="L520" s="11" t="n">
        <v>67</v>
      </c>
      <c r="M520" s="11" t="inlineStr">
        <is>
          <t>Back(近强)</t>
        </is>
      </c>
      <c r="N520" s="11" t="n">
        <v>1</v>
      </c>
      <c r="O520" s="11" t="n">
        <v>0</v>
      </c>
      <c r="P520" s="12" t="n">
        <v>13</v>
      </c>
      <c r="Q520" s="11" t="inlineStr"/>
    </row>
    <row r="521">
      <c r="A521" s="6" t="inlineStr">
        <is>
          <t>2024-10-14</t>
        </is>
      </c>
      <c r="B521" s="6" t="inlineStr">
        <is>
          <t>MA2501</t>
        </is>
      </c>
      <c r="C521" s="6" t="inlineStr">
        <is>
          <t>2025-01</t>
        </is>
      </c>
      <c r="D521" s="7" t="n">
        <v>2551.67</v>
      </c>
      <c r="E521" s="7" t="n">
        <v>2499</v>
      </c>
      <c r="F521" s="7">
        <f>D521-E521</f>
        <v/>
      </c>
      <c r="G521" s="8">
        <f>IF(D521=0,"",(D521-E521)/D521)</f>
        <v/>
      </c>
      <c r="H521" s="9" t="n">
        <v>617109</v>
      </c>
      <c r="I521" s="10" t="n">
        <v>0.544</v>
      </c>
      <c r="J521" s="10">
        <f>IF(COUNT(G271:G520)&lt;20,"",IF(COUNTIF(G271:G520,"&lt;"&amp;G521)&gt;=COUNT(G271:G520),(COUNT(G271:G520)-0.5)/COUNT(G271:G520),IF(COUNTIF(G271:G520,G521)&gt;0,(COUNTIF(G271:G520,"&lt;"&amp;G521)+0.5*COUNTIF(G271:G520,G521))/COUNT(G271:G520),COUNTIF(G271:G520,"&lt;"&amp;G521)/COUNT(G271:G520))))</f>
        <v/>
      </c>
      <c r="K521" s="6" t="inlineStr">
        <is>
          <t>中间分位</t>
        </is>
      </c>
      <c r="L521" s="6" t="n">
        <v>66</v>
      </c>
      <c r="M521" s="6" t="inlineStr">
        <is>
          <t>Back(近强)</t>
        </is>
      </c>
      <c r="N521" s="6" t="n">
        <v>1</v>
      </c>
      <c r="O521" s="6" t="n">
        <v>0</v>
      </c>
      <c r="P521" s="7" t="n">
        <v>23</v>
      </c>
      <c r="Q521" s="6" t="inlineStr"/>
    </row>
    <row r="522">
      <c r="A522" s="11" t="inlineStr">
        <is>
          <t>2024-10-15</t>
        </is>
      </c>
      <c r="B522" s="11" t="inlineStr">
        <is>
          <t>MA2501</t>
        </is>
      </c>
      <c r="C522" s="11" t="inlineStr">
        <is>
          <t>2025-01</t>
        </is>
      </c>
      <c r="D522" s="12" t="n">
        <v>2510</v>
      </c>
      <c r="E522" s="12" t="n">
        <v>2457</v>
      </c>
      <c r="F522" s="12">
        <f>D522-E522</f>
        <v/>
      </c>
      <c r="G522" s="13">
        <f>IF(D522=0,"",(D522-E522)/D522)</f>
        <v/>
      </c>
      <c r="H522" s="14" t="n">
        <v>626029</v>
      </c>
      <c r="I522" s="15" t="n">
        <v>0.552</v>
      </c>
      <c r="J522" s="15">
        <f>IF(COUNT(G272:G521)&lt;20,"",IF(COUNTIF(G272:G521,"&lt;"&amp;G522)&gt;=COUNT(G272:G521),(COUNT(G272:G521)-0.5)/COUNT(G272:G521),IF(COUNTIF(G272:G521,G522)&gt;0,(COUNTIF(G272:G521,"&lt;"&amp;G522)+0.5*COUNTIF(G272:G521,G522))/COUNT(G272:G521),COUNTIF(G272:G521,"&lt;"&amp;G522)/COUNT(G272:G521))))</f>
        <v/>
      </c>
      <c r="K522" s="11" t="inlineStr">
        <is>
          <t>中间分位</t>
        </is>
      </c>
      <c r="L522" s="11" t="n">
        <v>65</v>
      </c>
      <c r="M522" s="11" t="inlineStr">
        <is>
          <t>Contango(远强)</t>
        </is>
      </c>
      <c r="N522" s="11" t="n">
        <v>1</v>
      </c>
      <c r="O522" s="11" t="n">
        <v>0</v>
      </c>
      <c r="P522" s="12" t="n">
        <v>-22</v>
      </c>
      <c r="Q522" s="11" t="inlineStr"/>
    </row>
    <row r="523">
      <c r="A523" s="6" t="inlineStr">
        <is>
          <t>2024-10-16</t>
        </is>
      </c>
      <c r="B523" s="6" t="inlineStr">
        <is>
          <t>MA2501</t>
        </is>
      </c>
      <c r="C523" s="6" t="inlineStr">
        <is>
          <t>2025-01</t>
        </is>
      </c>
      <c r="D523" s="7" t="n">
        <v>2477.5</v>
      </c>
      <c r="E523" s="7" t="n">
        <v>2450</v>
      </c>
      <c r="F523" s="7">
        <f>D523-E523</f>
        <v/>
      </c>
      <c r="G523" s="8">
        <f>IF(D523=0,"",(D523-E523)/D523)</f>
        <v/>
      </c>
      <c r="H523" s="9" t="n">
        <v>631319</v>
      </c>
      <c r="I523" s="10" t="n">
        <v>0.392</v>
      </c>
      <c r="J523" s="10">
        <f>IF(COUNT(G273:G522)&lt;20,"",IF(COUNTIF(G273:G522,"&lt;"&amp;G523)&gt;=COUNT(G273:G522),(COUNT(G273:G522)-0.5)/COUNT(G273:G522),IF(COUNTIF(G273:G522,G523)&gt;0,(COUNTIF(G273:G522,"&lt;"&amp;G523)+0.5*COUNTIF(G273:G522,G523))/COUNT(G273:G522),COUNTIF(G273:G522,"&lt;"&amp;G523)/COUNT(G273:G522))))</f>
        <v/>
      </c>
      <c r="K523" s="6" t="inlineStr">
        <is>
          <t>中间分位</t>
        </is>
      </c>
      <c r="L523" s="6" t="n">
        <v>64</v>
      </c>
      <c r="M523" s="6" t="inlineStr">
        <is>
          <t>Contango(远强)</t>
        </is>
      </c>
      <c r="N523" s="6" t="n">
        <v>1</v>
      </c>
      <c r="O523" s="6" t="n">
        <v>0</v>
      </c>
      <c r="P523" s="7" t="n">
        <v>-42</v>
      </c>
      <c r="Q523" s="6" t="inlineStr"/>
    </row>
    <row r="524">
      <c r="A524" s="11" t="inlineStr">
        <is>
          <t>2024-10-17</t>
        </is>
      </c>
      <c r="B524" s="11" t="inlineStr">
        <is>
          <t>MA2501</t>
        </is>
      </c>
      <c r="C524" s="11" t="inlineStr">
        <is>
          <t>2025-01</t>
        </is>
      </c>
      <c r="D524" s="12" t="n">
        <v>2452.5</v>
      </c>
      <c r="E524" s="12" t="n">
        <v>2425</v>
      </c>
      <c r="F524" s="12">
        <f>D524-E524</f>
        <v/>
      </c>
      <c r="G524" s="13">
        <f>IF(D524=0,"",(D524-E524)/D524)</f>
        <v/>
      </c>
      <c r="H524" s="14" t="n">
        <v>636674</v>
      </c>
      <c r="I524" s="15" t="n">
        <v>0.392</v>
      </c>
      <c r="J524" s="15">
        <f>IF(COUNT(G274:G523)&lt;20,"",IF(COUNTIF(G274:G523,"&lt;"&amp;G524)&gt;=COUNT(G274:G523),(COUNT(G274:G523)-0.5)/COUNT(G274:G523),IF(COUNTIF(G274:G523,G524)&gt;0,(COUNTIF(G274:G523,"&lt;"&amp;G524)+0.5*COUNTIF(G274:G523,G524))/COUNT(G274:G523),COUNTIF(G274:G523,"&lt;"&amp;G524)/COUNT(G274:G523))))</f>
        <v/>
      </c>
      <c r="K524" s="11" t="inlineStr">
        <is>
          <t>中间分位</t>
        </is>
      </c>
      <c r="L524" s="11" t="n">
        <v>63</v>
      </c>
      <c r="M524" s="11" t="inlineStr">
        <is>
          <t>Contango(远强)</t>
        </is>
      </c>
      <c r="N524" s="11" t="n">
        <v>1</v>
      </c>
      <c r="O524" s="11" t="n">
        <v>0</v>
      </c>
      <c r="P524" s="12" t="n">
        <v>-15</v>
      </c>
      <c r="Q524" s="11" t="inlineStr"/>
    </row>
    <row r="525">
      <c r="A525" s="6" t="inlineStr">
        <is>
          <t>2024-10-18</t>
        </is>
      </c>
      <c r="B525" s="6" t="inlineStr">
        <is>
          <t>MA2501</t>
        </is>
      </c>
      <c r="C525" s="6" t="inlineStr">
        <is>
          <t>2025-01</t>
        </is>
      </c>
      <c r="D525" s="7" t="n">
        <v>2456.67</v>
      </c>
      <c r="E525" s="7" t="n">
        <v>2434</v>
      </c>
      <c r="F525" s="7">
        <f>D525-E525</f>
        <v/>
      </c>
      <c r="G525" s="8">
        <f>IF(D525=0,"",(D525-E525)/D525)</f>
        <v/>
      </c>
      <c r="H525" s="9" t="n">
        <v>636172</v>
      </c>
      <c r="I525" s="10" t="n">
        <v>0.36</v>
      </c>
      <c r="J525" s="10">
        <f>IF(COUNT(G275:G524)&lt;20,"",IF(COUNTIF(G275:G524,"&lt;"&amp;G525)&gt;=COUNT(G275:G524),(COUNT(G275:G524)-0.5)/COUNT(G275:G524),IF(COUNTIF(G275:G524,G525)&gt;0,(COUNTIF(G275:G524,"&lt;"&amp;G525)+0.5*COUNTIF(G275:G524,G525))/COUNT(G275:G524),COUNTIF(G275:G524,"&lt;"&amp;G525)/COUNT(G275:G524))))</f>
        <v/>
      </c>
      <c r="K525" s="6" t="inlineStr">
        <is>
          <t>中间分位</t>
        </is>
      </c>
      <c r="L525" s="6" t="n">
        <v>62</v>
      </c>
      <c r="M525" s="6" t="inlineStr">
        <is>
          <t>Contango(远强)</t>
        </is>
      </c>
      <c r="N525" s="6" t="n">
        <v>1</v>
      </c>
      <c r="O525" s="6" t="n">
        <v>0</v>
      </c>
      <c r="P525" s="7" t="n">
        <v>-11</v>
      </c>
      <c r="Q525" s="6" t="inlineStr"/>
    </row>
    <row r="526">
      <c r="A526" s="11" t="inlineStr">
        <is>
          <t>2024-10-21</t>
        </is>
      </c>
      <c r="B526" s="11" t="inlineStr">
        <is>
          <t>MA2501</t>
        </is>
      </c>
      <c r="C526" s="11" t="inlineStr">
        <is>
          <t>2025-01</t>
        </is>
      </c>
      <c r="D526" s="12" t="n">
        <v>2439.17</v>
      </c>
      <c r="E526" s="12" t="n">
        <v>2386</v>
      </c>
      <c r="F526" s="12">
        <f>D526-E526</f>
        <v/>
      </c>
      <c r="G526" s="13">
        <f>IF(D526=0,"",(D526-E526)/D526)</f>
        <v/>
      </c>
      <c r="H526" s="14" t="n">
        <v>725645</v>
      </c>
      <c r="I526" s="15" t="n">
        <v>0.5600000000000001</v>
      </c>
      <c r="J526" s="15">
        <f>IF(COUNT(G276:G525)&lt;20,"",IF(COUNTIF(G276:G525,"&lt;"&amp;G526)&gt;=COUNT(G276:G525),(COUNT(G276:G525)-0.5)/COUNT(G276:G525),IF(COUNTIF(G276:G525,G526)&gt;0,(COUNTIF(G276:G525,"&lt;"&amp;G526)+0.5*COUNTIF(G276:G525,G526))/COUNT(G276:G525),COUNTIF(G276:G525,"&lt;"&amp;G526)/COUNT(G276:G525))))</f>
        <v/>
      </c>
      <c r="K526" s="11" t="inlineStr">
        <is>
          <t>中间分位</t>
        </is>
      </c>
      <c r="L526" s="11" t="n">
        <v>61</v>
      </c>
      <c r="M526" s="11" t="inlineStr">
        <is>
          <t>结构不明</t>
        </is>
      </c>
      <c r="N526" s="11" t="n">
        <v>1</v>
      </c>
      <c r="O526" s="11" t="n">
        <v>0</v>
      </c>
      <c r="P526" s="12" t="n">
        <v>11</v>
      </c>
      <c r="Q526" s="11" t="inlineStr"/>
    </row>
    <row r="527">
      <c r="A527" s="6" t="inlineStr">
        <is>
          <t>2024-10-22</t>
        </is>
      </c>
      <c r="B527" s="6" t="inlineStr">
        <is>
          <t>MA2501</t>
        </is>
      </c>
      <c r="C527" s="6" t="inlineStr">
        <is>
          <t>2025-01</t>
        </is>
      </c>
      <c r="D527" s="7" t="n">
        <v>2400</v>
      </c>
      <c r="E527" s="7" t="n">
        <v>2425</v>
      </c>
      <c r="F527" s="7">
        <f>D527-E527</f>
        <v/>
      </c>
      <c r="G527" s="8">
        <f>IF(D527=0,"",(D527-E527)/D527)</f>
        <v/>
      </c>
      <c r="H527" s="9" t="n">
        <v>667999</v>
      </c>
      <c r="I527" s="10" t="n">
        <v>0.076</v>
      </c>
      <c r="J527" s="10">
        <f>IF(COUNT(G277:G526)&lt;20,"",IF(COUNTIF(G277:G526,"&lt;"&amp;G527)&gt;=COUNT(G277:G526),(COUNT(G277:G526)-0.5)/COUNT(G277:G526),IF(COUNTIF(G277:G526,G527)&gt;0,(COUNTIF(G277:G526,"&lt;"&amp;G527)+0.5*COUNTIF(G277:G526,G527))/COUNT(G277:G526),COUNTIF(G277:G526,"&lt;"&amp;G527)/COUNT(G277:G526))))</f>
        <v/>
      </c>
      <c r="K527" s="6" t="inlineStr">
        <is>
          <t>低分位</t>
        </is>
      </c>
      <c r="L527" s="6" t="n">
        <v>60</v>
      </c>
      <c r="M527" s="6" t="inlineStr">
        <is>
          <t>Back(近强)</t>
        </is>
      </c>
      <c r="N527" s="6" t="n">
        <v>1</v>
      </c>
      <c r="O527" s="6" t="n">
        <v>0</v>
      </c>
      <c r="P527" s="7" t="n">
        <v>17</v>
      </c>
      <c r="Q527" s="6" t="inlineStr"/>
    </row>
    <row r="528">
      <c r="A528" s="11" t="inlineStr">
        <is>
          <t>2024-10-23</t>
        </is>
      </c>
      <c r="B528" s="11" t="inlineStr">
        <is>
          <t>MA2501</t>
        </is>
      </c>
      <c r="C528" s="11" t="inlineStr">
        <is>
          <t>2025-01</t>
        </is>
      </c>
      <c r="D528" s="12" t="n">
        <v>2416.67</v>
      </c>
      <c r="E528" s="12" t="n">
        <v>2424</v>
      </c>
      <c r="F528" s="12">
        <f>D528-E528</f>
        <v/>
      </c>
      <c r="G528" s="13">
        <f>IF(D528=0,"",(D528-E528)/D528)</f>
        <v/>
      </c>
      <c r="H528" s="14" t="n">
        <v>659332</v>
      </c>
      <c r="I528" s="15" t="n">
        <v>0.16</v>
      </c>
      <c r="J528" s="15">
        <f>IF(COUNT(G278:G527)&lt;20,"",IF(COUNTIF(G278:G527,"&lt;"&amp;G528)&gt;=COUNT(G278:G527),(COUNT(G278:G527)-0.5)/COUNT(G278:G527),IF(COUNTIF(G278:G527,G528)&gt;0,(COUNTIF(G278:G527,"&lt;"&amp;G528)+0.5*COUNTIF(G278:G527,G528))/COUNT(G278:G527),COUNTIF(G278:G527,"&lt;"&amp;G528)/COUNT(G278:G527))))</f>
        <v/>
      </c>
      <c r="K528" s="11" t="inlineStr">
        <is>
          <t>中间分位</t>
        </is>
      </c>
      <c r="L528" s="11" t="n">
        <v>59</v>
      </c>
      <c r="M528" s="11" t="inlineStr">
        <is>
          <t>Back(近强)</t>
        </is>
      </c>
      <c r="N528" s="11" t="n">
        <v>1</v>
      </c>
      <c r="O528" s="11" t="n">
        <v>0</v>
      </c>
      <c r="P528" s="12" t="n">
        <v>19</v>
      </c>
      <c r="Q528" s="11" t="inlineStr"/>
    </row>
    <row r="529">
      <c r="A529" s="6" t="inlineStr">
        <is>
          <t>2024-10-24</t>
        </is>
      </c>
      <c r="B529" s="6" t="inlineStr">
        <is>
          <t>MA2501</t>
        </is>
      </c>
      <c r="C529" s="6" t="inlineStr">
        <is>
          <t>2025-01</t>
        </is>
      </c>
      <c r="D529" s="7" t="n">
        <v>2418.33</v>
      </c>
      <c r="E529" s="7" t="n">
        <v>2446</v>
      </c>
      <c r="F529" s="7">
        <f>D529-E529</f>
        <v/>
      </c>
      <c r="G529" s="8">
        <f>IF(D529=0,"",(D529-E529)/D529)</f>
        <v/>
      </c>
      <c r="H529" s="9" t="n">
        <v>652787</v>
      </c>
      <c r="I529" s="10" t="n">
        <v>0.064</v>
      </c>
      <c r="J529" s="10">
        <f>IF(COUNT(G279:G528)&lt;20,"",IF(COUNTIF(G279:G528,"&lt;"&amp;G529)&gt;=COUNT(G279:G528),(COUNT(G279:G528)-0.5)/COUNT(G279:G528),IF(COUNTIF(G279:G528,G529)&gt;0,(COUNTIF(G279:G528,"&lt;"&amp;G529)+0.5*COUNTIF(G279:G528,G529))/COUNT(G279:G528),COUNTIF(G279:G528,"&lt;"&amp;G529)/COUNT(G279:G528))))</f>
        <v/>
      </c>
      <c r="K529" s="6" t="inlineStr">
        <is>
          <t>低分位</t>
        </is>
      </c>
      <c r="L529" s="6" t="n">
        <v>58</v>
      </c>
      <c r="M529" s="6" t="inlineStr">
        <is>
          <t>结构不明</t>
        </is>
      </c>
      <c r="N529" s="6" t="n">
        <v>1</v>
      </c>
      <c r="O529" s="6" t="n">
        <v>0</v>
      </c>
      <c r="P529" s="7" t="n">
        <v>15</v>
      </c>
      <c r="Q529" s="6" t="inlineStr"/>
    </row>
    <row r="530">
      <c r="A530" s="11" t="inlineStr">
        <is>
          <t>2024-10-25</t>
        </is>
      </c>
      <c r="B530" s="11" t="inlineStr">
        <is>
          <t>MA2501</t>
        </is>
      </c>
      <c r="C530" s="11" t="inlineStr">
        <is>
          <t>2025-01</t>
        </is>
      </c>
      <c r="D530" s="12" t="n">
        <v>2440</v>
      </c>
      <c r="E530" s="12" t="n">
        <v>2453</v>
      </c>
      <c r="F530" s="12">
        <f>D530-E530</f>
        <v/>
      </c>
      <c r="G530" s="13">
        <f>IF(D530=0,"",(D530-E530)/D530)</f>
        <v/>
      </c>
      <c r="H530" s="14" t="n">
        <v>644133</v>
      </c>
      <c r="I530" s="15" t="n">
        <v>0.14</v>
      </c>
      <c r="J530" s="15">
        <f>IF(COUNT(G280:G529)&lt;20,"",IF(COUNTIF(G280:G529,"&lt;"&amp;G530)&gt;=COUNT(G280:G529),(COUNT(G280:G529)-0.5)/COUNT(G280:G529),IF(COUNTIF(G280:G529,G530)&gt;0,(COUNTIF(G280:G529,"&lt;"&amp;G530)+0.5*COUNTIF(G280:G529,G530))/COUNT(G280:G529),COUNTIF(G280:G529,"&lt;"&amp;G530)/COUNT(G280:G529))))</f>
        <v/>
      </c>
      <c r="K530" s="11" t="inlineStr">
        <is>
          <t>中间分位</t>
        </is>
      </c>
      <c r="L530" s="11" t="n">
        <v>57</v>
      </c>
      <c r="M530" s="11" t="inlineStr">
        <is>
          <t>Back(近强)</t>
        </is>
      </c>
      <c r="N530" s="11" t="n">
        <v>1</v>
      </c>
      <c r="O530" s="11" t="n">
        <v>0</v>
      </c>
      <c r="P530" s="12" t="n">
        <v>21</v>
      </c>
      <c r="Q530" s="11" t="inlineStr"/>
    </row>
    <row r="531">
      <c r="A531" s="6" t="inlineStr">
        <is>
          <t>2024-10-28</t>
        </is>
      </c>
      <c r="B531" s="6" t="inlineStr">
        <is>
          <t>MA2501</t>
        </is>
      </c>
      <c r="C531" s="6" t="inlineStr">
        <is>
          <t>2025-01</t>
        </is>
      </c>
      <c r="D531" s="7" t="n">
        <v>2445.83</v>
      </c>
      <c r="E531" s="7" t="n">
        <v>2490</v>
      </c>
      <c r="F531" s="7">
        <f>D531-E531</f>
        <v/>
      </c>
      <c r="G531" s="8">
        <f>IF(D531=0,"",(D531-E531)/D531)</f>
        <v/>
      </c>
      <c r="H531" s="9" t="n">
        <v>664341</v>
      </c>
      <c r="I531" s="10" t="n">
        <v>0.024</v>
      </c>
      <c r="J531" s="10">
        <f>IF(COUNT(G281:G530)&lt;20,"",IF(COUNTIF(G281:G530,"&lt;"&amp;G531)&gt;=COUNT(G281:G530),(COUNT(G281:G530)-0.5)/COUNT(G281:G530),IF(COUNTIF(G281:G530,G531)&gt;0,(COUNTIF(G281:G530,"&lt;"&amp;G531)+0.5*COUNTIF(G281:G530,G531))/COUNT(G281:G530),COUNTIF(G281:G530,"&lt;"&amp;G531)/COUNT(G281:G530))))</f>
        <v/>
      </c>
      <c r="K531" s="6" t="inlineStr">
        <is>
          <t>低分位</t>
        </is>
      </c>
      <c r="L531" s="6" t="n">
        <v>56</v>
      </c>
      <c r="M531" s="6" t="inlineStr">
        <is>
          <t>Back(近强)</t>
        </is>
      </c>
      <c r="N531" s="6" t="n">
        <v>1</v>
      </c>
      <c r="O531" s="6" t="n">
        <v>0</v>
      </c>
      <c r="P531" s="7" t="n">
        <v>19</v>
      </c>
      <c r="Q531" s="6" t="inlineStr"/>
    </row>
    <row r="532">
      <c r="A532" s="11" t="inlineStr">
        <is>
          <t>2024-10-29</t>
        </is>
      </c>
      <c r="B532" s="11" t="inlineStr">
        <is>
          <t>MA2501</t>
        </is>
      </c>
      <c r="C532" s="11" t="inlineStr">
        <is>
          <t>2025-01</t>
        </is>
      </c>
      <c r="D532" s="12" t="n">
        <v>2490</v>
      </c>
      <c r="E532" s="12" t="n">
        <v>2448</v>
      </c>
      <c r="F532" s="12">
        <f>D532-E532</f>
        <v/>
      </c>
      <c r="G532" s="13">
        <f>IF(D532=0,"",(D532-E532)/D532)</f>
        <v/>
      </c>
      <c r="H532" s="14" t="n">
        <v>643457</v>
      </c>
      <c r="I532" s="15" t="n">
        <v>0.488</v>
      </c>
      <c r="J532" s="15">
        <f>IF(COUNT(G282:G531)&lt;20,"",IF(COUNTIF(G282:G531,"&lt;"&amp;G532)&gt;=COUNT(G282:G531),(COUNT(G282:G531)-0.5)/COUNT(G282:G531),IF(COUNTIF(G282:G531,G532)&gt;0,(COUNTIF(G282:G531,"&lt;"&amp;G532)+0.5*COUNTIF(G282:G531,G532))/COUNT(G282:G531),COUNTIF(G282:G531,"&lt;"&amp;G532)/COUNT(G282:G531))))</f>
        <v/>
      </c>
      <c r="K532" s="11" t="inlineStr">
        <is>
          <t>中间分位</t>
        </is>
      </c>
      <c r="L532" s="11" t="n">
        <v>55</v>
      </c>
      <c r="M532" s="11" t="inlineStr">
        <is>
          <t>Back(近强)</t>
        </is>
      </c>
      <c r="N532" s="11" t="n">
        <v>1</v>
      </c>
      <c r="O532" s="11" t="n">
        <v>0</v>
      </c>
      <c r="P532" s="12" t="n">
        <v>17</v>
      </c>
      <c r="Q532" s="11" t="inlineStr"/>
    </row>
    <row r="533">
      <c r="A533" s="6" t="inlineStr">
        <is>
          <t>2024-10-30</t>
        </is>
      </c>
      <c r="B533" s="6" t="inlineStr">
        <is>
          <t>MA2501</t>
        </is>
      </c>
      <c r="C533" s="6" t="inlineStr">
        <is>
          <t>2025-01</t>
        </is>
      </c>
      <c r="D533" s="7" t="n">
        <v>2470.83</v>
      </c>
      <c r="E533" s="7" t="n">
        <v>2437</v>
      </c>
      <c r="F533" s="7">
        <f>D533-E533</f>
        <v/>
      </c>
      <c r="G533" s="8">
        <f>IF(D533=0,"",(D533-E533)/D533)</f>
        <v/>
      </c>
      <c r="H533" s="9" t="n">
        <v>646315</v>
      </c>
      <c r="I533" s="10" t="n">
        <v>0.448</v>
      </c>
      <c r="J533" s="10">
        <f>IF(COUNT(G283:G532)&lt;20,"",IF(COUNTIF(G283:G532,"&lt;"&amp;G533)&gt;=COUNT(G283:G532),(COUNT(G283:G532)-0.5)/COUNT(G283:G532),IF(COUNTIF(G283:G532,G533)&gt;0,(COUNTIF(G283:G532,"&lt;"&amp;G533)+0.5*COUNTIF(G283:G532,G533))/COUNT(G283:G532),COUNTIF(G283:G532,"&lt;"&amp;G533)/COUNT(G283:G532))))</f>
        <v/>
      </c>
      <c r="K533" s="6" t="inlineStr">
        <is>
          <t>中间分位</t>
        </is>
      </c>
      <c r="L533" s="6" t="n">
        <v>54</v>
      </c>
      <c r="M533" s="6" t="inlineStr">
        <is>
          <t>结构不明</t>
        </is>
      </c>
      <c r="N533" s="6" t="n">
        <v>1</v>
      </c>
      <c r="O533" s="6" t="n">
        <v>0</v>
      </c>
      <c r="P533" s="7" t="n">
        <v>11</v>
      </c>
      <c r="Q533" s="6" t="inlineStr"/>
    </row>
    <row r="534">
      <c r="A534" s="11" t="inlineStr">
        <is>
          <t>2024-10-31</t>
        </is>
      </c>
      <c r="B534" s="11" t="inlineStr">
        <is>
          <t>MA2501</t>
        </is>
      </c>
      <c r="C534" s="11" t="inlineStr">
        <is>
          <t>2025-01</t>
        </is>
      </c>
      <c r="D534" s="12" t="n">
        <v>2440</v>
      </c>
      <c r="E534" s="12" t="n">
        <v>2493</v>
      </c>
      <c r="F534" s="12">
        <f>D534-E534</f>
        <v/>
      </c>
      <c r="G534" s="13">
        <f>IF(D534=0,"",(D534-E534)/D534)</f>
        <v/>
      </c>
      <c r="H534" s="14" t="n">
        <v>630845</v>
      </c>
      <c r="I534" s="15" t="n">
        <v>0.024</v>
      </c>
      <c r="J534" s="15">
        <f>IF(COUNT(G284:G533)&lt;20,"",IF(COUNTIF(G284:G533,"&lt;"&amp;G534)&gt;=COUNT(G284:G533),(COUNT(G284:G533)-0.5)/COUNT(G284:G533),IF(COUNTIF(G284:G533,G534)&gt;0,(COUNTIF(G284:G533,"&lt;"&amp;G534)+0.5*COUNTIF(G284:G533,G534))/COUNT(G284:G533),COUNTIF(G284:G533,"&lt;"&amp;G534)/COUNT(G284:G533))))</f>
        <v/>
      </c>
      <c r="K534" s="11" t="inlineStr">
        <is>
          <t>低分位</t>
        </is>
      </c>
      <c r="L534" s="11" t="n">
        <v>53</v>
      </c>
      <c r="M534" s="11" t="inlineStr">
        <is>
          <t>结构不明</t>
        </is>
      </c>
      <c r="N534" s="11" t="n">
        <v>1</v>
      </c>
      <c r="O534" s="11" t="n">
        <v>0</v>
      </c>
      <c r="P534" s="12" t="n">
        <v>9</v>
      </c>
      <c r="Q534" s="11" t="inlineStr"/>
    </row>
    <row r="535">
      <c r="A535" s="6" t="inlineStr">
        <is>
          <t>2024-11-01</t>
        </is>
      </c>
      <c r="B535" s="6" t="inlineStr">
        <is>
          <t>MA2501</t>
        </is>
      </c>
      <c r="C535" s="6" t="inlineStr">
        <is>
          <t>2025-01</t>
        </is>
      </c>
      <c r="D535" s="7" t="n">
        <v>2485</v>
      </c>
      <c r="E535" s="7" t="n">
        <v>2479</v>
      </c>
      <c r="F535" s="7">
        <f>D535-E535</f>
        <v/>
      </c>
      <c r="G535" s="8">
        <f>IF(D535=0,"",(D535-E535)/D535)</f>
        <v/>
      </c>
      <c r="H535" s="9" t="n">
        <v>615698</v>
      </c>
      <c r="I535" s="10" t="n">
        <v>0.26</v>
      </c>
      <c r="J535" s="10">
        <f>IF(COUNT(G285:G534)&lt;20,"",IF(COUNTIF(G285:G534,"&lt;"&amp;G535)&gt;=COUNT(G285:G534),(COUNT(G285:G534)-0.5)/COUNT(G285:G534),IF(COUNTIF(G285:G534,G535)&gt;0,(COUNTIF(G285:G534,"&lt;"&amp;G535)+0.5*COUNTIF(G285:G534,G535))/COUNT(G285:G534),COUNTIF(G285:G534,"&lt;"&amp;G535)/COUNT(G285:G534))))</f>
        <v/>
      </c>
      <c r="K535" s="6" t="inlineStr">
        <is>
          <t>中间分位</t>
        </is>
      </c>
      <c r="L535" s="6" t="n">
        <v>52</v>
      </c>
      <c r="M535" s="6" t="inlineStr">
        <is>
          <t>Back(近强)</t>
        </is>
      </c>
      <c r="N535" s="6" t="n">
        <v>1</v>
      </c>
      <c r="O535" s="6" t="n">
        <v>0</v>
      </c>
      <c r="P535" s="7" t="n">
        <v>19</v>
      </c>
      <c r="Q535" s="6" t="inlineStr"/>
    </row>
    <row r="536">
      <c r="A536" s="11" t="inlineStr">
        <is>
          <t>2024-11-04</t>
        </is>
      </c>
      <c r="B536" s="11" t="inlineStr">
        <is>
          <t>MA2501</t>
        </is>
      </c>
      <c r="C536" s="11" t="inlineStr">
        <is>
          <t>2025-01</t>
        </is>
      </c>
      <c r="D536" s="12" t="n">
        <v>2475</v>
      </c>
      <c r="E536" s="12" t="n">
        <v>2476</v>
      </c>
      <c r="F536" s="12">
        <f>D536-E536</f>
        <v/>
      </c>
      <c r="G536" s="13">
        <f>IF(D536=0,"",(D536-E536)/D536)</f>
        <v/>
      </c>
      <c r="H536" s="14" t="n">
        <v>608644</v>
      </c>
      <c r="I536" s="15" t="n">
        <v>0.224</v>
      </c>
      <c r="J536" s="15">
        <f>IF(COUNT(G286:G535)&lt;20,"",IF(COUNTIF(G286:G535,"&lt;"&amp;G536)&gt;=COUNT(G286:G535),(COUNT(G286:G535)-0.5)/COUNT(G286:G535),IF(COUNTIF(G286:G535,G536)&gt;0,(COUNTIF(G286:G535,"&lt;"&amp;G536)+0.5*COUNTIF(G286:G535,G536))/COUNT(G286:G535),COUNTIF(G286:G535,"&lt;"&amp;G536)/COUNT(G286:G535))))</f>
        <v/>
      </c>
      <c r="K536" s="11" t="inlineStr">
        <is>
          <t>中间分位</t>
        </is>
      </c>
      <c r="L536" s="11" t="n">
        <v>51</v>
      </c>
      <c r="M536" s="11" t="inlineStr">
        <is>
          <t>结构不明</t>
        </is>
      </c>
      <c r="N536" s="11" t="n">
        <v>1</v>
      </c>
      <c r="O536" s="11" t="n">
        <v>0</v>
      </c>
      <c r="P536" s="12" t="n">
        <v>4</v>
      </c>
      <c r="Q536" s="11" t="inlineStr"/>
    </row>
    <row r="537">
      <c r="A537" s="6" t="inlineStr">
        <is>
          <t>2024-11-05</t>
        </is>
      </c>
      <c r="B537" s="6" t="inlineStr">
        <is>
          <t>MA2501</t>
        </is>
      </c>
      <c r="C537" s="6" t="inlineStr">
        <is>
          <t>2025-01</t>
        </is>
      </c>
      <c r="D537" s="7" t="n">
        <v>2470</v>
      </c>
      <c r="E537" s="7" t="n">
        <v>2501</v>
      </c>
      <c r="F537" s="7">
        <f>D537-E537</f>
        <v/>
      </c>
      <c r="G537" s="8">
        <f>IF(D537=0,"",(D537-E537)/D537)</f>
        <v/>
      </c>
      <c r="H537" s="9" t="n">
        <v>609596</v>
      </c>
      <c r="I537" s="10" t="n">
        <v>0.068</v>
      </c>
      <c r="J537" s="10">
        <f>IF(COUNT(G287:G536)&lt;20,"",IF(COUNTIF(G287:G536,"&lt;"&amp;G537)&gt;=COUNT(G287:G536),(COUNT(G287:G536)-0.5)/COUNT(G287:G536),IF(COUNTIF(G287:G536,G537)&gt;0,(COUNTIF(G287:G536,"&lt;"&amp;G537)+0.5*COUNTIF(G287:G536,G537))/COUNT(G287:G536),COUNTIF(G287:G536,"&lt;"&amp;G537)/COUNT(G287:G536))))</f>
        <v/>
      </c>
      <c r="K537" s="6" t="inlineStr">
        <is>
          <t>低分位</t>
        </is>
      </c>
      <c r="L537" s="6" t="n">
        <v>50</v>
      </c>
      <c r="M537" s="6" t="inlineStr">
        <is>
          <t>Back(近强)</t>
        </is>
      </c>
      <c r="N537" s="6" t="n">
        <v>1</v>
      </c>
      <c r="O537" s="6" t="n">
        <v>0</v>
      </c>
      <c r="P537" s="7" t="n">
        <v>19</v>
      </c>
      <c r="Q537" s="6" t="inlineStr"/>
    </row>
    <row r="538">
      <c r="A538" s="11" t="inlineStr">
        <is>
          <t>2024-11-06</t>
        </is>
      </c>
      <c r="B538" s="11" t="inlineStr">
        <is>
          <t>MA2501</t>
        </is>
      </c>
      <c r="C538" s="11" t="inlineStr">
        <is>
          <t>2025-01</t>
        </is>
      </c>
      <c r="D538" s="12" t="n">
        <v>2470</v>
      </c>
      <c r="E538" s="12" t="n">
        <v>2479</v>
      </c>
      <c r="F538" s="12">
        <f>D538-E538</f>
        <v/>
      </c>
      <c r="G538" s="13">
        <f>IF(D538=0,"",(D538-E538)/D538)</f>
        <v/>
      </c>
      <c r="H538" s="14" t="n">
        <v>598746</v>
      </c>
      <c r="I538" s="15" t="n">
        <v>0.176</v>
      </c>
      <c r="J538" s="15">
        <f>IF(COUNT(G288:G537)&lt;20,"",IF(COUNTIF(G288:G537,"&lt;"&amp;G538)&gt;=COUNT(G288:G537),(COUNT(G288:G537)-0.5)/COUNT(G288:G537),IF(COUNTIF(G288:G537,G538)&gt;0,(COUNTIF(G288:G537,"&lt;"&amp;G538)+0.5*COUNTIF(G288:G537,G538))/COUNT(G288:G537),COUNTIF(G288:G537,"&lt;"&amp;G538)/COUNT(G288:G537))))</f>
        <v/>
      </c>
      <c r="K538" s="11" t="inlineStr">
        <is>
          <t>中间分位</t>
        </is>
      </c>
      <c r="L538" s="11" t="n">
        <v>49</v>
      </c>
      <c r="M538" s="11" t="inlineStr">
        <is>
          <t>结构不明</t>
        </is>
      </c>
      <c r="N538" s="11" t="n">
        <v>1</v>
      </c>
      <c r="O538" s="11" t="n">
        <v>0</v>
      </c>
      <c r="P538" s="12" t="n">
        <v>2</v>
      </c>
      <c r="Q538" s="11" t="inlineStr"/>
    </row>
    <row r="539">
      <c r="A539" s="6" t="inlineStr">
        <is>
          <t>2024-11-07</t>
        </is>
      </c>
      <c r="B539" s="6" t="inlineStr">
        <is>
          <t>MA2501</t>
        </is>
      </c>
      <c r="C539" s="6" t="inlineStr">
        <is>
          <t>2025-01</t>
        </is>
      </c>
      <c r="D539" s="7" t="n">
        <v>2470</v>
      </c>
      <c r="E539" s="7" t="n">
        <v>2510</v>
      </c>
      <c r="F539" s="7">
        <f>D539-E539</f>
        <v/>
      </c>
      <c r="G539" s="8">
        <f>IF(D539=0,"",(D539-E539)/D539)</f>
        <v/>
      </c>
      <c r="H539" s="9" t="n">
        <v>601252</v>
      </c>
      <c r="I539" s="10" t="n">
        <v>0.036</v>
      </c>
      <c r="J539" s="10">
        <f>IF(COUNT(G289:G538)&lt;20,"",IF(COUNTIF(G289:G538,"&lt;"&amp;G539)&gt;=COUNT(G289:G538),(COUNT(G289:G538)-0.5)/COUNT(G289:G538),IF(COUNTIF(G289:G538,G539)&gt;0,(COUNTIF(G289:G538,"&lt;"&amp;G539)+0.5*COUNTIF(G289:G538,G539))/COUNT(G289:G538),COUNTIF(G289:G538,"&lt;"&amp;G539)/COUNT(G289:G538))))</f>
        <v/>
      </c>
      <c r="K539" s="6" t="inlineStr">
        <is>
          <t>低分位</t>
        </is>
      </c>
      <c r="L539" s="6" t="n">
        <v>48</v>
      </c>
      <c r="M539" s="6" t="inlineStr">
        <is>
          <t>Back(近强)</t>
        </is>
      </c>
      <c r="N539" s="6" t="n">
        <v>1</v>
      </c>
      <c r="O539" s="6" t="n">
        <v>0</v>
      </c>
      <c r="P539" s="7" t="n">
        <v>20</v>
      </c>
      <c r="Q539" s="6" t="inlineStr"/>
    </row>
    <row r="540">
      <c r="A540" s="11" t="inlineStr">
        <is>
          <t>2024-11-08</t>
        </is>
      </c>
      <c r="B540" s="11" t="inlineStr">
        <is>
          <t>MA2501</t>
        </is>
      </c>
      <c r="C540" s="11" t="inlineStr">
        <is>
          <t>2025-01</t>
        </is>
      </c>
      <c r="D540" s="12" t="n">
        <v>2499.17</v>
      </c>
      <c r="E540" s="12" t="n">
        <v>2501</v>
      </c>
      <c r="F540" s="12">
        <f>D540-E540</f>
        <v/>
      </c>
      <c r="G540" s="13">
        <f>IF(D540=0,"",(D540-E540)/D540)</f>
        <v/>
      </c>
      <c r="H540" s="14" t="n">
        <v>590520</v>
      </c>
      <c r="I540" s="15" t="n">
        <v>0.232</v>
      </c>
      <c r="J540" s="15">
        <f>IF(COUNT(G290:G539)&lt;20,"",IF(COUNTIF(G290:G539,"&lt;"&amp;G540)&gt;=COUNT(G290:G539),(COUNT(G290:G539)-0.5)/COUNT(G290:G539),IF(COUNTIF(G290:G539,G540)&gt;0,(COUNTIF(G290:G539,"&lt;"&amp;G540)+0.5*COUNTIF(G290:G539,G540))/COUNT(G290:G539),COUNTIF(G290:G539,"&lt;"&amp;G540)/COUNT(G290:G539))))</f>
        <v/>
      </c>
      <c r="K540" s="11" t="inlineStr">
        <is>
          <t>中间分位</t>
        </is>
      </c>
      <c r="L540" s="11" t="n">
        <v>47</v>
      </c>
      <c r="M540" s="11" t="inlineStr">
        <is>
          <t>Back(近强)</t>
        </is>
      </c>
      <c r="N540" s="11" t="n">
        <v>1</v>
      </c>
      <c r="O540" s="11" t="n">
        <v>0</v>
      </c>
      <c r="P540" s="12" t="n">
        <v>30</v>
      </c>
      <c r="Q540" s="11" t="inlineStr"/>
    </row>
    <row r="541">
      <c r="A541" s="6" t="inlineStr">
        <is>
          <t>2024-11-11</t>
        </is>
      </c>
      <c r="B541" s="6" t="inlineStr">
        <is>
          <t>MA2501</t>
        </is>
      </c>
      <c r="C541" s="6" t="inlineStr">
        <is>
          <t>2025-01</t>
        </is>
      </c>
      <c r="D541" s="7" t="n">
        <v>2485</v>
      </c>
      <c r="E541" s="7" t="n">
        <v>2487</v>
      </c>
      <c r="F541" s="7">
        <f>D541-E541</f>
        <v/>
      </c>
      <c r="G541" s="8">
        <f>IF(D541=0,"",(D541-E541)/D541)</f>
        <v/>
      </c>
      <c r="H541" s="9" t="n">
        <v>586066</v>
      </c>
      <c r="I541" s="10" t="n">
        <v>0.224</v>
      </c>
      <c r="J541" s="10">
        <f>IF(COUNT(G291:G540)&lt;20,"",IF(COUNTIF(G291:G540,"&lt;"&amp;G541)&gt;=COUNT(G291:G540),(COUNT(G291:G540)-0.5)/COUNT(G291:G540),IF(COUNTIF(G291:G540,G541)&gt;0,(COUNTIF(G291:G540,"&lt;"&amp;G541)+0.5*COUNTIF(G291:G540,G541))/COUNT(G291:G540),COUNTIF(G291:G540,"&lt;"&amp;G541)/COUNT(G291:G540))))</f>
        <v/>
      </c>
      <c r="K541" s="6" t="inlineStr">
        <is>
          <t>中间分位</t>
        </is>
      </c>
      <c r="L541" s="6" t="n">
        <v>46</v>
      </c>
      <c r="M541" s="6" t="inlineStr">
        <is>
          <t>Back(近强)</t>
        </is>
      </c>
      <c r="N541" s="6" t="n">
        <v>1</v>
      </c>
      <c r="O541" s="6" t="n">
        <v>0</v>
      </c>
      <c r="P541" s="7" t="n">
        <v>20</v>
      </c>
      <c r="Q541" s="6" t="inlineStr"/>
    </row>
    <row r="542">
      <c r="A542" s="11" t="inlineStr">
        <is>
          <t>2024-11-12</t>
        </is>
      </c>
      <c r="B542" s="11" t="inlineStr">
        <is>
          <t>MA2501</t>
        </is>
      </c>
      <c r="C542" s="11" t="inlineStr">
        <is>
          <t>2025-01</t>
        </is>
      </c>
      <c r="D542" s="12" t="n">
        <v>2464.17</v>
      </c>
      <c r="E542" s="12" t="n">
        <v>2479</v>
      </c>
      <c r="F542" s="12">
        <f>D542-E542</f>
        <v/>
      </c>
      <c r="G542" s="13">
        <f>IF(D542=0,"",(D542-E542)/D542)</f>
        <v/>
      </c>
      <c r="H542" s="14" t="n">
        <v>578063</v>
      </c>
      <c r="I542" s="15" t="n">
        <v>0.148</v>
      </c>
      <c r="J542" s="15">
        <f>IF(COUNT(G292:G541)&lt;20,"",IF(COUNTIF(G292:G541,"&lt;"&amp;G542)&gt;=COUNT(G292:G541),(COUNT(G292:G541)-0.5)/COUNT(G292:G541),IF(COUNTIF(G292:G541,G542)&gt;0,(COUNTIF(G292:G541,"&lt;"&amp;G542)+0.5*COUNTIF(G292:G541,G542))/COUNT(G292:G541),COUNTIF(G292:G541,"&lt;"&amp;G542)/COUNT(G292:G541))))</f>
        <v/>
      </c>
      <c r="K542" s="11" t="inlineStr">
        <is>
          <t>中间分位</t>
        </is>
      </c>
      <c r="L542" s="11" t="n">
        <v>45</v>
      </c>
      <c r="M542" s="11" t="inlineStr">
        <is>
          <t>结构不明</t>
        </is>
      </c>
      <c r="N542" s="11" t="n">
        <v>1</v>
      </c>
      <c r="O542" s="11" t="n">
        <v>0</v>
      </c>
      <c r="P542" s="12" t="n">
        <v>16</v>
      </c>
      <c r="Q542" s="11" t="inlineStr"/>
    </row>
    <row r="543">
      <c r="A543" s="6" t="inlineStr">
        <is>
          <t>2024-11-13</t>
        </is>
      </c>
      <c r="B543" s="6" t="inlineStr">
        <is>
          <t>MA2501</t>
        </is>
      </c>
      <c r="C543" s="6" t="inlineStr">
        <is>
          <t>2025-01</t>
        </is>
      </c>
      <c r="D543" s="7" t="n">
        <v>2470</v>
      </c>
      <c r="E543" s="7" t="n">
        <v>2492</v>
      </c>
      <c r="F543" s="7">
        <f>D543-E543</f>
        <v/>
      </c>
      <c r="G543" s="8">
        <f>IF(D543=0,"",(D543-E543)/D543)</f>
        <v/>
      </c>
      <c r="H543" s="9" t="n">
        <v>590779</v>
      </c>
      <c r="I543" s="10" t="n">
        <v>0.12</v>
      </c>
      <c r="J543" s="10">
        <f>IF(COUNT(G293:G542)&lt;20,"",IF(COUNTIF(G293:G542,"&lt;"&amp;G543)&gt;=COUNT(G293:G542),(COUNT(G293:G542)-0.5)/COUNT(G293:G542),IF(COUNTIF(G293:G542,G543)&gt;0,(COUNTIF(G293:G542,"&lt;"&amp;G543)+0.5*COUNTIF(G293:G542,G543))/COUNT(G293:G542),COUNTIF(G293:G542,"&lt;"&amp;G543)/COUNT(G293:G542))))</f>
        <v/>
      </c>
      <c r="K543" s="6" t="inlineStr">
        <is>
          <t>中间分位</t>
        </is>
      </c>
      <c r="L543" s="6" t="n">
        <v>44</v>
      </c>
      <c r="M543" s="6" t="inlineStr">
        <is>
          <t>结构不明</t>
        </is>
      </c>
      <c r="N543" s="6" t="n">
        <v>1</v>
      </c>
      <c r="O543" s="6" t="n">
        <v>0</v>
      </c>
      <c r="P543" s="7" t="n">
        <v>16</v>
      </c>
      <c r="Q543" s="6" t="inlineStr"/>
    </row>
    <row r="544">
      <c r="A544" s="11" t="inlineStr">
        <is>
          <t>2024-11-14</t>
        </is>
      </c>
      <c r="B544" s="11" t="inlineStr">
        <is>
          <t>MA2501</t>
        </is>
      </c>
      <c r="C544" s="11" t="inlineStr">
        <is>
          <t>2025-01</t>
        </is>
      </c>
      <c r="D544" s="12" t="n">
        <v>2485</v>
      </c>
      <c r="E544" s="12" t="n">
        <v>2483</v>
      </c>
      <c r="F544" s="12">
        <f>D544-E544</f>
        <v/>
      </c>
      <c r="G544" s="13">
        <f>IF(D544=0,"",(D544-E544)/D544)</f>
        <v/>
      </c>
      <c r="H544" s="14" t="n">
        <v>574250</v>
      </c>
      <c r="I544" s="15" t="n">
        <v>0.268</v>
      </c>
      <c r="J544" s="15">
        <f>IF(COUNT(G294:G543)&lt;20,"",IF(COUNTIF(G294:G543,"&lt;"&amp;G544)&gt;=COUNT(G294:G543),(COUNT(G294:G543)-0.5)/COUNT(G294:G543),IF(COUNTIF(G294:G543,G544)&gt;0,(COUNTIF(G294:G543,"&lt;"&amp;G544)+0.5*COUNTIF(G294:G543,G544))/COUNT(G294:G543),COUNTIF(G294:G543,"&lt;"&amp;G544)/COUNT(G294:G543))))</f>
        <v/>
      </c>
      <c r="K544" s="11" t="inlineStr">
        <is>
          <t>中间分位</t>
        </is>
      </c>
      <c r="L544" s="11" t="n">
        <v>43</v>
      </c>
      <c r="M544" s="11" t="inlineStr">
        <is>
          <t>结构不明</t>
        </is>
      </c>
      <c r="N544" s="11" t="n">
        <v>1</v>
      </c>
      <c r="O544" s="11" t="n">
        <v>0</v>
      </c>
      <c r="P544" s="12" t="n">
        <v>16</v>
      </c>
      <c r="Q544" s="11" t="inlineStr"/>
    </row>
    <row r="545">
      <c r="A545" s="6" t="inlineStr">
        <is>
          <t>2024-11-15</t>
        </is>
      </c>
      <c r="B545" s="6" t="inlineStr">
        <is>
          <t>MA2501</t>
        </is>
      </c>
      <c r="C545" s="6" t="inlineStr">
        <is>
          <t>2025-01</t>
        </is>
      </c>
      <c r="D545" s="7" t="n">
        <v>2475</v>
      </c>
      <c r="E545" s="7" t="n">
        <v>2490</v>
      </c>
      <c r="F545" s="7">
        <f>D545-E545</f>
        <v/>
      </c>
      <c r="G545" s="8">
        <f>IF(D545=0,"",(D545-E545)/D545)</f>
        <v/>
      </c>
      <c r="H545" s="9" t="n">
        <v>591770</v>
      </c>
      <c r="I545" s="10" t="n">
        <v>0.152</v>
      </c>
      <c r="J545" s="10">
        <f>IF(COUNT(G295:G544)&lt;20,"",IF(COUNTIF(G295:G544,"&lt;"&amp;G545)&gt;=COUNT(G295:G544),(COUNT(G295:G544)-0.5)/COUNT(G295:G544),IF(COUNTIF(G295:G544,G545)&gt;0,(COUNTIF(G295:G544,"&lt;"&amp;G545)+0.5*COUNTIF(G295:G544,G545))/COUNT(G295:G544),COUNTIF(G295:G544,"&lt;"&amp;G545)/COUNT(G295:G544))))</f>
        <v/>
      </c>
      <c r="K545" s="6" t="inlineStr">
        <is>
          <t>中间分位</t>
        </is>
      </c>
      <c r="L545" s="6" t="n">
        <v>42</v>
      </c>
      <c r="M545" s="6" t="inlineStr">
        <is>
          <t>Back(近强)</t>
        </is>
      </c>
      <c r="N545" s="6" t="n">
        <v>1</v>
      </c>
      <c r="O545" s="6" t="n">
        <v>0</v>
      </c>
      <c r="P545" s="7" t="n">
        <v>19</v>
      </c>
      <c r="Q545" s="6" t="inlineStr"/>
    </row>
    <row r="546">
      <c r="A546" s="11" t="inlineStr">
        <is>
          <t>2024-11-18</t>
        </is>
      </c>
      <c r="B546" s="11" t="inlineStr">
        <is>
          <t>MA2501</t>
        </is>
      </c>
      <c r="C546" s="11" t="inlineStr">
        <is>
          <t>2025-01</t>
        </is>
      </c>
      <c r="D546" s="12" t="n">
        <v>2500</v>
      </c>
      <c r="E546" s="12" t="n">
        <v>2530</v>
      </c>
      <c r="F546" s="12">
        <f>D546-E546</f>
        <v/>
      </c>
      <c r="G546" s="13">
        <f>IF(D546=0,"",(D546-E546)/D546)</f>
        <v/>
      </c>
      <c r="H546" s="14" t="n">
        <v>611448</v>
      </c>
      <c r="I546" s="15" t="n">
        <v>0.07199999999999999</v>
      </c>
      <c r="J546" s="15">
        <f>IF(COUNT(G296:G545)&lt;20,"",IF(COUNTIF(G296:G545,"&lt;"&amp;G546)&gt;=COUNT(G296:G545),(COUNT(G296:G545)-0.5)/COUNT(G296:G545),IF(COUNTIF(G296:G545,G546)&gt;0,(COUNTIF(G296:G545,"&lt;"&amp;G546)+0.5*COUNTIF(G296:G545,G546))/COUNT(G296:G545),COUNTIF(G296:G545,"&lt;"&amp;G546)/COUNT(G296:G545))))</f>
        <v/>
      </c>
      <c r="K546" s="11" t="inlineStr">
        <is>
          <t>低分位</t>
        </is>
      </c>
      <c r="L546" s="11" t="n">
        <v>41</v>
      </c>
      <c r="M546" s="11" t="inlineStr">
        <is>
          <t>结构不明</t>
        </is>
      </c>
      <c r="N546" s="11" t="n">
        <v>1</v>
      </c>
      <c r="O546" s="11" t="n">
        <v>0</v>
      </c>
      <c r="P546" s="12" t="n">
        <v>15</v>
      </c>
      <c r="Q546" s="11" t="inlineStr"/>
    </row>
    <row r="547">
      <c r="A547" s="6" t="inlineStr">
        <is>
          <t>2024-11-19</t>
        </is>
      </c>
      <c r="B547" s="6" t="inlineStr">
        <is>
          <t>MA2501</t>
        </is>
      </c>
      <c r="C547" s="6" t="inlineStr">
        <is>
          <t>2025-01</t>
        </is>
      </c>
      <c r="D547" s="7" t="n">
        <v>2510</v>
      </c>
      <c r="E547" s="7" t="n">
        <v>2556</v>
      </c>
      <c r="F547" s="7">
        <f>D547-E547</f>
        <v/>
      </c>
      <c r="G547" s="8">
        <f>IF(D547=0,"",(D547-E547)/D547)</f>
        <v/>
      </c>
      <c r="H547" s="9" t="n">
        <v>638327</v>
      </c>
      <c r="I547" s="10" t="n">
        <v>0.028</v>
      </c>
      <c r="J547" s="10">
        <f>IF(COUNT(G297:G546)&lt;20,"",IF(COUNTIF(G297:G546,"&lt;"&amp;G547)&gt;=COUNT(G297:G546),(COUNT(G297:G546)-0.5)/COUNT(G297:G546),IF(COUNTIF(G297:G546,G547)&gt;0,(COUNTIF(G297:G546,"&lt;"&amp;G547)+0.5*COUNTIF(G297:G546,G547))/COUNT(G297:G546),COUNTIF(G297:G546,"&lt;"&amp;G547)/COUNT(G297:G546))))</f>
        <v/>
      </c>
      <c r="K547" s="6" t="inlineStr">
        <is>
          <t>低分位</t>
        </is>
      </c>
      <c r="L547" s="6" t="n">
        <v>40</v>
      </c>
      <c r="M547" s="6" t="inlineStr">
        <is>
          <t>结构不明</t>
        </is>
      </c>
      <c r="N547" s="6" t="n">
        <v>1</v>
      </c>
      <c r="O547" s="6" t="n">
        <v>0</v>
      </c>
      <c r="P547" s="7" t="n">
        <v>16</v>
      </c>
      <c r="Q547" s="6" t="inlineStr"/>
    </row>
    <row r="548">
      <c r="A548" s="11" t="inlineStr">
        <is>
          <t>2024-11-20</t>
        </is>
      </c>
      <c r="B548" s="11" t="inlineStr">
        <is>
          <t>MA2501</t>
        </is>
      </c>
      <c r="C548" s="11" t="inlineStr">
        <is>
          <t>2025-01</t>
        </is>
      </c>
      <c r="D548" s="12" t="n">
        <v>2525</v>
      </c>
      <c r="E548" s="12" t="n">
        <v>2567</v>
      </c>
      <c r="F548" s="12">
        <f>D548-E548</f>
        <v/>
      </c>
      <c r="G548" s="13">
        <f>IF(D548=0,"",(D548-E548)/D548)</f>
        <v/>
      </c>
      <c r="H548" s="14" t="n">
        <v>663642</v>
      </c>
      <c r="I548" s="15" t="n">
        <v>0.04</v>
      </c>
      <c r="J548" s="15">
        <f>IF(COUNT(G298:G547)&lt;20,"",IF(COUNTIF(G298:G547,"&lt;"&amp;G548)&gt;=COUNT(G298:G547),(COUNT(G298:G547)-0.5)/COUNT(G298:G547),IF(COUNTIF(G298:G547,G548)&gt;0,(COUNTIF(G298:G547,"&lt;"&amp;G548)+0.5*COUNTIF(G298:G547,G548))/COUNT(G298:G547),COUNTIF(G298:G547,"&lt;"&amp;G548)/COUNT(G298:G547))))</f>
        <v/>
      </c>
      <c r="K548" s="11" t="inlineStr">
        <is>
          <t>低分位</t>
        </is>
      </c>
      <c r="L548" s="11" t="n">
        <v>39</v>
      </c>
      <c r="M548" s="11" t="inlineStr">
        <is>
          <t>Back(近强)</t>
        </is>
      </c>
      <c r="N548" s="11" t="n">
        <v>1</v>
      </c>
      <c r="O548" s="11" t="n">
        <v>0</v>
      </c>
      <c r="P548" s="12" t="n">
        <v>19</v>
      </c>
      <c r="Q548" s="11" t="inlineStr"/>
    </row>
    <row r="549">
      <c r="A549" s="6" t="inlineStr">
        <is>
          <t>2024-11-21</t>
        </is>
      </c>
      <c r="B549" s="6" t="inlineStr">
        <is>
          <t>MA2501</t>
        </is>
      </c>
      <c r="C549" s="6" t="inlineStr">
        <is>
          <t>2025-01</t>
        </is>
      </c>
      <c r="D549" s="7" t="n">
        <v>2549.17</v>
      </c>
      <c r="E549" s="7" t="n">
        <v>2575</v>
      </c>
      <c r="F549" s="7">
        <f>D549-E549</f>
        <v/>
      </c>
      <c r="G549" s="8">
        <f>IF(D549=0,"",(D549-E549)/D549)</f>
        <v/>
      </c>
      <c r="H549" s="9" t="n">
        <v>691317</v>
      </c>
      <c r="I549" s="10" t="n">
        <v>0.108</v>
      </c>
      <c r="J549" s="10">
        <f>IF(COUNT(G299:G548)&lt;20,"",IF(COUNTIF(G299:G548,"&lt;"&amp;G549)&gt;=COUNT(G299:G548),(COUNT(G299:G548)-0.5)/COUNT(G299:G548),IF(COUNTIF(G299:G548,G549)&gt;0,(COUNTIF(G299:G548,"&lt;"&amp;G549)+0.5*COUNTIF(G299:G548,G549))/COUNT(G299:G548),COUNTIF(G299:G548,"&lt;"&amp;G549)/COUNT(G299:G548))))</f>
        <v/>
      </c>
      <c r="K549" s="6" t="inlineStr">
        <is>
          <t>中间分位</t>
        </is>
      </c>
      <c r="L549" s="6" t="n">
        <v>38</v>
      </c>
      <c r="M549" s="6" t="inlineStr">
        <is>
          <t>Back(近强)</t>
        </is>
      </c>
      <c r="N549" s="6" t="n">
        <v>1</v>
      </c>
      <c r="O549" s="6" t="n">
        <v>0</v>
      </c>
      <c r="P549" s="7" t="n">
        <v>30</v>
      </c>
      <c r="Q549" s="6" t="inlineStr"/>
    </row>
    <row r="550">
      <c r="A550" s="11" t="inlineStr">
        <is>
          <t>2024-11-22</t>
        </is>
      </c>
      <c r="B550" s="11" t="inlineStr">
        <is>
          <t>MA2501</t>
        </is>
      </c>
      <c r="C550" s="11" t="inlineStr">
        <is>
          <t>2025-01</t>
        </is>
      </c>
      <c r="D550" s="12" t="n">
        <v>2550</v>
      </c>
      <c r="E550" s="12" t="n">
        <v>2612</v>
      </c>
      <c r="F550" s="12">
        <f>D550-E550</f>
        <v/>
      </c>
      <c r="G550" s="13">
        <f>IF(D550=0,"",(D550-E550)/D550)</f>
        <v/>
      </c>
      <c r="H550" s="14" t="n">
        <v>745004</v>
      </c>
      <c r="I550" s="15" t="n">
        <v>0.02</v>
      </c>
      <c r="J550" s="15">
        <f>IF(COUNT(G300:G549)&lt;20,"",IF(COUNTIF(G300:G549,"&lt;"&amp;G550)&gt;=COUNT(G300:G549),(COUNT(G300:G549)-0.5)/COUNT(G300:G549),IF(COUNTIF(G300:G549,G550)&gt;0,(COUNTIF(G300:G549,"&lt;"&amp;G550)+0.5*COUNTIF(G300:G549,G550))/COUNT(G300:G549),COUNTIF(G300:G549,"&lt;"&amp;G550)/COUNT(G300:G549))))</f>
        <v/>
      </c>
      <c r="K550" s="11" t="inlineStr">
        <is>
          <t>低分位</t>
        </is>
      </c>
      <c r="L550" s="11" t="n">
        <v>37</v>
      </c>
      <c r="M550" s="11" t="inlineStr">
        <is>
          <t>Back(近强)</t>
        </is>
      </c>
      <c r="N550" s="11" t="n">
        <v>1</v>
      </c>
      <c r="O550" s="11" t="n">
        <v>0</v>
      </c>
      <c r="P550" s="12" t="n">
        <v>40</v>
      </c>
      <c r="Q550" s="11" t="inlineStr"/>
    </row>
    <row r="551">
      <c r="A551" s="6" t="inlineStr">
        <is>
          <t>2024-11-25</t>
        </is>
      </c>
      <c r="B551" s="6" t="inlineStr">
        <is>
          <t>MA2501</t>
        </is>
      </c>
      <c r="C551" s="6" t="inlineStr">
        <is>
          <t>2025-01</t>
        </is>
      </c>
      <c r="D551" s="7" t="n">
        <v>2580</v>
      </c>
      <c r="E551" s="7" t="n">
        <v>2583</v>
      </c>
      <c r="F551" s="7">
        <f>D551-E551</f>
        <v/>
      </c>
      <c r="G551" s="8">
        <f>IF(D551=0,"",(D551-E551)/D551)</f>
        <v/>
      </c>
      <c r="H551" s="9" t="n">
        <v>682672</v>
      </c>
      <c r="I551" s="10" t="n">
        <v>0.24</v>
      </c>
      <c r="J551" s="10">
        <f>IF(COUNT(G301:G550)&lt;20,"",IF(COUNTIF(G301:G550,"&lt;"&amp;G551)&gt;=COUNT(G301:G550),(COUNT(G301:G550)-0.5)/COUNT(G301:G550),IF(COUNTIF(G301:G550,G551)&gt;0,(COUNTIF(G301:G550,"&lt;"&amp;G551)+0.5*COUNTIF(G301:G550,G551))/COUNT(G301:G550),COUNTIF(G301:G550,"&lt;"&amp;G551)/COUNT(G301:G550))))</f>
        <v/>
      </c>
      <c r="K551" s="6" t="inlineStr">
        <is>
          <t>中间分位</t>
        </is>
      </c>
      <c r="L551" s="6" t="n">
        <v>36</v>
      </c>
      <c r="M551" s="6" t="inlineStr">
        <is>
          <t>Back(近强)</t>
        </is>
      </c>
      <c r="N551" s="6" t="n">
        <v>1</v>
      </c>
      <c r="O551" s="6" t="n">
        <v>0</v>
      </c>
      <c r="P551" s="7" t="n">
        <v>31</v>
      </c>
      <c r="Q551" s="6" t="inlineStr"/>
    </row>
    <row r="552">
      <c r="A552" s="11" t="inlineStr">
        <is>
          <t>2024-11-26</t>
        </is>
      </c>
      <c r="B552" s="11" t="inlineStr">
        <is>
          <t>MA2501</t>
        </is>
      </c>
      <c r="C552" s="11" t="inlineStr">
        <is>
          <t>2025-01</t>
        </is>
      </c>
      <c r="D552" s="12" t="n">
        <v>2560</v>
      </c>
      <c r="E552" s="12" t="n">
        <v>2602</v>
      </c>
      <c r="F552" s="12">
        <f>D552-E552</f>
        <v/>
      </c>
      <c r="G552" s="13">
        <f>IF(D552=0,"",(D552-E552)/D552)</f>
        <v/>
      </c>
      <c r="H552" s="14" t="n">
        <v>689156</v>
      </c>
      <c r="I552" s="15" t="n">
        <v>0.048</v>
      </c>
      <c r="J552" s="15">
        <f>IF(COUNT(G302:G551)&lt;20,"",IF(COUNTIF(G302:G551,"&lt;"&amp;G552)&gt;=COUNT(G302:G551),(COUNT(G302:G551)-0.5)/COUNT(G302:G551),IF(COUNTIF(G302:G551,G552)&gt;0,(COUNTIF(G302:G551,"&lt;"&amp;G552)+0.5*COUNTIF(G302:G551,G552))/COUNT(G302:G551),COUNTIF(G302:G551,"&lt;"&amp;G552)/COUNT(G302:G551))))</f>
        <v/>
      </c>
      <c r="K552" s="11" t="inlineStr">
        <is>
          <t>低分位</t>
        </is>
      </c>
      <c r="L552" s="11" t="n">
        <v>35</v>
      </c>
      <c r="M552" s="11" t="inlineStr">
        <is>
          <t>Back(近强)</t>
        </is>
      </c>
      <c r="N552" s="11" t="n">
        <v>1</v>
      </c>
      <c r="O552" s="11" t="n">
        <v>0</v>
      </c>
      <c r="P552" s="12" t="n">
        <v>28</v>
      </c>
      <c r="Q552" s="11" t="inlineStr"/>
    </row>
    <row r="553">
      <c r="A553" s="6" t="inlineStr">
        <is>
          <t>2024-11-27</t>
        </is>
      </c>
      <c r="B553" s="6" t="inlineStr">
        <is>
          <t>MA2501</t>
        </is>
      </c>
      <c r="C553" s="6" t="inlineStr">
        <is>
          <t>2025-01</t>
        </is>
      </c>
      <c r="D553" s="7" t="n">
        <v>2578.33</v>
      </c>
      <c r="E553" s="7" t="n">
        <v>2573</v>
      </c>
      <c r="F553" s="7">
        <f>D553-E553</f>
        <v/>
      </c>
      <c r="G553" s="8">
        <f>IF(D553=0,"",(D553-E553)/D553)</f>
        <v/>
      </c>
      <c r="H553" s="9" t="n">
        <v>651366</v>
      </c>
      <c r="I553" s="10" t="n">
        <v>0.304</v>
      </c>
      <c r="J553" s="10">
        <f>IF(COUNT(G303:G552)&lt;20,"",IF(COUNTIF(G303:G552,"&lt;"&amp;G553)&gt;=COUNT(G303:G552),(COUNT(G303:G552)-0.5)/COUNT(G303:G552),IF(COUNTIF(G303:G552,G553)&gt;0,(COUNTIF(G303:G552,"&lt;"&amp;G553)+0.5*COUNTIF(G303:G552,G553))/COUNT(G303:G552),COUNTIF(G303:G552,"&lt;"&amp;G553)/COUNT(G303:G552))))</f>
        <v/>
      </c>
      <c r="K553" s="6" t="inlineStr">
        <is>
          <t>中间分位</t>
        </is>
      </c>
      <c r="L553" s="6" t="n">
        <v>34</v>
      </c>
      <c r="M553" s="6" t="inlineStr">
        <is>
          <t>Back(近强)</t>
        </is>
      </c>
      <c r="N553" s="6" t="n">
        <v>1</v>
      </c>
      <c r="O553" s="6" t="n">
        <v>0</v>
      </c>
      <c r="P553" s="7" t="n">
        <v>25</v>
      </c>
      <c r="Q553" s="6" t="inlineStr"/>
    </row>
    <row r="554">
      <c r="A554" s="11" t="inlineStr">
        <is>
          <t>2024-11-28</t>
        </is>
      </c>
      <c r="B554" s="11" t="inlineStr">
        <is>
          <t>MA2501</t>
        </is>
      </c>
      <c r="C554" s="11" t="inlineStr">
        <is>
          <t>2025-01</t>
        </is>
      </c>
      <c r="D554" s="12" t="n">
        <v>2549.17</v>
      </c>
      <c r="E554" s="12" t="n">
        <v>2554</v>
      </c>
      <c r="F554" s="12">
        <f>D554-E554</f>
        <v/>
      </c>
      <c r="G554" s="13">
        <f>IF(D554=0,"",(D554-E554)/D554)</f>
        <v/>
      </c>
      <c r="H554" s="14" t="n">
        <v>623346</v>
      </c>
      <c r="I554" s="15" t="n">
        <v>0.224</v>
      </c>
      <c r="J554" s="15">
        <f>IF(COUNT(G304:G553)&lt;20,"",IF(COUNTIF(G304:G553,"&lt;"&amp;G554)&gt;=COUNT(G304:G553),(COUNT(G304:G553)-0.5)/COUNT(G304:G553),IF(COUNTIF(G304:G553,G554)&gt;0,(COUNTIF(G304:G553,"&lt;"&amp;G554)+0.5*COUNTIF(G304:G553,G554))/COUNT(G304:G553),COUNTIF(G304:G553,"&lt;"&amp;G554)/COUNT(G304:G553))))</f>
        <v/>
      </c>
      <c r="K554" s="11" t="inlineStr">
        <is>
          <t>中间分位</t>
        </is>
      </c>
      <c r="L554" s="11" t="n">
        <v>33</v>
      </c>
      <c r="M554" s="11" t="inlineStr">
        <is>
          <t>Back(近强)</t>
        </is>
      </c>
      <c r="N554" s="11" t="n">
        <v>1</v>
      </c>
      <c r="O554" s="11" t="n">
        <v>0</v>
      </c>
      <c r="P554" s="12" t="n">
        <v>48</v>
      </c>
      <c r="Q554" s="11" t="inlineStr"/>
    </row>
    <row r="555">
      <c r="A555" s="6" t="inlineStr">
        <is>
          <t>2024-11-29</t>
        </is>
      </c>
      <c r="B555" s="6" t="inlineStr">
        <is>
          <t>MA2501</t>
        </is>
      </c>
      <c r="C555" s="6" t="inlineStr">
        <is>
          <t>2025-01</t>
        </is>
      </c>
      <c r="D555" s="7" t="n">
        <v>2538.33</v>
      </c>
      <c r="E555" s="7" t="n">
        <v>2566</v>
      </c>
      <c r="F555" s="7">
        <f>D555-E555</f>
        <v/>
      </c>
      <c r="G555" s="8">
        <f>IF(D555=0,"",(D555-E555)/D555)</f>
        <v/>
      </c>
      <c r="H555" s="9" t="n">
        <v>574474</v>
      </c>
      <c r="I555" s="10" t="n">
        <v>0.108</v>
      </c>
      <c r="J555" s="10">
        <f>IF(COUNT(G305:G554)&lt;20,"",IF(COUNTIF(G305:G554,"&lt;"&amp;G555)&gt;=COUNT(G305:G554),(COUNT(G305:G554)-0.5)/COUNT(G305:G554),IF(COUNTIF(G305:G554,G555)&gt;0,(COUNTIF(G305:G554,"&lt;"&amp;G555)+0.5*COUNTIF(G305:G554,G555))/COUNT(G305:G554),COUNTIF(G305:G554,"&lt;"&amp;G555)/COUNT(G305:G554))))</f>
        <v/>
      </c>
      <c r="K555" s="6" t="inlineStr">
        <is>
          <t>中间分位</t>
        </is>
      </c>
      <c r="L555" s="6" t="n">
        <v>32</v>
      </c>
      <c r="M555" s="6" t="inlineStr">
        <is>
          <t>Back(近强)</t>
        </is>
      </c>
      <c r="N555" s="6" t="n">
        <v>1</v>
      </c>
      <c r="O555" s="6" t="n">
        <v>0</v>
      </c>
      <c r="P555" s="7" t="n">
        <v>49</v>
      </c>
      <c r="Q555" s="6" t="inlineStr"/>
    </row>
    <row r="556">
      <c r="A556" s="11" t="inlineStr">
        <is>
          <t>2024-12-02</t>
        </is>
      </c>
      <c r="B556" s="11" t="inlineStr">
        <is>
          <t>MA2501</t>
        </is>
      </c>
      <c r="C556" s="11" t="inlineStr">
        <is>
          <t>2025-01</t>
        </is>
      </c>
      <c r="D556" s="12" t="n">
        <v>2544.17</v>
      </c>
      <c r="E556" s="12" t="n">
        <v>2568</v>
      </c>
      <c r="F556" s="12">
        <f>D556-E556</f>
        <v/>
      </c>
      <c r="G556" s="13">
        <f>IF(D556=0,"",(D556-E556)/D556)</f>
        <v/>
      </c>
      <c r="H556" s="14" t="n">
        <v>551779</v>
      </c>
      <c r="I556" s="15" t="n">
        <v>0.128</v>
      </c>
      <c r="J556" s="15">
        <f>IF(COUNT(G306:G555)&lt;20,"",IF(COUNTIF(G306:G555,"&lt;"&amp;G556)&gt;=COUNT(G306:G555),(COUNT(G306:G555)-0.5)/COUNT(G306:G555),IF(COUNTIF(G306:G555,G556)&gt;0,(COUNTIF(G306:G555,"&lt;"&amp;G556)+0.5*COUNTIF(G306:G555,G556))/COUNT(G306:G555),COUNTIF(G306:G555,"&lt;"&amp;G556)/COUNT(G306:G555))))</f>
        <v/>
      </c>
      <c r="K556" s="11" t="inlineStr">
        <is>
          <t>中间分位</t>
        </is>
      </c>
      <c r="L556" s="11" t="n">
        <v>31</v>
      </c>
      <c r="M556" s="11" t="inlineStr">
        <is>
          <t>Back(近强)</t>
        </is>
      </c>
      <c r="N556" s="11" t="n">
        <v>1</v>
      </c>
      <c r="O556" s="11" t="n">
        <v>0</v>
      </c>
      <c r="P556" s="12" t="n">
        <v>39</v>
      </c>
      <c r="Q556" s="11" t="inlineStr"/>
    </row>
    <row r="557">
      <c r="A557" s="6" t="inlineStr">
        <is>
          <t>2024-12-03</t>
        </is>
      </c>
      <c r="B557" s="6" t="inlineStr">
        <is>
          <t>MA2501</t>
        </is>
      </c>
      <c r="C557" s="6" t="inlineStr">
        <is>
          <t>2025-01</t>
        </is>
      </c>
      <c r="D557" s="7" t="n">
        <v>2539.17</v>
      </c>
      <c r="E557" s="7" t="n">
        <v>2543</v>
      </c>
      <c r="F557" s="7">
        <f>D557-E557</f>
        <v/>
      </c>
      <c r="G557" s="8">
        <f>IF(D557=0,"",(D557-E557)/D557)</f>
        <v/>
      </c>
      <c r="H557" s="9" t="n">
        <v>513629</v>
      </c>
      <c r="I557" s="10" t="n">
        <v>0.244</v>
      </c>
      <c r="J557" s="10">
        <f>IF(COUNT(G307:G556)&lt;20,"",IF(COUNTIF(G307:G556,"&lt;"&amp;G557)&gt;=COUNT(G307:G556),(COUNT(G307:G556)-0.5)/COUNT(G307:G556),IF(COUNTIF(G307:G556,G557)&gt;0,(COUNTIF(G307:G556,"&lt;"&amp;G557)+0.5*COUNTIF(G307:G556,G557))/COUNT(G307:G556),COUNTIF(G307:G556,"&lt;"&amp;G557)/COUNT(G307:G556))))</f>
        <v/>
      </c>
      <c r="K557" s="6" t="inlineStr">
        <is>
          <t>中间分位</t>
        </is>
      </c>
      <c r="L557" s="6" t="n">
        <v>30</v>
      </c>
      <c r="M557" s="6" t="inlineStr">
        <is>
          <t>Back(近强)</t>
        </is>
      </c>
      <c r="N557" s="6" t="n">
        <v>1</v>
      </c>
      <c r="O557" s="6" t="n">
        <v>0</v>
      </c>
      <c r="P557" s="7" t="n">
        <v>43</v>
      </c>
      <c r="Q557" s="6" t="inlineStr"/>
    </row>
    <row r="558">
      <c r="A558" s="11" t="inlineStr">
        <is>
          <t>2024-12-04</t>
        </is>
      </c>
      <c r="B558" s="11" t="inlineStr">
        <is>
          <t>MA2501</t>
        </is>
      </c>
      <c r="C558" s="11" t="inlineStr">
        <is>
          <t>2025-01</t>
        </is>
      </c>
      <c r="D558" s="12" t="n">
        <v>2510.83</v>
      </c>
      <c r="E558" s="12" t="n">
        <v>2521</v>
      </c>
      <c r="F558" s="12">
        <f>D558-E558</f>
        <v/>
      </c>
      <c r="G558" s="13">
        <f>IF(D558=0,"",(D558-E558)/D558)</f>
        <v/>
      </c>
      <c r="H558" s="14" t="n">
        <v>483059</v>
      </c>
      <c r="I558" s="15" t="n">
        <v>0.196</v>
      </c>
      <c r="J558" s="15">
        <f>IF(COUNT(G308:G557)&lt;20,"",IF(COUNTIF(G308:G557,"&lt;"&amp;G558)&gt;=COUNT(G308:G557),(COUNT(G308:G557)-0.5)/COUNT(G308:G557),IF(COUNTIF(G308:G557,G558)&gt;0,(COUNTIF(G308:G557,"&lt;"&amp;G558)+0.5*COUNTIF(G308:G557,G558))/COUNT(G308:G557),COUNTIF(G308:G557,"&lt;"&amp;G558)/COUNT(G308:G557))))</f>
        <v/>
      </c>
      <c r="K558" s="11" t="inlineStr">
        <is>
          <t>中间分位</t>
        </is>
      </c>
      <c r="L558" s="11" t="n">
        <v>29</v>
      </c>
      <c r="M558" s="11" t="inlineStr">
        <is>
          <t>Contango(远强)</t>
        </is>
      </c>
      <c r="N558" s="11" t="n">
        <v>1</v>
      </c>
      <c r="O558" s="11" t="n">
        <v>0</v>
      </c>
      <c r="P558" s="12" t="n">
        <v>-38</v>
      </c>
      <c r="Q558" s="11" t="inlineStr"/>
    </row>
    <row r="559">
      <c r="A559" s="6" t="inlineStr">
        <is>
          <t>2024-12-05</t>
        </is>
      </c>
      <c r="B559" s="6" t="inlineStr">
        <is>
          <t>MA2501</t>
        </is>
      </c>
      <c r="C559" s="6" t="inlineStr">
        <is>
          <t>2025-01</t>
        </is>
      </c>
      <c r="D559" s="7" t="n">
        <v>2509.17</v>
      </c>
      <c r="E559" s="7" t="n">
        <v>2526</v>
      </c>
      <c r="F559" s="7">
        <f>D559-E559</f>
        <v/>
      </c>
      <c r="G559" s="8">
        <f>IF(D559=0,"",(D559-E559)/D559)</f>
        <v/>
      </c>
      <c r="H559" s="9" t="n">
        <v>448935</v>
      </c>
      <c r="I559" s="10" t="n">
        <v>0.164</v>
      </c>
      <c r="J559" s="10">
        <f>IF(COUNT(G309:G558)&lt;20,"",IF(COUNTIF(G309:G558,"&lt;"&amp;G559)&gt;=COUNT(G309:G558),(COUNT(G309:G558)-0.5)/COUNT(G309:G558),IF(COUNTIF(G309:G558,G559)&gt;0,(COUNTIF(G309:G558,"&lt;"&amp;G559)+0.5*COUNTIF(G309:G558,G559))/COUNT(G309:G558),COUNTIF(G309:G558,"&lt;"&amp;G559)/COUNT(G309:G558))))</f>
        <v/>
      </c>
      <c r="K559" s="6" t="inlineStr">
        <is>
          <t>中间分位</t>
        </is>
      </c>
      <c r="L559" s="6" t="n">
        <v>28</v>
      </c>
      <c r="M559" s="6" t="inlineStr">
        <is>
          <t>Contango(远强)</t>
        </is>
      </c>
      <c r="N559" s="6" t="n">
        <v>1</v>
      </c>
      <c r="O559" s="6" t="n">
        <v>0</v>
      </c>
      <c r="P559" s="7" t="n">
        <v>-37</v>
      </c>
      <c r="Q559" s="6" t="inlineStr"/>
    </row>
    <row r="560">
      <c r="A560" s="11" t="inlineStr">
        <is>
          <t>2024-12-06</t>
        </is>
      </c>
      <c r="B560" s="11" t="inlineStr">
        <is>
          <t>MA2501</t>
        </is>
      </c>
      <c r="C560" s="11" t="inlineStr">
        <is>
          <t>2025-01</t>
        </is>
      </c>
      <c r="D560" s="12" t="n">
        <v>2482.5</v>
      </c>
      <c r="E560" s="12" t="n">
        <v>2533</v>
      </c>
      <c r="F560" s="12">
        <f>D560-E560</f>
        <v/>
      </c>
      <c r="G560" s="13">
        <f>IF(D560=0,"",(D560-E560)/D560)</f>
        <v/>
      </c>
      <c r="H560" s="14" t="n">
        <v>427094</v>
      </c>
      <c r="I560" s="15" t="n">
        <v>0.032</v>
      </c>
      <c r="J560" s="15">
        <f>IF(COUNT(G310:G559)&lt;20,"",IF(COUNTIF(G310:G559,"&lt;"&amp;G560)&gt;=COUNT(G310:G559),(COUNT(G310:G559)-0.5)/COUNT(G310:G559),IF(COUNTIF(G310:G559,G560)&gt;0,(COUNTIF(G310:G559,"&lt;"&amp;G560)+0.5*COUNTIF(G310:G559,G560))/COUNT(G310:G559),COUNTIF(G310:G559,"&lt;"&amp;G560)/COUNT(G310:G559))))</f>
        <v/>
      </c>
      <c r="K560" s="11" t="inlineStr">
        <is>
          <t>低分位</t>
        </is>
      </c>
      <c r="L560" s="11" t="n">
        <v>27</v>
      </c>
      <c r="M560" s="11" t="inlineStr">
        <is>
          <t>Back(近强)</t>
        </is>
      </c>
      <c r="N560" s="11" t="n">
        <v>1</v>
      </c>
      <c r="O560" s="11" t="n">
        <v>0</v>
      </c>
      <c r="P560" s="12" t="n">
        <v>124</v>
      </c>
      <c r="Q560" s="11" t="inlineStr"/>
    </row>
    <row r="561">
      <c r="A561" s="6" t="inlineStr">
        <is>
          <t>2024-12-09</t>
        </is>
      </c>
      <c r="B561" s="6" t="inlineStr">
        <is>
          <t>MA2505</t>
        </is>
      </c>
      <c r="C561" s="6" t="inlineStr">
        <is>
          <t>2025-05</t>
        </is>
      </c>
      <c r="D561" s="7" t="n">
        <v>2504.17</v>
      </c>
      <c r="E561" s="7" t="n">
        <v>2567</v>
      </c>
      <c r="F561" s="7">
        <f>D561-E561</f>
        <v/>
      </c>
      <c r="G561" s="8">
        <f>IF(D561=0,"",(D561-E561)/D561)</f>
        <v/>
      </c>
      <c r="H561" s="9" t="n">
        <v>459447</v>
      </c>
      <c r="I561" s="10" t="n">
        <v>0.02</v>
      </c>
      <c r="J561" s="10">
        <f>IF(COUNT(G311:G560)&lt;20,"",IF(COUNTIF(G311:G560,"&lt;"&amp;G561)&gt;=COUNT(G311:G560),(COUNT(G311:G560)-0.5)/COUNT(G311:G560),IF(COUNTIF(G311:G560,G561)&gt;0,(COUNTIF(G311:G560,"&lt;"&amp;G561)+0.5*COUNTIF(G311:G560,G561))/COUNT(G311:G560),COUNTIF(G311:G560,"&lt;"&amp;G561)/COUNT(G311:G560))))</f>
        <v/>
      </c>
      <c r="K561" s="6" t="inlineStr">
        <is>
          <t>低分位</t>
        </is>
      </c>
      <c r="L561" s="6" t="n">
        <v>103</v>
      </c>
      <c r="M561" s="6" t="inlineStr">
        <is>
          <t>Contango(远强)</t>
        </is>
      </c>
      <c r="N561" s="6" t="n">
        <v>1</v>
      </c>
      <c r="O561" s="6" t="n">
        <v>1</v>
      </c>
      <c r="P561" s="7" t="n">
        <v>12</v>
      </c>
      <c r="Q561" s="6" t="inlineStr"/>
    </row>
    <row r="562">
      <c r="A562" s="11" t="inlineStr">
        <is>
          <t>2024-12-10</t>
        </is>
      </c>
      <c r="B562" s="11" t="inlineStr">
        <is>
          <t>MA2505</t>
        </is>
      </c>
      <c r="C562" s="11" t="inlineStr">
        <is>
          <t>2025-05</t>
        </is>
      </c>
      <c r="D562" s="12" t="n">
        <v>2530</v>
      </c>
      <c r="E562" s="12" t="n">
        <v>2586</v>
      </c>
      <c r="F562" s="12">
        <f>D562-E562</f>
        <v/>
      </c>
      <c r="G562" s="13">
        <f>IF(D562=0,"",(D562-E562)/D562)</f>
        <v/>
      </c>
      <c r="H562" s="14" t="n">
        <v>522209</v>
      </c>
      <c r="I562" s="15" t="n">
        <v>0.032</v>
      </c>
      <c r="J562" s="15">
        <f>IF(COUNT(G312:G561)&lt;20,"",IF(COUNTIF(G312:G561,"&lt;"&amp;G562)&gt;=COUNT(G312:G561),(COUNT(G312:G561)-0.5)/COUNT(G312:G561),IF(COUNTIF(G312:G561,G562)&gt;0,(COUNTIF(G312:G561,"&lt;"&amp;G562)+0.5*COUNTIF(G312:G561,G562))/COUNT(G312:G561),COUNTIF(G312:G561,"&lt;"&amp;G562)/COUNT(G312:G561))))</f>
        <v/>
      </c>
      <c r="K562" s="11" t="inlineStr">
        <is>
          <t>低分位</t>
        </is>
      </c>
      <c r="L562" s="11" t="n">
        <v>102</v>
      </c>
      <c r="M562" s="11" t="inlineStr">
        <is>
          <t>结构不明</t>
        </is>
      </c>
      <c r="N562" s="11" t="n">
        <v>1</v>
      </c>
      <c r="O562" s="11" t="n">
        <v>0</v>
      </c>
      <c r="P562" s="12" t="n">
        <v>17</v>
      </c>
      <c r="Q562" s="11" t="inlineStr"/>
    </row>
    <row r="563">
      <c r="A563" s="6" t="inlineStr">
        <is>
          <t>2024-12-11</t>
        </is>
      </c>
      <c r="B563" s="6" t="inlineStr">
        <is>
          <t>MA2505</t>
        </is>
      </c>
      <c r="C563" s="6" t="inlineStr">
        <is>
          <t>2025-05</t>
        </is>
      </c>
      <c r="D563" s="7" t="n">
        <v>2548.33</v>
      </c>
      <c r="E563" s="7" t="n">
        <v>2608</v>
      </c>
      <c r="F563" s="7">
        <f>D563-E563</f>
        <v/>
      </c>
      <c r="G563" s="8">
        <f>IF(D563=0,"",(D563-E563)/D563)</f>
        <v/>
      </c>
      <c r="H563" s="9" t="n">
        <v>595963</v>
      </c>
      <c r="I563" s="10" t="n">
        <v>0.032</v>
      </c>
      <c r="J563" s="10">
        <f>IF(COUNT(G313:G562)&lt;20,"",IF(COUNTIF(G313:G562,"&lt;"&amp;G563)&gt;=COUNT(G313:G562),(COUNT(G313:G562)-0.5)/COUNT(G313:G562),IF(COUNTIF(G313:G562,G563)&gt;0,(COUNTIF(G313:G562,"&lt;"&amp;G563)+0.5*COUNTIF(G313:G562,G563))/COUNT(G313:G562),COUNTIF(G313:G562,"&lt;"&amp;G563)/COUNT(G313:G562))))</f>
        <v/>
      </c>
      <c r="K563" s="6" t="inlineStr">
        <is>
          <t>低分位</t>
        </is>
      </c>
      <c r="L563" s="6" t="n">
        <v>101</v>
      </c>
      <c r="M563" s="6" t="inlineStr">
        <is>
          <t>结构不明</t>
        </is>
      </c>
      <c r="N563" s="6" t="n">
        <v>1</v>
      </c>
      <c r="O563" s="6" t="n">
        <v>0</v>
      </c>
      <c r="P563" s="7" t="n">
        <v>19</v>
      </c>
      <c r="Q563" s="6" t="inlineStr"/>
    </row>
    <row r="564">
      <c r="A564" s="11" t="inlineStr">
        <is>
          <t>2024-12-12</t>
        </is>
      </c>
      <c r="B564" s="11" t="inlineStr">
        <is>
          <t>MA2505</t>
        </is>
      </c>
      <c r="C564" s="11" t="inlineStr">
        <is>
          <t>2025-05</t>
        </is>
      </c>
      <c r="D564" s="12" t="n">
        <v>2560</v>
      </c>
      <c r="E564" s="12" t="n">
        <v>2631</v>
      </c>
      <c r="F564" s="12">
        <f>D564-E564</f>
        <v/>
      </c>
      <c r="G564" s="13">
        <f>IF(D564=0,"",(D564-E564)/D564)</f>
        <v/>
      </c>
      <c r="H564" s="14" t="n">
        <v>664177</v>
      </c>
      <c r="I564" s="15" t="n">
        <v>0.008</v>
      </c>
      <c r="J564" s="15">
        <f>IF(COUNT(G314:G563)&lt;20,"",IF(COUNTIF(G314:G563,"&lt;"&amp;G564)&gt;=COUNT(G314:G563),(COUNT(G314:G563)-0.5)/COUNT(G314:G563),IF(COUNTIF(G314:G563,G564)&gt;0,(COUNTIF(G314:G563,"&lt;"&amp;G564)+0.5*COUNTIF(G314:G563,G564))/COUNT(G314:G563),COUNTIF(G314:G563,"&lt;"&amp;G564)/COUNT(G314:G563))))</f>
        <v/>
      </c>
      <c r="K564" s="11" t="inlineStr">
        <is>
          <t>低分位</t>
        </is>
      </c>
      <c r="L564" s="11" t="n">
        <v>100</v>
      </c>
      <c r="M564" s="11" t="inlineStr">
        <is>
          <t>结构不明</t>
        </is>
      </c>
      <c r="N564" s="11" t="n">
        <v>1</v>
      </c>
      <c r="O564" s="11" t="n">
        <v>0</v>
      </c>
      <c r="P564" s="12" t="n">
        <v>16</v>
      </c>
      <c r="Q564" s="11" t="inlineStr"/>
    </row>
    <row r="565">
      <c r="A565" s="6" t="inlineStr">
        <is>
          <t>2024-12-13</t>
        </is>
      </c>
      <c r="B565" s="6" t="inlineStr">
        <is>
          <t>MA2505</t>
        </is>
      </c>
      <c r="C565" s="6" t="inlineStr">
        <is>
          <t>2025-05</t>
        </is>
      </c>
      <c r="D565" s="7" t="n">
        <v>2595.83</v>
      </c>
      <c r="E565" s="7" t="n">
        <v>2610</v>
      </c>
      <c r="F565" s="7">
        <f>D565-E565</f>
        <v/>
      </c>
      <c r="G565" s="8">
        <f>IF(D565=0,"",(D565-E565)/D565)</f>
        <v/>
      </c>
      <c r="H565" s="9" t="n">
        <v>674811</v>
      </c>
      <c r="I565" s="10" t="n">
        <v>0.192</v>
      </c>
      <c r="J565" s="10">
        <f>IF(COUNT(G315:G564)&lt;20,"",IF(COUNTIF(G315:G564,"&lt;"&amp;G565)&gt;=COUNT(G315:G564),(COUNT(G315:G564)-0.5)/COUNT(G315:G564),IF(COUNTIF(G315:G564,G565)&gt;0,(COUNTIF(G315:G564,"&lt;"&amp;G565)+0.5*COUNTIF(G315:G564,G565))/COUNT(G315:G564),COUNTIF(G315:G564,"&lt;"&amp;G565)/COUNT(G315:G564))))</f>
        <v/>
      </c>
      <c r="K565" s="6" t="inlineStr">
        <is>
          <t>中间分位</t>
        </is>
      </c>
      <c r="L565" s="6" t="n">
        <v>99</v>
      </c>
      <c r="M565" s="6" t="inlineStr">
        <is>
          <t>Contango(远强)</t>
        </is>
      </c>
      <c r="N565" s="6" t="n">
        <v>1</v>
      </c>
      <c r="O565" s="6" t="n">
        <v>0</v>
      </c>
      <c r="P565" s="7" t="n">
        <v>11</v>
      </c>
      <c r="Q565" s="6" t="inlineStr"/>
    </row>
    <row r="566">
      <c r="A566" s="11" t="inlineStr">
        <is>
          <t>2024-12-16</t>
        </is>
      </c>
      <c r="B566" s="11" t="inlineStr">
        <is>
          <t>MA2505</t>
        </is>
      </c>
      <c r="C566" s="11" t="inlineStr">
        <is>
          <t>2025-05</t>
        </is>
      </c>
      <c r="D566" s="12" t="n">
        <v>2600</v>
      </c>
      <c r="E566" s="12" t="n">
        <v>2619</v>
      </c>
      <c r="F566" s="12">
        <f>D566-E566</f>
        <v/>
      </c>
      <c r="G566" s="13">
        <f>IF(D566=0,"",(D566-E566)/D566)</f>
        <v/>
      </c>
      <c r="H566" s="14" t="n">
        <v>699053</v>
      </c>
      <c r="I566" s="15" t="n">
        <v>0.168</v>
      </c>
      <c r="J566" s="15">
        <f>IF(COUNT(G316:G565)&lt;20,"",IF(COUNTIF(G316:G565,"&lt;"&amp;G566)&gt;=COUNT(G316:G565),(COUNT(G316:G565)-0.5)/COUNT(G316:G565),IF(COUNTIF(G316:G565,G566)&gt;0,(COUNTIF(G316:G565,"&lt;"&amp;G566)+0.5*COUNTIF(G316:G565,G566))/COUNT(G316:G565),COUNTIF(G316:G565,"&lt;"&amp;G566)/COUNT(G316:G565))))</f>
        <v/>
      </c>
      <c r="K566" s="11" t="inlineStr">
        <is>
          <t>中间分位</t>
        </is>
      </c>
      <c r="L566" s="11" t="n">
        <v>98</v>
      </c>
      <c r="M566" s="11" t="inlineStr">
        <is>
          <t>Contango(远强)</t>
        </is>
      </c>
      <c r="N566" s="11" t="n">
        <v>1</v>
      </c>
      <c r="O566" s="11" t="n">
        <v>0</v>
      </c>
      <c r="P566" s="12" t="n">
        <v>12</v>
      </c>
      <c r="Q566" s="11" t="inlineStr"/>
    </row>
    <row r="567">
      <c r="A567" s="6" t="inlineStr">
        <is>
          <t>2024-12-17</t>
        </is>
      </c>
      <c r="B567" s="6" t="inlineStr">
        <is>
          <t>MA2505</t>
        </is>
      </c>
      <c r="C567" s="6" t="inlineStr">
        <is>
          <t>2025-05</t>
        </is>
      </c>
      <c r="D567" s="7" t="n">
        <v>2620</v>
      </c>
      <c r="E567" s="7" t="n">
        <v>2604</v>
      </c>
      <c r="F567" s="7">
        <f>D567-E567</f>
        <v/>
      </c>
      <c r="G567" s="8">
        <f>IF(D567=0,"",(D567-E567)/D567)</f>
        <v/>
      </c>
      <c r="H567" s="9" t="n">
        <v>701095</v>
      </c>
      <c r="I567" s="10" t="n">
        <v>0.368</v>
      </c>
      <c r="J567" s="10">
        <f>IF(COUNT(G317:G566)&lt;20,"",IF(COUNTIF(G317:G566,"&lt;"&amp;G567)&gt;=COUNT(G317:G566),(COUNT(G317:G566)-0.5)/COUNT(G317:G566),IF(COUNTIF(G317:G566,G567)&gt;0,(COUNTIF(G317:G566,"&lt;"&amp;G567)+0.5*COUNTIF(G317:G566,G567))/COUNT(G317:G566),COUNTIF(G317:G566,"&lt;"&amp;G567)/COUNT(G317:G566))))</f>
        <v/>
      </c>
      <c r="K567" s="6" t="inlineStr">
        <is>
          <t>中间分位</t>
        </is>
      </c>
      <c r="L567" s="6" t="n">
        <v>97</v>
      </c>
      <c r="M567" s="6" t="inlineStr">
        <is>
          <t>Contango(远强)</t>
        </is>
      </c>
      <c r="N567" s="6" t="n">
        <v>1</v>
      </c>
      <c r="O567" s="6" t="n">
        <v>0</v>
      </c>
      <c r="P567" s="7" t="n">
        <v>1</v>
      </c>
      <c r="Q567" s="6" t="inlineStr"/>
    </row>
    <row r="568">
      <c r="A568" s="11" t="inlineStr">
        <is>
          <t>2024-12-18</t>
        </is>
      </c>
      <c r="B568" s="11" t="inlineStr">
        <is>
          <t>MA2505</t>
        </is>
      </c>
      <c r="C568" s="11" t="inlineStr">
        <is>
          <t>2025-05</t>
        </is>
      </c>
      <c r="D568" s="12" t="n">
        <v>2614.17</v>
      </c>
      <c r="E568" s="12" t="n">
        <v>2596</v>
      </c>
      <c r="F568" s="12">
        <f>D568-E568</f>
        <v/>
      </c>
      <c r="G568" s="13">
        <f>IF(D568=0,"",(D568-E568)/D568)</f>
        <v/>
      </c>
      <c r="H568" s="14" t="n">
        <v>709864</v>
      </c>
      <c r="I568" s="15" t="n">
        <v>0.392</v>
      </c>
      <c r="J568" s="15">
        <f>IF(COUNT(G318:G567)&lt;20,"",IF(COUNTIF(G318:G567,"&lt;"&amp;G568)&gt;=COUNT(G318:G567),(COUNT(G318:G567)-0.5)/COUNT(G318:G567),IF(COUNTIF(G318:G567,G568)&gt;0,(COUNTIF(G318:G567,"&lt;"&amp;G568)+0.5*COUNTIF(G318:G567,G568))/COUNT(G318:G567),COUNTIF(G318:G567,"&lt;"&amp;G568)/COUNT(G318:G567))))</f>
        <v/>
      </c>
      <c r="K568" s="11" t="inlineStr">
        <is>
          <t>中间分位</t>
        </is>
      </c>
      <c r="L568" s="11" t="n">
        <v>96</v>
      </c>
      <c r="M568" s="11" t="inlineStr">
        <is>
          <t>Contango(远强)</t>
        </is>
      </c>
      <c r="N568" s="11" t="n">
        <v>1</v>
      </c>
      <c r="O568" s="11" t="n">
        <v>0</v>
      </c>
      <c r="P568" s="12" t="n">
        <v>-9</v>
      </c>
      <c r="Q568" s="11" t="inlineStr"/>
    </row>
    <row r="569">
      <c r="A569" s="6" t="inlineStr">
        <is>
          <t>2024-12-19</t>
        </is>
      </c>
      <c r="B569" s="6" t="inlineStr">
        <is>
          <t>MA2505</t>
        </is>
      </c>
      <c r="C569" s="6" t="inlineStr">
        <is>
          <t>2025-05</t>
        </is>
      </c>
      <c r="D569" s="7" t="n">
        <v>2625</v>
      </c>
      <c r="E569" s="7" t="n">
        <v>2612</v>
      </c>
      <c r="F569" s="7">
        <f>D569-E569</f>
        <v/>
      </c>
      <c r="G569" s="8">
        <f>IF(D569=0,"",(D569-E569)/D569)</f>
        <v/>
      </c>
      <c r="H569" s="9" t="n">
        <v>737113</v>
      </c>
      <c r="I569" s="10" t="n">
        <v>0.36</v>
      </c>
      <c r="J569" s="10">
        <f>IF(COUNT(G319:G568)&lt;20,"",IF(COUNTIF(G319:G568,"&lt;"&amp;G569)&gt;=COUNT(G319:G568),(COUNT(G319:G568)-0.5)/COUNT(G319:G568),IF(COUNTIF(G319:G568,G569)&gt;0,(COUNTIF(G319:G568,"&lt;"&amp;G569)+0.5*COUNTIF(G319:G568,G569))/COUNT(G319:G568),COUNTIF(G319:G568,"&lt;"&amp;G569)/COUNT(G319:G568))))</f>
        <v/>
      </c>
      <c r="K569" s="6" t="inlineStr">
        <is>
          <t>中间分位</t>
        </is>
      </c>
      <c r="L569" s="6" t="n">
        <v>95</v>
      </c>
      <c r="M569" s="6" t="inlineStr">
        <is>
          <t>Contango(远强)</t>
        </is>
      </c>
      <c r="N569" s="6" t="n">
        <v>1</v>
      </c>
      <c r="O569" s="6" t="n">
        <v>0</v>
      </c>
      <c r="P569" s="7" t="n">
        <v>-23</v>
      </c>
      <c r="Q569" s="6" t="inlineStr"/>
    </row>
    <row r="570">
      <c r="A570" s="11" t="inlineStr">
        <is>
          <t>2024-12-20</t>
        </is>
      </c>
      <c r="B570" s="11" t="inlineStr">
        <is>
          <t>MA2505</t>
        </is>
      </c>
      <c r="C570" s="11" t="inlineStr">
        <is>
          <t>2025-05</t>
        </is>
      </c>
      <c r="D570" s="12" t="n">
        <v>2625</v>
      </c>
      <c r="E570" s="12" t="n">
        <v>2593</v>
      </c>
      <c r="F570" s="12">
        <f>D570-E570</f>
        <v/>
      </c>
      <c r="G570" s="13">
        <f>IF(D570=0,"",(D570-E570)/D570)</f>
        <v/>
      </c>
      <c r="H570" s="14" t="n">
        <v>727710</v>
      </c>
      <c r="I570" s="15" t="n">
        <v>0.472</v>
      </c>
      <c r="J570" s="15">
        <f>IF(COUNT(G320:G569)&lt;20,"",IF(COUNTIF(G320:G569,"&lt;"&amp;G570)&gt;=COUNT(G320:G569),(COUNT(G320:G569)-0.5)/COUNT(G320:G569),IF(COUNTIF(G320:G569,G570)&gt;0,(COUNTIF(G320:G569,"&lt;"&amp;G570)+0.5*COUNTIF(G320:G569,G570))/COUNT(G320:G569),COUNTIF(G320:G569,"&lt;"&amp;G570)/COUNT(G320:G569))))</f>
        <v/>
      </c>
      <c r="K570" s="11" t="inlineStr">
        <is>
          <t>中间分位</t>
        </is>
      </c>
      <c r="L570" s="11" t="n">
        <v>94</v>
      </c>
      <c r="M570" s="11" t="inlineStr">
        <is>
          <t>Contango(远强)</t>
        </is>
      </c>
      <c r="N570" s="11" t="n">
        <v>1</v>
      </c>
      <c r="O570" s="11" t="n">
        <v>0</v>
      </c>
      <c r="P570" s="12" t="n">
        <v>-41</v>
      </c>
      <c r="Q570" s="11" t="inlineStr"/>
    </row>
    <row r="571">
      <c r="A571" s="6" t="inlineStr">
        <is>
          <t>2024-12-23</t>
        </is>
      </c>
      <c r="B571" s="6" t="inlineStr">
        <is>
          <t>MA2505</t>
        </is>
      </c>
      <c r="C571" s="6" t="inlineStr">
        <is>
          <t>2025-05</t>
        </is>
      </c>
      <c r="D571" s="7" t="n">
        <v>2675.83</v>
      </c>
      <c r="E571" s="7" t="n">
        <v>2642</v>
      </c>
      <c r="F571" s="7">
        <f>D571-E571</f>
        <v/>
      </c>
      <c r="G571" s="8">
        <f>IF(D571=0,"",(D571-E571)/D571)</f>
        <v/>
      </c>
      <c r="H571" s="9" t="n">
        <v>816713</v>
      </c>
      <c r="I571" s="10" t="n">
        <v>0.476</v>
      </c>
      <c r="J571" s="10">
        <f>IF(COUNT(G321:G570)&lt;20,"",IF(COUNTIF(G321:G570,"&lt;"&amp;G571)&gt;=COUNT(G321:G570),(COUNT(G321:G570)-0.5)/COUNT(G321:G570),IF(COUNTIF(G321:G570,G571)&gt;0,(COUNTIF(G321:G570,"&lt;"&amp;G571)+0.5*COUNTIF(G321:G570,G571))/COUNT(G321:G570),COUNTIF(G321:G570,"&lt;"&amp;G571)/COUNT(G321:G570))))</f>
        <v/>
      </c>
      <c r="K571" s="6" t="inlineStr">
        <is>
          <t>中间分位</t>
        </is>
      </c>
      <c r="L571" s="6" t="n">
        <v>93</v>
      </c>
      <c r="M571" s="6" t="inlineStr">
        <is>
          <t>Contango(远强)</t>
        </is>
      </c>
      <c r="N571" s="6" t="n">
        <v>1</v>
      </c>
      <c r="O571" s="6" t="n">
        <v>0</v>
      </c>
      <c r="P571" s="7" t="n">
        <v>-86</v>
      </c>
      <c r="Q571" s="6" t="inlineStr"/>
    </row>
    <row r="572">
      <c r="A572" s="11" t="inlineStr">
        <is>
          <t>2024-12-24</t>
        </is>
      </c>
      <c r="B572" s="11" t="inlineStr">
        <is>
          <t>MA2505</t>
        </is>
      </c>
      <c r="C572" s="11" t="inlineStr">
        <is>
          <t>2025-05</t>
        </is>
      </c>
      <c r="D572" s="12" t="n">
        <v>2746.67</v>
      </c>
      <c r="E572" s="12" t="n">
        <v>2657</v>
      </c>
      <c r="F572" s="12">
        <f>D572-E572</f>
        <v/>
      </c>
      <c r="G572" s="13">
        <f>IF(D572=0,"",(D572-E572)/D572)</f>
        <v/>
      </c>
      <c r="H572" s="14" t="n">
        <v>869013</v>
      </c>
      <c r="I572" s="15" t="n">
        <v>0.652</v>
      </c>
      <c r="J572" s="15">
        <f>IF(COUNT(G322:G571)&lt;20,"",IF(COUNTIF(G322:G571,"&lt;"&amp;G572)&gt;=COUNT(G322:G571),(COUNT(G322:G571)-0.5)/COUNT(G322:G571),IF(COUNTIF(G322:G571,G572)&gt;0,(COUNTIF(G322:G571,"&lt;"&amp;G572)+0.5*COUNTIF(G322:G571,G572))/COUNT(G322:G571),COUNTIF(G322:G571,"&lt;"&amp;G572)/COUNT(G322:G571))))</f>
        <v/>
      </c>
      <c r="K572" s="11" t="inlineStr">
        <is>
          <t>中间分位</t>
        </is>
      </c>
      <c r="L572" s="11" t="n">
        <v>92</v>
      </c>
      <c r="M572" s="11" t="inlineStr">
        <is>
          <t>Contango(远强)</t>
        </is>
      </c>
      <c r="N572" s="11" t="n">
        <v>1</v>
      </c>
      <c r="O572" s="11" t="n">
        <v>0</v>
      </c>
      <c r="P572" s="12" t="n">
        <v>-68</v>
      </c>
      <c r="Q572" s="11" t="inlineStr"/>
    </row>
    <row r="573">
      <c r="A573" s="6" t="inlineStr">
        <is>
          <t>2024-12-25</t>
        </is>
      </c>
      <c r="B573" s="6" t="inlineStr">
        <is>
          <t>MA2505</t>
        </is>
      </c>
      <c r="C573" s="6" t="inlineStr">
        <is>
          <t>2025-05</t>
        </is>
      </c>
      <c r="D573" s="7" t="n">
        <v>2758.33</v>
      </c>
      <c r="E573" s="7" t="n">
        <v>2653</v>
      </c>
      <c r="F573" s="7">
        <f>D573-E573</f>
        <v/>
      </c>
      <c r="G573" s="8">
        <f>IF(D573=0,"",(D573-E573)/D573)</f>
        <v/>
      </c>
      <c r="H573" s="9" t="n">
        <v>866142</v>
      </c>
      <c r="I573" s="10" t="n">
        <v>0.6879999999999999</v>
      </c>
      <c r="J573" s="10">
        <f>IF(COUNT(G323:G572)&lt;20,"",IF(COUNTIF(G323:G572,"&lt;"&amp;G573)&gt;=COUNT(G323:G572),(COUNT(G323:G572)-0.5)/COUNT(G323:G572),IF(COUNTIF(G323:G572,G573)&gt;0,(COUNTIF(G323:G572,"&lt;"&amp;G573)+0.5*COUNTIF(G323:G572,G573))/COUNT(G323:G572),COUNTIF(G323:G572,"&lt;"&amp;G573)/COUNT(G323:G572))))</f>
        <v/>
      </c>
      <c r="K573" s="6" t="inlineStr">
        <is>
          <t>中间分位</t>
        </is>
      </c>
      <c r="L573" s="6" t="n">
        <v>91</v>
      </c>
      <c r="M573" s="6" t="inlineStr">
        <is>
          <t>Contango(远强)</t>
        </is>
      </c>
      <c r="N573" s="6" t="n">
        <v>1</v>
      </c>
      <c r="O573" s="6" t="n">
        <v>0</v>
      </c>
      <c r="P573" s="7" t="n">
        <v>-58</v>
      </c>
      <c r="Q573" s="6" t="inlineStr"/>
    </row>
    <row r="574">
      <c r="A574" s="11" t="inlineStr">
        <is>
          <t>2024-12-26</t>
        </is>
      </c>
      <c r="B574" s="11" t="inlineStr">
        <is>
          <t>MA2505</t>
        </is>
      </c>
      <c r="C574" s="11" t="inlineStr">
        <is>
          <t>2025-05</t>
        </is>
      </c>
      <c r="D574" s="12" t="n">
        <v>2740</v>
      </c>
      <c r="E574" s="12" t="n">
        <v>2652</v>
      </c>
      <c r="F574" s="12">
        <f>D574-E574</f>
        <v/>
      </c>
      <c r="G574" s="13">
        <f>IF(D574=0,"",(D574-E574)/D574)</f>
        <v/>
      </c>
      <c r="H574" s="14" t="n">
        <v>864578</v>
      </c>
      <c r="I574" s="15" t="n">
        <v>0.648</v>
      </c>
      <c r="J574" s="15">
        <f>IF(COUNT(G324:G573)&lt;20,"",IF(COUNTIF(G324:G573,"&lt;"&amp;G574)&gt;=COUNT(G324:G573),(COUNT(G324:G573)-0.5)/COUNT(G324:G573),IF(COUNTIF(G324:G573,G574)&gt;0,(COUNTIF(G324:G573,"&lt;"&amp;G574)+0.5*COUNTIF(G324:G573,G574))/COUNT(G324:G573),COUNTIF(G324:G573,"&lt;"&amp;G574)/COUNT(G324:G573))))</f>
        <v/>
      </c>
      <c r="K574" s="11" t="inlineStr">
        <is>
          <t>中间分位</t>
        </is>
      </c>
      <c r="L574" s="11" t="n">
        <v>90</v>
      </c>
      <c r="M574" s="11" t="inlineStr">
        <is>
          <t>Contango(远强)</t>
        </is>
      </c>
      <c r="N574" s="11" t="n">
        <v>1</v>
      </c>
      <c r="O574" s="11" t="n">
        <v>0</v>
      </c>
      <c r="P574" s="12" t="n">
        <v>-52</v>
      </c>
      <c r="Q574" s="11" t="inlineStr"/>
    </row>
    <row r="575">
      <c r="A575" s="6" t="inlineStr">
        <is>
          <t>2024-12-27</t>
        </is>
      </c>
      <c r="B575" s="6" t="inlineStr">
        <is>
          <t>MA2505</t>
        </is>
      </c>
      <c r="C575" s="6" t="inlineStr">
        <is>
          <t>2025-05</t>
        </is>
      </c>
      <c r="D575" s="7" t="n">
        <v>2750</v>
      </c>
      <c r="E575" s="7" t="n">
        <v>2637</v>
      </c>
      <c r="F575" s="7">
        <f>D575-E575</f>
        <v/>
      </c>
      <c r="G575" s="8">
        <f>IF(D575=0,"",(D575-E575)/D575)</f>
        <v/>
      </c>
      <c r="H575" s="9" t="n">
        <v>844004</v>
      </c>
      <c r="I575" s="10" t="n">
        <v>0.732</v>
      </c>
      <c r="J575" s="10">
        <f>IF(COUNT(G325:G574)&lt;20,"",IF(COUNTIF(G325:G574,"&lt;"&amp;G575)&gt;=COUNT(G325:G574),(COUNT(G325:G574)-0.5)/COUNT(G325:G574),IF(COUNTIF(G325:G574,G575)&gt;0,(COUNTIF(G325:G574,"&lt;"&amp;G575)+0.5*COUNTIF(G325:G574,G575))/COUNT(G325:G574),COUNTIF(G325:G574,"&lt;"&amp;G575)/COUNT(G325:G574))))</f>
        <v/>
      </c>
      <c r="K575" s="6" t="inlineStr">
        <is>
          <t>中间分位</t>
        </is>
      </c>
      <c r="L575" s="6" t="n">
        <v>89</v>
      </c>
      <c r="M575" s="6" t="inlineStr">
        <is>
          <t>Contango(远强)</t>
        </is>
      </c>
      <c r="N575" s="6" t="n">
        <v>1</v>
      </c>
      <c r="O575" s="6" t="n">
        <v>0</v>
      </c>
      <c r="P575" s="7" t="n">
        <v>-33</v>
      </c>
      <c r="Q575" s="6" t="inlineStr"/>
    </row>
    <row r="576">
      <c r="A576" s="11" t="inlineStr">
        <is>
          <t>2024-12-30</t>
        </is>
      </c>
      <c r="B576" s="11" t="inlineStr">
        <is>
          <t>MA2505</t>
        </is>
      </c>
      <c r="C576" s="11" t="inlineStr">
        <is>
          <t>2025-05</t>
        </is>
      </c>
      <c r="D576" s="12" t="n">
        <v>2711.67</v>
      </c>
      <c r="E576" s="12" t="n">
        <v>2674</v>
      </c>
      <c r="F576" s="12">
        <f>D576-E576</f>
        <v/>
      </c>
      <c r="G576" s="13">
        <f>IF(D576=0,"",(D576-E576)/D576)</f>
        <v/>
      </c>
      <c r="H576" s="14" t="n">
        <v>875476</v>
      </c>
      <c r="I576" s="15" t="n">
        <v>0.484</v>
      </c>
      <c r="J576" s="15">
        <f>IF(COUNT(G326:G575)&lt;20,"",IF(COUNTIF(G326:G575,"&lt;"&amp;G576)&gt;=COUNT(G326:G575),(COUNT(G326:G575)-0.5)/COUNT(G326:G575),IF(COUNTIF(G326:G575,G576)&gt;0,(COUNTIF(G326:G575,"&lt;"&amp;G576)+0.5*COUNTIF(G326:G575,G576))/COUNT(G326:G575),COUNTIF(G326:G575,"&lt;"&amp;G576)/COUNT(G326:G575))))</f>
        <v/>
      </c>
      <c r="K576" s="11" t="inlineStr">
        <is>
          <t>中间分位</t>
        </is>
      </c>
      <c r="L576" s="11" t="n">
        <v>88</v>
      </c>
      <c r="M576" s="11" t="inlineStr">
        <is>
          <t>Contango(远强)</t>
        </is>
      </c>
      <c r="N576" s="11" t="n">
        <v>1</v>
      </c>
      <c r="O576" s="11" t="n">
        <v>0</v>
      </c>
      <c r="P576" s="12" t="n">
        <v>-44</v>
      </c>
      <c r="Q576" s="11" t="inlineStr"/>
    </row>
    <row r="577">
      <c r="A577" s="6" t="inlineStr">
        <is>
          <t>2024-12-31</t>
        </is>
      </c>
      <c r="B577" s="6" t="inlineStr">
        <is>
          <t>MA2505</t>
        </is>
      </c>
      <c r="C577" s="6" t="inlineStr">
        <is>
          <t>2025-05</t>
        </is>
      </c>
      <c r="D577" s="7" t="n">
        <v>2745.83</v>
      </c>
      <c r="E577" s="7" t="n">
        <v>2703</v>
      </c>
      <c r="F577" s="7">
        <f>D577-E577</f>
        <v/>
      </c>
      <c r="G577" s="8">
        <f>IF(D577=0,"",(D577-E577)/D577)</f>
        <v/>
      </c>
      <c r="H577" s="9" t="n">
        <v>925080</v>
      </c>
      <c r="I577" s="10" t="n">
        <v>0.508</v>
      </c>
      <c r="J577" s="10">
        <f>IF(COUNT(G327:G576)&lt;20,"",IF(COUNTIF(G327:G576,"&lt;"&amp;G577)&gt;=COUNT(G327:G576),(COUNT(G327:G576)-0.5)/COUNT(G327:G576),IF(COUNTIF(G327:G576,G577)&gt;0,(COUNTIF(G327:G576,"&lt;"&amp;G577)+0.5*COUNTIF(G327:G576,G577))/COUNT(G327:G576),COUNTIF(G327:G576,"&lt;"&amp;G577)/COUNT(G327:G576))))</f>
        <v/>
      </c>
      <c r="K577" s="6" t="inlineStr">
        <is>
          <t>中间分位</t>
        </is>
      </c>
      <c r="L577" s="6" t="n">
        <v>87</v>
      </c>
      <c r="M577" s="6" t="inlineStr">
        <is>
          <t>Contango(远强)</t>
        </is>
      </c>
      <c r="N577" s="6" t="n">
        <v>1</v>
      </c>
      <c r="O577" s="6" t="n">
        <v>0</v>
      </c>
      <c r="P577" s="7" t="n">
        <v>-64</v>
      </c>
      <c r="Q577" s="6" t="inlineStr"/>
    </row>
    <row r="578">
      <c r="A578" s="11" t="inlineStr">
        <is>
          <t>2025-01-02</t>
        </is>
      </c>
      <c r="B578" s="11" t="inlineStr">
        <is>
          <t>MA2505</t>
        </is>
      </c>
      <c r="C578" s="11" t="inlineStr">
        <is>
          <t>2025-05</t>
        </is>
      </c>
      <c r="D578" s="12" t="n">
        <v>2758.33</v>
      </c>
      <c r="E578" s="12" t="n">
        <v>2707</v>
      </c>
      <c r="F578" s="12">
        <f>D578-E578</f>
        <v/>
      </c>
      <c r="G578" s="13">
        <f>IF(D578=0,"",(D578-E578)/D578)</f>
        <v/>
      </c>
      <c r="H578" s="14" t="n">
        <v>961329</v>
      </c>
      <c r="I578" s="15" t="n">
        <v>0.548</v>
      </c>
      <c r="J578" s="15">
        <f>IF(COUNT(G328:G577)&lt;20,"",IF(COUNTIF(G328:G577,"&lt;"&amp;G578)&gt;=COUNT(G328:G577),(COUNT(G328:G577)-0.5)/COUNT(G328:G577),IF(COUNTIF(G328:G577,G578)&gt;0,(COUNTIF(G328:G577,"&lt;"&amp;G578)+0.5*COUNTIF(G328:G577,G578))/COUNT(G328:G577),COUNTIF(G328:G577,"&lt;"&amp;G578)/COUNT(G328:G577))))</f>
        <v/>
      </c>
      <c r="K578" s="11" t="inlineStr">
        <is>
          <t>中间分位</t>
        </is>
      </c>
      <c r="L578" s="11" t="n">
        <v>86</v>
      </c>
      <c r="M578" s="11" t="inlineStr">
        <is>
          <t>Contango(远强)</t>
        </is>
      </c>
      <c r="N578" s="11" t="n">
        <v>1</v>
      </c>
      <c r="O578" s="11" t="n">
        <v>0</v>
      </c>
      <c r="P578" s="12" t="n">
        <v>-61</v>
      </c>
      <c r="Q578" s="11" t="inlineStr"/>
    </row>
    <row r="579">
      <c r="A579" s="6" t="inlineStr">
        <is>
          <t>2025-01-03</t>
        </is>
      </c>
      <c r="B579" s="6" t="inlineStr">
        <is>
          <t>MA2505</t>
        </is>
      </c>
      <c r="C579" s="6" t="inlineStr">
        <is>
          <t>2025-05</t>
        </is>
      </c>
      <c r="D579" s="7" t="n">
        <v>2779.17</v>
      </c>
      <c r="E579" s="7" t="n">
        <v>2659</v>
      </c>
      <c r="F579" s="7">
        <f>D579-E579</f>
        <v/>
      </c>
      <c r="G579" s="8">
        <f>IF(D579=0,"",(D579-E579)/D579)</f>
        <v/>
      </c>
      <c r="H579" s="9" t="n">
        <v>913464</v>
      </c>
      <c r="I579" s="10" t="n">
        <v>0.752</v>
      </c>
      <c r="J579" s="10">
        <f>IF(COUNT(G329:G578)&lt;20,"",IF(COUNTIF(G329:G578,"&lt;"&amp;G579)&gt;=COUNT(G329:G578),(COUNT(G329:G578)-0.5)/COUNT(G329:G578),IF(COUNTIF(G329:G578,G579)&gt;0,(COUNTIF(G329:G578,"&lt;"&amp;G579)+0.5*COUNTIF(G329:G578,G579))/COUNT(G329:G578),COUNTIF(G329:G578,"&lt;"&amp;G579)/COUNT(G329:G578))))</f>
        <v/>
      </c>
      <c r="K579" s="6" t="inlineStr">
        <is>
          <t>中间分位</t>
        </is>
      </c>
      <c r="L579" s="6" t="n">
        <v>85</v>
      </c>
      <c r="M579" s="6" t="inlineStr">
        <is>
          <t>Contango(远强)</t>
        </is>
      </c>
      <c r="N579" s="6" t="n">
        <v>1</v>
      </c>
      <c r="O579" s="6" t="n">
        <v>0</v>
      </c>
      <c r="P579" s="7" t="n">
        <v>-48</v>
      </c>
      <c r="Q579" s="6" t="inlineStr"/>
    </row>
    <row r="580">
      <c r="A580" s="11" t="inlineStr">
        <is>
          <t>2025-01-06</t>
        </is>
      </c>
      <c r="B580" s="11" t="inlineStr">
        <is>
          <t>MA2505</t>
        </is>
      </c>
      <c r="C580" s="11" t="inlineStr">
        <is>
          <t>2025-05</t>
        </is>
      </c>
      <c r="D580" s="12" t="n">
        <v>2750</v>
      </c>
      <c r="E580" s="12" t="n">
        <v>2591</v>
      </c>
      <c r="F580" s="12">
        <f>D580-E580</f>
        <v/>
      </c>
      <c r="G580" s="13">
        <f>IF(D580=0,"",(D580-E580)/D580)</f>
        <v/>
      </c>
      <c r="H580" s="14" t="n">
        <v>831577</v>
      </c>
      <c r="I580" s="15" t="n">
        <v>0.868</v>
      </c>
      <c r="J580" s="15">
        <f>IF(COUNT(G330:G579)&lt;20,"",IF(COUNTIF(G330:G579,"&lt;"&amp;G580)&gt;=COUNT(G330:G579),(COUNT(G330:G579)-0.5)/COUNT(G330:G579),IF(COUNTIF(G330:G579,G580)&gt;0,(COUNTIF(G330:G579,"&lt;"&amp;G580)+0.5*COUNTIF(G330:G579,G580))/COUNT(G330:G579),COUNTIF(G330:G579,"&lt;"&amp;G580)/COUNT(G330:G579))))</f>
        <v/>
      </c>
      <c r="K580" s="11" t="inlineStr">
        <is>
          <t>中间分位</t>
        </is>
      </c>
      <c r="L580" s="11" t="n">
        <v>84</v>
      </c>
      <c r="M580" s="11" t="inlineStr">
        <is>
          <t>Contango(远强)</t>
        </is>
      </c>
      <c r="N580" s="11" t="n">
        <v>1</v>
      </c>
      <c r="O580" s="11" t="n">
        <v>0</v>
      </c>
      <c r="P580" s="12" t="n">
        <v>-49</v>
      </c>
      <c r="Q580" s="11" t="inlineStr"/>
    </row>
    <row r="581">
      <c r="A581" s="6" t="inlineStr">
        <is>
          <t>2025-01-07</t>
        </is>
      </c>
      <c r="B581" s="6" t="inlineStr">
        <is>
          <t>MA2505</t>
        </is>
      </c>
      <c r="C581" s="6" t="inlineStr">
        <is>
          <t>2025-05</t>
        </is>
      </c>
      <c r="D581" s="7" t="n">
        <v>2668.33</v>
      </c>
      <c r="E581" s="7" t="n">
        <v>2584</v>
      </c>
      <c r="F581" s="7">
        <f>D581-E581</f>
        <v/>
      </c>
      <c r="G581" s="8">
        <f>IF(D581=0,"",(D581-E581)/D581)</f>
        <v/>
      </c>
      <c r="H581" s="9" t="n">
        <v>784428</v>
      </c>
      <c r="I581" s="10" t="n">
        <v>0.632</v>
      </c>
      <c r="J581" s="10">
        <f>IF(COUNT(G331:G580)&lt;20,"",IF(COUNTIF(G331:G580,"&lt;"&amp;G581)&gt;=COUNT(G331:G580),(COUNT(G331:G580)-0.5)/COUNT(G331:G580),IF(COUNTIF(G331:G580,G581)&gt;0,(COUNTIF(G331:G580,"&lt;"&amp;G581)+0.5*COUNTIF(G331:G580,G581))/COUNT(G331:G580),COUNTIF(G331:G580,"&lt;"&amp;G581)/COUNT(G331:G580))))</f>
        <v/>
      </c>
      <c r="K581" s="6" t="inlineStr">
        <is>
          <t>中间分位</t>
        </is>
      </c>
      <c r="L581" s="6" t="n">
        <v>83</v>
      </c>
      <c r="M581" s="6" t="inlineStr">
        <is>
          <t>Contango(远强)</t>
        </is>
      </c>
      <c r="N581" s="6" t="n">
        <v>1</v>
      </c>
      <c r="O581" s="6" t="n">
        <v>0</v>
      </c>
      <c r="P581" s="7" t="n">
        <v>-49</v>
      </c>
      <c r="Q581" s="6" t="inlineStr"/>
    </row>
    <row r="582">
      <c r="A582" s="11" t="inlineStr">
        <is>
          <t>2025-01-08</t>
        </is>
      </c>
      <c r="B582" s="11" t="inlineStr">
        <is>
          <t>MA2505</t>
        </is>
      </c>
      <c r="C582" s="11" t="inlineStr">
        <is>
          <t>2025-05</t>
        </is>
      </c>
      <c r="D582" s="12" t="n">
        <v>2673.33</v>
      </c>
      <c r="E582" s="12" t="n">
        <v>2601</v>
      </c>
      <c r="F582" s="12">
        <f>D582-E582</f>
        <v/>
      </c>
      <c r="G582" s="13">
        <f>IF(D582=0,"",(D582-E582)/D582)</f>
        <v/>
      </c>
      <c r="H582" s="14" t="n">
        <v>786925</v>
      </c>
      <c r="I582" s="15" t="n">
        <v>0.608</v>
      </c>
      <c r="J582" s="15">
        <f>IF(COUNT(G332:G581)&lt;20,"",IF(COUNTIF(G332:G581,"&lt;"&amp;G582)&gt;=COUNT(G332:G581),(COUNT(G332:G581)-0.5)/COUNT(G332:G581),IF(COUNTIF(G332:G581,G582)&gt;0,(COUNTIF(G332:G581,"&lt;"&amp;G582)+0.5*COUNTIF(G332:G581,G582))/COUNT(G332:G581),COUNTIF(G332:G581,"&lt;"&amp;G582)/COUNT(G332:G581))))</f>
        <v/>
      </c>
      <c r="K582" s="11" t="inlineStr">
        <is>
          <t>中间分位</t>
        </is>
      </c>
      <c r="L582" s="11" t="n">
        <v>82</v>
      </c>
      <c r="M582" s="11" t="inlineStr">
        <is>
          <t>Contango(远强)</t>
        </is>
      </c>
      <c r="N582" s="11" t="n">
        <v>1</v>
      </c>
      <c r="O582" s="11" t="n">
        <v>0</v>
      </c>
      <c r="P582" s="12" t="n">
        <v>-35</v>
      </c>
      <c r="Q582" s="11" t="inlineStr"/>
    </row>
    <row r="583">
      <c r="A583" s="6" t="inlineStr">
        <is>
          <t>2025-01-09</t>
        </is>
      </c>
      <c r="B583" s="6" t="inlineStr">
        <is>
          <t>MA2505</t>
        </is>
      </c>
      <c r="C583" s="6" t="inlineStr">
        <is>
          <t>2025-05</t>
        </is>
      </c>
      <c r="D583" s="7" t="n">
        <v>2688.33</v>
      </c>
      <c r="E583" s="7" t="n">
        <v>2589</v>
      </c>
      <c r="F583" s="7">
        <f>D583-E583</f>
        <v/>
      </c>
      <c r="G583" s="8">
        <f>IF(D583=0,"",(D583-E583)/D583)</f>
        <v/>
      </c>
      <c r="H583" s="9" t="n">
        <v>785118</v>
      </c>
      <c r="I583" s="10" t="n">
        <v>0.672</v>
      </c>
      <c r="J583" s="10">
        <f>IF(COUNT(G333:G582)&lt;20,"",IF(COUNTIF(G333:G582,"&lt;"&amp;G583)&gt;=COUNT(G333:G582),(COUNT(G333:G582)-0.5)/COUNT(G333:G582),IF(COUNTIF(G333:G582,G583)&gt;0,(COUNTIF(G333:G582,"&lt;"&amp;G583)+0.5*COUNTIF(G333:G582,G583))/COUNT(G333:G582),COUNTIF(G333:G582,"&lt;"&amp;G583)/COUNT(G333:G582))))</f>
        <v/>
      </c>
      <c r="K583" s="6" t="inlineStr">
        <is>
          <t>中间分位</t>
        </is>
      </c>
      <c r="L583" s="6" t="n">
        <v>81</v>
      </c>
      <c r="M583" s="6" t="inlineStr">
        <is>
          <t>Contango(远强)</t>
        </is>
      </c>
      <c r="N583" s="6" t="n">
        <v>1</v>
      </c>
      <c r="O583" s="6" t="n">
        <v>0</v>
      </c>
      <c r="P583" s="7" t="n">
        <v>-44</v>
      </c>
      <c r="Q583" s="6" t="inlineStr"/>
    </row>
    <row r="584">
      <c r="A584" s="11" t="inlineStr">
        <is>
          <t>2025-01-10</t>
        </is>
      </c>
      <c r="B584" s="11" t="inlineStr">
        <is>
          <t>MA2505</t>
        </is>
      </c>
      <c r="C584" s="11" t="inlineStr">
        <is>
          <t>2025-05</t>
        </is>
      </c>
      <c r="D584" s="12" t="n">
        <v>2674.17</v>
      </c>
      <c r="E584" s="12" t="n">
        <v>2596</v>
      </c>
      <c r="F584" s="12">
        <f>D584-E584</f>
        <v/>
      </c>
      <c r="G584" s="13">
        <f>IF(D584=0,"",(D584-E584)/D584)</f>
        <v/>
      </c>
      <c r="H584" s="14" t="n">
        <v>784625</v>
      </c>
      <c r="I584" s="15" t="n">
        <v>0.604</v>
      </c>
      <c r="J584" s="15">
        <f>IF(COUNT(G334:G583)&lt;20,"",IF(COUNTIF(G334:G583,"&lt;"&amp;G584)&gt;=COUNT(G334:G583),(COUNT(G334:G583)-0.5)/COUNT(G334:G583),IF(COUNTIF(G334:G583,G584)&gt;0,(COUNTIF(G334:G583,"&lt;"&amp;G584)+0.5*COUNTIF(G334:G583,G584))/COUNT(G334:G583),COUNTIF(G334:G583,"&lt;"&amp;G584)/COUNT(G334:G583))))</f>
        <v/>
      </c>
      <c r="K584" s="11" t="inlineStr">
        <is>
          <t>中间分位</t>
        </is>
      </c>
      <c r="L584" s="11" t="n">
        <v>80</v>
      </c>
      <c r="M584" s="11" t="inlineStr">
        <is>
          <t>Contango(远强)</t>
        </is>
      </c>
      <c r="N584" s="11" t="n">
        <v>1</v>
      </c>
      <c r="O584" s="11" t="n">
        <v>0</v>
      </c>
      <c r="P584" s="12" t="n">
        <v>-61</v>
      </c>
      <c r="Q584" s="11" t="inlineStr"/>
    </row>
    <row r="585">
      <c r="A585" s="6" t="inlineStr">
        <is>
          <t>2025-01-13</t>
        </is>
      </c>
      <c r="B585" s="6" t="inlineStr">
        <is>
          <t>MA2505</t>
        </is>
      </c>
      <c r="C585" s="6" t="inlineStr">
        <is>
          <t>2025-05</t>
        </is>
      </c>
      <c r="D585" s="7" t="n">
        <v>2695.83</v>
      </c>
      <c r="E585" s="7" t="n">
        <v>2638</v>
      </c>
      <c r="F585" s="7">
        <f>D585-E585</f>
        <v/>
      </c>
      <c r="G585" s="8">
        <f>IF(D585=0,"",(D585-E585)/D585)</f>
        <v/>
      </c>
      <c r="H585" s="9" t="n">
        <v>777146</v>
      </c>
      <c r="I585" s="10" t="n">
        <v>0.5600000000000001</v>
      </c>
      <c r="J585" s="10">
        <f>IF(COUNT(G335:G584)&lt;20,"",IF(COUNTIF(G335:G584,"&lt;"&amp;G585)&gt;=COUNT(G335:G584),(COUNT(G335:G584)-0.5)/COUNT(G335:G584),IF(COUNTIF(G335:G584,G585)&gt;0,(COUNTIF(G335:G584,"&lt;"&amp;G585)+0.5*COUNTIF(G335:G584,G585))/COUNT(G335:G584),COUNTIF(G335:G584,"&lt;"&amp;G585)/COUNT(G335:G584))))</f>
        <v/>
      </c>
      <c r="K585" s="6" t="inlineStr">
        <is>
          <t>中间分位</t>
        </is>
      </c>
      <c r="L585" s="6" t="n">
        <v>79</v>
      </c>
      <c r="M585" s="6" t="inlineStr">
        <is>
          <t>Contango(远强)</t>
        </is>
      </c>
      <c r="N585" s="6" t="n">
        <v>1</v>
      </c>
      <c r="O585" s="6" t="n">
        <v>0</v>
      </c>
      <c r="P585" s="7" t="n">
        <v>-44</v>
      </c>
      <c r="Q585" s="6" t="inlineStr"/>
    </row>
    <row r="586">
      <c r="A586" s="11" t="inlineStr">
        <is>
          <t>2025-01-14</t>
        </is>
      </c>
      <c r="B586" s="11" t="inlineStr">
        <is>
          <t>MA2505</t>
        </is>
      </c>
      <c r="C586" s="11" t="inlineStr">
        <is>
          <t>2025-05</t>
        </is>
      </c>
      <c r="D586" s="12" t="n">
        <v>2695.83</v>
      </c>
      <c r="E586" s="12" t="n">
        <v>2638</v>
      </c>
      <c r="F586" s="12">
        <f>D586-E586</f>
        <v/>
      </c>
      <c r="G586" s="13">
        <f>IF(D586=0,"",(D586-E586)/D586)</f>
        <v/>
      </c>
      <c r="H586" s="14" t="n">
        <v>787575</v>
      </c>
      <c r="I586" s="15" t="n">
        <v>0.5580000000000001</v>
      </c>
      <c r="J586" s="15">
        <f>IF(COUNT(G336:G585)&lt;20,"",IF(COUNTIF(G336:G585,"&lt;"&amp;G586)&gt;=COUNT(G336:G585),(COUNT(G336:G585)-0.5)/COUNT(G336:G585),IF(COUNTIF(G336:G585,G586)&gt;0,(COUNTIF(G336:G585,"&lt;"&amp;G586)+0.5*COUNTIF(G336:G585,G586))/COUNT(G336:G585),COUNTIF(G336:G585,"&lt;"&amp;G586)/COUNT(G336:G585))))</f>
        <v/>
      </c>
      <c r="K586" s="11" t="inlineStr">
        <is>
          <t>中间分位</t>
        </is>
      </c>
      <c r="L586" s="11" t="n">
        <v>78</v>
      </c>
      <c r="M586" s="11" t="inlineStr">
        <is>
          <t>Contango(远强)</t>
        </is>
      </c>
      <c r="N586" s="11" t="n">
        <v>1</v>
      </c>
      <c r="O586" s="11" t="n">
        <v>0</v>
      </c>
      <c r="P586" s="12" t="n">
        <v>-27</v>
      </c>
      <c r="Q586" s="11" t="inlineStr"/>
    </row>
    <row r="587">
      <c r="A587" s="6" t="inlineStr">
        <is>
          <t>2025-01-15</t>
        </is>
      </c>
      <c r="B587" s="6" t="inlineStr">
        <is>
          <t>MA2505</t>
        </is>
      </c>
      <c r="C587" s="6" t="inlineStr">
        <is>
          <t>2025-05</t>
        </is>
      </c>
      <c r="D587" s="7" t="n">
        <v>2738.33</v>
      </c>
      <c r="E587" s="7" t="n">
        <v>2656</v>
      </c>
      <c r="F587" s="7">
        <f>D587-E587</f>
        <v/>
      </c>
      <c r="G587" s="8">
        <f>IF(D587=0,"",(D587-E587)/D587)</f>
        <v/>
      </c>
      <c r="H587" s="9" t="n">
        <v>799791</v>
      </c>
      <c r="I587" s="10" t="n">
        <v>0.612</v>
      </c>
      <c r="J587" s="10">
        <f>IF(COUNT(G337:G586)&lt;20,"",IF(COUNTIF(G337:G586,"&lt;"&amp;G587)&gt;=COUNT(G337:G586),(COUNT(G337:G586)-0.5)/COUNT(G337:G586),IF(COUNTIF(G337:G586,G587)&gt;0,(COUNTIF(G337:G586,"&lt;"&amp;G587)+0.5*COUNTIF(G337:G586,G587))/COUNT(G337:G586),COUNTIF(G337:G586,"&lt;"&amp;G587)/COUNT(G337:G586))))</f>
        <v/>
      </c>
      <c r="K587" s="6" t="inlineStr">
        <is>
          <t>中间分位</t>
        </is>
      </c>
      <c r="L587" s="6" t="n">
        <v>77</v>
      </c>
      <c r="M587" s="6" t="inlineStr">
        <is>
          <t>Contango(远强)</t>
        </is>
      </c>
      <c r="N587" s="6" t="n">
        <v>1</v>
      </c>
      <c r="O587" s="6" t="n">
        <v>0</v>
      </c>
      <c r="P587" s="7" t="n">
        <v>-39</v>
      </c>
      <c r="Q587" s="6" t="inlineStr"/>
    </row>
    <row r="588">
      <c r="A588" s="11" t="inlineStr">
        <is>
          <t>2025-01-16</t>
        </is>
      </c>
      <c r="B588" s="11" t="inlineStr">
        <is>
          <t>MA2505</t>
        </is>
      </c>
      <c r="C588" s="11" t="inlineStr">
        <is>
          <t>2025-05</t>
        </is>
      </c>
      <c r="D588" s="12" t="n">
        <v>2749.17</v>
      </c>
      <c r="E588" s="12" t="n">
        <v>2622</v>
      </c>
      <c r="F588" s="12">
        <f>D588-E588</f>
        <v/>
      </c>
      <c r="G588" s="13">
        <f>IF(D588=0,"",(D588-E588)/D588)</f>
        <v/>
      </c>
      <c r="H588" s="14" t="n">
        <v>769756</v>
      </c>
      <c r="I588" s="15" t="n">
        <v>0.788</v>
      </c>
      <c r="J588" s="15">
        <f>IF(COUNT(G338:G587)&lt;20,"",IF(COUNTIF(G338:G587,"&lt;"&amp;G588)&gt;=COUNT(G338:G587),(COUNT(G338:G587)-0.5)/COUNT(G338:G587),IF(COUNTIF(G338:G587,G588)&gt;0,(COUNTIF(G338:G587,"&lt;"&amp;G588)+0.5*COUNTIF(G338:G587,G588))/COUNT(G338:G587),COUNTIF(G338:G587,"&lt;"&amp;G588)/COUNT(G338:G587))))</f>
        <v/>
      </c>
      <c r="K588" s="11" t="inlineStr">
        <is>
          <t>中间分位</t>
        </is>
      </c>
      <c r="L588" s="11" t="n">
        <v>76</v>
      </c>
      <c r="M588" s="11" t="inlineStr">
        <is>
          <t>Contango(远强)</t>
        </is>
      </c>
      <c r="N588" s="11" t="n">
        <v>1</v>
      </c>
      <c r="O588" s="11" t="n">
        <v>0</v>
      </c>
      <c r="P588" s="12" t="n">
        <v>-32</v>
      </c>
      <c r="Q588" s="11" t="inlineStr"/>
    </row>
    <row r="589">
      <c r="A589" s="6" t="inlineStr">
        <is>
          <t>2025-01-17</t>
        </is>
      </c>
      <c r="B589" s="6" t="inlineStr">
        <is>
          <t>MA2505</t>
        </is>
      </c>
      <c r="C589" s="6" t="inlineStr">
        <is>
          <t>2025-05</t>
        </is>
      </c>
      <c r="D589" s="7" t="n">
        <v>2710</v>
      </c>
      <c r="E589" s="7" t="n">
        <v>2604</v>
      </c>
      <c r="F589" s="7">
        <f>D589-E589</f>
        <v/>
      </c>
      <c r="G589" s="8">
        <f>IF(D589=0,"",(D589-E589)/D589)</f>
        <v/>
      </c>
      <c r="H589" s="9" t="n">
        <v>739107</v>
      </c>
      <c r="I589" s="10" t="n">
        <v>0.68</v>
      </c>
      <c r="J589" s="10">
        <f>IF(COUNT(G339:G588)&lt;20,"",IF(COUNTIF(G339:G588,"&lt;"&amp;G589)&gt;=COUNT(G339:G588),(COUNT(G339:G588)-0.5)/COUNT(G339:G588),IF(COUNTIF(G339:G588,G589)&gt;0,(COUNTIF(G339:G588,"&lt;"&amp;G589)+0.5*COUNTIF(G339:G588,G589))/COUNT(G339:G588),COUNTIF(G339:G588,"&lt;"&amp;G589)/COUNT(G339:G588))))</f>
        <v/>
      </c>
      <c r="K589" s="6" t="inlineStr">
        <is>
          <t>中间分位</t>
        </is>
      </c>
      <c r="L589" s="6" t="n">
        <v>75</v>
      </c>
      <c r="M589" s="6" t="inlineStr">
        <is>
          <t>Contango(远强)</t>
        </is>
      </c>
      <c r="N589" s="6" t="n">
        <v>1</v>
      </c>
      <c r="O589" s="6" t="n">
        <v>0</v>
      </c>
      <c r="P589" s="7" t="n">
        <v>-24</v>
      </c>
      <c r="Q589" s="6" t="inlineStr"/>
    </row>
    <row r="590">
      <c r="A590" s="11" t="inlineStr">
        <is>
          <t>2025-01-20</t>
        </is>
      </c>
      <c r="B590" s="11" t="inlineStr">
        <is>
          <t>MA2505</t>
        </is>
      </c>
      <c r="C590" s="11" t="inlineStr">
        <is>
          <t>2025-05</t>
        </is>
      </c>
      <c r="D590" s="12" t="n">
        <v>2695.83</v>
      </c>
      <c r="E590" s="12" t="n">
        <v>2582</v>
      </c>
      <c r="F590" s="12">
        <f>D590-E590</f>
        <v/>
      </c>
      <c r="G590" s="13">
        <f>IF(D590=0,"",(D590-E590)/D590)</f>
        <v/>
      </c>
      <c r="H590" s="14" t="n">
        <v>728771</v>
      </c>
      <c r="I590" s="15" t="n">
        <v>0.728</v>
      </c>
      <c r="J590" s="15">
        <f>IF(COUNT(G340:G589)&lt;20,"",IF(COUNTIF(G340:G589,"&lt;"&amp;G590)&gt;=COUNT(G340:G589),(COUNT(G340:G589)-0.5)/COUNT(G340:G589),IF(COUNTIF(G340:G589,G590)&gt;0,(COUNTIF(G340:G589,"&lt;"&amp;G590)+0.5*COUNTIF(G340:G589,G590))/COUNT(G340:G589),COUNTIF(G340:G589,"&lt;"&amp;G590)/COUNT(G340:G589))))</f>
        <v/>
      </c>
      <c r="K590" s="11" t="inlineStr">
        <is>
          <t>中间分位</t>
        </is>
      </c>
      <c r="L590" s="11" t="n">
        <v>74</v>
      </c>
      <c r="M590" s="11" t="inlineStr">
        <is>
          <t>Contango(远强)</t>
        </is>
      </c>
      <c r="N590" s="11" t="n">
        <v>1</v>
      </c>
      <c r="O590" s="11" t="n">
        <v>0</v>
      </c>
      <c r="P590" s="12" t="n">
        <v>-24</v>
      </c>
      <c r="Q590" s="11" t="inlineStr"/>
    </row>
    <row r="591">
      <c r="A591" s="6" t="inlineStr">
        <is>
          <t>2025-01-21</t>
        </is>
      </c>
      <c r="B591" s="6" t="inlineStr">
        <is>
          <t>MA2505</t>
        </is>
      </c>
      <c r="C591" s="6" t="inlineStr">
        <is>
          <t>2025-05</t>
        </is>
      </c>
      <c r="D591" s="7" t="n">
        <v>2659.17</v>
      </c>
      <c r="E591" s="7" t="n">
        <v>2591</v>
      </c>
      <c r="F591" s="7">
        <f>D591-E591</f>
        <v/>
      </c>
      <c r="G591" s="8">
        <f>IF(D591=0,"",(D591-E591)/D591)</f>
        <v/>
      </c>
      <c r="H591" s="9" t="n">
        <v>710842</v>
      </c>
      <c r="I591" s="10" t="n">
        <v>0.5679999999999999</v>
      </c>
      <c r="J591" s="10">
        <f>IF(COUNT(G341:G590)&lt;20,"",IF(COUNTIF(G341:G590,"&lt;"&amp;G591)&gt;=COUNT(G341:G590),(COUNT(G341:G590)-0.5)/COUNT(G341:G590),IF(COUNTIF(G341:G590,G591)&gt;0,(COUNTIF(G341:G590,"&lt;"&amp;G591)+0.5*COUNTIF(G341:G590,G591))/COUNT(G341:G590),COUNTIF(G341:G590,"&lt;"&amp;G591)/COUNT(G341:G590))))</f>
        <v/>
      </c>
      <c r="K591" s="6" t="inlineStr">
        <is>
          <t>中间分位</t>
        </is>
      </c>
      <c r="L591" s="6" t="n">
        <v>73</v>
      </c>
      <c r="M591" s="6" t="inlineStr">
        <is>
          <t>Contango(远强)</t>
        </is>
      </c>
      <c r="N591" s="6" t="n">
        <v>1</v>
      </c>
      <c r="O591" s="6" t="n">
        <v>0</v>
      </c>
      <c r="P591" s="7" t="n">
        <v>-29</v>
      </c>
      <c r="Q591" s="6" t="inlineStr"/>
    </row>
    <row r="592">
      <c r="A592" s="11" t="inlineStr">
        <is>
          <t>2025-01-22</t>
        </is>
      </c>
      <c r="B592" s="11" t="inlineStr">
        <is>
          <t>MA2505</t>
        </is>
      </c>
      <c r="C592" s="11" t="inlineStr">
        <is>
          <t>2025-05</t>
        </is>
      </c>
      <c r="D592" s="12" t="n">
        <v>2660.83</v>
      </c>
      <c r="E592" s="12" t="n">
        <v>2572</v>
      </c>
      <c r="F592" s="12">
        <f>D592-E592</f>
        <v/>
      </c>
      <c r="G592" s="13">
        <f>IF(D592=0,"",(D592-E592)/D592)</f>
        <v/>
      </c>
      <c r="H592" s="14" t="n">
        <v>678694</v>
      </c>
      <c r="I592" s="15" t="n">
        <v>0.628</v>
      </c>
      <c r="J592" s="15">
        <f>IF(COUNT(G342:G591)&lt;20,"",IF(COUNTIF(G342:G591,"&lt;"&amp;G592)&gt;=COUNT(G342:G591),(COUNT(G342:G591)-0.5)/COUNT(G342:G591),IF(COUNTIF(G342:G591,G592)&gt;0,(COUNTIF(G342:G591,"&lt;"&amp;G592)+0.5*COUNTIF(G342:G591,G592))/COUNT(G342:G591),COUNTIF(G342:G591,"&lt;"&amp;G592)/COUNT(G342:G591))))</f>
        <v/>
      </c>
      <c r="K592" s="11" t="inlineStr">
        <is>
          <t>中间分位</t>
        </is>
      </c>
      <c r="L592" s="11" t="n">
        <v>72</v>
      </c>
      <c r="M592" s="11" t="inlineStr">
        <is>
          <t>Contango(远强)</t>
        </is>
      </c>
      <c r="N592" s="11" t="n">
        <v>1</v>
      </c>
      <c r="O592" s="11" t="n">
        <v>0</v>
      </c>
      <c r="P592" s="12" t="n">
        <v>-33</v>
      </c>
      <c r="Q592" s="11" t="inlineStr"/>
    </row>
    <row r="593">
      <c r="A593" s="6" t="inlineStr">
        <is>
          <t>2025-01-23</t>
        </is>
      </c>
      <c r="B593" s="6" t="inlineStr">
        <is>
          <t>MA2505</t>
        </is>
      </c>
      <c r="C593" s="6" t="inlineStr">
        <is>
          <t>2025-05</t>
        </is>
      </c>
      <c r="D593" s="7" t="n">
        <v>2643.33</v>
      </c>
      <c r="E593" s="7" t="n">
        <v>2546</v>
      </c>
      <c r="F593" s="7">
        <f>D593-E593</f>
        <v/>
      </c>
      <c r="G593" s="8">
        <f>IF(D593=0,"",(D593-E593)/D593)</f>
        <v/>
      </c>
      <c r="H593" s="9" t="n">
        <v>674687</v>
      </c>
      <c r="I593" s="10" t="n">
        <v>0.66</v>
      </c>
      <c r="J593" s="10">
        <f>IF(COUNT(G343:G592)&lt;20,"",IF(COUNTIF(G343:G592,"&lt;"&amp;G593)&gt;=COUNT(G343:G592),(COUNT(G343:G592)-0.5)/COUNT(G343:G592),IF(COUNTIF(G343:G592,G593)&gt;0,(COUNTIF(G343:G592,"&lt;"&amp;G593)+0.5*COUNTIF(G343:G592,G593))/COUNT(G343:G592),COUNTIF(G343:G592,"&lt;"&amp;G593)/COUNT(G343:G592))))</f>
        <v/>
      </c>
      <c r="K593" s="6" t="inlineStr">
        <is>
          <t>中间分位</t>
        </is>
      </c>
      <c r="L593" s="6" t="n">
        <v>71</v>
      </c>
      <c r="M593" s="6" t="inlineStr">
        <is>
          <t>Contango(远强)</t>
        </is>
      </c>
      <c r="N593" s="6" t="n">
        <v>1</v>
      </c>
      <c r="O593" s="6" t="n">
        <v>0</v>
      </c>
      <c r="P593" s="7" t="n">
        <v>-35</v>
      </c>
      <c r="Q593" s="6" t="inlineStr"/>
    </row>
    <row r="594">
      <c r="A594" s="11" t="inlineStr">
        <is>
          <t>2025-01-24</t>
        </is>
      </c>
      <c r="B594" s="11" t="inlineStr">
        <is>
          <t>MA2505</t>
        </is>
      </c>
      <c r="C594" s="11" t="inlineStr">
        <is>
          <t>2025-05</t>
        </is>
      </c>
      <c r="D594" s="12" t="n">
        <v>2630</v>
      </c>
      <c r="E594" s="12" t="n">
        <v>2556</v>
      </c>
      <c r="F594" s="12">
        <f>D594-E594</f>
        <v/>
      </c>
      <c r="G594" s="13">
        <f>IF(D594=0,"",(D594-E594)/D594)</f>
        <v/>
      </c>
      <c r="H594" s="14" t="n">
        <v>654665</v>
      </c>
      <c r="I594" s="15" t="n">
        <v>0.58</v>
      </c>
      <c r="J594" s="15">
        <f>IF(COUNT(G344:G593)&lt;20,"",IF(COUNTIF(G344:G593,"&lt;"&amp;G594)&gt;=COUNT(G344:G593),(COUNT(G344:G593)-0.5)/COUNT(G344:G593),IF(COUNTIF(G344:G593,G594)&gt;0,(COUNTIF(G344:G593,"&lt;"&amp;G594)+0.5*COUNTIF(G344:G593,G594))/COUNT(G344:G593),COUNTIF(G344:G593,"&lt;"&amp;G594)/COUNT(G344:G593))))</f>
        <v/>
      </c>
      <c r="K594" s="11" t="inlineStr">
        <is>
          <t>中间分位</t>
        </is>
      </c>
      <c r="L594" s="11" t="n">
        <v>70</v>
      </c>
      <c r="M594" s="11" t="inlineStr">
        <is>
          <t>Contango(远强)</t>
        </is>
      </c>
      <c r="N594" s="11" t="n">
        <v>1</v>
      </c>
      <c r="O594" s="11" t="n">
        <v>0</v>
      </c>
      <c r="P594" s="12" t="n">
        <v>-31</v>
      </c>
      <c r="Q594" s="11" t="inlineStr"/>
    </row>
    <row r="595">
      <c r="A595" s="6" t="inlineStr">
        <is>
          <t>2025-01-27</t>
        </is>
      </c>
      <c r="B595" s="6" t="inlineStr">
        <is>
          <t>MA2505</t>
        </is>
      </c>
      <c r="C595" s="6" t="inlineStr">
        <is>
          <t>2025-05</t>
        </is>
      </c>
      <c r="D595" s="7" t="n">
        <v>2635.83</v>
      </c>
      <c r="E595" s="7" t="n">
        <v>2554</v>
      </c>
      <c r="F595" s="7">
        <f>D595-E595</f>
        <v/>
      </c>
      <c r="G595" s="8">
        <f>IF(D595=0,"",(D595-E595)/D595)</f>
        <v/>
      </c>
      <c r="H595" s="9" t="n">
        <v>620195</v>
      </c>
      <c r="I595" s="10" t="n">
        <v>0.604</v>
      </c>
      <c r="J595" s="10">
        <f>IF(COUNT(G345:G594)&lt;20,"",IF(COUNTIF(G345:G594,"&lt;"&amp;G595)&gt;=COUNT(G345:G594),(COUNT(G345:G594)-0.5)/COUNT(G345:G594),IF(COUNTIF(G345:G594,G595)&gt;0,(COUNTIF(G345:G594,"&lt;"&amp;G595)+0.5*COUNTIF(G345:G594,G595))/COUNT(G345:G594),COUNTIF(G345:G594,"&lt;"&amp;G595)/COUNT(G345:G594))))</f>
        <v/>
      </c>
      <c r="K595" s="6" t="inlineStr">
        <is>
          <t>中间分位</t>
        </is>
      </c>
      <c r="L595" s="6" t="n">
        <v>69</v>
      </c>
      <c r="M595" s="6" t="inlineStr">
        <is>
          <t>Contango(远强)</t>
        </is>
      </c>
      <c r="N595" s="6" t="n">
        <v>1</v>
      </c>
      <c r="O595" s="6" t="n">
        <v>0</v>
      </c>
      <c r="P595" s="7" t="n">
        <v>-25</v>
      </c>
      <c r="Q595" s="6" t="inlineStr"/>
    </row>
    <row r="596">
      <c r="A596" s="11" t="inlineStr">
        <is>
          <t>2025-02-05</t>
        </is>
      </c>
      <c r="B596" s="11" t="inlineStr">
        <is>
          <t>MA2505</t>
        </is>
      </c>
      <c r="C596" s="11" t="inlineStr">
        <is>
          <t>2025-05</t>
        </is>
      </c>
      <c r="D596" s="12" t="n">
        <v>2635.83</v>
      </c>
      <c r="E596" s="12" t="n">
        <v>2569</v>
      </c>
      <c r="F596" s="12">
        <f>D596-E596</f>
        <v/>
      </c>
      <c r="G596" s="13">
        <f>IF(D596=0,"",(D596-E596)/D596)</f>
        <v/>
      </c>
      <c r="H596" s="14" t="n">
        <v>637921</v>
      </c>
      <c r="I596" s="15" t="n">
        <v>0.556</v>
      </c>
      <c r="J596" s="15">
        <f>IF(COUNT(G346:G595)&lt;20,"",IF(COUNTIF(G346:G595,"&lt;"&amp;G596)&gt;=COUNT(G346:G595),(COUNT(G346:G595)-0.5)/COUNT(G346:G595),IF(COUNTIF(G346:G595,G596)&gt;0,(COUNTIF(G346:G595,"&lt;"&amp;G596)+0.5*COUNTIF(G346:G595,G596))/COUNT(G346:G595),COUNTIF(G346:G595,"&lt;"&amp;G596)/COUNT(G346:G595))))</f>
        <v/>
      </c>
      <c r="K596" s="11" t="inlineStr">
        <is>
          <t>中间分位</t>
        </is>
      </c>
      <c r="L596" s="11" t="n">
        <v>68</v>
      </c>
      <c r="M596" s="11" t="inlineStr">
        <is>
          <t>Contango(远强)</t>
        </is>
      </c>
      <c r="N596" s="11" t="n">
        <v>1</v>
      </c>
      <c r="O596" s="11" t="n">
        <v>0</v>
      </c>
      <c r="P596" s="12" t="n">
        <v>-41</v>
      </c>
      <c r="Q596" s="11" t="inlineStr"/>
    </row>
    <row r="597">
      <c r="A597" s="6" t="inlineStr">
        <is>
          <t>2025-02-06</t>
        </is>
      </c>
      <c r="B597" s="6" t="inlineStr">
        <is>
          <t>MA2505</t>
        </is>
      </c>
      <c r="C597" s="6" t="inlineStr">
        <is>
          <t>2025-05</t>
        </is>
      </c>
      <c r="D597" s="7" t="n">
        <v>2653.33</v>
      </c>
      <c r="E597" s="7" t="n">
        <v>2580</v>
      </c>
      <c r="F597" s="7">
        <f>D597-E597</f>
        <v/>
      </c>
      <c r="G597" s="8">
        <f>IF(D597=0,"",(D597-E597)/D597)</f>
        <v/>
      </c>
      <c r="H597" s="9" t="n">
        <v>711965</v>
      </c>
      <c r="I597" s="10" t="n">
        <v>0.58</v>
      </c>
      <c r="J597" s="10">
        <f>IF(COUNT(G347:G596)&lt;20,"",IF(COUNTIF(G347:G596,"&lt;"&amp;G597)&gt;=COUNT(G347:G596),(COUNT(G347:G596)-0.5)/COUNT(G347:G596),IF(COUNTIF(G347:G596,G597)&gt;0,(COUNTIF(G347:G596,"&lt;"&amp;G597)+0.5*COUNTIF(G347:G596,G597))/COUNT(G347:G596),COUNTIF(G347:G596,"&lt;"&amp;G597)/COUNT(G347:G596))))</f>
        <v/>
      </c>
      <c r="K597" s="6" t="inlineStr">
        <is>
          <t>中间分位</t>
        </is>
      </c>
      <c r="L597" s="6" t="n">
        <v>67</v>
      </c>
      <c r="M597" s="6" t="inlineStr">
        <is>
          <t>Contango(远强)</t>
        </is>
      </c>
      <c r="N597" s="6" t="n">
        <v>1</v>
      </c>
      <c r="O597" s="6" t="n">
        <v>0</v>
      </c>
      <c r="P597" s="7" t="n">
        <v>-38</v>
      </c>
      <c r="Q597" s="6" t="inlineStr"/>
    </row>
    <row r="598">
      <c r="A598" s="11" t="inlineStr">
        <is>
          <t>2025-02-07</t>
        </is>
      </c>
      <c r="B598" s="11" t="inlineStr">
        <is>
          <t>MA2505</t>
        </is>
      </c>
      <c r="C598" s="11" t="inlineStr">
        <is>
          <t>2025-05</t>
        </is>
      </c>
      <c r="D598" s="12" t="n">
        <v>2650</v>
      </c>
      <c r="E598" s="12" t="n">
        <v>2588</v>
      </c>
      <c r="F598" s="12">
        <f>D598-E598</f>
        <v/>
      </c>
      <c r="G598" s="13">
        <f>IF(D598=0,"",(D598-E598)/D598)</f>
        <v/>
      </c>
      <c r="H598" s="14" t="n">
        <v>708947</v>
      </c>
      <c r="I598" s="15" t="n">
        <v>0.548</v>
      </c>
      <c r="J598" s="15">
        <f>IF(COUNT(G348:G597)&lt;20,"",IF(COUNTIF(G348:G597,"&lt;"&amp;G598)&gt;=COUNT(G348:G597),(COUNT(G348:G597)-0.5)/COUNT(G348:G597),IF(COUNTIF(G348:G597,G598)&gt;0,(COUNTIF(G348:G597,"&lt;"&amp;G598)+0.5*COUNTIF(G348:G597,G598))/COUNT(G348:G597),COUNTIF(G348:G597,"&lt;"&amp;G598)/COUNT(G348:G597))))</f>
        <v/>
      </c>
      <c r="K598" s="11" t="inlineStr">
        <is>
          <t>中间分位</t>
        </is>
      </c>
      <c r="L598" s="11" t="n">
        <v>66</v>
      </c>
      <c r="M598" s="11" t="inlineStr">
        <is>
          <t>Contango(远强)</t>
        </is>
      </c>
      <c r="N598" s="11" t="n">
        <v>1</v>
      </c>
      <c r="O598" s="11" t="n">
        <v>0</v>
      </c>
      <c r="P598" s="12" t="n">
        <v>-45</v>
      </c>
      <c r="Q598" s="11" t="inlineStr"/>
    </row>
    <row r="599">
      <c r="A599" s="6" t="inlineStr">
        <is>
          <t>2025-02-10</t>
        </is>
      </c>
      <c r="B599" s="6" t="inlineStr">
        <is>
          <t>MA2505</t>
        </is>
      </c>
      <c r="C599" s="6" t="inlineStr">
        <is>
          <t>2025-05</t>
        </is>
      </c>
      <c r="D599" s="7" t="n">
        <v>2659.17</v>
      </c>
      <c r="E599" s="7" t="n">
        <v>2608</v>
      </c>
      <c r="F599" s="7">
        <f>D599-E599</f>
        <v/>
      </c>
      <c r="G599" s="8">
        <f>IF(D599=0,"",(D599-E599)/D599)</f>
        <v/>
      </c>
      <c r="H599" s="9" t="n">
        <v>731380</v>
      </c>
      <c r="I599" s="10" t="n">
        <v>0.512</v>
      </c>
      <c r="J599" s="10">
        <f>IF(COUNT(G349:G598)&lt;20,"",IF(COUNTIF(G349:G598,"&lt;"&amp;G599)&gt;=COUNT(G349:G598),(COUNT(G349:G598)-0.5)/COUNT(G349:G598),IF(COUNTIF(G349:G598,G599)&gt;0,(COUNTIF(G349:G598,"&lt;"&amp;G599)+0.5*COUNTIF(G349:G598,G599))/COUNT(G349:G598),COUNTIF(G349:G598,"&lt;"&amp;G599)/COUNT(G349:G598))))</f>
        <v/>
      </c>
      <c r="K599" s="6" t="inlineStr">
        <is>
          <t>中间分位</t>
        </is>
      </c>
      <c r="L599" s="6" t="n">
        <v>65</v>
      </c>
      <c r="M599" s="6" t="inlineStr">
        <is>
          <t>Contango(远强)</t>
        </is>
      </c>
      <c r="N599" s="6" t="n">
        <v>1</v>
      </c>
      <c r="O599" s="6" t="n">
        <v>0</v>
      </c>
      <c r="P599" s="7" t="n">
        <v>-28</v>
      </c>
      <c r="Q599" s="6" t="inlineStr"/>
    </row>
    <row r="600">
      <c r="A600" s="11" t="inlineStr">
        <is>
          <t>2025-02-11</t>
        </is>
      </c>
      <c r="B600" s="11" t="inlineStr">
        <is>
          <t>MA2505</t>
        </is>
      </c>
      <c r="C600" s="11" t="inlineStr">
        <is>
          <t>2025-05</t>
        </is>
      </c>
      <c r="D600" s="12" t="n">
        <v>2678.33</v>
      </c>
      <c r="E600" s="12" t="n">
        <v>2601</v>
      </c>
      <c r="F600" s="12">
        <f>D600-E600</f>
        <v/>
      </c>
      <c r="G600" s="13">
        <f>IF(D600=0,"",(D600-E600)/D600)</f>
        <v/>
      </c>
      <c r="H600" s="14" t="n">
        <v>730133</v>
      </c>
      <c r="I600" s="15" t="n">
        <v>0.592</v>
      </c>
      <c r="J600" s="15">
        <f>IF(COUNT(G350:G599)&lt;20,"",IF(COUNTIF(G350:G599,"&lt;"&amp;G600)&gt;=COUNT(G350:G599),(COUNT(G350:G599)-0.5)/COUNT(G350:G599),IF(COUNTIF(G350:G599,G600)&gt;0,(COUNTIF(G350:G599,"&lt;"&amp;G600)+0.5*COUNTIF(G350:G599,G600))/COUNT(G350:G599),COUNTIF(G350:G599,"&lt;"&amp;G600)/COUNT(G350:G599))))</f>
        <v/>
      </c>
      <c r="K600" s="11" t="inlineStr">
        <is>
          <t>中间分位</t>
        </is>
      </c>
      <c r="L600" s="11" t="n">
        <v>64</v>
      </c>
      <c r="M600" s="11" t="inlineStr">
        <is>
          <t>Contango(远强)</t>
        </is>
      </c>
      <c r="N600" s="11" t="n">
        <v>1</v>
      </c>
      <c r="O600" s="11" t="n">
        <v>0</v>
      </c>
      <c r="P600" s="12" t="n">
        <v>-10</v>
      </c>
      <c r="Q600" s="11" t="inlineStr"/>
    </row>
    <row r="601">
      <c r="A601" s="6" t="inlineStr">
        <is>
          <t>2025-02-12</t>
        </is>
      </c>
      <c r="B601" s="6" t="inlineStr">
        <is>
          <t>MA2505</t>
        </is>
      </c>
      <c r="C601" s="6" t="inlineStr">
        <is>
          <t>2025-05</t>
        </is>
      </c>
      <c r="D601" s="7" t="n">
        <v>2651.67</v>
      </c>
      <c r="E601" s="7" t="n">
        <v>2579</v>
      </c>
      <c r="F601" s="7">
        <f>D601-E601</f>
        <v/>
      </c>
      <c r="G601" s="8">
        <f>IF(D601=0,"",(D601-E601)/D601)</f>
        <v/>
      </c>
      <c r="H601" s="9" t="n">
        <v>725491</v>
      </c>
      <c r="I601" s="10" t="n">
        <v>0.58</v>
      </c>
      <c r="J601" s="10">
        <f>IF(COUNT(G351:G600)&lt;20,"",IF(COUNTIF(G351:G600,"&lt;"&amp;G601)&gt;=COUNT(G351:G600),(COUNT(G351:G600)-0.5)/COUNT(G351:G600),IF(COUNTIF(G351:G600,G601)&gt;0,(COUNTIF(G351:G600,"&lt;"&amp;G601)+0.5*COUNTIF(G351:G600,G601))/COUNT(G351:G600),COUNTIF(G351:G600,"&lt;"&amp;G601)/COUNT(G351:G600))))</f>
        <v/>
      </c>
      <c r="K601" s="6" t="inlineStr">
        <is>
          <t>中间分位</t>
        </is>
      </c>
      <c r="L601" s="6" t="n">
        <v>63</v>
      </c>
      <c r="M601" s="6" t="inlineStr">
        <is>
          <t>Contango(远强)</t>
        </is>
      </c>
      <c r="N601" s="6" t="n">
        <v>1</v>
      </c>
      <c r="O601" s="6" t="n">
        <v>0</v>
      </c>
      <c r="P601" s="7" t="n">
        <v>-41</v>
      </c>
      <c r="Q601" s="6" t="inlineStr"/>
    </row>
    <row r="602">
      <c r="A602" s="11" t="inlineStr">
        <is>
          <t>2025-02-13</t>
        </is>
      </c>
      <c r="B602" s="11" t="inlineStr">
        <is>
          <t>MA2505</t>
        </is>
      </c>
      <c r="C602" s="11" t="inlineStr">
        <is>
          <t>2025-05</t>
        </is>
      </c>
      <c r="D602" s="12" t="n">
        <v>2640</v>
      </c>
      <c r="E602" s="12" t="n">
        <v>2542</v>
      </c>
      <c r="F602" s="12">
        <f>D602-E602</f>
        <v/>
      </c>
      <c r="G602" s="13">
        <f>IF(D602=0,"",(D602-E602)/D602)</f>
        <v/>
      </c>
      <c r="H602" s="14" t="n">
        <v>755041</v>
      </c>
      <c r="I602" s="15" t="n">
        <v>0.68</v>
      </c>
      <c r="J602" s="15">
        <f>IF(COUNT(G352:G601)&lt;20,"",IF(COUNTIF(G352:G601,"&lt;"&amp;G602)&gt;=COUNT(G352:G601),(COUNT(G352:G601)-0.5)/COUNT(G352:G601),IF(COUNTIF(G352:G601,G602)&gt;0,(COUNTIF(G352:G601,"&lt;"&amp;G602)+0.5*COUNTIF(G352:G601,G602))/COUNT(G352:G601),COUNTIF(G352:G601,"&lt;"&amp;G602)/COUNT(G352:G601))))</f>
        <v/>
      </c>
      <c r="K602" s="11" t="inlineStr">
        <is>
          <t>中间分位</t>
        </is>
      </c>
      <c r="L602" s="11" t="n">
        <v>62</v>
      </c>
      <c r="M602" s="11" t="inlineStr">
        <is>
          <t>Contango(远强)</t>
        </is>
      </c>
      <c r="N602" s="11" t="n">
        <v>1</v>
      </c>
      <c r="O602" s="11" t="n">
        <v>0</v>
      </c>
      <c r="P602" s="12" t="n">
        <v>-53</v>
      </c>
      <c r="Q602" s="11" t="inlineStr"/>
    </row>
    <row r="603">
      <c r="A603" s="6" t="inlineStr">
        <is>
          <t>2025-02-14</t>
        </is>
      </c>
      <c r="B603" s="6" t="inlineStr">
        <is>
          <t>MA2505</t>
        </is>
      </c>
      <c r="C603" s="6" t="inlineStr">
        <is>
          <t>2025-05</t>
        </is>
      </c>
      <c r="D603" s="7" t="n">
        <v>2604.17</v>
      </c>
      <c r="E603" s="7" t="n">
        <v>2526</v>
      </c>
      <c r="F603" s="7">
        <f>D603-E603</f>
        <v/>
      </c>
      <c r="G603" s="8">
        <f>IF(D603=0,"",(D603-E603)/D603)</f>
        <v/>
      </c>
      <c r="H603" s="9" t="n">
        <v>780600</v>
      </c>
      <c r="I603" s="10" t="n">
        <v>0.608</v>
      </c>
      <c r="J603" s="10">
        <f>IF(COUNT(G353:G602)&lt;20,"",IF(COUNTIF(G353:G602,"&lt;"&amp;G603)&gt;=COUNT(G353:G602),(COUNT(G353:G602)-0.5)/COUNT(G353:G602),IF(COUNTIF(G353:G602,G603)&gt;0,(COUNTIF(G353:G602,"&lt;"&amp;G603)+0.5*COUNTIF(G353:G602,G603))/COUNT(G353:G602),COUNTIF(G353:G602,"&lt;"&amp;G603)/COUNT(G353:G602))))</f>
        <v/>
      </c>
      <c r="K603" s="6" t="inlineStr">
        <is>
          <t>中间分位</t>
        </is>
      </c>
      <c r="L603" s="6" t="n">
        <v>61</v>
      </c>
      <c r="M603" s="6" t="inlineStr">
        <is>
          <t>结构不明</t>
        </is>
      </c>
      <c r="N603" s="6" t="n">
        <v>1</v>
      </c>
      <c r="O603" s="6" t="n">
        <v>0</v>
      </c>
      <c r="P603" s="7" t="n">
        <v>-1</v>
      </c>
      <c r="Q603" s="6" t="inlineStr"/>
    </row>
    <row r="604">
      <c r="A604" s="11" t="inlineStr">
        <is>
          <t>2025-02-17</t>
        </is>
      </c>
      <c r="B604" s="11" t="inlineStr">
        <is>
          <t>MA2505</t>
        </is>
      </c>
      <c r="C604" s="11" t="inlineStr">
        <is>
          <t>2025-05</t>
        </is>
      </c>
      <c r="D604" s="12" t="n">
        <v>2578.33</v>
      </c>
      <c r="E604" s="12" t="n">
        <v>2555</v>
      </c>
      <c r="F604" s="12">
        <f>D604-E604</f>
        <v/>
      </c>
      <c r="G604" s="13">
        <f>IF(D604=0,"",(D604-E604)/D604)</f>
        <v/>
      </c>
      <c r="H604" s="14" t="n">
        <v>799955</v>
      </c>
      <c r="I604" s="15" t="n">
        <v>0.396</v>
      </c>
      <c r="J604" s="15">
        <f>IF(COUNT(G354:G603)&lt;20,"",IF(COUNTIF(G354:G603,"&lt;"&amp;G604)&gt;=COUNT(G354:G603),(COUNT(G354:G603)-0.5)/COUNT(G354:G603),IF(COUNTIF(G354:G603,G604)&gt;0,(COUNTIF(G354:G603,"&lt;"&amp;G604)+0.5*COUNTIF(G354:G603,G604))/COUNT(G354:G603),COUNTIF(G354:G603,"&lt;"&amp;G604)/COUNT(G354:G603))))</f>
        <v/>
      </c>
      <c r="K604" s="11" t="inlineStr">
        <is>
          <t>中间分位</t>
        </is>
      </c>
      <c r="L604" s="11" t="n">
        <v>60</v>
      </c>
      <c r="M604" s="11" t="inlineStr">
        <is>
          <t>Contango(远强)</t>
        </is>
      </c>
      <c r="N604" s="11" t="n">
        <v>1</v>
      </c>
      <c r="O604" s="11" t="n">
        <v>0</v>
      </c>
      <c r="P604" s="12" t="n">
        <v>-25</v>
      </c>
      <c r="Q604" s="11" t="inlineStr"/>
    </row>
    <row r="605">
      <c r="A605" s="6" t="inlineStr">
        <is>
          <t>2025-02-18</t>
        </is>
      </c>
      <c r="B605" s="6" t="inlineStr">
        <is>
          <t>MA2505</t>
        </is>
      </c>
      <c r="C605" s="6" t="inlineStr">
        <is>
          <t>2025-05</t>
        </is>
      </c>
      <c r="D605" s="7" t="n">
        <v>2599.17</v>
      </c>
      <c r="E605" s="7" t="n">
        <v>2545</v>
      </c>
      <c r="F605" s="7">
        <f>D605-E605</f>
        <v/>
      </c>
      <c r="G605" s="8">
        <f>IF(D605=0,"",(D605-E605)/D605)</f>
        <v/>
      </c>
      <c r="H605" s="9" t="n">
        <v>803416</v>
      </c>
      <c r="I605" s="10" t="n">
        <v>0.524</v>
      </c>
      <c r="J605" s="10">
        <f>IF(COUNT(G355:G604)&lt;20,"",IF(COUNTIF(G355:G604,"&lt;"&amp;G605)&gt;=COUNT(G355:G604),(COUNT(G355:G604)-0.5)/COUNT(G355:G604),IF(COUNTIF(G355:G604,G605)&gt;0,(COUNTIF(G355:G604,"&lt;"&amp;G605)+0.5*COUNTIF(G355:G604,G605))/COUNT(G355:G604),COUNTIF(G355:G604,"&lt;"&amp;G605)/COUNT(G355:G604))))</f>
        <v/>
      </c>
      <c r="K605" s="6" t="inlineStr">
        <is>
          <t>中间分位</t>
        </is>
      </c>
      <c r="L605" s="6" t="n">
        <v>59</v>
      </c>
      <c r="M605" s="6" t="inlineStr">
        <is>
          <t>Contango(远强)</t>
        </is>
      </c>
      <c r="N605" s="6" t="n">
        <v>1</v>
      </c>
      <c r="O605" s="6" t="n">
        <v>0</v>
      </c>
      <c r="P605" s="7" t="n">
        <v>-19</v>
      </c>
      <c r="Q605" s="6" t="inlineStr"/>
    </row>
    <row r="606">
      <c r="A606" s="11" t="inlineStr">
        <is>
          <t>2025-02-19</t>
        </is>
      </c>
      <c r="B606" s="11" t="inlineStr">
        <is>
          <t>MA2505</t>
        </is>
      </c>
      <c r="C606" s="11" t="inlineStr">
        <is>
          <t>2025-05</t>
        </is>
      </c>
      <c r="D606" s="12" t="n">
        <v>2589.17</v>
      </c>
      <c r="E606" s="12" t="n">
        <v>2535</v>
      </c>
      <c r="F606" s="12">
        <f>D606-E606</f>
        <v/>
      </c>
      <c r="G606" s="13">
        <f>IF(D606=0,"",(D606-E606)/D606)</f>
        <v/>
      </c>
      <c r="H606" s="14" t="n">
        <v>803835</v>
      </c>
      <c r="I606" s="15" t="n">
        <v>0.528</v>
      </c>
      <c r="J606" s="15">
        <f>IF(COUNT(G356:G605)&lt;20,"",IF(COUNTIF(G356:G605,"&lt;"&amp;G606)&gt;=COUNT(G356:G605),(COUNT(G356:G605)-0.5)/COUNT(G356:G605),IF(COUNTIF(G356:G605,G606)&gt;0,(COUNTIF(G356:G605,"&lt;"&amp;G606)+0.5*COUNTIF(G356:G605,G606))/COUNT(G356:G605),COUNTIF(G356:G605,"&lt;"&amp;G606)/COUNT(G356:G605))))</f>
        <v/>
      </c>
      <c r="K606" s="11" t="inlineStr">
        <is>
          <t>中间分位</t>
        </is>
      </c>
      <c r="L606" s="11" t="n">
        <v>58</v>
      </c>
      <c r="M606" s="11" t="inlineStr">
        <is>
          <t>Contango(远强)</t>
        </is>
      </c>
      <c r="N606" s="11" t="n">
        <v>1</v>
      </c>
      <c r="O606" s="11" t="n">
        <v>0</v>
      </c>
      <c r="P606" s="12" t="n">
        <v>-9</v>
      </c>
      <c r="Q606" s="11" t="inlineStr"/>
    </row>
    <row r="607">
      <c r="A607" s="6" t="inlineStr">
        <is>
          <t>2025-02-20</t>
        </is>
      </c>
      <c r="B607" s="6" t="inlineStr">
        <is>
          <t>MA2505</t>
        </is>
      </c>
      <c r="C607" s="6" t="inlineStr">
        <is>
          <t>2025-05</t>
        </is>
      </c>
      <c r="D607" s="7" t="n">
        <v>2580</v>
      </c>
      <c r="E607" s="7" t="n">
        <v>2547</v>
      </c>
      <c r="F607" s="7">
        <f>D607-E607</f>
        <v/>
      </c>
      <c r="G607" s="8">
        <f>IF(D607=0,"",(D607-E607)/D607)</f>
        <v/>
      </c>
      <c r="H607" s="9" t="n">
        <v>804628</v>
      </c>
      <c r="I607" s="10" t="n">
        <v>0.452</v>
      </c>
      <c r="J607" s="10">
        <f>IF(COUNT(G357:G606)&lt;20,"",IF(COUNTIF(G357:G606,"&lt;"&amp;G607)&gt;=COUNT(G357:G606),(COUNT(G357:G606)-0.5)/COUNT(G357:G606),IF(COUNTIF(G357:G606,G607)&gt;0,(COUNTIF(G357:G606,"&lt;"&amp;G607)+0.5*COUNTIF(G357:G606,G607))/COUNT(G357:G606),COUNTIF(G357:G606,"&lt;"&amp;G607)/COUNT(G357:G606))))</f>
        <v/>
      </c>
      <c r="K607" s="6" t="inlineStr">
        <is>
          <t>中间分位</t>
        </is>
      </c>
      <c r="L607" s="6" t="n">
        <v>57</v>
      </c>
      <c r="M607" s="6" t="inlineStr">
        <is>
          <t>Contango(远强)</t>
        </is>
      </c>
      <c r="N607" s="6" t="n">
        <v>1</v>
      </c>
      <c r="O607" s="6" t="n">
        <v>0</v>
      </c>
      <c r="P607" s="7" t="n">
        <v>-12</v>
      </c>
      <c r="Q607" s="6" t="inlineStr"/>
    </row>
    <row r="608">
      <c r="A608" s="11" t="inlineStr">
        <is>
          <t>2025-02-21</t>
        </is>
      </c>
      <c r="B608" s="11" t="inlineStr">
        <is>
          <t>MA2505</t>
        </is>
      </c>
      <c r="C608" s="11" t="inlineStr">
        <is>
          <t>2025-05</t>
        </is>
      </c>
      <c r="D608" s="12" t="n">
        <v>2595</v>
      </c>
      <c r="E608" s="12" t="n">
        <v>2547</v>
      </c>
      <c r="F608" s="12">
        <f>D608-E608</f>
        <v/>
      </c>
      <c r="G608" s="13">
        <f>IF(D608=0,"",(D608-E608)/D608)</f>
        <v/>
      </c>
      <c r="H608" s="14" t="n">
        <v>784503</v>
      </c>
      <c r="I608" s="15" t="n">
        <v>0.504</v>
      </c>
      <c r="J608" s="15">
        <f>IF(COUNT(G358:G607)&lt;20,"",IF(COUNTIF(G358:G607,"&lt;"&amp;G608)&gt;=COUNT(G358:G607),(COUNT(G358:G607)-0.5)/COUNT(G358:G607),IF(COUNTIF(G358:G607,G608)&gt;0,(COUNTIF(G358:G607,"&lt;"&amp;G608)+0.5*COUNTIF(G358:G607,G608))/COUNT(G358:G607),COUNTIF(G358:G607,"&lt;"&amp;G608)/COUNT(G358:G607))))</f>
        <v/>
      </c>
      <c r="K608" s="11" t="inlineStr">
        <is>
          <t>中间分位</t>
        </is>
      </c>
      <c r="L608" s="11" t="n">
        <v>56</v>
      </c>
      <c r="M608" s="11" t="inlineStr">
        <is>
          <t>Contango(远强)</t>
        </is>
      </c>
      <c r="N608" s="11" t="n">
        <v>1</v>
      </c>
      <c r="O608" s="11" t="n">
        <v>0</v>
      </c>
      <c r="P608" s="12" t="n">
        <v>-17</v>
      </c>
      <c r="Q608" s="11" t="inlineStr"/>
    </row>
    <row r="609">
      <c r="A609" s="6" t="inlineStr">
        <is>
          <t>2025-02-24</t>
        </is>
      </c>
      <c r="B609" s="6" t="inlineStr">
        <is>
          <t>MA2505</t>
        </is>
      </c>
      <c r="C609" s="6" t="inlineStr">
        <is>
          <t>2025-05</t>
        </is>
      </c>
      <c r="D609" s="7" t="n">
        <v>2598.33</v>
      </c>
      <c r="E609" s="7" t="n">
        <v>2568</v>
      </c>
      <c r="F609" s="7">
        <f>D609-E609</f>
        <v/>
      </c>
      <c r="G609" s="8">
        <f>IF(D609=0,"",(D609-E609)/D609)</f>
        <v/>
      </c>
      <c r="H609" s="9" t="n">
        <v>782325</v>
      </c>
      <c r="I609" s="10" t="n">
        <v>0.436</v>
      </c>
      <c r="J609" s="10">
        <f>IF(COUNT(G359:G608)&lt;20,"",IF(COUNTIF(G359:G608,"&lt;"&amp;G609)&gt;=COUNT(G359:G608),(COUNT(G359:G608)-0.5)/COUNT(G359:G608),IF(COUNTIF(G359:G608,G609)&gt;0,(COUNTIF(G359:G608,"&lt;"&amp;G609)+0.5*COUNTIF(G359:G608,G609))/COUNT(G359:G608),COUNTIF(G359:G608,"&lt;"&amp;G609)/COUNT(G359:G608))))</f>
        <v/>
      </c>
      <c r="K609" s="6" t="inlineStr">
        <is>
          <t>中间分位</t>
        </is>
      </c>
      <c r="L609" s="6" t="n">
        <v>55</v>
      </c>
      <c r="M609" s="6" t="inlineStr">
        <is>
          <t>Contango(远强)</t>
        </is>
      </c>
      <c r="N609" s="6" t="n">
        <v>1</v>
      </c>
      <c r="O609" s="6" t="n">
        <v>0</v>
      </c>
      <c r="P609" s="7" t="n">
        <v>-16</v>
      </c>
      <c r="Q609" s="6" t="inlineStr"/>
    </row>
    <row r="610">
      <c r="A610" s="11" t="inlineStr">
        <is>
          <t>2025-02-25</t>
        </is>
      </c>
      <c r="B610" s="11" t="inlineStr">
        <is>
          <t>MA2505</t>
        </is>
      </c>
      <c r="C610" s="11" t="inlineStr">
        <is>
          <t>2025-05</t>
        </is>
      </c>
      <c r="D610" s="12" t="n">
        <v>2618.33</v>
      </c>
      <c r="E610" s="12" t="n">
        <v>2540</v>
      </c>
      <c r="F610" s="12">
        <f>D610-E610</f>
        <v/>
      </c>
      <c r="G610" s="13">
        <f>IF(D610=0,"",(D610-E610)/D610)</f>
        <v/>
      </c>
      <c r="H610" s="14" t="n">
        <v>793153</v>
      </c>
      <c r="I610" s="15" t="n">
        <v>0.628</v>
      </c>
      <c r="J610" s="15">
        <f>IF(COUNT(G360:G609)&lt;20,"",IF(COUNTIF(G360:G609,"&lt;"&amp;G610)&gt;=COUNT(G360:G609),(COUNT(G360:G609)-0.5)/COUNT(G360:G609),IF(COUNTIF(G360:G609,G610)&gt;0,(COUNTIF(G360:G609,"&lt;"&amp;G610)+0.5*COUNTIF(G360:G609,G610))/COUNT(G360:G609),COUNTIF(G360:G609,"&lt;"&amp;G610)/COUNT(G360:G609))))</f>
        <v/>
      </c>
      <c r="K610" s="11" t="inlineStr">
        <is>
          <t>中间分位</t>
        </is>
      </c>
      <c r="L610" s="11" t="n">
        <v>54</v>
      </c>
      <c r="M610" s="11" t="inlineStr">
        <is>
          <t>Contango(远强)</t>
        </is>
      </c>
      <c r="N610" s="11" t="n">
        <v>1</v>
      </c>
      <c r="O610" s="11" t="n">
        <v>0</v>
      </c>
      <c r="P610" s="12" t="n">
        <v>-23</v>
      </c>
      <c r="Q610" s="11" t="inlineStr"/>
    </row>
    <row r="611">
      <c r="A611" s="6" t="inlineStr">
        <is>
          <t>2025-02-26</t>
        </is>
      </c>
      <c r="B611" s="6" t="inlineStr">
        <is>
          <t>MA2505</t>
        </is>
      </c>
      <c r="C611" s="6" t="inlineStr">
        <is>
          <t>2025-05</t>
        </is>
      </c>
      <c r="D611" s="7" t="n">
        <v>2589.17</v>
      </c>
      <c r="E611" s="7" t="n">
        <v>2555</v>
      </c>
      <c r="F611" s="7">
        <f>D611-E611</f>
        <v/>
      </c>
      <c r="G611" s="8">
        <f>IF(D611=0,"",(D611-E611)/D611)</f>
        <v/>
      </c>
      <c r="H611" s="9" t="n">
        <v>835686</v>
      </c>
      <c r="I611" s="10" t="n">
        <v>0.464</v>
      </c>
      <c r="J611" s="10">
        <f>IF(COUNT(G361:G610)&lt;20,"",IF(COUNTIF(G361:G610,"&lt;"&amp;G611)&gt;=COUNT(G361:G610),(COUNT(G361:G610)-0.5)/COUNT(G361:G610),IF(COUNTIF(G361:G610,G611)&gt;0,(COUNTIF(G361:G610,"&lt;"&amp;G611)+0.5*COUNTIF(G361:G610,G611))/COUNT(G361:G610),COUNTIF(G361:G610,"&lt;"&amp;G611)/COUNT(G361:G610))))</f>
        <v/>
      </c>
      <c r="K611" s="6" t="inlineStr">
        <is>
          <t>中间分位</t>
        </is>
      </c>
      <c r="L611" s="6" t="n">
        <v>53</v>
      </c>
      <c r="M611" s="6" t="inlineStr">
        <is>
          <t>Contango(远强)</t>
        </is>
      </c>
      <c r="N611" s="6" t="n">
        <v>1</v>
      </c>
      <c r="O611" s="6" t="n">
        <v>0</v>
      </c>
      <c r="P611" s="7" t="n">
        <v>-17</v>
      </c>
      <c r="Q611" s="6" t="inlineStr"/>
    </row>
    <row r="612">
      <c r="A612" s="11" t="inlineStr">
        <is>
          <t>2025-02-27</t>
        </is>
      </c>
      <c r="B612" s="11" t="inlineStr">
        <is>
          <t>MA2505</t>
        </is>
      </c>
      <c r="C612" s="11" t="inlineStr">
        <is>
          <t>2025-05</t>
        </is>
      </c>
      <c r="D612" s="12" t="n">
        <v>2603.33</v>
      </c>
      <c r="E612" s="12" t="n">
        <v>2589</v>
      </c>
      <c r="F612" s="12">
        <f>D612-E612</f>
        <v/>
      </c>
      <c r="G612" s="13">
        <f>IF(D612=0,"",(D612-E612)/D612)</f>
        <v/>
      </c>
      <c r="H612" s="14" t="n">
        <v>814640</v>
      </c>
      <c r="I612" s="15" t="n">
        <v>0.352</v>
      </c>
      <c r="J612" s="15">
        <f>IF(COUNT(G362:G611)&lt;20,"",IF(COUNTIF(G362:G611,"&lt;"&amp;G612)&gt;=COUNT(G362:G611),(COUNT(G362:G611)-0.5)/COUNT(G362:G611),IF(COUNTIF(G362:G611,G612)&gt;0,(COUNTIF(G362:G611,"&lt;"&amp;G612)+0.5*COUNTIF(G362:G611,G612))/COUNT(G362:G611),COUNTIF(G362:G611,"&lt;"&amp;G612)/COUNT(G362:G611))))</f>
        <v/>
      </c>
      <c r="K612" s="11" t="inlineStr">
        <is>
          <t>中间分位</t>
        </is>
      </c>
      <c r="L612" s="11" t="n">
        <v>52</v>
      </c>
      <c r="M612" s="11" t="inlineStr">
        <is>
          <t>结构不明</t>
        </is>
      </c>
      <c r="N612" s="11" t="n">
        <v>1</v>
      </c>
      <c r="O612" s="11" t="n">
        <v>0</v>
      </c>
      <c r="P612" s="12" t="n">
        <v>-11</v>
      </c>
      <c r="Q612" s="11" t="inlineStr"/>
    </row>
    <row r="613">
      <c r="A613" s="6" t="inlineStr">
        <is>
          <t>2025-02-28</t>
        </is>
      </c>
      <c r="B613" s="6" t="inlineStr">
        <is>
          <t>MA2505</t>
        </is>
      </c>
      <c r="C613" s="6" t="inlineStr">
        <is>
          <t>2025-05</t>
        </is>
      </c>
      <c r="D613" s="7" t="n">
        <v>2634.17</v>
      </c>
      <c r="E613" s="7" t="n">
        <v>2586</v>
      </c>
      <c r="F613" s="7">
        <f>D613-E613</f>
        <v/>
      </c>
      <c r="G613" s="8">
        <f>IF(D613=0,"",(D613-E613)/D613)</f>
        <v/>
      </c>
      <c r="H613" s="9" t="n">
        <v>798316</v>
      </c>
      <c r="I613" s="10" t="n">
        <v>0.516</v>
      </c>
      <c r="J613" s="10">
        <f>IF(COUNT(G363:G612)&lt;20,"",IF(COUNTIF(G363:G612,"&lt;"&amp;G613)&gt;=COUNT(G363:G612),(COUNT(G363:G612)-0.5)/COUNT(G363:G612),IF(COUNTIF(G363:G612,G613)&gt;0,(COUNTIF(G363:G612,"&lt;"&amp;G613)+0.5*COUNTIF(G363:G612,G613))/COUNT(G363:G612),COUNTIF(G363:G612,"&lt;"&amp;G613)/COUNT(G363:G612))))</f>
        <v/>
      </c>
      <c r="K613" s="6" t="inlineStr">
        <is>
          <t>中间分位</t>
        </is>
      </c>
      <c r="L613" s="6" t="n">
        <v>51</v>
      </c>
      <c r="M613" s="6" t="inlineStr">
        <is>
          <t>Contango(远强)</t>
        </is>
      </c>
      <c r="N613" s="6" t="n">
        <v>1</v>
      </c>
      <c r="O613" s="6" t="n">
        <v>0</v>
      </c>
      <c r="P613" s="7" t="n">
        <v>-16</v>
      </c>
      <c r="Q613" s="6" t="inlineStr"/>
    </row>
    <row r="614">
      <c r="A614" s="11" t="inlineStr">
        <is>
          <t>2025-03-03</t>
        </is>
      </c>
      <c r="B614" s="11" t="inlineStr">
        <is>
          <t>MA2505</t>
        </is>
      </c>
      <c r="C614" s="11" t="inlineStr">
        <is>
          <t>2025-05</t>
        </is>
      </c>
      <c r="D614" s="12" t="n">
        <v>2629.17</v>
      </c>
      <c r="E614" s="12" t="n">
        <v>2606</v>
      </c>
      <c r="F614" s="12">
        <f>D614-E614</f>
        <v/>
      </c>
      <c r="G614" s="13">
        <f>IF(D614=0,"",(D614-E614)/D614)</f>
        <v/>
      </c>
      <c r="H614" s="14" t="n">
        <v>868263</v>
      </c>
      <c r="I614" s="15" t="n">
        <v>0.4</v>
      </c>
      <c r="J614" s="15">
        <f>IF(COUNT(G364:G613)&lt;20,"",IF(COUNTIF(G364:G613,"&lt;"&amp;G614)&gt;=COUNT(G364:G613),(COUNT(G364:G613)-0.5)/COUNT(G364:G613),IF(COUNTIF(G364:G613,G614)&gt;0,(COUNTIF(G364:G613,"&lt;"&amp;G614)+0.5*COUNTIF(G364:G613,G614))/COUNT(G364:G613),COUNTIF(G364:G613,"&lt;"&amp;G614)/COUNT(G364:G613))))</f>
        <v/>
      </c>
      <c r="K614" s="11" t="inlineStr">
        <is>
          <t>中间分位</t>
        </is>
      </c>
      <c r="L614" s="11" t="n">
        <v>50</v>
      </c>
      <c r="M614" s="11" t="inlineStr">
        <is>
          <t>Contango(远强)</t>
        </is>
      </c>
      <c r="N614" s="11" t="n">
        <v>1</v>
      </c>
      <c r="O614" s="11" t="n">
        <v>0</v>
      </c>
      <c r="P614" s="12" t="n">
        <v>-29</v>
      </c>
      <c r="Q614" s="11" t="inlineStr"/>
    </row>
    <row r="615">
      <c r="A615" s="6" t="inlineStr">
        <is>
          <t>2025-03-04</t>
        </is>
      </c>
      <c r="B615" s="6" t="inlineStr">
        <is>
          <t>MA2505</t>
        </is>
      </c>
      <c r="C615" s="6" t="inlineStr">
        <is>
          <t>2025-05</t>
        </is>
      </c>
      <c r="D615" s="7" t="n">
        <v>2644.17</v>
      </c>
      <c r="E615" s="7" t="n">
        <v>2607</v>
      </c>
      <c r="F615" s="7">
        <f>D615-E615</f>
        <v/>
      </c>
      <c r="G615" s="8">
        <f>IF(D615=0,"",(D615-E615)/D615)</f>
        <v/>
      </c>
      <c r="H615" s="9" t="n">
        <v>887970</v>
      </c>
      <c r="I615" s="10" t="n">
        <v>0.484</v>
      </c>
      <c r="J615" s="10">
        <f>IF(COUNT(G365:G614)&lt;20,"",IF(COUNTIF(G365:G614,"&lt;"&amp;G615)&gt;=COUNT(G365:G614),(COUNT(G365:G614)-0.5)/COUNT(G365:G614),IF(COUNTIF(G365:G614,G615)&gt;0,(COUNTIF(G365:G614,"&lt;"&amp;G615)+0.5*COUNTIF(G365:G614,G615))/COUNT(G365:G614),COUNTIF(G365:G614,"&lt;"&amp;G615)/COUNT(G365:G614))))</f>
        <v/>
      </c>
      <c r="K615" s="6" t="inlineStr">
        <is>
          <t>中间分位</t>
        </is>
      </c>
      <c r="L615" s="6" t="n">
        <v>49</v>
      </c>
      <c r="M615" s="6" t="inlineStr">
        <is>
          <t>Contango(远强)</t>
        </is>
      </c>
      <c r="N615" s="6" t="n">
        <v>1</v>
      </c>
      <c r="O615" s="6" t="n">
        <v>0</v>
      </c>
      <c r="P615" s="7" t="n">
        <v>-28</v>
      </c>
      <c r="Q615" s="6" t="inlineStr"/>
    </row>
    <row r="616">
      <c r="A616" s="11" t="inlineStr">
        <is>
          <t>2025-03-05</t>
        </is>
      </c>
      <c r="B616" s="11" t="inlineStr">
        <is>
          <t>MA2505</t>
        </is>
      </c>
      <c r="C616" s="11" t="inlineStr">
        <is>
          <t>2025-05</t>
        </is>
      </c>
      <c r="D616" s="12" t="n">
        <v>2650</v>
      </c>
      <c r="E616" s="12" t="n">
        <v>2591</v>
      </c>
      <c r="F616" s="12">
        <f>D616-E616</f>
        <v/>
      </c>
      <c r="G616" s="13">
        <f>IF(D616=0,"",(D616-E616)/D616)</f>
        <v/>
      </c>
      <c r="H616" s="14" t="n">
        <v>881839</v>
      </c>
      <c r="I616" s="15" t="n">
        <v>0.58</v>
      </c>
      <c r="J616" s="15">
        <f>IF(COUNT(G366:G615)&lt;20,"",IF(COUNTIF(G366:G615,"&lt;"&amp;G616)&gt;=COUNT(G366:G615),(COUNT(G366:G615)-0.5)/COUNT(G366:G615),IF(COUNTIF(G366:G615,G616)&gt;0,(COUNTIF(G366:G615,"&lt;"&amp;G616)+0.5*COUNTIF(G366:G615,G616))/COUNT(G366:G615),COUNTIF(G366:G615,"&lt;"&amp;G616)/COUNT(G366:G615))))</f>
        <v/>
      </c>
      <c r="K616" s="11" t="inlineStr">
        <is>
          <t>中间分位</t>
        </is>
      </c>
      <c r="L616" s="11" t="n">
        <v>48</v>
      </c>
      <c r="M616" s="11" t="inlineStr">
        <is>
          <t>Contango(远强)</t>
        </is>
      </c>
      <c r="N616" s="11" t="n">
        <v>1</v>
      </c>
      <c r="O616" s="11" t="n">
        <v>0</v>
      </c>
      <c r="P616" s="12" t="n">
        <v>-35</v>
      </c>
      <c r="Q616" s="11" t="inlineStr"/>
    </row>
    <row r="617">
      <c r="A617" s="6" t="inlineStr">
        <is>
          <t>2025-03-06</t>
        </is>
      </c>
      <c r="B617" s="6" t="inlineStr">
        <is>
          <t>MA2505</t>
        </is>
      </c>
      <c r="C617" s="6" t="inlineStr">
        <is>
          <t>2025-05</t>
        </is>
      </c>
      <c r="D617" s="7" t="n">
        <v>2644.17</v>
      </c>
      <c r="E617" s="7" t="n">
        <v>2571</v>
      </c>
      <c r="F617" s="7">
        <f>D617-E617</f>
        <v/>
      </c>
      <c r="G617" s="8">
        <f>IF(D617=0,"",(D617-E617)/D617)</f>
        <v/>
      </c>
      <c r="H617" s="9" t="n">
        <v>842249</v>
      </c>
      <c r="I617" s="10" t="n">
        <v>0.636</v>
      </c>
      <c r="J617" s="10">
        <f>IF(COUNT(G367:G616)&lt;20,"",IF(COUNTIF(G367:G616,"&lt;"&amp;G617)&gt;=COUNT(G367:G616),(COUNT(G367:G616)-0.5)/COUNT(G367:G616),IF(COUNTIF(G367:G616,G617)&gt;0,(COUNTIF(G367:G616,"&lt;"&amp;G617)+0.5*COUNTIF(G367:G616,G617))/COUNT(G367:G616),COUNTIF(G367:G616,"&lt;"&amp;G617)/COUNT(G367:G616))))</f>
        <v/>
      </c>
      <c r="K617" s="6" t="inlineStr">
        <is>
          <t>中间分位</t>
        </is>
      </c>
      <c r="L617" s="6" t="n">
        <v>47</v>
      </c>
      <c r="M617" s="6" t="inlineStr">
        <is>
          <t>Contango(远强)</t>
        </is>
      </c>
      <c r="N617" s="6" t="n">
        <v>1</v>
      </c>
      <c r="O617" s="6" t="n">
        <v>0</v>
      </c>
      <c r="P617" s="7" t="n">
        <v>-45</v>
      </c>
      <c r="Q617" s="6" t="inlineStr"/>
    </row>
    <row r="618">
      <c r="A618" s="11" t="inlineStr">
        <is>
          <t>2025-03-07</t>
        </is>
      </c>
      <c r="B618" s="11" t="inlineStr">
        <is>
          <t>MA2505</t>
        </is>
      </c>
      <c r="C618" s="11" t="inlineStr">
        <is>
          <t>2025-05</t>
        </is>
      </c>
      <c r="D618" s="12" t="n">
        <v>2649.17</v>
      </c>
      <c r="E618" s="12" t="n">
        <v>2591</v>
      </c>
      <c r="F618" s="12">
        <f>D618-E618</f>
        <v/>
      </c>
      <c r="G618" s="13">
        <f>IF(D618=0,"",(D618-E618)/D618)</f>
        <v/>
      </c>
      <c r="H618" s="14" t="n">
        <v>864853</v>
      </c>
      <c r="I618" s="15" t="n">
        <v>0.58</v>
      </c>
      <c r="J618" s="15">
        <f>IF(COUNT(G368:G617)&lt;20,"",IF(COUNTIF(G368:G617,"&lt;"&amp;G618)&gt;=COUNT(G368:G617),(COUNT(G368:G617)-0.5)/COUNT(G368:G617),IF(COUNTIF(G368:G617,G618)&gt;0,(COUNTIF(G368:G617,"&lt;"&amp;G618)+0.5*COUNTIF(G368:G617,G618))/COUNT(G368:G617),COUNTIF(G368:G617,"&lt;"&amp;G618)/COUNT(G368:G617))))</f>
        <v/>
      </c>
      <c r="K618" s="11" t="inlineStr">
        <is>
          <t>中间分位</t>
        </is>
      </c>
      <c r="L618" s="11" t="n">
        <v>46</v>
      </c>
      <c r="M618" s="11" t="inlineStr">
        <is>
          <t>Contango(远强)</t>
        </is>
      </c>
      <c r="N618" s="11" t="n">
        <v>1</v>
      </c>
      <c r="O618" s="11" t="n">
        <v>0</v>
      </c>
      <c r="P618" s="12" t="n">
        <v>-59</v>
      </c>
      <c r="Q618" s="11" t="inlineStr"/>
    </row>
    <row r="619">
      <c r="A619" s="6" t="inlineStr">
        <is>
          <t>2025-03-10</t>
        </is>
      </c>
      <c r="B619" s="6" t="inlineStr">
        <is>
          <t>MA2505</t>
        </is>
      </c>
      <c r="C619" s="6" t="inlineStr">
        <is>
          <t>2025-05</t>
        </is>
      </c>
      <c r="D619" s="7" t="n">
        <v>2669.17</v>
      </c>
      <c r="E619" s="7" t="n">
        <v>2591</v>
      </c>
      <c r="F619" s="7">
        <f>D619-E619</f>
        <v/>
      </c>
      <c r="G619" s="8">
        <f>IF(D619=0,"",(D619-E619)/D619)</f>
        <v/>
      </c>
      <c r="H619" s="9" t="n">
        <v>852578</v>
      </c>
      <c r="I619" s="10" t="n">
        <v>0.656</v>
      </c>
      <c r="J619" s="10">
        <f>IF(COUNT(G369:G618)&lt;20,"",IF(COUNTIF(G369:G618,"&lt;"&amp;G619)&gt;=COUNT(G369:G618),(COUNT(G369:G618)-0.5)/COUNT(G369:G618),IF(COUNTIF(G369:G618,G619)&gt;0,(COUNTIF(G369:G618,"&lt;"&amp;G619)+0.5*COUNTIF(G369:G618,G619))/COUNT(G369:G618),COUNTIF(G369:G618,"&lt;"&amp;G619)/COUNT(G369:G618))))</f>
        <v/>
      </c>
      <c r="K619" s="6" t="inlineStr">
        <is>
          <t>中间分位</t>
        </is>
      </c>
      <c r="L619" s="6" t="n">
        <v>45</v>
      </c>
      <c r="M619" s="6" t="inlineStr">
        <is>
          <t>Contango(远强)</t>
        </is>
      </c>
      <c r="N619" s="6" t="n">
        <v>1</v>
      </c>
      <c r="O619" s="6" t="n">
        <v>0</v>
      </c>
      <c r="P619" s="7" t="n">
        <v>-59</v>
      </c>
      <c r="Q619" s="6" t="inlineStr"/>
    </row>
    <row r="620">
      <c r="A620" s="11" t="inlineStr">
        <is>
          <t>2025-03-11</t>
        </is>
      </c>
      <c r="B620" s="11" t="inlineStr">
        <is>
          <t>MA2505</t>
        </is>
      </c>
      <c r="C620" s="11" t="inlineStr">
        <is>
          <t>2025-05</t>
        </is>
      </c>
      <c r="D620" s="12" t="n">
        <v>2669.17</v>
      </c>
      <c r="E620" s="12" t="n">
        <v>2589</v>
      </c>
      <c r="F620" s="12">
        <f>D620-E620</f>
        <v/>
      </c>
      <c r="G620" s="13">
        <f>IF(D620=0,"",(D620-E620)/D620)</f>
        <v/>
      </c>
      <c r="H620" s="14" t="n">
        <v>854479</v>
      </c>
      <c r="I620" s="15" t="n">
        <v>0.672</v>
      </c>
      <c r="J620" s="15">
        <f>IF(COUNT(G370:G619)&lt;20,"",IF(COUNTIF(G370:G619,"&lt;"&amp;G620)&gt;=COUNT(G370:G619),(COUNT(G370:G619)-0.5)/COUNT(G370:G619),IF(COUNTIF(G370:G619,G620)&gt;0,(COUNTIF(G370:G619,"&lt;"&amp;G620)+0.5*COUNTIF(G370:G619,G620))/COUNT(G370:G619),COUNTIF(G370:G619,"&lt;"&amp;G620)/COUNT(G370:G619))))</f>
        <v/>
      </c>
      <c r="K620" s="11" t="inlineStr">
        <is>
          <t>中间分位</t>
        </is>
      </c>
      <c r="L620" s="11" t="n">
        <v>44</v>
      </c>
      <c r="M620" s="11" t="inlineStr">
        <is>
          <t>Contango(远强)</t>
        </is>
      </c>
      <c r="N620" s="11" t="n">
        <v>1</v>
      </c>
      <c r="O620" s="11" t="n">
        <v>0</v>
      </c>
      <c r="P620" s="12" t="n">
        <v>-51</v>
      </c>
      <c r="Q620" s="11" t="inlineStr"/>
    </row>
    <row r="621">
      <c r="A621" s="6" t="inlineStr">
        <is>
          <t>2025-03-12</t>
        </is>
      </c>
      <c r="B621" s="6" t="inlineStr">
        <is>
          <t>MA2505</t>
        </is>
      </c>
      <c r="C621" s="6" t="inlineStr">
        <is>
          <t>2025-05</t>
        </is>
      </c>
      <c r="D621" s="7" t="n">
        <v>2670</v>
      </c>
      <c r="E621" s="7" t="n">
        <v>2526</v>
      </c>
      <c r="F621" s="7">
        <f>D621-E621</f>
        <v/>
      </c>
      <c r="G621" s="8">
        <f>IF(D621=0,"",(D621-E621)/D621)</f>
        <v/>
      </c>
      <c r="H621" s="9" t="n">
        <v>880578</v>
      </c>
      <c r="I621" s="10" t="n">
        <v>0.856</v>
      </c>
      <c r="J621" s="10">
        <f>IF(COUNT(G371:G620)&lt;20,"",IF(COUNTIF(G371:G620,"&lt;"&amp;G621)&gt;=COUNT(G371:G620),(COUNT(G371:G620)-0.5)/COUNT(G371:G620),IF(COUNTIF(G371:G620,G621)&gt;0,(COUNTIF(G371:G620,"&lt;"&amp;G621)+0.5*COUNTIF(G371:G620,G621))/COUNT(G371:G620),COUNTIF(G371:G620,"&lt;"&amp;G621)/COUNT(G371:G620))))</f>
        <v/>
      </c>
      <c r="K621" s="6" t="inlineStr">
        <is>
          <t>中间分位</t>
        </is>
      </c>
      <c r="L621" s="6" t="n">
        <v>43</v>
      </c>
      <c r="M621" s="6" t="inlineStr">
        <is>
          <t>Contango(远强)</t>
        </is>
      </c>
      <c r="N621" s="6" t="n">
        <v>1</v>
      </c>
      <c r="O621" s="6" t="n">
        <v>0</v>
      </c>
      <c r="P621" s="7" t="n">
        <v>-103</v>
      </c>
      <c r="Q621" s="6" t="inlineStr"/>
    </row>
    <row r="622">
      <c r="A622" s="11" t="inlineStr">
        <is>
          <t>2025-03-13</t>
        </is>
      </c>
      <c r="B622" s="11" t="inlineStr">
        <is>
          <t>MA2505</t>
        </is>
      </c>
      <c r="C622" s="11" t="inlineStr">
        <is>
          <t>2025-05</t>
        </is>
      </c>
      <c r="D622" s="12" t="n">
        <v>2626.67</v>
      </c>
      <c r="E622" s="12" t="n">
        <v>2539</v>
      </c>
      <c r="F622" s="12">
        <f>D622-E622</f>
        <v/>
      </c>
      <c r="G622" s="13">
        <f>IF(D622=0,"",(D622-E622)/D622)</f>
        <v/>
      </c>
      <c r="H622" s="14" t="n">
        <v>873077</v>
      </c>
      <c r="I622" s="15" t="n">
        <v>0.708</v>
      </c>
      <c r="J622" s="15">
        <f>IF(COUNT(G372:G621)&lt;20,"",IF(COUNTIF(G372:G621,"&lt;"&amp;G622)&gt;=COUNT(G372:G621),(COUNT(G372:G621)-0.5)/COUNT(G372:G621),IF(COUNTIF(G372:G621,G622)&gt;0,(COUNTIF(G372:G621,"&lt;"&amp;G622)+0.5*COUNTIF(G372:G621,G622))/COUNT(G372:G621),COUNTIF(G372:G621,"&lt;"&amp;G622)/COUNT(G372:G621))))</f>
        <v/>
      </c>
      <c r="K622" s="11" t="inlineStr">
        <is>
          <t>中间分位</t>
        </is>
      </c>
      <c r="L622" s="11" t="n">
        <v>42</v>
      </c>
      <c r="M622" s="11" t="inlineStr">
        <is>
          <t>Contango(远强)</t>
        </is>
      </c>
      <c r="N622" s="11" t="n">
        <v>1</v>
      </c>
      <c r="O622" s="11" t="n">
        <v>0</v>
      </c>
      <c r="P622" s="12" t="n">
        <v>-38</v>
      </c>
      <c r="Q622" s="11" t="inlineStr"/>
    </row>
    <row r="623">
      <c r="A623" s="6" t="inlineStr">
        <is>
          <t>2025-03-14</t>
        </is>
      </c>
      <c r="B623" s="6" t="inlineStr">
        <is>
          <t>MA2505</t>
        </is>
      </c>
      <c r="C623" s="6" t="inlineStr">
        <is>
          <t>2025-05</t>
        </is>
      </c>
      <c r="D623" s="7" t="n">
        <v>2628.33</v>
      </c>
      <c r="E623" s="7" t="n">
        <v>2591</v>
      </c>
      <c r="F623" s="7">
        <f>D623-E623</f>
        <v/>
      </c>
      <c r="G623" s="8">
        <f>IF(D623=0,"",(D623-E623)/D623)</f>
        <v/>
      </c>
      <c r="H623" s="9" t="n">
        <v>839908</v>
      </c>
      <c r="I623" s="10" t="n">
        <v>0.488</v>
      </c>
      <c r="J623" s="10">
        <f>IF(COUNT(G373:G622)&lt;20,"",IF(COUNTIF(G373:G622,"&lt;"&amp;G623)&gt;=COUNT(G373:G622),(COUNT(G373:G622)-0.5)/COUNT(G373:G622),IF(COUNTIF(G373:G622,G623)&gt;0,(COUNTIF(G373:G622,"&lt;"&amp;G623)+0.5*COUNTIF(G373:G622,G623))/COUNT(G373:G622),COUNTIF(G373:G622,"&lt;"&amp;G623)/COUNT(G373:G622))))</f>
        <v/>
      </c>
      <c r="K623" s="6" t="inlineStr">
        <is>
          <t>中间分位</t>
        </is>
      </c>
      <c r="L623" s="6" t="n">
        <v>41</v>
      </c>
      <c r="M623" s="6" t="inlineStr">
        <is>
          <t>Contango(远强)</t>
        </is>
      </c>
      <c r="N623" s="6" t="n">
        <v>1</v>
      </c>
      <c r="O623" s="6" t="n">
        <v>0</v>
      </c>
      <c r="P623" s="7" t="n">
        <v>-46</v>
      </c>
      <c r="Q623" s="6" t="inlineStr"/>
    </row>
    <row r="624">
      <c r="A624" s="11" t="inlineStr">
        <is>
          <t>2025-03-17</t>
        </is>
      </c>
      <c r="B624" s="11" t="inlineStr">
        <is>
          <t>MA2505</t>
        </is>
      </c>
      <c r="C624" s="11" t="inlineStr">
        <is>
          <t>2025-05</t>
        </is>
      </c>
      <c r="D624" s="12" t="n">
        <v>2656.67</v>
      </c>
      <c r="E624" s="12" t="n">
        <v>2567</v>
      </c>
      <c r="F624" s="12">
        <f>D624-E624</f>
        <v/>
      </c>
      <c r="G624" s="13">
        <f>IF(D624=0,"",(D624-E624)/D624)</f>
        <v/>
      </c>
      <c r="H624" s="14" t="n">
        <v>810052</v>
      </c>
      <c r="I624" s="15" t="n">
        <v>0.72</v>
      </c>
      <c r="J624" s="15">
        <f>IF(COUNT(G374:G623)&lt;20,"",IF(COUNTIF(G374:G623,"&lt;"&amp;G624)&gt;=COUNT(G374:G623),(COUNT(G374:G623)-0.5)/COUNT(G374:G623),IF(COUNTIF(G374:G623,G624)&gt;0,(COUNTIF(G374:G623,"&lt;"&amp;G624)+0.5*COUNTIF(G374:G623,G624))/COUNT(G374:G623),COUNTIF(G374:G623,"&lt;"&amp;G624)/COUNT(G374:G623))))</f>
        <v/>
      </c>
      <c r="K624" s="11" t="inlineStr">
        <is>
          <t>中间分位</t>
        </is>
      </c>
      <c r="L624" s="11" t="n">
        <v>40</v>
      </c>
      <c r="M624" s="11" t="inlineStr">
        <is>
          <t>Contango(远强)</t>
        </is>
      </c>
      <c r="N624" s="11" t="n">
        <v>1</v>
      </c>
      <c r="O624" s="11" t="n">
        <v>0</v>
      </c>
      <c r="P624" s="12" t="n">
        <v>-53</v>
      </c>
      <c r="Q624" s="11" t="inlineStr"/>
    </row>
    <row r="625">
      <c r="A625" s="6" t="inlineStr">
        <is>
          <t>2025-03-18</t>
        </is>
      </c>
      <c r="B625" s="6" t="inlineStr">
        <is>
          <t>MA2505</t>
        </is>
      </c>
      <c r="C625" s="6" t="inlineStr">
        <is>
          <t>2025-05</t>
        </is>
      </c>
      <c r="D625" s="7" t="n">
        <v>2670</v>
      </c>
      <c r="E625" s="7" t="n">
        <v>2532</v>
      </c>
      <c r="F625" s="7">
        <f>D625-E625</f>
        <v/>
      </c>
      <c r="G625" s="8">
        <f>IF(D625=0,"",(D625-E625)/D625)</f>
        <v/>
      </c>
      <c r="H625" s="9" t="n">
        <v>803108</v>
      </c>
      <c r="I625" s="10" t="n">
        <v>0.86</v>
      </c>
      <c r="J625" s="10">
        <f>IF(COUNT(G375:G624)&lt;20,"",IF(COUNTIF(G375:G624,"&lt;"&amp;G625)&gt;=COUNT(G375:G624),(COUNT(G375:G624)-0.5)/COUNT(G375:G624),IF(COUNTIF(G375:G624,G625)&gt;0,(COUNTIF(G375:G624,"&lt;"&amp;G625)+0.5*COUNTIF(G375:G624,G625))/COUNT(G375:G624),COUNTIF(G375:G624,"&lt;"&amp;G625)/COUNT(G375:G624))))</f>
        <v/>
      </c>
      <c r="K625" s="6" t="inlineStr">
        <is>
          <t>中间分位</t>
        </is>
      </c>
      <c r="L625" s="6" t="n">
        <v>39</v>
      </c>
      <c r="M625" s="6" t="inlineStr">
        <is>
          <t>Contango(远强)</t>
        </is>
      </c>
      <c r="N625" s="6" t="n">
        <v>1</v>
      </c>
      <c r="O625" s="6" t="n">
        <v>0</v>
      </c>
      <c r="P625" s="7" t="n">
        <v>-51</v>
      </c>
      <c r="Q625" s="6" t="inlineStr"/>
    </row>
    <row r="626">
      <c r="A626" s="11" t="inlineStr">
        <is>
          <t>2025-03-19</t>
        </is>
      </c>
      <c r="B626" s="11" t="inlineStr">
        <is>
          <t>MA2505</t>
        </is>
      </c>
      <c r="C626" s="11" t="inlineStr">
        <is>
          <t>2025-05</t>
        </is>
      </c>
      <c r="D626" s="12" t="n">
        <v>2654.17</v>
      </c>
      <c r="E626" s="12" t="n">
        <v>2537</v>
      </c>
      <c r="F626" s="12">
        <f>D626-E626</f>
        <v/>
      </c>
      <c r="G626" s="13">
        <f>IF(D626=0,"",(D626-E626)/D626)</f>
        <v/>
      </c>
      <c r="H626" s="14" t="n">
        <v>811617</v>
      </c>
      <c r="I626" s="15" t="n">
        <v>0.824</v>
      </c>
      <c r="J626" s="15">
        <f>IF(COUNT(G376:G625)&lt;20,"",IF(COUNTIF(G376:G625,"&lt;"&amp;G626)&gt;=COUNT(G376:G625),(COUNT(G376:G625)-0.5)/COUNT(G376:G625),IF(COUNTIF(G376:G625,G626)&gt;0,(COUNTIF(G376:G625,"&lt;"&amp;G626)+0.5*COUNTIF(G376:G625,G626))/COUNT(G376:G625),COUNTIF(G376:G625,"&lt;"&amp;G626)/COUNT(G376:G625))))</f>
        <v/>
      </c>
      <c r="K626" s="11" t="inlineStr">
        <is>
          <t>中间分位</t>
        </is>
      </c>
      <c r="L626" s="11" t="n">
        <v>38</v>
      </c>
      <c r="M626" s="11" t="inlineStr">
        <is>
          <t>Contango(远强)</t>
        </is>
      </c>
      <c r="N626" s="11" t="n">
        <v>1</v>
      </c>
      <c r="O626" s="11" t="n">
        <v>0</v>
      </c>
      <c r="P626" s="12" t="n">
        <v>-57</v>
      </c>
      <c r="Q626" s="11" t="inlineStr"/>
    </row>
    <row r="627">
      <c r="A627" s="6" t="inlineStr">
        <is>
          <t>2025-03-20</t>
        </is>
      </c>
      <c r="B627" s="6" t="inlineStr">
        <is>
          <t>MA2505</t>
        </is>
      </c>
      <c r="C627" s="6" t="inlineStr">
        <is>
          <t>2025-05</t>
        </is>
      </c>
      <c r="D627" s="7" t="n">
        <v>2668.33</v>
      </c>
      <c r="E627" s="7" t="n">
        <v>2559</v>
      </c>
      <c r="F627" s="7">
        <f>D627-E627</f>
        <v/>
      </c>
      <c r="G627" s="8">
        <f>IF(D627=0,"",(D627-E627)/D627)</f>
        <v/>
      </c>
      <c r="H627" s="9" t="n">
        <v>810738</v>
      </c>
      <c r="I627" s="10" t="n">
        <v>0.792</v>
      </c>
      <c r="J627" s="10">
        <f>IF(COUNT(G377:G626)&lt;20,"",IF(COUNTIF(G377:G626,"&lt;"&amp;G627)&gt;=COUNT(G377:G626),(COUNT(G377:G626)-0.5)/COUNT(G377:G626),IF(COUNTIF(G377:G626,G627)&gt;0,(COUNTIF(G377:G626,"&lt;"&amp;G627)+0.5*COUNTIF(G377:G626,G627))/COUNT(G377:G626),COUNTIF(G377:G626,"&lt;"&amp;G627)/COUNT(G377:G626))))</f>
        <v/>
      </c>
      <c r="K627" s="6" t="inlineStr">
        <is>
          <t>中间分位</t>
        </is>
      </c>
      <c r="L627" s="6" t="n">
        <v>37</v>
      </c>
      <c r="M627" s="6" t="inlineStr">
        <is>
          <t>Contango(远强)</t>
        </is>
      </c>
      <c r="N627" s="6" t="n">
        <v>1</v>
      </c>
      <c r="O627" s="6" t="n">
        <v>0</v>
      </c>
      <c r="P627" s="7" t="n">
        <v>-76</v>
      </c>
      <c r="Q627" s="6" t="inlineStr"/>
    </row>
    <row r="628">
      <c r="A628" s="11" t="inlineStr">
        <is>
          <t>2025-03-21</t>
        </is>
      </c>
      <c r="B628" s="11" t="inlineStr">
        <is>
          <t>MA2505</t>
        </is>
      </c>
      <c r="C628" s="11" t="inlineStr">
        <is>
          <t>2025-05</t>
        </is>
      </c>
      <c r="D628" s="12" t="n">
        <v>2694.17</v>
      </c>
      <c r="E628" s="12" t="n">
        <v>2554</v>
      </c>
      <c r="F628" s="12">
        <f>D628-E628</f>
        <v/>
      </c>
      <c r="G628" s="13">
        <f>IF(D628=0,"",(D628-E628)/D628)</f>
        <v/>
      </c>
      <c r="H628" s="14" t="n">
        <v>797999</v>
      </c>
      <c r="I628" s="15" t="n">
        <v>0.872</v>
      </c>
      <c r="J628" s="15">
        <f>IF(COUNT(G378:G627)&lt;20,"",IF(COUNTIF(G378:G627,"&lt;"&amp;G628)&gt;=COUNT(G378:G627),(COUNT(G378:G627)-0.5)/COUNT(G378:G627),IF(COUNTIF(G378:G627,G628)&gt;0,(COUNTIF(G378:G627,"&lt;"&amp;G628)+0.5*COUNTIF(G378:G627,G628))/COUNT(G378:G627),COUNTIF(G378:G627,"&lt;"&amp;G628)/COUNT(G378:G627))))</f>
        <v/>
      </c>
      <c r="K628" s="11" t="inlineStr">
        <is>
          <t>中间分位</t>
        </is>
      </c>
      <c r="L628" s="11" t="n">
        <v>36</v>
      </c>
      <c r="M628" s="11" t="inlineStr">
        <is>
          <t>Contango(远强)</t>
        </is>
      </c>
      <c r="N628" s="11" t="n">
        <v>1</v>
      </c>
      <c r="O628" s="11" t="n">
        <v>0</v>
      </c>
      <c r="P628" s="12" t="n">
        <v>-82</v>
      </c>
      <c r="Q628" s="11" t="inlineStr"/>
    </row>
    <row r="629">
      <c r="A629" s="6" t="inlineStr">
        <is>
          <t>2025-03-24</t>
        </is>
      </c>
      <c r="B629" s="6" t="inlineStr">
        <is>
          <t>MA2505</t>
        </is>
      </c>
      <c r="C629" s="6" t="inlineStr">
        <is>
          <t>2025-05</t>
        </is>
      </c>
      <c r="D629" s="7" t="n">
        <v>2694.17</v>
      </c>
      <c r="E629" s="7" t="n">
        <v>2587</v>
      </c>
      <c r="F629" s="7">
        <f>D629-E629</f>
        <v/>
      </c>
      <c r="G629" s="8">
        <f>IF(D629=0,"",(D629-E629)/D629)</f>
        <v/>
      </c>
      <c r="H629" s="9" t="n">
        <v>799106</v>
      </c>
      <c r="I629" s="10" t="n">
        <v>0.784</v>
      </c>
      <c r="J629" s="10">
        <f>IF(COUNT(G379:G628)&lt;20,"",IF(COUNTIF(G379:G628,"&lt;"&amp;G629)&gt;=COUNT(G379:G628),(COUNT(G379:G628)-0.5)/COUNT(G379:G628),IF(COUNTIF(G379:G628,G629)&gt;0,(COUNTIF(G379:G628,"&lt;"&amp;G629)+0.5*COUNTIF(G379:G628,G629))/COUNT(G379:G628),COUNTIF(G379:G628,"&lt;"&amp;G629)/COUNT(G379:G628))))</f>
        <v/>
      </c>
      <c r="K629" s="6" t="inlineStr">
        <is>
          <t>中间分位</t>
        </is>
      </c>
      <c r="L629" s="6" t="n">
        <v>35</v>
      </c>
      <c r="M629" s="6" t="inlineStr">
        <is>
          <t>Contango(远强)</t>
        </is>
      </c>
      <c r="N629" s="6" t="n">
        <v>1</v>
      </c>
      <c r="O629" s="6" t="n">
        <v>0</v>
      </c>
      <c r="P629" s="7" t="n">
        <v>-82</v>
      </c>
      <c r="Q629" s="6" t="inlineStr"/>
    </row>
    <row r="630">
      <c r="A630" s="11" t="inlineStr">
        <is>
          <t>2025-03-25</t>
        </is>
      </c>
      <c r="B630" s="11" t="inlineStr">
        <is>
          <t>MA2505</t>
        </is>
      </c>
      <c r="C630" s="11" t="inlineStr">
        <is>
          <t>2025-05</t>
        </is>
      </c>
      <c r="D630" s="12" t="n">
        <v>2720</v>
      </c>
      <c r="E630" s="12" t="n">
        <v>2549</v>
      </c>
      <c r="F630" s="12">
        <f>D630-E630</f>
        <v/>
      </c>
      <c r="G630" s="13">
        <f>IF(D630=0,"",(D630-E630)/D630)</f>
        <v/>
      </c>
      <c r="H630" s="14" t="n">
        <v>738645</v>
      </c>
      <c r="I630" s="15" t="n">
        <v>0.9399999999999999</v>
      </c>
      <c r="J630" s="15">
        <f>IF(COUNT(G380:G629)&lt;20,"",IF(COUNTIF(G380:G629,"&lt;"&amp;G630)&gt;=COUNT(G380:G629),(COUNT(G380:G629)-0.5)/COUNT(G380:G629),IF(COUNTIF(G380:G629,G630)&gt;0,(COUNTIF(G380:G629,"&lt;"&amp;G630)+0.5*COUNTIF(G380:G629,G630))/COUNT(G380:G629),COUNTIF(G380:G629,"&lt;"&amp;G630)/COUNT(G380:G629))))</f>
        <v/>
      </c>
      <c r="K630" s="11" t="inlineStr">
        <is>
          <t>高分位</t>
        </is>
      </c>
      <c r="L630" s="11" t="n">
        <v>34</v>
      </c>
      <c r="M630" s="11" t="inlineStr">
        <is>
          <t>Contango(远强)</t>
        </is>
      </c>
      <c r="N630" s="11" t="n">
        <v>1</v>
      </c>
      <c r="O630" s="11" t="n">
        <v>0</v>
      </c>
      <c r="P630" s="12" t="n">
        <v>-79</v>
      </c>
      <c r="Q630" s="11" t="inlineStr"/>
    </row>
    <row r="631">
      <c r="A631" s="6" t="inlineStr">
        <is>
          <t>2025-03-26</t>
        </is>
      </c>
      <c r="B631" s="6" t="inlineStr">
        <is>
          <t>MA2505</t>
        </is>
      </c>
      <c r="C631" s="6" t="inlineStr">
        <is>
          <t>2025-05</t>
        </is>
      </c>
      <c r="D631" s="7" t="n">
        <v>2669.17</v>
      </c>
      <c r="E631" s="7" t="n">
        <v>2552</v>
      </c>
      <c r="F631" s="7">
        <f>D631-E631</f>
        <v/>
      </c>
      <c r="G631" s="8">
        <f>IF(D631=0,"",(D631-E631)/D631)</f>
        <v/>
      </c>
      <c r="H631" s="9" t="n">
        <v>721212</v>
      </c>
      <c r="I631" s="10" t="n">
        <v>0.832</v>
      </c>
      <c r="J631" s="10">
        <f>IF(COUNT(G381:G630)&lt;20,"",IF(COUNTIF(G381:G630,"&lt;"&amp;G631)&gt;=COUNT(G381:G630),(COUNT(G381:G630)-0.5)/COUNT(G381:G630),IF(COUNTIF(G381:G630,G631)&gt;0,(COUNTIF(G381:G630,"&lt;"&amp;G631)+0.5*COUNTIF(G381:G630,G631))/COUNT(G381:G630),COUNTIF(G381:G630,"&lt;"&amp;G631)/COUNT(G381:G630))))</f>
        <v/>
      </c>
      <c r="K631" s="6" t="inlineStr">
        <is>
          <t>中间分位</t>
        </is>
      </c>
      <c r="L631" s="6" t="n">
        <v>33</v>
      </c>
      <c r="M631" s="6" t="inlineStr">
        <is>
          <t>Contango(远强)</t>
        </is>
      </c>
      <c r="N631" s="6" t="n">
        <v>1</v>
      </c>
      <c r="O631" s="6" t="n">
        <v>0</v>
      </c>
      <c r="P631" s="7" t="n">
        <v>-77</v>
      </c>
      <c r="Q631" s="6" t="inlineStr"/>
    </row>
    <row r="632">
      <c r="A632" s="11" t="inlineStr">
        <is>
          <t>2025-03-27</t>
        </is>
      </c>
      <c r="B632" s="11" t="inlineStr">
        <is>
          <t>MA2505</t>
        </is>
      </c>
      <c r="C632" s="11" t="inlineStr">
        <is>
          <t>2025-05</t>
        </is>
      </c>
      <c r="D632" s="12" t="n">
        <v>2679.17</v>
      </c>
      <c r="E632" s="12" t="n">
        <v>2563</v>
      </c>
      <c r="F632" s="12">
        <f>D632-E632</f>
        <v/>
      </c>
      <c r="G632" s="13">
        <f>IF(D632=0,"",(D632-E632)/D632)</f>
        <v/>
      </c>
      <c r="H632" s="14" t="n">
        <v>700100</v>
      </c>
      <c r="I632" s="15" t="n">
        <v>0.832</v>
      </c>
      <c r="J632" s="15">
        <f>IF(COUNT(G382:G631)&lt;20,"",IF(COUNTIF(G382:G631,"&lt;"&amp;G632)&gt;=COUNT(G382:G631),(COUNT(G382:G631)-0.5)/COUNT(G382:G631),IF(COUNTIF(G382:G631,G632)&gt;0,(COUNTIF(G382:G631,"&lt;"&amp;G632)+0.5*COUNTIF(G382:G631,G632))/COUNT(G382:G631),COUNTIF(G382:G631,"&lt;"&amp;G632)/COUNT(G382:G631))))</f>
        <v/>
      </c>
      <c r="K632" s="11" t="inlineStr">
        <is>
          <t>中间分位</t>
        </is>
      </c>
      <c r="L632" s="11" t="n">
        <v>32</v>
      </c>
      <c r="M632" s="11" t="inlineStr">
        <is>
          <t>Contango(远强)</t>
        </is>
      </c>
      <c r="N632" s="11" t="n">
        <v>1</v>
      </c>
      <c r="O632" s="11" t="n">
        <v>0</v>
      </c>
      <c r="P632" s="12" t="n">
        <v>-75</v>
      </c>
      <c r="Q632" s="11" t="inlineStr"/>
    </row>
    <row r="633">
      <c r="A633" s="6" t="inlineStr">
        <is>
          <t>2025-03-28</t>
        </is>
      </c>
      <c r="B633" s="6" t="inlineStr">
        <is>
          <t>MA2505</t>
        </is>
      </c>
      <c r="C633" s="6" t="inlineStr">
        <is>
          <t>2025-05</t>
        </is>
      </c>
      <c r="D633" s="7" t="n">
        <v>2690</v>
      </c>
      <c r="E633" s="7" t="n">
        <v>2541</v>
      </c>
      <c r="F633" s="7">
        <f>D633-E633</f>
        <v/>
      </c>
      <c r="G633" s="8">
        <f>IF(D633=0,"",(D633-E633)/D633)</f>
        <v/>
      </c>
      <c r="H633" s="9" t="n">
        <v>691192</v>
      </c>
      <c r="I633" s="10" t="n">
        <v>0.904</v>
      </c>
      <c r="J633" s="10">
        <f>IF(COUNT(G383:G632)&lt;20,"",IF(COUNTIF(G383:G632,"&lt;"&amp;G633)&gt;=COUNT(G383:G632),(COUNT(G383:G632)-0.5)/COUNT(G383:G632),IF(COUNTIF(G383:G632,G633)&gt;0,(COUNTIF(G383:G632,"&lt;"&amp;G633)+0.5*COUNTIF(G383:G632,G633))/COUNT(G383:G632),COUNTIF(G383:G632,"&lt;"&amp;G633)/COUNT(G383:G632))))</f>
        <v/>
      </c>
      <c r="K633" s="6" t="inlineStr">
        <is>
          <t>高分位</t>
        </is>
      </c>
      <c r="L633" s="6" t="n">
        <v>31</v>
      </c>
      <c r="M633" s="6" t="inlineStr">
        <is>
          <t>Contango(远强)</t>
        </is>
      </c>
      <c r="N633" s="6" t="n">
        <v>1</v>
      </c>
      <c r="O633" s="6" t="n">
        <v>0</v>
      </c>
      <c r="P633" s="7" t="n">
        <v>-99</v>
      </c>
      <c r="Q633" s="6" t="inlineStr"/>
    </row>
    <row r="634">
      <c r="A634" s="11" t="inlineStr">
        <is>
          <t>2025-03-31</t>
        </is>
      </c>
      <c r="B634" s="11" t="inlineStr">
        <is>
          <t>MA2505</t>
        </is>
      </c>
      <c r="C634" s="11" t="inlineStr">
        <is>
          <t>2025-05</t>
        </is>
      </c>
      <c r="D634" s="12" t="n">
        <v>2654.17</v>
      </c>
      <c r="E634" s="12" t="n">
        <v>2479</v>
      </c>
      <c r="F634" s="12">
        <f>D634-E634</f>
        <v/>
      </c>
      <c r="G634" s="13">
        <f>IF(D634=0,"",(D634-E634)/D634)</f>
        <v/>
      </c>
      <c r="H634" s="14" t="n">
        <v>694074</v>
      </c>
      <c r="I634" s="15" t="n">
        <v>0.952</v>
      </c>
      <c r="J634" s="15">
        <f>IF(COUNT(G384:G633)&lt;20,"",IF(COUNTIF(G384:G633,"&lt;"&amp;G634)&gt;=COUNT(G384:G633),(COUNT(G384:G633)-0.5)/COUNT(G384:G633),IF(COUNTIF(G384:G633,G634)&gt;0,(COUNTIF(G384:G633,"&lt;"&amp;G634)+0.5*COUNTIF(G384:G633,G634))/COUNT(G384:G633),COUNTIF(G384:G633,"&lt;"&amp;G634)/COUNT(G384:G633))))</f>
        <v/>
      </c>
      <c r="K634" s="11" t="inlineStr">
        <is>
          <t>高分位</t>
        </is>
      </c>
      <c r="L634" s="11" t="n">
        <v>30</v>
      </c>
      <c r="M634" s="11" t="inlineStr">
        <is>
          <t>Contango(远强)</t>
        </is>
      </c>
      <c r="N634" s="11" t="n">
        <v>1</v>
      </c>
      <c r="O634" s="11" t="n">
        <v>0</v>
      </c>
      <c r="P634" s="12" t="n">
        <v>-109</v>
      </c>
      <c r="Q634" s="11" t="inlineStr"/>
    </row>
    <row r="635">
      <c r="A635" s="6" t="inlineStr">
        <is>
          <t>2025-04-01</t>
        </is>
      </c>
      <c r="B635" s="6" t="inlineStr">
        <is>
          <t>MA2505</t>
        </is>
      </c>
      <c r="C635" s="6" t="inlineStr">
        <is>
          <t>2025-05</t>
        </is>
      </c>
      <c r="D635" s="7" t="n">
        <v>2590</v>
      </c>
      <c r="E635" s="7" t="n">
        <v>2486</v>
      </c>
      <c r="F635" s="7">
        <f>D635-E635</f>
        <v/>
      </c>
      <c r="G635" s="8">
        <f>IF(D635=0,"",(D635-E635)/D635)</f>
        <v/>
      </c>
      <c r="H635" s="9" t="n">
        <v>696009</v>
      </c>
      <c r="I635" s="10" t="n">
        <v>0.788</v>
      </c>
      <c r="J635" s="10">
        <f>IF(COUNT(G385:G634)&lt;20,"",IF(COUNTIF(G385:G634,"&lt;"&amp;G635)&gt;=COUNT(G385:G634),(COUNT(G385:G634)-0.5)/COUNT(G385:G634),IF(COUNTIF(G385:G634,G635)&gt;0,(COUNTIF(G385:G634,"&lt;"&amp;G635)+0.5*COUNTIF(G385:G634,G635))/COUNT(G385:G634),COUNTIF(G385:G634,"&lt;"&amp;G635)/COUNT(G385:G634))))</f>
        <v/>
      </c>
      <c r="K635" s="6" t="inlineStr">
        <is>
          <t>中间分位</t>
        </is>
      </c>
      <c r="L635" s="6" t="n">
        <v>29</v>
      </c>
      <c r="M635" s="6" t="inlineStr">
        <is>
          <t>Contango(远强)</t>
        </is>
      </c>
      <c r="N635" s="6" t="n">
        <v>1</v>
      </c>
      <c r="O635" s="6" t="n">
        <v>0</v>
      </c>
      <c r="P635" s="7" t="n">
        <v>-83</v>
      </c>
      <c r="Q635" s="6" t="inlineStr"/>
    </row>
    <row r="636">
      <c r="A636" s="11" t="inlineStr">
        <is>
          <t>2025-04-02</t>
        </is>
      </c>
      <c r="B636" s="11" t="inlineStr">
        <is>
          <t>MA2505</t>
        </is>
      </c>
      <c r="C636" s="11" t="inlineStr">
        <is>
          <t>2025-05</t>
        </is>
      </c>
      <c r="D636" s="12" t="n">
        <v>2580</v>
      </c>
      <c r="E636" s="12" t="n">
        <v>2484</v>
      </c>
      <c r="F636" s="12">
        <f>D636-E636</f>
        <v/>
      </c>
      <c r="G636" s="13">
        <f>IF(D636=0,"",(D636-E636)/D636)</f>
        <v/>
      </c>
      <c r="H636" s="14" t="n">
        <v>667025</v>
      </c>
      <c r="I636" s="15" t="n">
        <v>0.756</v>
      </c>
      <c r="J636" s="15">
        <f>IF(COUNT(G386:G635)&lt;20,"",IF(COUNTIF(G386:G635,"&lt;"&amp;G636)&gt;=COUNT(G386:G635),(COUNT(G386:G635)-0.5)/COUNT(G386:G635),IF(COUNTIF(G386:G635,G636)&gt;0,(COUNTIF(G386:G635,"&lt;"&amp;G636)+0.5*COUNTIF(G386:G635,G636))/COUNT(G386:G635),COUNTIF(G386:G635,"&lt;"&amp;G636)/COUNT(G386:G635))))</f>
        <v/>
      </c>
      <c r="K636" s="11" t="inlineStr">
        <is>
          <t>中间分位</t>
        </is>
      </c>
      <c r="L636" s="11" t="n">
        <v>28</v>
      </c>
      <c r="M636" s="11" t="inlineStr">
        <is>
          <t>Back(近强)</t>
        </is>
      </c>
      <c r="N636" s="11" t="n">
        <v>1</v>
      </c>
      <c r="O636" s="11" t="n">
        <v>0</v>
      </c>
      <c r="P636" s="12" t="n">
        <v>53</v>
      </c>
      <c r="Q636" s="11" t="inlineStr"/>
    </row>
    <row r="637">
      <c r="A637" s="6" t="inlineStr">
        <is>
          <t>2025-04-03</t>
        </is>
      </c>
      <c r="B637" s="6" t="inlineStr">
        <is>
          <t>MA2505</t>
        </is>
      </c>
      <c r="C637" s="6" t="inlineStr">
        <is>
          <t>2025-05</t>
        </is>
      </c>
      <c r="D637" s="7" t="n">
        <v>2575</v>
      </c>
      <c r="E637" s="7" t="n">
        <v>2454</v>
      </c>
      <c r="F637" s="7">
        <f>D637-E637</f>
        <v/>
      </c>
      <c r="G637" s="8">
        <f>IF(D637=0,"",(D637-E637)/D637)</f>
        <v/>
      </c>
      <c r="H637" s="9" t="n">
        <v>636265</v>
      </c>
      <c r="I637" s="10" t="n">
        <v>0.876</v>
      </c>
      <c r="J637" s="10">
        <f>IF(COUNT(G387:G636)&lt;20,"",IF(COUNTIF(G387:G636,"&lt;"&amp;G637)&gt;=COUNT(G387:G636),(COUNT(G387:G636)-0.5)/COUNT(G387:G636),IF(COUNTIF(G387:G636,G637)&gt;0,(COUNTIF(G387:G636,"&lt;"&amp;G637)+0.5*COUNTIF(G387:G636,G637))/COUNT(G387:G636),COUNTIF(G387:G636,"&lt;"&amp;G637)/COUNT(G387:G636))))</f>
        <v/>
      </c>
      <c r="K637" s="6" t="inlineStr">
        <is>
          <t>中间分位</t>
        </is>
      </c>
      <c r="L637" s="6" t="n">
        <v>27</v>
      </c>
      <c r="M637" s="6" t="inlineStr">
        <is>
          <t>Contango(远强)</t>
        </is>
      </c>
      <c r="N637" s="6" t="n">
        <v>1</v>
      </c>
      <c r="O637" s="6" t="n">
        <v>0</v>
      </c>
      <c r="P637" s="7" t="n">
        <v>-97</v>
      </c>
      <c r="Q637" s="6" t="inlineStr"/>
    </row>
    <row r="638">
      <c r="A638" s="11" t="inlineStr">
        <is>
          <t>2025-04-07</t>
        </is>
      </c>
      <c r="B638" s="11" t="inlineStr">
        <is>
          <t>MA2505</t>
        </is>
      </c>
      <c r="C638" s="11" t="inlineStr">
        <is>
          <t>2025-05</t>
        </is>
      </c>
      <c r="D638" s="12" t="n">
        <v>2550</v>
      </c>
      <c r="E638" s="12" t="n">
        <v>2376</v>
      </c>
      <c r="F638" s="12">
        <f>D638-E638</f>
        <v/>
      </c>
      <c r="G638" s="13">
        <f>IF(D638=0,"",(D638-E638)/D638)</f>
        <v/>
      </c>
      <c r="H638" s="14" t="n">
        <v>567595</v>
      </c>
      <c r="I638" s="15" t="n">
        <v>0.96</v>
      </c>
      <c r="J638" s="15">
        <f>IF(COUNT(G388:G637)&lt;20,"",IF(COUNTIF(G388:G637,"&lt;"&amp;G638)&gt;=COUNT(G388:G637),(COUNT(G388:G637)-0.5)/COUNT(G388:G637),IF(COUNTIF(G388:G637,G638)&gt;0,(COUNTIF(G388:G637,"&lt;"&amp;G638)+0.5*COUNTIF(G388:G637,G638))/COUNT(G388:G637),COUNTIF(G388:G637,"&lt;"&amp;G638)/COUNT(G388:G637))))</f>
        <v/>
      </c>
      <c r="K638" s="11" t="inlineStr">
        <is>
          <t>高分位</t>
        </is>
      </c>
      <c r="L638" s="11" t="n">
        <v>26</v>
      </c>
      <c r="M638" s="11" t="inlineStr">
        <is>
          <t>Contango(远强)</t>
        </is>
      </c>
      <c r="N638" s="11" t="n">
        <v>1</v>
      </c>
      <c r="O638" s="11" t="n">
        <v>0</v>
      </c>
      <c r="P638" s="12" t="n">
        <v>-105</v>
      </c>
      <c r="Q638" s="11" t="inlineStr"/>
    </row>
    <row r="639">
      <c r="A639" s="6" t="inlineStr">
        <is>
          <t>2025-04-09</t>
        </is>
      </c>
      <c r="B639" s="6" t="inlineStr">
        <is>
          <t>MA2505</t>
        </is>
      </c>
      <c r="C639" s="6" t="inlineStr">
        <is>
          <t>2025-05</t>
        </is>
      </c>
      <c r="D639" s="7" t="n">
        <v>2497.5</v>
      </c>
      <c r="E639" s="7" t="n">
        <v>2352</v>
      </c>
      <c r="F639" s="7">
        <f>D639-E639</f>
        <v/>
      </c>
      <c r="G639" s="8">
        <f>IF(D639=0,"",(D639-E639)/D639)</f>
        <v/>
      </c>
      <c r="H639" s="9" t="n">
        <v>495957</v>
      </c>
      <c r="I639" s="10" t="n">
        <v>0.924</v>
      </c>
      <c r="J639" s="10">
        <f>IF(COUNT(G389:G638)&lt;20,"",IF(COUNTIF(G389:G638,"&lt;"&amp;G639)&gt;=COUNT(G389:G638),(COUNT(G389:G638)-0.5)/COUNT(G389:G638),IF(COUNTIF(G389:G638,G639)&gt;0,(COUNTIF(G389:G638,"&lt;"&amp;G639)+0.5*COUNTIF(G389:G638,G639))/COUNT(G389:G638),COUNTIF(G389:G638,"&lt;"&amp;G639)/COUNT(G389:G638))))</f>
        <v/>
      </c>
      <c r="K639" s="6" t="inlineStr">
        <is>
          <t>高分位</t>
        </is>
      </c>
      <c r="L639" s="6" t="n">
        <v>24</v>
      </c>
      <c r="M639" s="6" t="inlineStr">
        <is>
          <t>Contango(远强)</t>
        </is>
      </c>
      <c r="N639" s="6" t="n">
        <v>1</v>
      </c>
      <c r="O639" s="6" t="n">
        <v>0</v>
      </c>
      <c r="P639" s="7" t="n">
        <v>-148</v>
      </c>
      <c r="Q639" s="6" t="inlineStr"/>
    </row>
    <row r="640">
      <c r="A640" s="11" t="inlineStr">
        <is>
          <t>2025-04-10</t>
        </is>
      </c>
      <c r="B640" s="11" t="inlineStr">
        <is>
          <t>MA2509</t>
        </is>
      </c>
      <c r="C640" s="11" t="inlineStr">
        <is>
          <t>2025-09</t>
        </is>
      </c>
      <c r="D640" s="12" t="n">
        <v>2470</v>
      </c>
      <c r="E640" s="12" t="n">
        <v>2317</v>
      </c>
      <c r="F640" s="12">
        <f>D640-E640</f>
        <v/>
      </c>
      <c r="G640" s="13">
        <f>IF(D640=0,"",(D640-E640)/D640)</f>
        <v/>
      </c>
      <c r="H640" s="14" t="n">
        <v>469938</v>
      </c>
      <c r="I640" s="15" t="n">
        <v>0.9360000000000001</v>
      </c>
      <c r="J640" s="15">
        <f>IF(COUNT(G390:G639)&lt;20,"",IF(COUNTIF(G390:G639,"&lt;"&amp;G640)&gt;=COUNT(G390:G639),(COUNT(G390:G639)-0.5)/COUNT(G390:G639),IF(COUNTIF(G390:G639,G640)&gt;0,(COUNTIF(G390:G639,"&lt;"&amp;G640)+0.5*COUNTIF(G390:G639,G640))/COUNT(G390:G639),COUNTIF(G390:G639,"&lt;"&amp;G640)/COUNT(G390:G639))))</f>
        <v/>
      </c>
      <c r="K640" s="11" t="inlineStr">
        <is>
          <t>高分位</t>
        </is>
      </c>
      <c r="L640" s="11" t="n">
        <v>107</v>
      </c>
      <c r="M640" s="11" t="inlineStr">
        <is>
          <t>Contango(远强)</t>
        </is>
      </c>
      <c r="N640" s="11" t="n">
        <v>1</v>
      </c>
      <c r="O640" s="11" t="n">
        <v>1</v>
      </c>
      <c r="P640" s="12" t="n">
        <v>-208</v>
      </c>
      <c r="Q640" s="11" t="inlineStr"/>
    </row>
    <row r="641">
      <c r="A641" s="6" t="inlineStr">
        <is>
          <t>2025-04-11</t>
        </is>
      </c>
      <c r="B641" s="6" t="inlineStr">
        <is>
          <t>MA2509</t>
        </is>
      </c>
      <c r="C641" s="6" t="inlineStr">
        <is>
          <t>2025-09</t>
        </is>
      </c>
      <c r="D641" s="7" t="n">
        <v>2537.5</v>
      </c>
      <c r="E641" s="7" t="n">
        <v>2310</v>
      </c>
      <c r="F641" s="7">
        <f>D641-E641</f>
        <v/>
      </c>
      <c r="G641" s="8">
        <f>IF(D641=0,"",(D641-E641)/D641)</f>
        <v/>
      </c>
      <c r="H641" s="9" t="n">
        <v>498741</v>
      </c>
      <c r="I641" s="10" t="n">
        <v>0.988</v>
      </c>
      <c r="J641" s="10">
        <f>IF(COUNT(G391:G640)&lt;20,"",IF(COUNTIF(G391:G640,"&lt;"&amp;G641)&gt;=COUNT(G391:G640),(COUNT(G391:G640)-0.5)/COUNT(G391:G640),IF(COUNTIF(G391:G640,G641)&gt;0,(COUNTIF(G391:G640,"&lt;"&amp;G641)+0.5*COUNTIF(G391:G640,G641))/COUNT(G391:G640),COUNTIF(G391:G640,"&lt;"&amp;G641)/COUNT(G391:G640))))</f>
        <v/>
      </c>
      <c r="K641" s="6" t="inlineStr">
        <is>
          <t>高分位</t>
        </is>
      </c>
      <c r="L641" s="6" t="n">
        <v>106</v>
      </c>
      <c r="M641" s="6" t="inlineStr">
        <is>
          <t>Contango(远强)</t>
        </is>
      </c>
      <c r="N641" s="6" t="n">
        <v>1</v>
      </c>
      <c r="O641" s="6" t="n">
        <v>0</v>
      </c>
      <c r="P641" s="7" t="n">
        <v>-170</v>
      </c>
      <c r="Q641" s="6" t="inlineStr"/>
    </row>
    <row r="642">
      <c r="A642" s="11" t="inlineStr">
        <is>
          <t>2025-04-14</t>
        </is>
      </c>
      <c r="B642" s="11" t="inlineStr">
        <is>
          <t>MA2509</t>
        </is>
      </c>
      <c r="C642" s="11" t="inlineStr">
        <is>
          <t>2025-09</t>
        </is>
      </c>
      <c r="D642" s="12" t="n">
        <v>2482.5</v>
      </c>
      <c r="E642" s="12" t="n">
        <v>2286</v>
      </c>
      <c r="F642" s="12">
        <f>D642-E642</f>
        <v/>
      </c>
      <c r="G642" s="13">
        <f>IF(D642=0,"",(D642-E642)/D642)</f>
        <v/>
      </c>
      <c r="H642" s="14" t="n">
        <v>579457</v>
      </c>
      <c r="I642" s="15" t="n">
        <v>0.984</v>
      </c>
      <c r="J642" s="15">
        <f>IF(COUNT(G392:G641)&lt;20,"",IF(COUNTIF(G392:G641,"&lt;"&amp;G642)&gt;=COUNT(G392:G641),(COUNT(G392:G641)-0.5)/COUNT(G392:G641),IF(COUNTIF(G392:G641,G642)&gt;0,(COUNTIF(G392:G641,"&lt;"&amp;G642)+0.5*COUNTIF(G392:G641,G642))/COUNT(G392:G641),COUNTIF(G392:G641,"&lt;"&amp;G642)/COUNT(G392:G641))))</f>
        <v/>
      </c>
      <c r="K642" s="11" t="inlineStr">
        <is>
          <t>高分位</t>
        </is>
      </c>
      <c r="L642" s="11" t="n">
        <v>105</v>
      </c>
      <c r="M642" s="11" t="inlineStr">
        <is>
          <t>Contango(远强)</t>
        </is>
      </c>
      <c r="N642" s="11" t="n">
        <v>1</v>
      </c>
      <c r="O642" s="11" t="n">
        <v>0</v>
      </c>
      <c r="P642" s="12" t="n">
        <v>-90</v>
      </c>
      <c r="Q642" s="11" t="inlineStr"/>
    </row>
    <row r="643">
      <c r="A643" s="6" t="inlineStr">
        <is>
          <t>2025-04-15</t>
        </is>
      </c>
      <c r="B643" s="6" t="inlineStr">
        <is>
          <t>MA2509</t>
        </is>
      </c>
      <c r="C643" s="6" t="inlineStr">
        <is>
          <t>2025-09</t>
        </is>
      </c>
      <c r="D643" s="7" t="n">
        <v>2458.75</v>
      </c>
      <c r="E643" s="7" t="n">
        <v>2277</v>
      </c>
      <c r="F643" s="7">
        <f>D643-E643</f>
        <v/>
      </c>
      <c r="G643" s="8">
        <f>IF(D643=0,"",(D643-E643)/D643)</f>
        <v/>
      </c>
      <c r="H643" s="9" t="n">
        <v>606360</v>
      </c>
      <c r="I643" s="10" t="n">
        <v>0.964</v>
      </c>
      <c r="J643" s="10">
        <f>IF(COUNT(G393:G642)&lt;20,"",IF(COUNTIF(G393:G642,"&lt;"&amp;G643)&gt;=COUNT(G393:G642),(COUNT(G393:G642)-0.5)/COUNT(G393:G642),IF(COUNTIF(G393:G642,G643)&gt;0,(COUNTIF(G393:G642,"&lt;"&amp;G643)+0.5*COUNTIF(G393:G642,G643))/COUNT(G393:G642),COUNTIF(G393:G642,"&lt;"&amp;G643)/COUNT(G393:G642))))</f>
        <v/>
      </c>
      <c r="K643" s="6" t="inlineStr">
        <is>
          <t>高分位</t>
        </is>
      </c>
      <c r="L643" s="6" t="n">
        <v>104</v>
      </c>
      <c r="M643" s="6" t="inlineStr">
        <is>
          <t>Contango(远强)</t>
        </is>
      </c>
      <c r="N643" s="6" t="n">
        <v>1</v>
      </c>
      <c r="O643" s="6" t="n">
        <v>0</v>
      </c>
      <c r="P643" s="7" t="n">
        <v>-223</v>
      </c>
      <c r="Q643" s="6" t="inlineStr"/>
    </row>
    <row r="644">
      <c r="A644" s="11" t="inlineStr">
        <is>
          <t>2025-04-16</t>
        </is>
      </c>
      <c r="B644" s="11" t="inlineStr">
        <is>
          <t>MA2509</t>
        </is>
      </c>
      <c r="C644" s="11" t="inlineStr">
        <is>
          <t>2025-09</t>
        </is>
      </c>
      <c r="D644" s="12" t="n">
        <v>2443.75</v>
      </c>
      <c r="E644" s="12" t="n">
        <v>2262</v>
      </c>
      <c r="F644" s="12">
        <f>D644-E644</f>
        <v/>
      </c>
      <c r="G644" s="13">
        <f>IF(D644=0,"",(D644-E644)/D644)</f>
        <v/>
      </c>
      <c r="H644" s="14" t="n">
        <v>619754</v>
      </c>
      <c r="I644" s="15" t="n">
        <v>0.964</v>
      </c>
      <c r="J644" s="15">
        <f>IF(COUNT(G394:G643)&lt;20,"",IF(COUNTIF(G394:G643,"&lt;"&amp;G644)&gt;=COUNT(G394:G643),(COUNT(G394:G643)-0.5)/COUNT(G394:G643),IF(COUNTIF(G394:G643,G644)&gt;0,(COUNTIF(G394:G643,"&lt;"&amp;G644)+0.5*COUNTIF(G394:G643,G644))/COUNT(G394:G643),COUNTIF(G394:G643,"&lt;"&amp;G644)/COUNT(G394:G643))))</f>
        <v/>
      </c>
      <c r="K644" s="11" t="inlineStr">
        <is>
          <t>高分位</t>
        </is>
      </c>
      <c r="L644" s="11" t="n">
        <v>103</v>
      </c>
      <c r="M644" s="11" t="inlineStr">
        <is>
          <t>Contango(远强)</t>
        </is>
      </c>
      <c r="N644" s="11" t="n">
        <v>1</v>
      </c>
      <c r="O644" s="11" t="n">
        <v>0</v>
      </c>
      <c r="P644" s="12" t="n">
        <v>-107</v>
      </c>
      <c r="Q644" s="11" t="inlineStr"/>
    </row>
    <row r="645">
      <c r="A645" s="6" t="inlineStr">
        <is>
          <t>2025-04-17</t>
        </is>
      </c>
      <c r="B645" s="6" t="inlineStr">
        <is>
          <t>MA2509</t>
        </is>
      </c>
      <c r="C645" s="6" t="inlineStr">
        <is>
          <t>2025-09</t>
        </is>
      </c>
      <c r="D645" s="7" t="n">
        <v>2450</v>
      </c>
      <c r="E645" s="7" t="n">
        <v>2238</v>
      </c>
      <c r="F645" s="7">
        <f>D645-E645</f>
        <v/>
      </c>
      <c r="G645" s="8">
        <f>IF(D645=0,"",(D645-E645)/D645)</f>
        <v/>
      </c>
      <c r="H645" s="9" t="n">
        <v>668645</v>
      </c>
      <c r="I645" s="10" t="n">
        <v>0.984</v>
      </c>
      <c r="J645" s="10">
        <f>IF(COUNT(G395:G644)&lt;20,"",IF(COUNTIF(G395:G644,"&lt;"&amp;G645)&gt;=COUNT(G395:G644),(COUNT(G395:G644)-0.5)/COUNT(G395:G644),IF(COUNTIF(G395:G644,G645)&gt;0,(COUNTIF(G395:G644,"&lt;"&amp;G645)+0.5*COUNTIF(G395:G644,G645))/COUNT(G395:G644),COUNTIF(G395:G644,"&lt;"&amp;G645)/COUNT(G395:G644))))</f>
        <v/>
      </c>
      <c r="K645" s="6" t="inlineStr">
        <is>
          <t>高分位</t>
        </is>
      </c>
      <c r="L645" s="6" t="n">
        <v>102</v>
      </c>
      <c r="M645" s="6" t="inlineStr">
        <is>
          <t>Contango(远强)</t>
        </is>
      </c>
      <c r="N645" s="6" t="n">
        <v>1</v>
      </c>
      <c r="O645" s="6" t="n">
        <v>0</v>
      </c>
      <c r="P645" s="7" t="n">
        <v>-95</v>
      </c>
      <c r="Q645" s="6" t="inlineStr"/>
    </row>
    <row r="646">
      <c r="A646" s="11" t="inlineStr">
        <is>
          <t>2025-04-18</t>
        </is>
      </c>
      <c r="B646" s="11" t="inlineStr">
        <is>
          <t>MA2509</t>
        </is>
      </c>
      <c r="C646" s="11" t="inlineStr">
        <is>
          <t>2025-09</t>
        </is>
      </c>
      <c r="D646" s="12" t="n">
        <v>2403.75</v>
      </c>
      <c r="E646" s="12" t="n">
        <v>2266</v>
      </c>
      <c r="F646" s="12">
        <f>D646-E646</f>
        <v/>
      </c>
      <c r="G646" s="13">
        <f>IF(D646=0,"",(D646-E646)/D646)</f>
        <v/>
      </c>
      <c r="H646" s="14" t="n">
        <v>670149</v>
      </c>
      <c r="I646" s="15" t="n">
        <v>0.9</v>
      </c>
      <c r="J646" s="15">
        <f>IF(COUNT(G396:G645)&lt;20,"",IF(COUNTIF(G396:G645,"&lt;"&amp;G646)&gt;=COUNT(G396:G645),(COUNT(G396:G645)-0.5)/COUNT(G396:G645),IF(COUNTIF(G396:G645,G646)&gt;0,(COUNTIF(G396:G645,"&lt;"&amp;G646)+0.5*COUNTIF(G396:G645,G646))/COUNT(G396:G645),COUNTIF(G396:G645,"&lt;"&amp;G646)/COUNT(G396:G645))))</f>
        <v/>
      </c>
      <c r="K646" s="11" t="inlineStr">
        <is>
          <t>高分位</t>
        </is>
      </c>
      <c r="L646" s="11" t="n">
        <v>101</v>
      </c>
      <c r="M646" s="11" t="inlineStr">
        <is>
          <t>Contango(远强)</t>
        </is>
      </c>
      <c r="N646" s="11" t="n">
        <v>1</v>
      </c>
      <c r="O646" s="11" t="n">
        <v>0</v>
      </c>
      <c r="P646" s="12" t="n">
        <v>-80</v>
      </c>
      <c r="Q646" s="11" t="inlineStr"/>
    </row>
    <row r="647">
      <c r="A647" s="6" t="inlineStr">
        <is>
          <t>2025-04-21</t>
        </is>
      </c>
      <c r="B647" s="6" t="inlineStr">
        <is>
          <t>MA2509</t>
        </is>
      </c>
      <c r="C647" s="6" t="inlineStr">
        <is>
          <t>2025-09</t>
        </is>
      </c>
      <c r="D647" s="7" t="n">
        <v>2413.75</v>
      </c>
      <c r="E647" s="7" t="n">
        <v>2275</v>
      </c>
      <c r="F647" s="7">
        <f>D647-E647</f>
        <v/>
      </c>
      <c r="G647" s="8">
        <f>IF(D647=0,"",(D647-E647)/D647)</f>
        <v/>
      </c>
      <c r="H647" s="9" t="n">
        <v>657226</v>
      </c>
      <c r="I647" s="10" t="n">
        <v>0.904</v>
      </c>
      <c r="J647" s="10">
        <f>IF(COUNT(G397:G646)&lt;20,"",IF(COUNTIF(G397:G646,"&lt;"&amp;G647)&gt;=COUNT(G397:G646),(COUNT(G397:G646)-0.5)/COUNT(G397:G646),IF(COUNTIF(G397:G646,G647)&gt;0,(COUNTIF(G397:G646,"&lt;"&amp;G647)+0.5*COUNTIF(G397:G646,G647))/COUNT(G397:G646),COUNTIF(G397:G646,"&lt;"&amp;G647)/COUNT(G397:G646))))</f>
        <v/>
      </c>
      <c r="K647" s="6" t="inlineStr">
        <is>
          <t>高分位</t>
        </is>
      </c>
      <c r="L647" s="6" t="n">
        <v>100</v>
      </c>
      <c r="M647" s="6" t="inlineStr">
        <is>
          <t>Contango(远强)</t>
        </is>
      </c>
      <c r="N647" s="6" t="n">
        <v>1</v>
      </c>
      <c r="O647" s="6" t="n">
        <v>0</v>
      </c>
      <c r="P647" s="7" t="n">
        <v>-78</v>
      </c>
      <c r="Q647" s="6" t="inlineStr"/>
    </row>
    <row r="648">
      <c r="A648" s="11" t="inlineStr">
        <is>
          <t>2025-04-22</t>
        </is>
      </c>
      <c r="B648" s="11" t="inlineStr">
        <is>
          <t>MA2509</t>
        </is>
      </c>
      <c r="C648" s="11" t="inlineStr">
        <is>
          <t>2025-09</t>
        </is>
      </c>
      <c r="D648" s="12" t="n">
        <v>2416.25</v>
      </c>
      <c r="E648" s="12" t="n">
        <v>2260</v>
      </c>
      <c r="F648" s="12">
        <f>D648-E648</f>
        <v/>
      </c>
      <c r="G648" s="13">
        <f>IF(D648=0,"",(D648-E648)/D648)</f>
        <v/>
      </c>
      <c r="H648" s="14" t="n">
        <v>665951</v>
      </c>
      <c r="I648" s="15" t="n">
        <v>0.9320000000000001</v>
      </c>
      <c r="J648" s="15">
        <f>IF(COUNT(G398:G647)&lt;20,"",IF(COUNTIF(G398:G647,"&lt;"&amp;G648)&gt;=COUNT(G398:G647),(COUNT(G398:G647)-0.5)/COUNT(G398:G647),IF(COUNTIF(G398:G647,G648)&gt;0,(COUNTIF(G398:G647,"&lt;"&amp;G648)+0.5*COUNTIF(G398:G647,G648))/COUNT(G398:G647),COUNTIF(G398:G647,"&lt;"&amp;G648)/COUNT(G398:G647))))</f>
        <v/>
      </c>
      <c r="K648" s="11" t="inlineStr">
        <is>
          <t>高分位</t>
        </is>
      </c>
      <c r="L648" s="11" t="n">
        <v>99</v>
      </c>
      <c r="M648" s="11" t="inlineStr">
        <is>
          <t>Contango(远强)</t>
        </is>
      </c>
      <c r="N648" s="11" t="n">
        <v>1</v>
      </c>
      <c r="O648" s="11" t="n">
        <v>0</v>
      </c>
      <c r="P648" s="12" t="n">
        <v>-75</v>
      </c>
      <c r="Q648" s="11" t="inlineStr"/>
    </row>
    <row r="649">
      <c r="A649" s="6" t="inlineStr">
        <is>
          <t>2025-04-23</t>
        </is>
      </c>
      <c r="B649" s="6" t="inlineStr">
        <is>
          <t>MA2509</t>
        </is>
      </c>
      <c r="C649" s="6" t="inlineStr">
        <is>
          <t>2025-09</t>
        </is>
      </c>
      <c r="D649" s="7" t="n">
        <v>2390</v>
      </c>
      <c r="E649" s="7" t="n">
        <v>2300</v>
      </c>
      <c r="F649" s="7">
        <f>D649-E649</f>
        <v/>
      </c>
      <c r="G649" s="8">
        <f>IF(D649=0,"",(D649-E649)/D649)</f>
        <v/>
      </c>
      <c r="H649" s="9" t="n">
        <v>672315</v>
      </c>
      <c r="I649" s="10" t="n">
        <v>0.752</v>
      </c>
      <c r="J649" s="10">
        <f>IF(COUNT(G399:G648)&lt;20,"",IF(COUNTIF(G399:G648,"&lt;"&amp;G649)&gt;=COUNT(G399:G648),(COUNT(G399:G648)-0.5)/COUNT(G399:G648),IF(COUNTIF(G399:G648,G649)&gt;0,(COUNTIF(G399:G648,"&lt;"&amp;G649)+0.5*COUNTIF(G399:G648,G649))/COUNT(G399:G648),COUNTIF(G399:G648,"&lt;"&amp;G649)/COUNT(G399:G648))))</f>
        <v/>
      </c>
      <c r="K649" s="6" t="inlineStr">
        <is>
          <t>中间分位</t>
        </is>
      </c>
      <c r="L649" s="6" t="n">
        <v>98</v>
      </c>
      <c r="M649" s="6" t="inlineStr">
        <is>
          <t>Contango(远强)</t>
        </is>
      </c>
      <c r="N649" s="6" t="n">
        <v>1</v>
      </c>
      <c r="O649" s="6" t="n">
        <v>0</v>
      </c>
      <c r="P649" s="7" t="n">
        <v>-85</v>
      </c>
      <c r="Q649" s="6" t="inlineStr"/>
    </row>
    <row r="650">
      <c r="A650" s="11" t="inlineStr">
        <is>
          <t>2025-04-24</t>
        </is>
      </c>
      <c r="B650" s="11" t="inlineStr">
        <is>
          <t>MA2509</t>
        </is>
      </c>
      <c r="C650" s="11" t="inlineStr">
        <is>
          <t>2025-09</t>
        </is>
      </c>
      <c r="D650" s="12" t="n">
        <v>2430</v>
      </c>
      <c r="E650" s="12" t="n">
        <v>2289</v>
      </c>
      <c r="F650" s="12">
        <f>D650-E650</f>
        <v/>
      </c>
      <c r="G650" s="13">
        <f>IF(D650=0,"",(D650-E650)/D650)</f>
        <v/>
      </c>
      <c r="H650" s="14" t="n">
        <v>657812</v>
      </c>
      <c r="I650" s="15" t="n">
        <v>0.904</v>
      </c>
      <c r="J650" s="15">
        <f>IF(COUNT(G400:G649)&lt;20,"",IF(COUNTIF(G400:G649,"&lt;"&amp;G650)&gt;=COUNT(G400:G649),(COUNT(G400:G649)-0.5)/COUNT(G400:G649),IF(COUNTIF(G400:G649,G650)&gt;0,(COUNTIF(G400:G649,"&lt;"&amp;G650)+0.5*COUNTIF(G400:G649,G650))/COUNT(G400:G649),COUNTIF(G400:G649,"&lt;"&amp;G650)/COUNT(G400:G649))))</f>
        <v/>
      </c>
      <c r="K650" s="11" t="inlineStr">
        <is>
          <t>高分位</t>
        </is>
      </c>
      <c r="L650" s="11" t="n">
        <v>97</v>
      </c>
      <c r="M650" s="11" t="inlineStr">
        <is>
          <t>Contango(远强)</t>
        </is>
      </c>
      <c r="N650" s="11" t="n">
        <v>1</v>
      </c>
      <c r="O650" s="11" t="n">
        <v>0</v>
      </c>
      <c r="P650" s="12" t="n">
        <v>-86</v>
      </c>
      <c r="Q650" s="11" t="inlineStr"/>
    </row>
    <row r="651">
      <c r="A651" s="6" t="inlineStr">
        <is>
          <t>2025-04-25</t>
        </is>
      </c>
      <c r="B651" s="6" t="inlineStr">
        <is>
          <t>MA2509</t>
        </is>
      </c>
      <c r="C651" s="6" t="inlineStr">
        <is>
          <t>2025-09</t>
        </is>
      </c>
      <c r="D651" s="7" t="n">
        <v>2420</v>
      </c>
      <c r="E651" s="7" t="n">
        <v>2288</v>
      </c>
      <c r="F651" s="7">
        <f>D651-E651</f>
        <v/>
      </c>
      <c r="G651" s="8">
        <f>IF(D651=0,"",(D651-E651)/D651)</f>
        <v/>
      </c>
      <c r="H651" s="9" t="n">
        <v>662561</v>
      </c>
      <c r="I651" s="10" t="n">
        <v>0.872</v>
      </c>
      <c r="J651" s="10">
        <f>IF(COUNT(G401:G650)&lt;20,"",IF(COUNTIF(G401:G650,"&lt;"&amp;G651)&gt;=COUNT(G401:G650),(COUNT(G401:G650)-0.5)/COUNT(G401:G650),IF(COUNTIF(G401:G650,G651)&gt;0,(COUNTIF(G401:G650,"&lt;"&amp;G651)+0.5*COUNTIF(G401:G650,G651))/COUNT(G401:G650),COUNTIF(G401:G650,"&lt;"&amp;G651)/COUNT(G401:G650))))</f>
        <v/>
      </c>
      <c r="K651" s="6" t="inlineStr">
        <is>
          <t>中间分位</t>
        </is>
      </c>
      <c r="L651" s="6" t="n">
        <v>96</v>
      </c>
      <c r="M651" s="6" t="inlineStr">
        <is>
          <t>Contango(远强)</t>
        </is>
      </c>
      <c r="N651" s="6" t="n">
        <v>1</v>
      </c>
      <c r="O651" s="6" t="n">
        <v>0</v>
      </c>
      <c r="P651" s="7" t="n">
        <v>-82</v>
      </c>
      <c r="Q651" s="6" t="inlineStr"/>
    </row>
    <row r="652">
      <c r="A652" s="11" t="inlineStr">
        <is>
          <t>2025-04-28</t>
        </is>
      </c>
      <c r="B652" s="11" t="inlineStr">
        <is>
          <t>MA2509</t>
        </is>
      </c>
      <c r="C652" s="11" t="inlineStr">
        <is>
          <t>2025-09</t>
        </is>
      </c>
      <c r="D652" s="12" t="n">
        <v>2428.75</v>
      </c>
      <c r="E652" s="12" t="n">
        <v>2310</v>
      </c>
      <c r="F652" s="12">
        <f>D652-E652</f>
        <v/>
      </c>
      <c r="G652" s="13">
        <f>IF(D652=0,"",(D652-E652)/D652)</f>
        <v/>
      </c>
      <c r="H652" s="14" t="n">
        <v>679905</v>
      </c>
      <c r="I652" s="15" t="n">
        <v>0.852</v>
      </c>
      <c r="J652" s="15">
        <f>IF(COUNT(G402:G651)&lt;20,"",IF(COUNTIF(G402:G651,"&lt;"&amp;G652)&gt;=COUNT(G402:G651),(COUNT(G402:G651)-0.5)/COUNT(G402:G651),IF(COUNTIF(G402:G651,G652)&gt;0,(COUNTIF(G402:G651,"&lt;"&amp;G652)+0.5*COUNTIF(G402:G651,G652))/COUNT(G402:G651),COUNTIF(G402:G651,"&lt;"&amp;G652)/COUNT(G402:G651))))</f>
        <v/>
      </c>
      <c r="K652" s="11" t="inlineStr">
        <is>
          <t>中间分位</t>
        </is>
      </c>
      <c r="L652" s="11" t="n">
        <v>95</v>
      </c>
      <c r="M652" s="11" t="inlineStr">
        <is>
          <t>Contango(远强)</t>
        </is>
      </c>
      <c r="N652" s="11" t="n">
        <v>1</v>
      </c>
      <c r="O652" s="11" t="n">
        <v>0</v>
      </c>
      <c r="P652" s="12" t="n">
        <v>-79</v>
      </c>
      <c r="Q652" s="11" t="inlineStr"/>
    </row>
    <row r="653">
      <c r="A653" s="6" t="inlineStr">
        <is>
          <t>2025-04-29</t>
        </is>
      </c>
      <c r="B653" s="6" t="inlineStr">
        <is>
          <t>MA2509</t>
        </is>
      </c>
      <c r="C653" s="6" t="inlineStr">
        <is>
          <t>2025-09</t>
        </is>
      </c>
      <c r="D653" s="7" t="n">
        <v>2451.25</v>
      </c>
      <c r="E653" s="7" t="n">
        <v>2278</v>
      </c>
      <c r="F653" s="7">
        <f>D653-E653</f>
        <v/>
      </c>
      <c r="G653" s="8">
        <f>IF(D653=0,"",(D653-E653)/D653)</f>
        <v/>
      </c>
      <c r="H653" s="9" t="n">
        <v>654944</v>
      </c>
      <c r="I653" s="10" t="n">
        <v>0.948</v>
      </c>
      <c r="J653" s="10">
        <f>IF(COUNT(G403:G652)&lt;20,"",IF(COUNTIF(G403:G652,"&lt;"&amp;G653)&gt;=COUNT(G403:G652),(COUNT(G403:G652)-0.5)/COUNT(G403:G652),IF(COUNTIF(G403:G652,G653)&gt;0,(COUNTIF(G403:G652,"&lt;"&amp;G653)+0.5*COUNTIF(G403:G652,G653))/COUNT(G403:G652),COUNTIF(G403:G652,"&lt;"&amp;G653)/COUNT(G403:G652))))</f>
        <v/>
      </c>
      <c r="K653" s="6" t="inlineStr">
        <is>
          <t>高分位</t>
        </is>
      </c>
      <c r="L653" s="6" t="n">
        <v>94</v>
      </c>
      <c r="M653" s="6" t="inlineStr">
        <is>
          <t>Contango(远强)</t>
        </is>
      </c>
      <c r="N653" s="6" t="n">
        <v>1</v>
      </c>
      <c r="O653" s="6" t="n">
        <v>0</v>
      </c>
      <c r="P653" s="7" t="n">
        <v>-77</v>
      </c>
      <c r="Q653" s="6" t="inlineStr"/>
    </row>
    <row r="654">
      <c r="A654" s="11" t="inlineStr">
        <is>
          <t>2025-04-30</t>
        </is>
      </c>
      <c r="B654" s="11" t="inlineStr">
        <is>
          <t>MA2509</t>
        </is>
      </c>
      <c r="C654" s="11" t="inlineStr">
        <is>
          <t>2025-09</t>
        </is>
      </c>
      <c r="D654" s="12" t="n">
        <v>2437.5</v>
      </c>
      <c r="E654" s="12" t="n">
        <v>2251</v>
      </c>
      <c r="F654" s="12">
        <f>D654-E654</f>
        <v/>
      </c>
      <c r="G654" s="13">
        <f>IF(D654=0,"",(D654-E654)/D654)</f>
        <v/>
      </c>
      <c r="H654" s="14" t="n">
        <v>635491</v>
      </c>
      <c r="I654" s="15" t="n">
        <v>0.96</v>
      </c>
      <c r="J654" s="15">
        <f>IF(COUNT(G404:G653)&lt;20,"",IF(COUNTIF(G404:G653,"&lt;"&amp;G654)&gt;=COUNT(G404:G653),(COUNT(G404:G653)-0.5)/COUNT(G404:G653),IF(COUNTIF(G404:G653,G654)&gt;0,(COUNTIF(G404:G653,"&lt;"&amp;G654)+0.5*COUNTIF(G404:G653,G654))/COUNT(G404:G653),COUNTIF(G404:G653,"&lt;"&amp;G654)/COUNT(G404:G653))))</f>
        <v/>
      </c>
      <c r="K654" s="11" t="inlineStr">
        <is>
          <t>高分位</t>
        </is>
      </c>
      <c r="L654" s="11" t="n">
        <v>93</v>
      </c>
      <c r="M654" s="11" t="inlineStr">
        <is>
          <t>Contango(远强)</t>
        </is>
      </c>
      <c r="N654" s="11" t="n">
        <v>1</v>
      </c>
      <c r="O654" s="11" t="n">
        <v>0</v>
      </c>
      <c r="P654" s="12" t="n">
        <v>-60</v>
      </c>
      <c r="Q654" s="11" t="inlineStr"/>
    </row>
    <row r="655">
      <c r="A655" s="6" t="inlineStr">
        <is>
          <t>2025-05-06</t>
        </is>
      </c>
      <c r="B655" s="6" t="inlineStr">
        <is>
          <t>MA2509</t>
        </is>
      </c>
      <c r="C655" s="6" t="inlineStr">
        <is>
          <t>2025-09</t>
        </is>
      </c>
      <c r="D655" s="7" t="n">
        <v>2440</v>
      </c>
      <c r="E655" s="7" t="n">
        <v>2219</v>
      </c>
      <c r="F655" s="7">
        <f>D655-E655</f>
        <v/>
      </c>
      <c r="G655" s="8">
        <f>IF(D655=0,"",(D655-E655)/D655)</f>
        <v/>
      </c>
      <c r="H655" s="9" t="n">
        <v>693078</v>
      </c>
      <c r="I655" s="10" t="n">
        <v>0.988</v>
      </c>
      <c r="J655" s="10">
        <f>IF(COUNT(G405:G654)&lt;20,"",IF(COUNTIF(G405:G654,"&lt;"&amp;G655)&gt;=COUNT(G405:G654),(COUNT(G405:G654)-0.5)/COUNT(G405:G654),IF(COUNTIF(G405:G654,G655)&gt;0,(COUNTIF(G405:G654,"&lt;"&amp;G655)+0.5*COUNTIF(G405:G654,G655))/COUNT(G405:G654),COUNTIF(G405:G654,"&lt;"&amp;G655)/COUNT(G405:G654))))</f>
        <v/>
      </c>
      <c r="K655" s="6" t="inlineStr">
        <is>
          <t>高分位</t>
        </is>
      </c>
      <c r="L655" s="6" t="n">
        <v>92</v>
      </c>
      <c r="M655" s="6" t="inlineStr">
        <is>
          <t>Contango(远强)</t>
        </is>
      </c>
      <c r="N655" s="6" t="n">
        <v>1</v>
      </c>
      <c r="O655" s="6" t="n">
        <v>0</v>
      </c>
      <c r="P655" s="7" t="n">
        <v>-81</v>
      </c>
      <c r="Q655" s="6" t="inlineStr"/>
    </row>
    <row r="656">
      <c r="A656" s="11" t="inlineStr">
        <is>
          <t>2025-05-07</t>
        </is>
      </c>
      <c r="B656" s="11" t="inlineStr">
        <is>
          <t>MA2509</t>
        </is>
      </c>
      <c r="C656" s="11" t="inlineStr">
        <is>
          <t>2025-09</t>
        </is>
      </c>
      <c r="D656" s="12" t="n">
        <v>2428.75</v>
      </c>
      <c r="E656" s="12" t="n">
        <v>2239</v>
      </c>
      <c r="F656" s="12">
        <f>D656-E656</f>
        <v/>
      </c>
      <c r="G656" s="13">
        <f>IF(D656=0,"",(D656-E656)/D656)</f>
        <v/>
      </c>
      <c r="H656" s="14" t="n">
        <v>725631</v>
      </c>
      <c r="I656" s="15" t="n">
        <v>0.964</v>
      </c>
      <c r="J656" s="15">
        <f>IF(COUNT(G406:G655)&lt;20,"",IF(COUNTIF(G406:G655,"&lt;"&amp;G656)&gt;=COUNT(G406:G655),(COUNT(G406:G655)-0.5)/COUNT(G406:G655),IF(COUNTIF(G406:G655,G656)&gt;0,(COUNTIF(G406:G655,"&lt;"&amp;G656)+0.5*COUNTIF(G406:G655,G656))/COUNT(G406:G655),COUNTIF(G406:G655,"&lt;"&amp;G656)/COUNT(G406:G655))))</f>
        <v/>
      </c>
      <c r="K656" s="11" t="inlineStr">
        <is>
          <t>高分位</t>
        </is>
      </c>
      <c r="L656" s="11" t="n">
        <v>91</v>
      </c>
      <c r="M656" s="11" t="inlineStr">
        <is>
          <t>Contango(远强)</t>
        </is>
      </c>
      <c r="N656" s="11" t="n">
        <v>1</v>
      </c>
      <c r="O656" s="11" t="n">
        <v>0</v>
      </c>
      <c r="P656" s="12" t="n">
        <v>-74</v>
      </c>
      <c r="Q656" s="11" t="inlineStr"/>
    </row>
    <row r="657">
      <c r="A657" s="6" t="inlineStr">
        <is>
          <t>2025-05-08</t>
        </is>
      </c>
      <c r="B657" s="6" t="inlineStr">
        <is>
          <t>MA2509</t>
        </is>
      </c>
      <c r="C657" s="6" t="inlineStr">
        <is>
          <t>2025-09</t>
        </is>
      </c>
      <c r="D657" s="7" t="n">
        <v>2410</v>
      </c>
      <c r="E657" s="7" t="n">
        <v>2216</v>
      </c>
      <c r="F657" s="7">
        <f>D657-E657</f>
        <v/>
      </c>
      <c r="G657" s="8">
        <f>IF(D657=0,"",(D657-E657)/D657)</f>
        <v/>
      </c>
      <c r="H657" s="9" t="n">
        <v>771425</v>
      </c>
      <c r="I657" s="10" t="n">
        <v>0.976</v>
      </c>
      <c r="J657" s="10">
        <f>IF(COUNT(G407:G656)&lt;20,"",IF(COUNTIF(G407:G656,"&lt;"&amp;G657)&gt;=COUNT(G407:G656),(COUNT(G407:G656)-0.5)/COUNT(G407:G656),IF(COUNTIF(G407:G656,G657)&gt;0,(COUNTIF(G407:G656,"&lt;"&amp;G657)+0.5*COUNTIF(G407:G656,G657))/COUNT(G407:G656),COUNTIF(G407:G656,"&lt;"&amp;G657)/COUNT(G407:G656))))</f>
        <v/>
      </c>
      <c r="K657" s="6" t="inlineStr">
        <is>
          <t>高分位</t>
        </is>
      </c>
      <c r="L657" s="6" t="n">
        <v>90</v>
      </c>
      <c r="M657" s="6" t="inlineStr">
        <is>
          <t>Contango(远强)</t>
        </is>
      </c>
      <c r="N657" s="6" t="n">
        <v>1</v>
      </c>
      <c r="O657" s="6" t="n">
        <v>0</v>
      </c>
      <c r="P657" s="7" t="n">
        <v>-79</v>
      </c>
      <c r="Q657" s="6" t="inlineStr"/>
    </row>
    <row r="658">
      <c r="A658" s="11" t="inlineStr">
        <is>
          <t>2025-05-09</t>
        </is>
      </c>
      <c r="B658" s="11" t="inlineStr">
        <is>
          <t>MA2509</t>
        </is>
      </c>
      <c r="C658" s="11" t="inlineStr">
        <is>
          <t>2025-09</t>
        </is>
      </c>
      <c r="D658" s="12" t="n">
        <v>2390</v>
      </c>
      <c r="E658" s="12" t="n">
        <v>2227</v>
      </c>
      <c r="F658" s="12">
        <f>D658-E658</f>
        <v/>
      </c>
      <c r="G658" s="13">
        <f>IF(D658=0,"",(D658-E658)/D658)</f>
        <v/>
      </c>
      <c r="H658" s="14" t="n">
        <v>767835</v>
      </c>
      <c r="I658" s="15" t="n">
        <v>0.916</v>
      </c>
      <c r="J658" s="15">
        <f>IF(COUNT(G408:G657)&lt;20,"",IF(COUNTIF(G408:G657,"&lt;"&amp;G658)&gt;=COUNT(G408:G657),(COUNT(G408:G657)-0.5)/COUNT(G408:G657),IF(COUNTIF(G408:G657,G658)&gt;0,(COUNTIF(G408:G657,"&lt;"&amp;G658)+0.5*COUNTIF(G408:G657,G658))/COUNT(G408:G657),COUNTIF(G408:G657,"&lt;"&amp;G658)/COUNT(G408:G657))))</f>
        <v/>
      </c>
      <c r="K658" s="11" t="inlineStr">
        <is>
          <t>高分位</t>
        </is>
      </c>
      <c r="L658" s="11" t="n">
        <v>89</v>
      </c>
      <c r="M658" s="11" t="inlineStr">
        <is>
          <t>Contango(远强)</t>
        </is>
      </c>
      <c r="N658" s="11" t="n">
        <v>1</v>
      </c>
      <c r="O658" s="11" t="n">
        <v>0</v>
      </c>
      <c r="P658" s="12" t="n">
        <v>-76</v>
      </c>
      <c r="Q658" s="11" t="inlineStr"/>
    </row>
    <row r="659">
      <c r="A659" s="6" t="inlineStr">
        <is>
          <t>2025-05-12</t>
        </is>
      </c>
      <c r="B659" s="6" t="inlineStr">
        <is>
          <t>MA2509</t>
        </is>
      </c>
      <c r="C659" s="6" t="inlineStr">
        <is>
          <t>2025-09</t>
        </is>
      </c>
      <c r="D659" s="7" t="n">
        <v>2402.5</v>
      </c>
      <c r="E659" s="7" t="n">
        <v>2270</v>
      </c>
      <c r="F659" s="7">
        <f>D659-E659</f>
        <v/>
      </c>
      <c r="G659" s="8">
        <f>IF(D659=0,"",(D659-E659)/D659)</f>
        <v/>
      </c>
      <c r="H659" s="9" t="n">
        <v>757482</v>
      </c>
      <c r="I659" s="10" t="n">
        <v>0.86</v>
      </c>
      <c r="J659" s="10">
        <f>IF(COUNT(G409:G658)&lt;20,"",IF(COUNTIF(G409:G658,"&lt;"&amp;G659)&gt;=COUNT(G409:G658),(COUNT(G409:G658)-0.5)/COUNT(G409:G658),IF(COUNTIF(G409:G658,G659)&gt;0,(COUNTIF(G409:G658,"&lt;"&amp;G659)+0.5*COUNTIF(G409:G658,G659))/COUNT(G409:G658),COUNTIF(G409:G658,"&lt;"&amp;G659)/COUNT(G409:G658))))</f>
        <v/>
      </c>
      <c r="K659" s="6" t="inlineStr">
        <is>
          <t>中间分位</t>
        </is>
      </c>
      <c r="L659" s="6" t="n">
        <v>88</v>
      </c>
      <c r="M659" s="6" t="inlineStr">
        <is>
          <t>Contango(远强)</t>
        </is>
      </c>
      <c r="N659" s="6" t="n">
        <v>1</v>
      </c>
      <c r="O659" s="6" t="n">
        <v>0</v>
      </c>
      <c r="P659" s="7" t="n">
        <v>-68</v>
      </c>
      <c r="Q659" s="6" t="inlineStr"/>
    </row>
    <row r="660">
      <c r="A660" s="11" t="inlineStr">
        <is>
          <t>2025-05-13</t>
        </is>
      </c>
      <c r="B660" s="11" t="inlineStr">
        <is>
          <t>MA2509</t>
        </is>
      </c>
      <c r="C660" s="11" t="inlineStr">
        <is>
          <t>2025-09</t>
        </is>
      </c>
      <c r="D660" s="12" t="n">
        <v>2402.5</v>
      </c>
      <c r="E660" s="12" t="n">
        <v>2291</v>
      </c>
      <c r="F660" s="12">
        <f>D660-E660</f>
        <v/>
      </c>
      <c r="G660" s="13">
        <f>IF(D660=0,"",(D660-E660)/D660)</f>
        <v/>
      </c>
      <c r="H660" s="14" t="n">
        <v>764050</v>
      </c>
      <c r="I660" s="15" t="n">
        <v>0.828</v>
      </c>
      <c r="J660" s="15">
        <f>IF(COUNT(G410:G659)&lt;20,"",IF(COUNTIF(G410:G659,"&lt;"&amp;G660)&gt;=COUNT(G410:G659),(COUNT(G410:G659)-0.5)/COUNT(G410:G659),IF(COUNTIF(G410:G659,G660)&gt;0,(COUNTIF(G410:G659,"&lt;"&amp;G660)+0.5*COUNTIF(G410:G659,G660))/COUNT(G410:G659),COUNTIF(G410:G659,"&lt;"&amp;G660)/COUNT(G410:G659))))</f>
        <v/>
      </c>
      <c r="K660" s="11" t="inlineStr">
        <is>
          <t>中间分位</t>
        </is>
      </c>
      <c r="L660" s="11" t="n">
        <v>87</v>
      </c>
      <c r="M660" s="11" t="inlineStr">
        <is>
          <t>Contango(远强)</t>
        </is>
      </c>
      <c r="N660" s="11" t="n">
        <v>1</v>
      </c>
      <c r="O660" s="11" t="n">
        <v>0</v>
      </c>
      <c r="P660" s="12" t="n">
        <v>-89</v>
      </c>
      <c r="Q660" s="11" t="inlineStr"/>
    </row>
    <row r="661">
      <c r="A661" s="6" t="inlineStr">
        <is>
          <t>2025-05-14</t>
        </is>
      </c>
      <c r="B661" s="6" t="inlineStr">
        <is>
          <t>MA2509</t>
        </is>
      </c>
      <c r="C661" s="6" t="inlineStr">
        <is>
          <t>2025-09</t>
        </is>
      </c>
      <c r="D661" s="7" t="n">
        <v>2453.75</v>
      </c>
      <c r="E661" s="7" t="n">
        <v>2365</v>
      </c>
      <c r="F661" s="7">
        <f>D661-E661</f>
        <v/>
      </c>
      <c r="G661" s="8">
        <f>IF(D661=0,"",(D661-E661)/D661)</f>
        <v/>
      </c>
      <c r="H661" s="9" t="n">
        <v>789664</v>
      </c>
      <c r="I661" s="10" t="n">
        <v>0.728</v>
      </c>
      <c r="J661" s="10">
        <f>IF(COUNT(G411:G660)&lt;20,"",IF(COUNTIF(G411:G660,"&lt;"&amp;G661)&gt;=COUNT(G411:G660),(COUNT(G411:G660)-0.5)/COUNT(G411:G660),IF(COUNTIF(G411:G660,G661)&gt;0,(COUNTIF(G411:G660,"&lt;"&amp;G661)+0.5*COUNTIF(G411:G660,G661))/COUNT(G411:G660),COUNTIF(G411:G660,"&lt;"&amp;G661)/COUNT(G411:G660))))</f>
        <v/>
      </c>
      <c r="K661" s="6" t="inlineStr">
        <is>
          <t>中间分位</t>
        </is>
      </c>
      <c r="L661" s="6" t="n">
        <v>86</v>
      </c>
      <c r="M661" s="6" t="inlineStr">
        <is>
          <t>Contango(远强)</t>
        </is>
      </c>
      <c r="N661" s="6" t="n">
        <v>1</v>
      </c>
      <c r="O661" s="6" t="n">
        <v>0</v>
      </c>
      <c r="P661" s="7" t="n">
        <v>-85</v>
      </c>
      <c r="Q661" s="6" t="inlineStr"/>
    </row>
    <row r="662">
      <c r="A662" s="11" t="inlineStr">
        <is>
          <t>2025-05-15</t>
        </is>
      </c>
      <c r="B662" s="11" t="inlineStr">
        <is>
          <t>MA2509</t>
        </is>
      </c>
      <c r="C662" s="11" t="inlineStr">
        <is>
          <t>2025-09</t>
        </is>
      </c>
      <c r="D662" s="12" t="n">
        <v>2521.25</v>
      </c>
      <c r="E662" s="12" t="n">
        <v>2320</v>
      </c>
      <c r="F662" s="12">
        <f>D662-E662</f>
        <v/>
      </c>
      <c r="G662" s="13">
        <f>IF(D662=0,"",(D662-E662)/D662)</f>
        <v/>
      </c>
      <c r="H662" s="14" t="n">
        <v>734318</v>
      </c>
      <c r="I662" s="15" t="n">
        <v>0.972</v>
      </c>
      <c r="J662" s="15">
        <f>IF(COUNT(G412:G661)&lt;20,"",IF(COUNTIF(G412:G661,"&lt;"&amp;G662)&gt;=COUNT(G412:G661),(COUNT(G412:G661)-0.5)/COUNT(G412:G661),IF(COUNTIF(G412:G661,G662)&gt;0,(COUNTIF(G412:G661,"&lt;"&amp;G662)+0.5*COUNTIF(G412:G661,G662))/COUNT(G412:G661),COUNTIF(G412:G661,"&lt;"&amp;G662)/COUNT(G412:G661))))</f>
        <v/>
      </c>
      <c r="K662" s="11" t="inlineStr">
        <is>
          <t>高分位</t>
        </is>
      </c>
      <c r="L662" s="11" t="n">
        <v>85</v>
      </c>
      <c r="M662" s="11" t="inlineStr">
        <is>
          <t>Contango(远强)</t>
        </is>
      </c>
      <c r="N662" s="11" t="n">
        <v>1</v>
      </c>
      <c r="O662" s="11" t="n">
        <v>0</v>
      </c>
      <c r="P662" s="12" t="n">
        <v>-80</v>
      </c>
      <c r="Q662" s="11" t="inlineStr"/>
    </row>
    <row r="663">
      <c r="A663" s="6" t="inlineStr">
        <is>
          <t>2025-05-16</t>
        </is>
      </c>
      <c r="B663" s="6" t="inlineStr">
        <is>
          <t>MA2509</t>
        </is>
      </c>
      <c r="C663" s="6" t="inlineStr">
        <is>
          <t>2025-09</t>
        </is>
      </c>
      <c r="D663" s="7" t="n">
        <v>2426.25</v>
      </c>
      <c r="E663" s="7" t="n">
        <v>2284</v>
      </c>
      <c r="F663" s="7">
        <f>D663-E663</f>
        <v/>
      </c>
      <c r="G663" s="8">
        <f>IF(D663=0,"",(D663-E663)/D663)</f>
        <v/>
      </c>
      <c r="H663" s="9" t="n">
        <v>717983</v>
      </c>
      <c r="I663" s="10" t="n">
        <v>0.892</v>
      </c>
      <c r="J663" s="10">
        <f>IF(COUNT(G413:G662)&lt;20,"",IF(COUNTIF(G413:G662,"&lt;"&amp;G663)&gt;=COUNT(G413:G662),(COUNT(G413:G662)-0.5)/COUNT(G413:G662),IF(COUNTIF(G413:G662,G663)&gt;0,(COUNTIF(G413:G662,"&lt;"&amp;G663)+0.5*COUNTIF(G413:G662,G663))/COUNT(G413:G662),COUNTIF(G413:G662,"&lt;"&amp;G663)/COUNT(G413:G662))))</f>
        <v/>
      </c>
      <c r="K663" s="6" t="inlineStr">
        <is>
          <t>中间分位</t>
        </is>
      </c>
      <c r="L663" s="6" t="n">
        <v>84</v>
      </c>
      <c r="M663" s="6" t="inlineStr">
        <is>
          <t>Back(近强)</t>
        </is>
      </c>
      <c r="N663" s="6" t="n">
        <v>1</v>
      </c>
      <c r="O663" s="6" t="n">
        <v>0</v>
      </c>
      <c r="P663" s="7" t="n">
        <v>-18</v>
      </c>
      <c r="Q663" s="6" t="inlineStr"/>
    </row>
    <row r="664">
      <c r="A664" s="11" t="inlineStr">
        <is>
          <t>2025-05-19</t>
        </is>
      </c>
      <c r="B664" s="11" t="inlineStr">
        <is>
          <t>MA2509</t>
        </is>
      </c>
      <c r="C664" s="11" t="inlineStr">
        <is>
          <t>2025-09</t>
        </is>
      </c>
      <c r="D664" s="12" t="n">
        <v>2426.25</v>
      </c>
      <c r="E664" s="12" t="n">
        <v>2272</v>
      </c>
      <c r="F664" s="12">
        <f>D664-E664</f>
        <v/>
      </c>
      <c r="G664" s="13">
        <f>IF(D664=0,"",(D664-E664)/D664)</f>
        <v/>
      </c>
      <c r="H664" s="14" t="n">
        <v>732433</v>
      </c>
      <c r="I664" s="15" t="n">
        <v>0.908</v>
      </c>
      <c r="J664" s="15">
        <f>IF(COUNT(G414:G663)&lt;20,"",IF(COUNTIF(G414:G663,"&lt;"&amp;G664)&gt;=COUNT(G414:G663),(COUNT(G414:G663)-0.5)/COUNT(G414:G663),IF(COUNTIF(G414:G663,G664)&gt;0,(COUNTIF(G414:G663,"&lt;"&amp;G664)+0.5*COUNTIF(G414:G663,G664))/COUNT(G414:G663),COUNTIF(G414:G663,"&lt;"&amp;G664)/COUNT(G414:G663))))</f>
        <v/>
      </c>
      <c r="K664" s="11" t="inlineStr">
        <is>
          <t>高分位</t>
        </is>
      </c>
      <c r="L664" s="11" t="n">
        <v>83</v>
      </c>
      <c r="M664" s="11" t="inlineStr">
        <is>
          <t>Back(近强)</t>
        </is>
      </c>
      <c r="N664" s="11" t="n">
        <v>1</v>
      </c>
      <c r="O664" s="11" t="n">
        <v>0</v>
      </c>
      <c r="P664" s="12" t="n">
        <v>-28</v>
      </c>
      <c r="Q664" s="11" t="inlineStr"/>
    </row>
    <row r="665">
      <c r="A665" s="6" t="inlineStr">
        <is>
          <t>2025-05-20</t>
        </is>
      </c>
      <c r="B665" s="6" t="inlineStr">
        <is>
          <t>MA2509</t>
        </is>
      </c>
      <c r="C665" s="6" t="inlineStr">
        <is>
          <t>2025-09</t>
        </is>
      </c>
      <c r="D665" s="7" t="n">
        <v>2362.5</v>
      </c>
      <c r="E665" s="7" t="n">
        <v>2256</v>
      </c>
      <c r="F665" s="7">
        <f>D665-E665</f>
        <v/>
      </c>
      <c r="G665" s="8">
        <f>IF(D665=0,"",(D665-E665)/D665)</f>
        <v/>
      </c>
      <c r="H665" s="9" t="n">
        <v>765378</v>
      </c>
      <c r="I665" s="10" t="n">
        <v>0.8</v>
      </c>
      <c r="J665" s="10">
        <f>IF(COUNT(G415:G664)&lt;20,"",IF(COUNTIF(G415:G664,"&lt;"&amp;G665)&gt;=COUNT(G415:G664),(COUNT(G415:G664)-0.5)/COUNT(G415:G664),IF(COUNTIF(G415:G664,G665)&gt;0,(COUNTIF(G415:G664,"&lt;"&amp;G665)+0.5*COUNTIF(G415:G664,G665))/COUNT(G415:G664),COUNTIF(G415:G664,"&lt;"&amp;G665)/COUNT(G415:G664))))</f>
        <v/>
      </c>
      <c r="K665" s="6" t="inlineStr">
        <is>
          <t>中间分位</t>
        </is>
      </c>
      <c r="L665" s="6" t="n">
        <v>82</v>
      </c>
      <c r="M665" s="6" t="inlineStr">
        <is>
          <t>Back(近强)</t>
        </is>
      </c>
      <c r="N665" s="6" t="n">
        <v>1</v>
      </c>
      <c r="O665" s="6" t="n">
        <v>0</v>
      </c>
      <c r="P665" s="7" t="n">
        <v>-10</v>
      </c>
      <c r="Q665" s="6" t="inlineStr"/>
    </row>
    <row r="666">
      <c r="A666" s="11" t="inlineStr">
        <is>
          <t>2025-05-21</t>
        </is>
      </c>
      <c r="B666" s="11" t="inlineStr">
        <is>
          <t>MA2509</t>
        </is>
      </c>
      <c r="C666" s="11" t="inlineStr">
        <is>
          <t>2025-09</t>
        </is>
      </c>
      <c r="D666" s="12" t="n">
        <v>2327.5</v>
      </c>
      <c r="E666" s="12" t="n">
        <v>2270</v>
      </c>
      <c r="F666" s="12">
        <f>D666-E666</f>
        <v/>
      </c>
      <c r="G666" s="13">
        <f>IF(D666=0,"",(D666-E666)/D666)</f>
        <v/>
      </c>
      <c r="H666" s="14" t="n">
        <v>751479</v>
      </c>
      <c r="I666" s="15" t="n">
        <v>0.6</v>
      </c>
      <c r="J666" s="15">
        <f>IF(COUNT(G416:G665)&lt;20,"",IF(COUNTIF(G416:G665,"&lt;"&amp;G666)&gt;=COUNT(G416:G665),(COUNT(G416:G665)-0.5)/COUNT(G416:G665),IF(COUNTIF(G416:G665,G666)&gt;0,(COUNTIF(G416:G665,"&lt;"&amp;G666)+0.5*COUNTIF(G416:G665,G666))/COUNT(G416:G665),COUNTIF(G416:G665,"&lt;"&amp;G666)/COUNT(G416:G665))))</f>
        <v/>
      </c>
      <c r="K666" s="11" t="inlineStr">
        <is>
          <t>中间分位</t>
        </is>
      </c>
      <c r="L666" s="11" t="n">
        <v>81</v>
      </c>
      <c r="M666" s="11" t="inlineStr">
        <is>
          <t>Back(近强)</t>
        </is>
      </c>
      <c r="N666" s="11" t="n">
        <v>1</v>
      </c>
      <c r="O666" s="11" t="n">
        <v>0</v>
      </c>
      <c r="P666" s="12" t="n">
        <v>-8</v>
      </c>
      <c r="Q666" s="11" t="inlineStr"/>
    </row>
    <row r="667">
      <c r="A667" s="6" t="inlineStr">
        <is>
          <t>2025-05-22</t>
        </is>
      </c>
      <c r="B667" s="6" t="inlineStr">
        <is>
          <t>MA2509</t>
        </is>
      </c>
      <c r="C667" s="6" t="inlineStr">
        <is>
          <t>2025-09</t>
        </is>
      </c>
      <c r="D667" s="7" t="n">
        <v>2321.25</v>
      </c>
      <c r="E667" s="7" t="n">
        <v>2241</v>
      </c>
      <c r="F667" s="7">
        <f>D667-E667</f>
        <v/>
      </c>
      <c r="G667" s="8">
        <f>IF(D667=0,"",(D667-E667)/D667)</f>
        <v/>
      </c>
      <c r="H667" s="9" t="n">
        <v>773662</v>
      </c>
      <c r="I667" s="10" t="n">
        <v>0.712</v>
      </c>
      <c r="J667" s="10">
        <f>IF(COUNT(G417:G666)&lt;20,"",IF(COUNTIF(G417:G666,"&lt;"&amp;G667)&gt;=COUNT(G417:G666),(COUNT(G417:G666)-0.5)/COUNT(G417:G666),IF(COUNTIF(G417:G666,G667)&gt;0,(COUNTIF(G417:G666,"&lt;"&amp;G667)+0.5*COUNTIF(G417:G666,G667))/COUNT(G417:G666),COUNTIF(G417:G666,"&lt;"&amp;G667)/COUNT(G417:G666))))</f>
        <v/>
      </c>
      <c r="K667" s="6" t="inlineStr">
        <is>
          <t>中间分位</t>
        </is>
      </c>
      <c r="L667" s="6" t="n">
        <v>80</v>
      </c>
      <c r="M667" s="6" t="inlineStr">
        <is>
          <t>Back(近强)</t>
        </is>
      </c>
      <c r="N667" s="6" t="n">
        <v>1</v>
      </c>
      <c r="O667" s="6" t="n">
        <v>0</v>
      </c>
      <c r="P667" s="7" t="n">
        <v>-7</v>
      </c>
      <c r="Q667" s="6" t="inlineStr"/>
    </row>
    <row r="668">
      <c r="A668" s="11" t="inlineStr">
        <is>
          <t>2025-05-23</t>
        </is>
      </c>
      <c r="B668" s="11" t="inlineStr">
        <is>
          <t>MA2509</t>
        </is>
      </c>
      <c r="C668" s="11" t="inlineStr">
        <is>
          <t>2025-09</t>
        </is>
      </c>
      <c r="D668" s="12" t="n">
        <v>2312.5</v>
      </c>
      <c r="E668" s="12" t="n">
        <v>2222</v>
      </c>
      <c r="F668" s="12">
        <f>D668-E668</f>
        <v/>
      </c>
      <c r="G668" s="13">
        <f>IF(D668=0,"",(D668-E668)/D668)</f>
        <v/>
      </c>
      <c r="H668" s="14" t="n">
        <v>790286</v>
      </c>
      <c r="I668" s="15" t="n">
        <v>0.752</v>
      </c>
      <c r="J668" s="15">
        <f>IF(COUNT(G418:G667)&lt;20,"",IF(COUNTIF(G418:G667,"&lt;"&amp;G668)&gt;=COUNT(G418:G667),(COUNT(G418:G667)-0.5)/COUNT(G418:G667),IF(COUNTIF(G418:G667,G668)&gt;0,(COUNTIF(G418:G667,"&lt;"&amp;G668)+0.5*COUNTIF(G418:G667,G668))/COUNT(G418:G667),COUNTIF(G418:G667,"&lt;"&amp;G668)/COUNT(G418:G667))))</f>
        <v/>
      </c>
      <c r="K668" s="11" t="inlineStr">
        <is>
          <t>中间分位</t>
        </is>
      </c>
      <c r="L668" s="11" t="n">
        <v>79</v>
      </c>
      <c r="M668" s="11" t="inlineStr">
        <is>
          <t>Back(近强)</t>
        </is>
      </c>
      <c r="N668" s="11" t="n">
        <v>1</v>
      </c>
      <c r="O668" s="11" t="n">
        <v>0</v>
      </c>
      <c r="P668" s="12" t="n">
        <v>-9</v>
      </c>
      <c r="Q668" s="11" t="inlineStr"/>
    </row>
    <row r="669">
      <c r="A669" s="6" t="inlineStr">
        <is>
          <t>2025-05-26</t>
        </is>
      </c>
      <c r="B669" s="6" t="inlineStr">
        <is>
          <t>MA2509</t>
        </is>
      </c>
      <c r="C669" s="6" t="inlineStr">
        <is>
          <t>2025-09</t>
        </is>
      </c>
      <c r="D669" s="7" t="n">
        <v>2300</v>
      </c>
      <c r="E669" s="7" t="n">
        <v>2224</v>
      </c>
      <c r="F669" s="7">
        <f>D669-E669</f>
        <v/>
      </c>
      <c r="G669" s="8">
        <f>IF(D669=0,"",(D669-E669)/D669)</f>
        <v/>
      </c>
      <c r="H669" s="9" t="n">
        <v>805879</v>
      </c>
      <c r="I669" s="10" t="n">
        <v>0.696</v>
      </c>
      <c r="J669" s="10">
        <f>IF(COUNT(G419:G668)&lt;20,"",IF(COUNTIF(G419:G668,"&lt;"&amp;G669)&gt;=COUNT(G419:G668),(COUNT(G419:G668)-0.5)/COUNT(G419:G668),IF(COUNTIF(G419:G668,G669)&gt;0,(COUNTIF(G419:G668,"&lt;"&amp;G669)+0.5*COUNTIF(G419:G668,G669))/COUNT(G419:G668),COUNTIF(G419:G668,"&lt;"&amp;G669)/COUNT(G419:G668))))</f>
        <v/>
      </c>
      <c r="K669" s="6" t="inlineStr">
        <is>
          <t>中间分位</t>
        </is>
      </c>
      <c r="L669" s="6" t="n">
        <v>78</v>
      </c>
      <c r="M669" s="6" t="inlineStr">
        <is>
          <t>Back(近强)</t>
        </is>
      </c>
      <c r="N669" s="6" t="n">
        <v>1</v>
      </c>
      <c r="O669" s="6" t="n">
        <v>0</v>
      </c>
      <c r="P669" s="7" t="n">
        <v>-17</v>
      </c>
      <c r="Q669" s="6" t="inlineStr"/>
    </row>
    <row r="670">
      <c r="A670" s="11" t="inlineStr">
        <is>
          <t>2025-05-28</t>
        </is>
      </c>
      <c r="B670" s="11" t="inlineStr">
        <is>
          <t>MA2509</t>
        </is>
      </c>
      <c r="C670" s="11" t="inlineStr">
        <is>
          <t>2025-09</t>
        </is>
      </c>
      <c r="D670" s="12" t="n">
        <v>2253.75</v>
      </c>
      <c r="E670" s="12" t="n">
        <v>2206</v>
      </c>
      <c r="F670" s="12">
        <f>D670-E670</f>
        <v/>
      </c>
      <c r="G670" s="13">
        <f>IF(D670=0,"",(D670-E670)/D670)</f>
        <v/>
      </c>
      <c r="H670" s="14" t="n">
        <v>840031</v>
      </c>
      <c r="I670" s="15" t="n">
        <v>0.5679999999999999</v>
      </c>
      <c r="J670" s="15">
        <f>IF(COUNT(G420:G669)&lt;20,"",IF(COUNTIF(G420:G669,"&lt;"&amp;G670)&gt;=COUNT(G420:G669),(COUNT(G420:G669)-0.5)/COUNT(G420:G669),IF(COUNTIF(G420:G669,G670)&gt;0,(COUNTIF(G420:G669,"&lt;"&amp;G670)+0.5*COUNTIF(G420:G669,G670))/COUNT(G420:G669),COUNTIF(G420:G669,"&lt;"&amp;G670)/COUNT(G420:G669))))</f>
        <v/>
      </c>
      <c r="K670" s="11" t="inlineStr">
        <is>
          <t>中间分位</t>
        </is>
      </c>
      <c r="L670" s="11" t="n">
        <v>76</v>
      </c>
      <c r="M670" s="11" t="inlineStr">
        <is>
          <t>Back(近强)</t>
        </is>
      </c>
      <c r="N670" s="11" t="n">
        <v>1</v>
      </c>
      <c r="O670" s="11" t="n">
        <v>0</v>
      </c>
      <c r="P670" s="12" t="n">
        <v>-23</v>
      </c>
      <c r="Q670" s="11" t="inlineStr"/>
    </row>
    <row r="671">
      <c r="A671" s="6" t="inlineStr">
        <is>
          <t>2025-05-29</t>
        </is>
      </c>
      <c r="B671" s="6" t="inlineStr">
        <is>
          <t>MA2509</t>
        </is>
      </c>
      <c r="C671" s="6" t="inlineStr">
        <is>
          <t>2025-09</t>
        </is>
      </c>
      <c r="D671" s="7" t="n">
        <v>2246.25</v>
      </c>
      <c r="E671" s="7" t="n">
        <v>2218</v>
      </c>
      <c r="F671" s="7">
        <f>D671-E671</f>
        <v/>
      </c>
      <c r="G671" s="8">
        <f>IF(D671=0,"",(D671-E671)/D671)</f>
        <v/>
      </c>
      <c r="H671" s="9" t="n">
        <v>849416</v>
      </c>
      <c r="I671" s="10" t="n">
        <v>0.456</v>
      </c>
      <c r="J671" s="10">
        <f>IF(COUNT(G421:G670)&lt;20,"",IF(COUNTIF(G421:G670,"&lt;"&amp;G671)&gt;=COUNT(G421:G670),(COUNT(G421:G670)-0.5)/COUNT(G421:G670),IF(COUNTIF(G421:G670,G671)&gt;0,(COUNTIF(G421:G670,"&lt;"&amp;G671)+0.5*COUNTIF(G421:G670,G671))/COUNT(G421:G670),COUNTIF(G421:G670,"&lt;"&amp;G671)/COUNT(G421:G670))))</f>
        <v/>
      </c>
      <c r="K671" s="6" t="inlineStr">
        <is>
          <t>中间分位</t>
        </is>
      </c>
      <c r="L671" s="6" t="n">
        <v>75</v>
      </c>
      <c r="M671" s="6" t="inlineStr">
        <is>
          <t>Back(近强)</t>
        </is>
      </c>
      <c r="N671" s="6" t="n">
        <v>1</v>
      </c>
      <c r="O671" s="6" t="n">
        <v>0</v>
      </c>
      <c r="P671" s="7" t="n">
        <v>-21</v>
      </c>
      <c r="Q671" s="6" t="inlineStr"/>
    </row>
    <row r="672">
      <c r="A672" s="11" t="inlineStr">
        <is>
          <t>2025-05-30</t>
        </is>
      </c>
      <c r="B672" s="11" t="inlineStr">
        <is>
          <t>MA2509</t>
        </is>
      </c>
      <c r="C672" s="11" t="inlineStr">
        <is>
          <t>2025-09</t>
        </is>
      </c>
      <c r="D672" s="12" t="n">
        <v>2247</v>
      </c>
      <c r="E672" s="12" t="n">
        <v>2208</v>
      </c>
      <c r="F672" s="12">
        <f>D672-E672</f>
        <v/>
      </c>
      <c r="G672" s="13">
        <f>IF(D672=0,"",(D672-E672)/D672)</f>
        <v/>
      </c>
      <c r="H672" s="14" t="n">
        <v>824339</v>
      </c>
      <c r="I672" s="15" t="n">
        <v>0.516</v>
      </c>
      <c r="J672" s="15">
        <f>IF(COUNT(G422:G671)&lt;20,"",IF(COUNTIF(G422:G671,"&lt;"&amp;G672)&gt;=COUNT(G422:G671),(COUNT(G422:G671)-0.5)/COUNT(G422:G671),IF(COUNTIF(G422:G671,G672)&gt;0,(COUNTIF(G422:G671,"&lt;"&amp;G672)+0.5*COUNTIF(G422:G671,G672))/COUNT(G422:G671),COUNTIF(G422:G671,"&lt;"&amp;G672)/COUNT(G422:G671))))</f>
        <v/>
      </c>
      <c r="K672" s="11" t="inlineStr">
        <is>
          <t>中间分位</t>
        </is>
      </c>
      <c r="L672" s="11" t="n">
        <v>74</v>
      </c>
      <c r="M672" s="11" t="inlineStr">
        <is>
          <t>结构不明</t>
        </is>
      </c>
      <c r="N672" s="11" t="n">
        <v>1</v>
      </c>
      <c r="O672" s="11" t="n">
        <v>0</v>
      </c>
      <c r="P672" s="12" t="n">
        <v>-36</v>
      </c>
      <c r="Q672" s="11" t="inlineStr"/>
    </row>
    <row r="673">
      <c r="A673" s="6" t="inlineStr">
        <is>
          <t>2025-06-03</t>
        </is>
      </c>
      <c r="B673" s="6" t="inlineStr">
        <is>
          <t>MA2509</t>
        </is>
      </c>
      <c r="C673" s="6" t="inlineStr">
        <is>
          <t>2025-09</t>
        </is>
      </c>
      <c r="D673" s="7" t="n">
        <v>2250</v>
      </c>
      <c r="E673" s="7" t="n">
        <v>2225</v>
      </c>
      <c r="F673" s="7">
        <f>D673-E673</f>
        <v/>
      </c>
      <c r="G673" s="8">
        <f>IF(D673=0,"",(D673-E673)/D673)</f>
        <v/>
      </c>
      <c r="H673" s="9" t="n">
        <v>841450</v>
      </c>
      <c r="I673" s="10" t="n">
        <v>0.428</v>
      </c>
      <c r="J673" s="10">
        <f>IF(COUNT(G423:G672)&lt;20,"",IF(COUNTIF(G423:G672,"&lt;"&amp;G673)&gt;=COUNT(G423:G672),(COUNT(G423:G672)-0.5)/COUNT(G423:G672),IF(COUNTIF(G423:G672,G673)&gt;0,(COUNTIF(G423:G672,"&lt;"&amp;G673)+0.5*COUNTIF(G423:G672,G673))/COUNT(G423:G672),COUNTIF(G423:G672,"&lt;"&amp;G673)/COUNT(G423:G672))))</f>
        <v/>
      </c>
      <c r="K673" s="6" t="inlineStr">
        <is>
          <t>中间分位</t>
        </is>
      </c>
      <c r="L673" s="6" t="n">
        <v>73</v>
      </c>
      <c r="M673" s="6" t="inlineStr">
        <is>
          <t>结构不明</t>
        </is>
      </c>
      <c r="N673" s="6" t="n">
        <v>1</v>
      </c>
      <c r="O673" s="6" t="n">
        <v>0</v>
      </c>
      <c r="P673" s="7" t="n">
        <v>-47</v>
      </c>
      <c r="Q673" s="6" t="inlineStr"/>
    </row>
    <row r="674">
      <c r="A674" s="11" t="inlineStr">
        <is>
          <t>2025-06-04</t>
        </is>
      </c>
      <c r="B674" s="11" t="inlineStr">
        <is>
          <t>MA2509</t>
        </is>
      </c>
      <c r="C674" s="11" t="inlineStr">
        <is>
          <t>2025-09</t>
        </is>
      </c>
      <c r="D674" s="12" t="n">
        <v>2293</v>
      </c>
      <c r="E674" s="12" t="n">
        <v>2270</v>
      </c>
      <c r="F674" s="12">
        <f>D674-E674</f>
        <v/>
      </c>
      <c r="G674" s="13">
        <f>IF(D674=0,"",(D674-E674)/D674)</f>
        <v/>
      </c>
      <c r="H674" s="14" t="n">
        <v>835598</v>
      </c>
      <c r="I674" s="15" t="n">
        <v>0.42</v>
      </c>
      <c r="J674" s="15">
        <f>IF(COUNT(G424:G673)&lt;20,"",IF(COUNTIF(G424:G673,"&lt;"&amp;G674)&gt;=COUNT(G424:G673),(COUNT(G424:G673)-0.5)/COUNT(G424:G673),IF(COUNTIF(G424:G673,G674)&gt;0,(COUNTIF(G424:G673,"&lt;"&amp;G674)+0.5*COUNTIF(G424:G673,G674))/COUNT(G424:G673),COUNTIF(G424:G673,"&lt;"&amp;G674)/COUNT(G424:G673))))</f>
        <v/>
      </c>
      <c r="K674" s="11" t="inlineStr">
        <is>
          <t>中间分位</t>
        </is>
      </c>
      <c r="L674" s="11" t="n">
        <v>72</v>
      </c>
      <c r="M674" s="11" t="inlineStr">
        <is>
          <t>结构不明</t>
        </is>
      </c>
      <c r="N674" s="11" t="n">
        <v>1</v>
      </c>
      <c r="O674" s="11" t="n">
        <v>0</v>
      </c>
      <c r="P674" s="12" t="n">
        <v>-48</v>
      </c>
      <c r="Q674" s="11" t="inlineStr"/>
    </row>
    <row r="675">
      <c r="A675" s="6" t="inlineStr">
        <is>
          <t>2025-06-05</t>
        </is>
      </c>
      <c r="B675" s="6" t="inlineStr">
        <is>
          <t>MA2509</t>
        </is>
      </c>
      <c r="C675" s="6" t="inlineStr">
        <is>
          <t>2025-09</t>
        </is>
      </c>
      <c r="D675" s="7" t="n">
        <v>2293</v>
      </c>
      <c r="E675" s="7" t="n">
        <v>2259</v>
      </c>
      <c r="F675" s="7">
        <f>D675-E675</f>
        <v/>
      </c>
      <c r="G675" s="8">
        <f>IF(D675=0,"",(D675-E675)/D675)</f>
        <v/>
      </c>
      <c r="H675" s="9" t="n">
        <v>812450</v>
      </c>
      <c r="I675" s="10" t="n">
        <v>0.504</v>
      </c>
      <c r="J675" s="10">
        <f>IF(COUNT(G425:G674)&lt;20,"",IF(COUNTIF(G425:G674,"&lt;"&amp;G675)&gt;=COUNT(G425:G674),(COUNT(G425:G674)-0.5)/COUNT(G425:G674),IF(COUNTIF(G425:G674,G675)&gt;0,(COUNTIF(G425:G674,"&lt;"&amp;G675)+0.5*COUNTIF(G425:G674,G675))/COUNT(G425:G674),COUNTIF(G425:G674,"&lt;"&amp;G675)/COUNT(G425:G674))))</f>
        <v/>
      </c>
      <c r="K675" s="6" t="inlineStr">
        <is>
          <t>中间分位</t>
        </is>
      </c>
      <c r="L675" s="6" t="n">
        <v>71</v>
      </c>
      <c r="M675" s="6" t="inlineStr">
        <is>
          <t>Back(近强)</t>
        </is>
      </c>
      <c r="N675" s="6" t="n">
        <v>1</v>
      </c>
      <c r="O675" s="6" t="n">
        <v>0</v>
      </c>
      <c r="P675" s="7" t="n">
        <v>-31</v>
      </c>
      <c r="Q675" s="6" t="inlineStr"/>
    </row>
    <row r="676">
      <c r="A676" s="11" t="inlineStr">
        <is>
          <t>2025-06-06</t>
        </is>
      </c>
      <c r="B676" s="11" t="inlineStr">
        <is>
          <t>MA2509</t>
        </is>
      </c>
      <c r="C676" s="11" t="inlineStr">
        <is>
          <t>2025-09</t>
        </is>
      </c>
      <c r="D676" s="12" t="n">
        <v>2302</v>
      </c>
      <c r="E676" s="12" t="n">
        <v>2264</v>
      </c>
      <c r="F676" s="12">
        <f>D676-E676</f>
        <v/>
      </c>
      <c r="G676" s="13">
        <f>IF(D676=0,"",(D676-E676)/D676)</f>
        <v/>
      </c>
      <c r="H676" s="14" t="n">
        <v>799644</v>
      </c>
      <c r="I676" s="15" t="n">
        <v>0.52</v>
      </c>
      <c r="J676" s="15">
        <f>IF(COUNT(G426:G675)&lt;20,"",IF(COUNTIF(G426:G675,"&lt;"&amp;G676)&gt;=COUNT(G426:G675),(COUNT(G426:G675)-0.5)/COUNT(G426:G675),IF(COUNTIF(G426:G675,G676)&gt;0,(COUNTIF(G426:G675,"&lt;"&amp;G676)+0.5*COUNTIF(G426:G675,G676))/COUNT(G426:G675),COUNTIF(G426:G675,"&lt;"&amp;G676)/COUNT(G426:G675))))</f>
        <v/>
      </c>
      <c r="K676" s="11" t="inlineStr">
        <is>
          <t>中间分位</t>
        </is>
      </c>
      <c r="L676" s="11" t="n">
        <v>70</v>
      </c>
      <c r="M676" s="11" t="inlineStr">
        <is>
          <t>Back(近强)</t>
        </is>
      </c>
      <c r="N676" s="11" t="n">
        <v>1</v>
      </c>
      <c r="O676" s="11" t="n">
        <v>0</v>
      </c>
      <c r="P676" s="12" t="n">
        <v>-22</v>
      </c>
      <c r="Q676" s="11" t="inlineStr"/>
    </row>
    <row r="677">
      <c r="A677" s="6" t="inlineStr">
        <is>
          <t>2025-06-09</t>
        </is>
      </c>
      <c r="B677" s="6" t="inlineStr">
        <is>
          <t>MA2509</t>
        </is>
      </c>
      <c r="C677" s="6" t="inlineStr">
        <is>
          <t>2025-09</t>
        </is>
      </c>
      <c r="D677" s="7" t="n">
        <v>2313</v>
      </c>
      <c r="E677" s="7" t="n">
        <v>2277</v>
      </c>
      <c r="F677" s="7">
        <f>D677-E677</f>
        <v/>
      </c>
      <c r="G677" s="8">
        <f>IF(D677=0,"",(D677-E677)/D677)</f>
        <v/>
      </c>
      <c r="H677" s="9" t="n">
        <v>819092</v>
      </c>
      <c r="I677" s="10" t="n">
        <v>0.516</v>
      </c>
      <c r="J677" s="10">
        <f>IF(COUNT(G427:G676)&lt;20,"",IF(COUNTIF(G427:G676,"&lt;"&amp;G677)&gt;=COUNT(G427:G676),(COUNT(G427:G676)-0.5)/COUNT(G427:G676),IF(COUNTIF(G427:G676,G677)&gt;0,(COUNTIF(G427:G676,"&lt;"&amp;G677)+0.5*COUNTIF(G427:G676,G677))/COUNT(G427:G676),COUNTIF(G427:G676,"&lt;"&amp;G677)/COUNT(G427:G676))))</f>
        <v/>
      </c>
      <c r="K677" s="6" t="inlineStr">
        <is>
          <t>中间分位</t>
        </is>
      </c>
      <c r="L677" s="6" t="n">
        <v>69</v>
      </c>
      <c r="M677" s="6" t="inlineStr">
        <is>
          <t>Back(近强)</t>
        </is>
      </c>
      <c r="N677" s="6" t="n">
        <v>1</v>
      </c>
      <c r="O677" s="6" t="n">
        <v>0</v>
      </c>
      <c r="P677" s="7" t="n">
        <v>-14</v>
      </c>
      <c r="Q677" s="6" t="inlineStr"/>
    </row>
    <row r="678">
      <c r="A678" s="11" t="inlineStr">
        <is>
          <t>2025-06-10</t>
        </is>
      </c>
      <c r="B678" s="11" t="inlineStr">
        <is>
          <t>MA2509</t>
        </is>
      </c>
      <c r="C678" s="11" t="inlineStr">
        <is>
          <t>2025-09</t>
        </is>
      </c>
      <c r="D678" s="12" t="n">
        <v>2331</v>
      </c>
      <c r="E678" s="12" t="n">
        <v>2276</v>
      </c>
      <c r="F678" s="12">
        <f>D678-E678</f>
        <v/>
      </c>
      <c r="G678" s="13">
        <f>IF(D678=0,"",(D678-E678)/D678)</f>
        <v/>
      </c>
      <c r="H678" s="14" t="n">
        <v>832017</v>
      </c>
      <c r="I678" s="15" t="n">
        <v>0.628</v>
      </c>
      <c r="J678" s="15">
        <f>IF(COUNT(G428:G677)&lt;20,"",IF(COUNTIF(G428:G677,"&lt;"&amp;G678)&gt;=COUNT(G428:G677),(COUNT(G428:G677)-0.5)/COUNT(G428:G677),IF(COUNTIF(G428:G677,G678)&gt;0,(COUNTIF(G428:G677,"&lt;"&amp;G678)+0.5*COUNTIF(G428:G677,G678))/COUNT(G428:G677),COUNTIF(G428:G677,"&lt;"&amp;G678)/COUNT(G428:G677))))</f>
        <v/>
      </c>
      <c r="K678" s="11" t="inlineStr">
        <is>
          <t>中间分位</t>
        </is>
      </c>
      <c r="L678" s="11" t="n">
        <v>68</v>
      </c>
      <c r="M678" s="11" t="inlineStr">
        <is>
          <t>Back(近强)</t>
        </is>
      </c>
      <c r="N678" s="11" t="n">
        <v>1</v>
      </c>
      <c r="O678" s="11" t="n">
        <v>0</v>
      </c>
      <c r="P678" s="12" t="n">
        <v>-27</v>
      </c>
      <c r="Q678" s="11" t="inlineStr"/>
    </row>
    <row r="679">
      <c r="A679" s="6" t="inlineStr">
        <is>
          <t>2025-06-11</t>
        </is>
      </c>
      <c r="B679" s="6" t="inlineStr">
        <is>
          <t>MA2509</t>
        </is>
      </c>
      <c r="C679" s="6" t="inlineStr">
        <is>
          <t>2025-09</t>
        </is>
      </c>
      <c r="D679" s="7" t="n">
        <v>2378</v>
      </c>
      <c r="E679" s="7" t="n">
        <v>2282</v>
      </c>
      <c r="F679" s="7">
        <f>D679-E679</f>
        <v/>
      </c>
      <c r="G679" s="8">
        <f>IF(D679=0,"",(D679-E679)/D679)</f>
        <v/>
      </c>
      <c r="H679" s="9" t="n">
        <v>827472</v>
      </c>
      <c r="I679" s="10" t="n">
        <v>0.804</v>
      </c>
      <c r="J679" s="10">
        <f>IF(COUNT(G429:G678)&lt;20,"",IF(COUNTIF(G429:G678,"&lt;"&amp;G679)&gt;=COUNT(G429:G678),(COUNT(G429:G678)-0.5)/COUNT(G429:G678),IF(COUNTIF(G429:G678,G679)&gt;0,(COUNTIF(G429:G678,"&lt;"&amp;G679)+0.5*COUNTIF(G429:G678,G679))/COUNT(G429:G678),COUNTIF(G429:G678,"&lt;"&amp;G679)/COUNT(G429:G678))))</f>
        <v/>
      </c>
      <c r="K679" s="6" t="inlineStr">
        <is>
          <t>中间分位</t>
        </is>
      </c>
      <c r="L679" s="6" t="n">
        <v>67</v>
      </c>
      <c r="M679" s="6" t="inlineStr">
        <is>
          <t>Back(近强)</t>
        </is>
      </c>
      <c r="N679" s="6" t="n">
        <v>1</v>
      </c>
      <c r="O679" s="6" t="n">
        <v>0</v>
      </c>
      <c r="P679" s="7" t="n">
        <v>-27</v>
      </c>
      <c r="Q679" s="6" t="inlineStr"/>
    </row>
    <row r="680">
      <c r="A680" s="11" t="inlineStr">
        <is>
          <t>2025-06-12</t>
        </is>
      </c>
      <c r="B680" s="11" t="inlineStr">
        <is>
          <t>MA2509</t>
        </is>
      </c>
      <c r="C680" s="11" t="inlineStr">
        <is>
          <t>2025-09</t>
        </is>
      </c>
      <c r="D680" s="12" t="n">
        <v>2363</v>
      </c>
      <c r="E680" s="12" t="n">
        <v>2290</v>
      </c>
      <c r="F680" s="12">
        <f>D680-E680</f>
        <v/>
      </c>
      <c r="G680" s="13">
        <f>IF(D680=0,"",(D680-E680)/D680)</f>
        <v/>
      </c>
      <c r="H680" s="14" t="n">
        <v>809827</v>
      </c>
      <c r="I680" s="15" t="n">
        <v>0.708</v>
      </c>
      <c r="J680" s="15">
        <f>IF(COUNT(G430:G679)&lt;20,"",IF(COUNTIF(G430:G679,"&lt;"&amp;G680)&gt;=COUNT(G430:G679),(COUNT(G430:G679)-0.5)/COUNT(G430:G679),IF(COUNTIF(G430:G679,G680)&gt;0,(COUNTIF(G430:G679,"&lt;"&amp;G680)+0.5*COUNTIF(G430:G679,G680))/COUNT(G430:G679),COUNTIF(G430:G679,"&lt;"&amp;G680)/COUNT(G430:G679))))</f>
        <v/>
      </c>
      <c r="K680" s="11" t="inlineStr">
        <is>
          <t>中间分位</t>
        </is>
      </c>
      <c r="L680" s="11" t="n">
        <v>66</v>
      </c>
      <c r="M680" s="11" t="inlineStr">
        <is>
          <t>Back(近强)</t>
        </is>
      </c>
      <c r="N680" s="11" t="n">
        <v>1</v>
      </c>
      <c r="O680" s="11" t="n">
        <v>0</v>
      </c>
      <c r="P680" s="12" t="n">
        <v>-16</v>
      </c>
      <c r="Q680" s="11" t="inlineStr"/>
    </row>
    <row r="681">
      <c r="A681" s="6" t="inlineStr">
        <is>
          <t>2025-06-13</t>
        </is>
      </c>
      <c r="B681" s="6" t="inlineStr">
        <is>
          <t>MA2509</t>
        </is>
      </c>
      <c r="C681" s="6" t="inlineStr">
        <is>
          <t>2025-09</t>
        </is>
      </c>
      <c r="D681" s="7" t="n">
        <v>2362</v>
      </c>
      <c r="E681" s="7" t="n">
        <v>2389</v>
      </c>
      <c r="F681" s="7">
        <f>D681-E681</f>
        <v/>
      </c>
      <c r="G681" s="8">
        <f>IF(D681=0,"",(D681-E681)/D681)</f>
        <v/>
      </c>
      <c r="H681" s="9" t="n">
        <v>761314</v>
      </c>
      <c r="I681" s="10" t="n">
        <v>0.112</v>
      </c>
      <c r="J681" s="10">
        <f>IF(COUNT(G431:G680)&lt;20,"",IF(COUNTIF(G431:G680,"&lt;"&amp;G681)&gt;=COUNT(G431:G680),(COUNT(G431:G680)-0.5)/COUNT(G431:G680),IF(COUNTIF(G431:G680,G681)&gt;0,(COUNTIF(G431:G680,"&lt;"&amp;G681)+0.5*COUNTIF(G431:G680,G681))/COUNT(G431:G680),COUNTIF(G431:G680,"&lt;"&amp;G681)/COUNT(G431:G680))))</f>
        <v/>
      </c>
      <c r="K681" s="6" t="inlineStr">
        <is>
          <t>中间分位</t>
        </is>
      </c>
      <c r="L681" s="6" t="n">
        <v>65</v>
      </c>
      <c r="M681" s="6" t="inlineStr">
        <is>
          <t>Back(近强)</t>
        </is>
      </c>
      <c r="N681" s="6" t="n">
        <v>1</v>
      </c>
      <c r="O681" s="6" t="n">
        <v>0</v>
      </c>
      <c r="P681" s="7" t="n">
        <v>-8</v>
      </c>
      <c r="Q681" s="6" t="inlineStr"/>
    </row>
    <row r="682">
      <c r="A682" s="11" t="inlineStr">
        <is>
          <t>2025-06-16</t>
        </is>
      </c>
      <c r="B682" s="11" t="inlineStr">
        <is>
          <t>MA2509</t>
        </is>
      </c>
      <c r="C682" s="11" t="inlineStr">
        <is>
          <t>2025-09</t>
        </is>
      </c>
      <c r="D682" s="12" t="n">
        <v>2484</v>
      </c>
      <c r="E682" s="12" t="n">
        <v>2464</v>
      </c>
      <c r="F682" s="12">
        <f>D682-E682</f>
        <v/>
      </c>
      <c r="G682" s="13">
        <f>IF(D682=0,"",(D682-E682)/D682)</f>
        <v/>
      </c>
      <c r="H682" s="14" t="n">
        <v>820104</v>
      </c>
      <c r="I682" s="15" t="n">
        <v>0.396</v>
      </c>
      <c r="J682" s="15">
        <f>IF(COUNT(G432:G681)&lt;20,"",IF(COUNTIF(G432:G681,"&lt;"&amp;G682)&gt;=COUNT(G432:G681),(COUNT(G432:G681)-0.5)/COUNT(G432:G681),IF(COUNTIF(G432:G681,G682)&gt;0,(COUNTIF(G432:G681,"&lt;"&amp;G682)+0.5*COUNTIF(G432:G681,G682))/COUNT(G432:G681),COUNTIF(G432:G681,"&lt;"&amp;G682)/COUNT(G432:G681))))</f>
        <v/>
      </c>
      <c r="K682" s="11" t="inlineStr">
        <is>
          <t>中间分位</t>
        </is>
      </c>
      <c r="L682" s="11" t="n">
        <v>64</v>
      </c>
      <c r="M682" s="11" t="inlineStr">
        <is>
          <t>结构不明</t>
        </is>
      </c>
      <c r="N682" s="11" t="n">
        <v>1</v>
      </c>
      <c r="O682" s="11" t="n">
        <v>0</v>
      </c>
      <c r="P682" s="12" t="n">
        <v>-40</v>
      </c>
      <c r="Q682" s="11" t="inlineStr"/>
    </row>
    <row r="683">
      <c r="A683" s="6" t="inlineStr">
        <is>
          <t>2025-06-17</t>
        </is>
      </c>
      <c r="B683" s="6" t="inlineStr">
        <is>
          <t>MA2509</t>
        </is>
      </c>
      <c r="C683" s="6" t="inlineStr">
        <is>
          <t>2025-09</t>
        </is>
      </c>
      <c r="D683" s="7" t="n">
        <v>2597</v>
      </c>
      <c r="E683" s="7" t="n">
        <v>2455</v>
      </c>
      <c r="F683" s="7">
        <f>D683-E683</f>
        <v/>
      </c>
      <c r="G683" s="8">
        <f>IF(D683=0,"",(D683-E683)/D683)</f>
        <v/>
      </c>
      <c r="H683" s="9" t="n">
        <v>816411</v>
      </c>
      <c r="I683" s="10" t="n">
        <v>0.888</v>
      </c>
      <c r="J683" s="10">
        <f>IF(COUNT(G433:G682)&lt;20,"",IF(COUNTIF(G433:G682,"&lt;"&amp;G683)&gt;=COUNT(G433:G682),(COUNT(G433:G682)-0.5)/COUNT(G433:G682),IF(COUNTIF(G433:G682,G683)&gt;0,(COUNTIF(G433:G682,"&lt;"&amp;G683)+0.5*COUNTIF(G433:G682,G683))/COUNT(G433:G682),COUNTIF(G433:G682,"&lt;"&amp;G683)/COUNT(G433:G682))))</f>
        <v/>
      </c>
      <c r="K683" s="6" t="inlineStr">
        <is>
          <t>中间分位</t>
        </is>
      </c>
      <c r="L683" s="6" t="n">
        <v>63</v>
      </c>
      <c r="M683" s="6" t="inlineStr">
        <is>
          <t>结构不明</t>
        </is>
      </c>
      <c r="N683" s="6" t="n">
        <v>1</v>
      </c>
      <c r="O683" s="6" t="n">
        <v>0</v>
      </c>
      <c r="P683" s="7" t="n">
        <v>-40</v>
      </c>
      <c r="Q683" s="6" t="inlineStr"/>
    </row>
    <row r="684">
      <c r="A684" s="11" t="inlineStr">
        <is>
          <t>2025-06-18</t>
        </is>
      </c>
      <c r="B684" s="11" t="inlineStr">
        <is>
          <t>MA2509</t>
        </is>
      </c>
      <c r="C684" s="11" t="inlineStr">
        <is>
          <t>2025-09</t>
        </is>
      </c>
      <c r="D684" s="12" t="n">
        <v>2646</v>
      </c>
      <c r="E684" s="12" t="n">
        <v>2517</v>
      </c>
      <c r="F684" s="12">
        <f>D684-E684</f>
        <v/>
      </c>
      <c r="G684" s="13">
        <f>IF(D684=0,"",(D684-E684)/D684)</f>
        <v/>
      </c>
      <c r="H684" s="14" t="n">
        <v>891921</v>
      </c>
      <c r="I684" s="15" t="n">
        <v>0.868</v>
      </c>
      <c r="J684" s="15">
        <f>IF(COUNT(G434:G683)&lt;20,"",IF(COUNTIF(G434:G683,"&lt;"&amp;G684)&gt;=COUNT(G434:G683),(COUNT(G434:G683)-0.5)/COUNT(G434:G683),IF(COUNTIF(G434:G683,G684)&gt;0,(COUNTIF(G434:G683,"&lt;"&amp;G684)+0.5*COUNTIF(G434:G683,G684))/COUNT(G434:G683),COUNTIF(G434:G683,"&lt;"&amp;G684)/COUNT(G434:G683))))</f>
        <v/>
      </c>
      <c r="K684" s="11" t="inlineStr">
        <is>
          <t>中间分位</t>
        </is>
      </c>
      <c r="L684" s="11" t="n">
        <v>62</v>
      </c>
      <c r="M684" s="11" t="inlineStr">
        <is>
          <t>Back(近强)</t>
        </is>
      </c>
      <c r="N684" s="11" t="n">
        <v>1</v>
      </c>
      <c r="O684" s="11" t="n">
        <v>0</v>
      </c>
      <c r="P684" s="12" t="n">
        <v>-30</v>
      </c>
      <c r="Q684" s="11" t="inlineStr"/>
    </row>
    <row r="685">
      <c r="A685" s="6" t="inlineStr">
        <is>
          <t>2025-06-19</t>
        </is>
      </c>
      <c r="B685" s="6" t="inlineStr">
        <is>
          <t>MA2509</t>
        </is>
      </c>
      <c r="C685" s="6" t="inlineStr">
        <is>
          <t>2025-09</t>
        </is>
      </c>
      <c r="D685" s="7" t="n">
        <v>2713</v>
      </c>
      <c r="E685" s="7" t="n">
        <v>2543</v>
      </c>
      <c r="F685" s="7">
        <f>D685-E685</f>
        <v/>
      </c>
      <c r="G685" s="8">
        <f>IF(D685=0,"",(D685-E685)/D685)</f>
        <v/>
      </c>
      <c r="H685" s="9" t="n">
        <v>909435</v>
      </c>
      <c r="I685" s="10" t="n">
        <v>0.9320000000000001</v>
      </c>
      <c r="J685" s="10">
        <f>IF(COUNT(G435:G684)&lt;20,"",IF(COUNTIF(G435:G684,"&lt;"&amp;G685)&gt;=COUNT(G435:G684),(COUNT(G435:G684)-0.5)/COUNT(G435:G684),IF(COUNTIF(G435:G684,G685)&gt;0,(COUNTIF(G435:G684,"&lt;"&amp;G685)+0.5*COUNTIF(G435:G684,G685))/COUNT(G435:G684),COUNTIF(G435:G684,"&lt;"&amp;G685)/COUNT(G435:G684))))</f>
        <v/>
      </c>
      <c r="K685" s="6" t="inlineStr">
        <is>
          <t>高分位</t>
        </is>
      </c>
      <c r="L685" s="6" t="n">
        <v>61</v>
      </c>
      <c r="M685" s="6" t="inlineStr">
        <is>
          <t>Back(近强)</t>
        </is>
      </c>
      <c r="N685" s="6" t="n">
        <v>1</v>
      </c>
      <c r="O685" s="6" t="n">
        <v>0</v>
      </c>
      <c r="P685" s="7" t="n">
        <v>-30</v>
      </c>
      <c r="Q685" s="6" t="inlineStr"/>
    </row>
    <row r="686">
      <c r="A686" s="11" t="inlineStr">
        <is>
          <t>2025-06-20</t>
        </is>
      </c>
      <c r="B686" s="11" t="inlineStr">
        <is>
          <t>MA2509</t>
        </is>
      </c>
      <c r="C686" s="11" t="inlineStr">
        <is>
          <t>2025-09</t>
        </is>
      </c>
      <c r="D686" s="12" t="n">
        <v>2764</v>
      </c>
      <c r="E686" s="12" t="n">
        <v>2529</v>
      </c>
      <c r="F686" s="12">
        <f>D686-E686</f>
        <v/>
      </c>
      <c r="G686" s="13">
        <f>IF(D686=0,"",(D686-E686)/D686)</f>
        <v/>
      </c>
      <c r="H686" s="14" t="n">
        <v>884703</v>
      </c>
      <c r="I686" s="15" t="n">
        <v>0.988</v>
      </c>
      <c r="J686" s="15">
        <f>IF(COUNT(G436:G685)&lt;20,"",IF(COUNTIF(G436:G685,"&lt;"&amp;G686)&gt;=COUNT(G436:G685),(COUNT(G436:G685)-0.5)/COUNT(G436:G685),IF(COUNTIF(G436:G685,G686)&gt;0,(COUNTIF(G436:G685,"&lt;"&amp;G686)+0.5*COUNTIF(G436:G685,G686))/COUNT(G436:G685),COUNTIF(G436:G685,"&lt;"&amp;G686)/COUNT(G436:G685))))</f>
        <v/>
      </c>
      <c r="K686" s="11" t="inlineStr">
        <is>
          <t>高分位</t>
        </is>
      </c>
      <c r="L686" s="11" t="n">
        <v>60</v>
      </c>
      <c r="M686" s="11" t="inlineStr">
        <is>
          <t>Back(近强)</t>
        </is>
      </c>
      <c r="N686" s="11" t="n">
        <v>1</v>
      </c>
      <c r="O686" s="11" t="n">
        <v>0</v>
      </c>
      <c r="P686" s="12" t="n">
        <v>-25</v>
      </c>
      <c r="Q686" s="11" t="inlineStr"/>
    </row>
    <row r="687">
      <c r="A687" s="6" t="inlineStr">
        <is>
          <t>2025-06-23</t>
        </is>
      </c>
      <c r="B687" s="6" t="inlineStr">
        <is>
          <t>MA2509</t>
        </is>
      </c>
      <c r="C687" s="6" t="inlineStr">
        <is>
          <t>2025-09</t>
        </is>
      </c>
      <c r="D687" s="7" t="n">
        <v>2747.5</v>
      </c>
      <c r="E687" s="7" t="n">
        <v>2504</v>
      </c>
      <c r="F687" s="7">
        <f>D687-E687</f>
        <v/>
      </c>
      <c r="G687" s="8">
        <f>IF(D687=0,"",(D687-E687)/D687)</f>
        <v/>
      </c>
      <c r="H687" s="9" t="n">
        <v>993455</v>
      </c>
      <c r="I687" s="10" t="n">
        <v>0.992</v>
      </c>
      <c r="J687" s="10">
        <f>IF(COUNT(G437:G686)&lt;20,"",IF(COUNTIF(G437:G686,"&lt;"&amp;G687)&gt;=COUNT(G437:G686),(COUNT(G437:G686)-0.5)/COUNT(G437:G686),IF(COUNTIF(G437:G686,G687)&gt;0,(COUNTIF(G437:G686,"&lt;"&amp;G687)+0.5*COUNTIF(G437:G686,G687))/COUNT(G437:G686),COUNTIF(G437:G686,"&lt;"&amp;G687)/COUNT(G437:G686))))</f>
        <v/>
      </c>
      <c r="K687" s="6" t="inlineStr">
        <is>
          <t>高分位</t>
        </is>
      </c>
      <c r="L687" s="6" t="n">
        <v>59</v>
      </c>
      <c r="M687" s="6" t="inlineStr">
        <is>
          <t>结构不明</t>
        </is>
      </c>
      <c r="N687" s="6" t="n">
        <v>1</v>
      </c>
      <c r="O687" s="6" t="n">
        <v>0</v>
      </c>
      <c r="P687" s="7" t="n">
        <v>-36</v>
      </c>
      <c r="Q687" s="6" t="inlineStr"/>
    </row>
    <row r="688">
      <c r="A688" s="11" t="inlineStr">
        <is>
          <t>2025-06-24</t>
        </is>
      </c>
      <c r="B688" s="11" t="inlineStr">
        <is>
          <t>MA2509</t>
        </is>
      </c>
      <c r="C688" s="11" t="inlineStr">
        <is>
          <t>2025-09</t>
        </is>
      </c>
      <c r="D688" s="12" t="n">
        <v>2719.83</v>
      </c>
      <c r="E688" s="12" t="n">
        <v>2379</v>
      </c>
      <c r="F688" s="12">
        <f>D688-E688</f>
        <v/>
      </c>
      <c r="G688" s="13">
        <f>IF(D688=0,"",(D688-E688)/D688)</f>
        <v/>
      </c>
      <c r="H688" s="14" t="n">
        <v>896727</v>
      </c>
      <c r="I688" s="15" t="n">
        <v>0.998</v>
      </c>
      <c r="J688" s="15">
        <f>IF(COUNT(G438:G687)&lt;20,"",IF(COUNTIF(G438:G687,"&lt;"&amp;G688)&gt;=COUNT(G438:G687),(COUNT(G438:G687)-0.5)/COUNT(G438:G687),IF(COUNTIF(G438:G687,G688)&gt;0,(COUNTIF(G438:G687,"&lt;"&amp;G688)+0.5*COUNTIF(G438:G687,G688))/COUNT(G438:G687),COUNTIF(G438:G687,"&lt;"&amp;G688)/COUNT(G438:G687))))</f>
        <v/>
      </c>
      <c r="K688" s="11" t="inlineStr">
        <is>
          <t>高分位</t>
        </is>
      </c>
      <c r="L688" s="11" t="n">
        <v>58</v>
      </c>
      <c r="M688" s="11" t="inlineStr">
        <is>
          <t>结构不明</t>
        </is>
      </c>
      <c r="N688" s="11" t="n">
        <v>1</v>
      </c>
      <c r="O688" s="11" t="n">
        <v>0</v>
      </c>
      <c r="P688" s="12" t="n">
        <v>-44</v>
      </c>
      <c r="Q688" s="11" t="inlineStr"/>
    </row>
    <row r="689">
      <c r="A689" s="6" t="inlineStr">
        <is>
          <t>2025-06-25</t>
        </is>
      </c>
      <c r="B689" s="6" t="inlineStr">
        <is>
          <t>MA2509</t>
        </is>
      </c>
      <c r="C689" s="6" t="inlineStr">
        <is>
          <t>2025-09</t>
        </is>
      </c>
      <c r="D689" s="7" t="n">
        <v>2656.67</v>
      </c>
      <c r="E689" s="7" t="n">
        <v>2391</v>
      </c>
      <c r="F689" s="7">
        <f>D689-E689</f>
        <v/>
      </c>
      <c r="G689" s="8">
        <f>IF(D689=0,"",(D689-E689)/D689)</f>
        <v/>
      </c>
      <c r="H689" s="9" t="n">
        <v>904456</v>
      </c>
      <c r="I689" s="10" t="n">
        <v>0.996</v>
      </c>
      <c r="J689" s="10">
        <f>IF(COUNT(G439:G688)&lt;20,"",IF(COUNTIF(G439:G688,"&lt;"&amp;G689)&gt;=COUNT(G439:G688),(COUNT(G439:G688)-0.5)/COUNT(G439:G688),IF(COUNTIF(G439:G688,G689)&gt;0,(COUNTIF(G439:G688,"&lt;"&amp;G689)+0.5*COUNTIF(G439:G688,G689))/COUNT(G439:G688),COUNTIF(G439:G688,"&lt;"&amp;G689)/COUNT(G439:G688))))</f>
        <v/>
      </c>
      <c r="K689" s="6" t="inlineStr">
        <is>
          <t>高分位</t>
        </is>
      </c>
      <c r="L689" s="6" t="n">
        <v>57</v>
      </c>
      <c r="M689" s="6" t="inlineStr">
        <is>
          <t>结构不明</t>
        </is>
      </c>
      <c r="N689" s="6" t="n">
        <v>1</v>
      </c>
      <c r="O689" s="6" t="n">
        <v>0</v>
      </c>
      <c r="P689" s="7" t="n">
        <v>-38</v>
      </c>
      <c r="Q689" s="6" t="inlineStr"/>
    </row>
    <row r="690">
      <c r="A690" s="11" t="inlineStr">
        <is>
          <t>2025-06-26</t>
        </is>
      </c>
      <c r="B690" s="11" t="inlineStr">
        <is>
          <t>MA2509</t>
        </is>
      </c>
      <c r="C690" s="11" t="inlineStr">
        <is>
          <t>2025-09</t>
        </is>
      </c>
      <c r="D690" s="12" t="n">
        <v>2646.67</v>
      </c>
      <c r="E690" s="12" t="n">
        <v>2417</v>
      </c>
      <c r="F690" s="12">
        <f>D690-E690</f>
        <v/>
      </c>
      <c r="G690" s="13">
        <f>IF(D690=0,"",(D690-E690)/D690)</f>
        <v/>
      </c>
      <c r="H690" s="14" t="n">
        <v>857159</v>
      </c>
      <c r="I690" s="15" t="n">
        <v>0.98</v>
      </c>
      <c r="J690" s="15">
        <f>IF(COUNT(G440:G689)&lt;20,"",IF(COUNTIF(G440:G689,"&lt;"&amp;G690)&gt;=COUNT(G440:G689),(COUNT(G440:G689)-0.5)/COUNT(G440:G689),IF(COUNTIF(G440:G689,G690)&gt;0,(COUNTIF(G440:G689,"&lt;"&amp;G690)+0.5*COUNTIF(G440:G689,G690))/COUNT(G440:G689),COUNTIF(G440:G689,"&lt;"&amp;G690)/COUNT(G440:G689))))</f>
        <v/>
      </c>
      <c r="K690" s="11" t="inlineStr">
        <is>
          <t>高分位</t>
        </is>
      </c>
      <c r="L690" s="11" t="n">
        <v>56</v>
      </c>
      <c r="M690" s="11" t="inlineStr">
        <is>
          <t>Back(近强)</t>
        </is>
      </c>
      <c r="N690" s="11" t="n">
        <v>1</v>
      </c>
      <c r="O690" s="11" t="n">
        <v>0</v>
      </c>
      <c r="P690" s="12" t="n">
        <v>-33</v>
      </c>
      <c r="Q690" s="11" t="inlineStr"/>
    </row>
    <row r="691">
      <c r="A691" s="6" t="inlineStr">
        <is>
          <t>2025-06-27</t>
        </is>
      </c>
      <c r="B691" s="6" t="inlineStr">
        <is>
          <t>MA2509</t>
        </is>
      </c>
      <c r="C691" s="6" t="inlineStr">
        <is>
          <t>2025-09</t>
        </is>
      </c>
      <c r="D691" s="7" t="n">
        <v>2750.83</v>
      </c>
      <c r="E691" s="7" t="n">
        <v>2393</v>
      </c>
      <c r="F691" s="7">
        <f>D691-E691</f>
        <v/>
      </c>
      <c r="G691" s="8">
        <f>IF(D691=0,"",(D691-E691)/D691)</f>
        <v/>
      </c>
      <c r="H691" s="9" t="n">
        <v>784498</v>
      </c>
      <c r="I691" s="10" t="n">
        <v>0.998</v>
      </c>
      <c r="J691" s="10">
        <f>IF(COUNT(G441:G690)&lt;20,"",IF(COUNTIF(G441:G690,"&lt;"&amp;G691)&gt;=COUNT(G441:G690),(COUNT(G441:G690)-0.5)/COUNT(G441:G690),IF(COUNTIF(G441:G690,G691)&gt;0,(COUNTIF(G441:G690,"&lt;"&amp;G691)+0.5*COUNTIF(G441:G690,G691))/COUNT(G441:G690),COUNTIF(G441:G690,"&lt;"&amp;G691)/COUNT(G441:G690))))</f>
        <v/>
      </c>
      <c r="K691" s="6" t="inlineStr">
        <is>
          <t>高分位</t>
        </is>
      </c>
      <c r="L691" s="6" t="n">
        <v>55</v>
      </c>
      <c r="M691" s="6" t="inlineStr">
        <is>
          <t>结构不明</t>
        </is>
      </c>
      <c r="N691" s="6" t="n">
        <v>1</v>
      </c>
      <c r="O691" s="6" t="n">
        <v>0</v>
      </c>
      <c r="P691" s="7" t="n">
        <v>-41</v>
      </c>
      <c r="Q691" s="6" t="inlineStr"/>
    </row>
    <row r="692">
      <c r="A692" s="11" t="inlineStr">
        <is>
          <t>2025-06-30</t>
        </is>
      </c>
      <c r="B692" s="11" t="inlineStr">
        <is>
          <t>MA2509</t>
        </is>
      </c>
      <c r="C692" s="11" t="inlineStr">
        <is>
          <t>2025-09</t>
        </is>
      </c>
      <c r="D692" s="12" t="n">
        <v>2785.83</v>
      </c>
      <c r="E692" s="12" t="n">
        <v>2381</v>
      </c>
      <c r="F692" s="12">
        <f>D692-E692</f>
        <v/>
      </c>
      <c r="G692" s="13">
        <f>IF(D692=0,"",(D692-E692)/D692)</f>
        <v/>
      </c>
      <c r="H692" s="14" t="n">
        <v>759974</v>
      </c>
      <c r="I692" s="15" t="n">
        <v>0.998</v>
      </c>
      <c r="J692" s="15">
        <f>IF(COUNT(G442:G691)&lt;20,"",IF(COUNTIF(G442:G691,"&lt;"&amp;G692)&gt;=COUNT(G442:G691),(COUNT(G442:G691)-0.5)/COUNT(G442:G691),IF(COUNTIF(G442:G691,G692)&gt;0,(COUNTIF(G442:G691,"&lt;"&amp;G692)+0.5*COUNTIF(G442:G691,G692))/COUNT(G442:G691),COUNTIF(G442:G691,"&lt;"&amp;G692)/COUNT(G442:G691))))</f>
        <v/>
      </c>
      <c r="K692" s="11" t="inlineStr">
        <is>
          <t>高分位</t>
        </is>
      </c>
      <c r="L692" s="11" t="n">
        <v>54</v>
      </c>
      <c r="M692" s="11" t="inlineStr">
        <is>
          <t>结构不明</t>
        </is>
      </c>
      <c r="N692" s="11" t="n">
        <v>1</v>
      </c>
      <c r="O692" s="11" t="n">
        <v>0</v>
      </c>
      <c r="P692" s="12" t="n">
        <v>-47</v>
      </c>
      <c r="Q692" s="11" t="inlineStr"/>
    </row>
    <row r="693">
      <c r="A693" s="6" t="inlineStr">
        <is>
          <t>2025-07-01</t>
        </is>
      </c>
      <c r="B693" s="6" t="inlineStr">
        <is>
          <t>MA2509</t>
        </is>
      </c>
      <c r="C693" s="6" t="inlineStr">
        <is>
          <t>2025-09</t>
        </is>
      </c>
      <c r="D693" s="7" t="n">
        <v>2805</v>
      </c>
      <c r="E693" s="7" t="n">
        <v>2384</v>
      </c>
      <c r="F693" s="7">
        <f>D693-E693</f>
        <v/>
      </c>
      <c r="G693" s="8">
        <f>IF(D693=0,"",(D693-E693)/D693)</f>
        <v/>
      </c>
      <c r="H693" s="9" t="n">
        <v>756727</v>
      </c>
      <c r="I693" s="10" t="n">
        <v>0.998</v>
      </c>
      <c r="J693" s="10">
        <f>IF(COUNT(G443:G692)&lt;20,"",IF(COUNTIF(G443:G692,"&lt;"&amp;G693)&gt;=COUNT(G443:G692),(COUNT(G443:G692)-0.5)/COUNT(G443:G692),IF(COUNTIF(G443:G692,G693)&gt;0,(COUNTIF(G443:G692,"&lt;"&amp;G693)+0.5*COUNTIF(G443:G692,G693))/COUNT(G443:G692),COUNTIF(G443:G692,"&lt;"&amp;G693)/COUNT(G443:G692))))</f>
        <v/>
      </c>
      <c r="K693" s="6" t="inlineStr">
        <is>
          <t>高分位</t>
        </is>
      </c>
      <c r="L693" s="6" t="n">
        <v>53</v>
      </c>
      <c r="M693" s="6" t="inlineStr">
        <is>
          <t>Back(近强)</t>
        </is>
      </c>
      <c r="N693" s="6" t="n">
        <v>1</v>
      </c>
      <c r="O693" s="6" t="n">
        <v>0</v>
      </c>
      <c r="P693" s="7" t="n">
        <v>-22</v>
      </c>
      <c r="Q693" s="6" t="inlineStr"/>
    </row>
    <row r="694">
      <c r="A694" s="11" t="inlineStr">
        <is>
          <t>2025-07-02</t>
        </is>
      </c>
      <c r="B694" s="11" t="inlineStr">
        <is>
          <t>MA2509</t>
        </is>
      </c>
      <c r="C694" s="11" t="inlineStr">
        <is>
          <t>2025-09</t>
        </is>
      </c>
      <c r="D694" s="12" t="n">
        <v>2530</v>
      </c>
      <c r="E694" s="12" t="n">
        <v>2404</v>
      </c>
      <c r="F694" s="12">
        <f>D694-E694</f>
        <v/>
      </c>
      <c r="G694" s="13">
        <f>IF(D694=0,"",(D694-E694)/D694)</f>
        <v/>
      </c>
      <c r="H694" s="14" t="n">
        <v>736158</v>
      </c>
      <c r="I694" s="15" t="n">
        <v>0.84</v>
      </c>
      <c r="J694" s="15">
        <f>IF(COUNT(G444:G693)&lt;20,"",IF(COUNTIF(G444:G693,"&lt;"&amp;G694)&gt;=COUNT(G444:G693),(COUNT(G444:G693)-0.5)/COUNT(G444:G693),IF(COUNTIF(G444:G693,G694)&gt;0,(COUNTIF(G444:G693,"&lt;"&amp;G694)+0.5*COUNTIF(G444:G693,G694))/COUNT(G444:G693),COUNTIF(G444:G693,"&lt;"&amp;G694)/COUNT(G444:G693))))</f>
        <v/>
      </c>
      <c r="K694" s="11" t="inlineStr">
        <is>
          <t>中间分位</t>
        </is>
      </c>
      <c r="L694" s="11" t="n">
        <v>52</v>
      </c>
      <c r="M694" s="11" t="inlineStr">
        <is>
          <t>结构不明</t>
        </is>
      </c>
      <c r="N694" s="11" t="n">
        <v>1</v>
      </c>
      <c r="O694" s="11" t="n">
        <v>0</v>
      </c>
      <c r="P694" s="12" t="n">
        <v>-39</v>
      </c>
      <c r="Q694" s="11" t="inlineStr"/>
    </row>
    <row r="695">
      <c r="A695" s="6" t="inlineStr">
        <is>
          <t>2025-07-03</t>
        </is>
      </c>
      <c r="B695" s="6" t="inlineStr">
        <is>
          <t>MA2509</t>
        </is>
      </c>
      <c r="C695" s="6" t="inlineStr">
        <is>
          <t>2025-09</t>
        </is>
      </c>
      <c r="D695" s="7" t="n">
        <v>2478.33</v>
      </c>
      <c r="E695" s="7" t="n">
        <v>2414</v>
      </c>
      <c r="F695" s="7">
        <f>D695-E695</f>
        <v/>
      </c>
      <c r="G695" s="8">
        <f>IF(D695=0,"",(D695-E695)/D695)</f>
        <v/>
      </c>
      <c r="H695" s="9" t="n">
        <v>706992</v>
      </c>
      <c r="I695" s="10" t="n">
        <v>0.636</v>
      </c>
      <c r="J695" s="10">
        <f>IF(COUNT(G445:G694)&lt;20,"",IF(COUNTIF(G445:G694,"&lt;"&amp;G695)&gt;=COUNT(G445:G694),(COUNT(G445:G694)-0.5)/COUNT(G445:G694),IF(COUNTIF(G445:G694,G695)&gt;0,(COUNTIF(G445:G694,"&lt;"&amp;G695)+0.5*COUNTIF(G445:G694,G695))/COUNT(G445:G694),COUNTIF(G445:G694,"&lt;"&amp;G695)/COUNT(G445:G694))))</f>
        <v/>
      </c>
      <c r="K695" s="6" t="inlineStr">
        <is>
          <t>中间分位</t>
        </is>
      </c>
      <c r="L695" s="6" t="n">
        <v>51</v>
      </c>
      <c r="M695" s="6" t="inlineStr">
        <is>
          <t>Back(近强)</t>
        </is>
      </c>
      <c r="N695" s="6" t="n">
        <v>1</v>
      </c>
      <c r="O695" s="6" t="n">
        <v>0</v>
      </c>
      <c r="P695" s="7" t="n">
        <v>-4</v>
      </c>
      <c r="Q695" s="6" t="inlineStr"/>
    </row>
    <row r="696">
      <c r="A696" s="11" t="inlineStr">
        <is>
          <t>2025-07-04</t>
        </is>
      </c>
      <c r="B696" s="11" t="inlineStr">
        <is>
          <t>MA2509</t>
        </is>
      </c>
      <c r="C696" s="11" t="inlineStr">
        <is>
          <t>2025-09</t>
        </is>
      </c>
      <c r="D696" s="12" t="n">
        <v>2474.17</v>
      </c>
      <c r="E696" s="12" t="n">
        <v>2399</v>
      </c>
      <c r="F696" s="12">
        <f>D696-E696</f>
        <v/>
      </c>
      <c r="G696" s="13">
        <f>IF(D696=0,"",(D696-E696)/D696)</f>
        <v/>
      </c>
      <c r="H696" s="14" t="n">
        <v>694763</v>
      </c>
      <c r="I696" s="15" t="n">
        <v>0.6879999999999999</v>
      </c>
      <c r="J696" s="15">
        <f>IF(COUNT(G446:G695)&lt;20,"",IF(COUNTIF(G446:G695,"&lt;"&amp;G696)&gt;=COUNT(G446:G695),(COUNT(G446:G695)-0.5)/COUNT(G446:G695),IF(COUNTIF(G446:G695,G696)&gt;0,(COUNTIF(G446:G695,"&lt;"&amp;G696)+0.5*COUNTIF(G446:G695,G696))/COUNT(G446:G695),COUNTIF(G446:G695,"&lt;"&amp;G696)/COUNT(G446:G695))))</f>
        <v/>
      </c>
      <c r="K696" s="11" t="inlineStr">
        <is>
          <t>中间分位</t>
        </is>
      </c>
      <c r="L696" s="11" t="n">
        <v>50</v>
      </c>
      <c r="M696" s="11" t="inlineStr">
        <is>
          <t>Back(近强)</t>
        </is>
      </c>
      <c r="N696" s="11" t="n">
        <v>1</v>
      </c>
      <c r="O696" s="11" t="n">
        <v>0</v>
      </c>
      <c r="P696" s="12" t="n">
        <v>1</v>
      </c>
      <c r="Q696" s="11" t="inlineStr"/>
    </row>
    <row r="697">
      <c r="A697" s="6" t="inlineStr">
        <is>
          <t>2025-07-07</t>
        </is>
      </c>
      <c r="B697" s="6" t="inlineStr">
        <is>
          <t>MA2509</t>
        </is>
      </c>
      <c r="C697" s="6" t="inlineStr">
        <is>
          <t>2025-09</t>
        </is>
      </c>
      <c r="D697" s="7" t="n">
        <v>2447.5</v>
      </c>
      <c r="E697" s="7" t="n">
        <v>2392</v>
      </c>
      <c r="F697" s="7">
        <f>D697-E697</f>
        <v/>
      </c>
      <c r="G697" s="8">
        <f>IF(D697=0,"",(D697-E697)/D697)</f>
        <v/>
      </c>
      <c r="H697" s="9" t="n">
        <v>685709</v>
      </c>
      <c r="I697" s="10" t="n">
        <v>0.6</v>
      </c>
      <c r="J697" s="10">
        <f>IF(COUNT(G447:G696)&lt;20,"",IF(COUNTIF(G447:G696,"&lt;"&amp;G697)&gt;=COUNT(G447:G696),(COUNT(G447:G696)-0.5)/COUNT(G447:G696),IF(COUNTIF(G447:G696,G697)&gt;0,(COUNTIF(G447:G696,"&lt;"&amp;G697)+0.5*COUNTIF(G447:G696,G697))/COUNT(G447:G696),COUNTIF(G447:G696,"&lt;"&amp;G697)/COUNT(G447:G696))))</f>
        <v/>
      </c>
      <c r="K697" s="6" t="inlineStr">
        <is>
          <t>中间分位</t>
        </is>
      </c>
      <c r="L697" s="6" t="n">
        <v>49</v>
      </c>
      <c r="M697" s="6" t="inlineStr">
        <is>
          <t>Back(近强)</t>
        </is>
      </c>
      <c r="N697" s="6" t="n">
        <v>1</v>
      </c>
      <c r="O697" s="6" t="n">
        <v>0</v>
      </c>
      <c r="P697" s="7" t="n">
        <v>20</v>
      </c>
      <c r="Q697" s="6" t="inlineStr"/>
    </row>
    <row r="698">
      <c r="A698" s="11" t="inlineStr">
        <is>
          <t>2025-07-08</t>
        </is>
      </c>
      <c r="B698" s="11" t="inlineStr">
        <is>
          <t>MA2509</t>
        </is>
      </c>
      <c r="C698" s="11" t="inlineStr">
        <is>
          <t>2025-09</t>
        </is>
      </c>
      <c r="D698" s="12" t="n">
        <v>2423.33</v>
      </c>
      <c r="E698" s="12" t="n">
        <v>2373</v>
      </c>
      <c r="F698" s="12">
        <f>D698-E698</f>
        <v/>
      </c>
      <c r="G698" s="13">
        <f>IF(D698=0,"",(D698-E698)/D698)</f>
        <v/>
      </c>
      <c r="H698" s="14" t="n">
        <v>694298</v>
      </c>
      <c r="I698" s="15" t="n">
        <v>0.556</v>
      </c>
      <c r="J698" s="15">
        <f>IF(COUNT(G448:G697)&lt;20,"",IF(COUNTIF(G448:G697,"&lt;"&amp;G698)&gt;=COUNT(G448:G697),(COUNT(G448:G697)-0.5)/COUNT(G448:G697),IF(COUNTIF(G448:G697,G698)&gt;0,(COUNTIF(G448:G697,"&lt;"&amp;G698)+0.5*COUNTIF(G448:G697,G698))/COUNT(G448:G697),COUNTIF(G448:G697,"&lt;"&amp;G698)/COUNT(G448:G697))))</f>
        <v/>
      </c>
      <c r="K698" s="11" t="inlineStr">
        <is>
          <t>中间分位</t>
        </is>
      </c>
      <c r="L698" s="11" t="n">
        <v>48</v>
      </c>
      <c r="M698" s="11" t="inlineStr">
        <is>
          <t>Back(近强)</t>
        </is>
      </c>
      <c r="N698" s="11" t="n">
        <v>1</v>
      </c>
      <c r="O698" s="11" t="n">
        <v>0</v>
      </c>
      <c r="P698" s="12" t="n">
        <v>20</v>
      </c>
      <c r="Q698" s="11" t="inlineStr"/>
    </row>
    <row r="699">
      <c r="A699" s="6" t="inlineStr">
        <is>
          <t>2025-07-09</t>
        </is>
      </c>
      <c r="B699" s="6" t="inlineStr">
        <is>
          <t>MA2509</t>
        </is>
      </c>
      <c r="C699" s="6" t="inlineStr">
        <is>
          <t>2025-09</t>
        </is>
      </c>
      <c r="D699" s="7" t="n">
        <v>2410</v>
      </c>
      <c r="E699" s="7" t="n">
        <v>2372</v>
      </c>
      <c r="F699" s="7">
        <f>D699-E699</f>
        <v/>
      </c>
      <c r="G699" s="8">
        <f>IF(D699=0,"",(D699-E699)/D699)</f>
        <v/>
      </c>
      <c r="H699" s="9" t="n">
        <v>711306</v>
      </c>
      <c r="I699" s="10" t="n">
        <v>0.5</v>
      </c>
      <c r="J699" s="10">
        <f>IF(COUNT(G449:G698)&lt;20,"",IF(COUNTIF(G449:G698,"&lt;"&amp;G699)&gt;=COUNT(G449:G698),(COUNT(G449:G698)-0.5)/COUNT(G449:G698),IF(COUNTIF(G449:G698,G699)&gt;0,(COUNTIF(G449:G698,"&lt;"&amp;G699)+0.5*COUNTIF(G449:G698,G699))/COUNT(G449:G698),COUNTIF(G449:G698,"&lt;"&amp;G699)/COUNT(G449:G698))))</f>
        <v/>
      </c>
      <c r="K699" s="6" t="inlineStr">
        <is>
          <t>中间分位</t>
        </is>
      </c>
      <c r="L699" s="6" t="n">
        <v>47</v>
      </c>
      <c r="M699" s="6" t="inlineStr">
        <is>
          <t>Back(近强)</t>
        </is>
      </c>
      <c r="N699" s="6" t="n">
        <v>1</v>
      </c>
      <c r="O699" s="6" t="n">
        <v>0</v>
      </c>
      <c r="P699" s="7" t="n">
        <v>-12</v>
      </c>
      <c r="Q699" s="6" t="inlineStr"/>
    </row>
    <row r="700">
      <c r="A700" s="11" t="inlineStr">
        <is>
          <t>2025-07-10</t>
        </is>
      </c>
      <c r="B700" s="11" t="inlineStr">
        <is>
          <t>MA2509</t>
        </is>
      </c>
      <c r="C700" s="11" t="inlineStr">
        <is>
          <t>2025-09</t>
        </is>
      </c>
      <c r="D700" s="12" t="n">
        <v>2390.33</v>
      </c>
      <c r="E700" s="12" t="n">
        <v>2398</v>
      </c>
      <c r="F700" s="12">
        <f>D700-E700</f>
        <v/>
      </c>
      <c r="G700" s="13">
        <f>IF(D700=0,"",(D700-E700)/D700)</f>
        <v/>
      </c>
      <c r="H700" s="14" t="n">
        <v>695469</v>
      </c>
      <c r="I700" s="15" t="n">
        <v>0.224</v>
      </c>
      <c r="J700" s="15">
        <f>IF(COUNT(G450:G699)&lt;20,"",IF(COUNTIF(G450:G699,"&lt;"&amp;G700)&gt;=COUNT(G450:G699),(COUNT(G450:G699)-0.5)/COUNT(G450:G699),IF(COUNTIF(G450:G699,G700)&gt;0,(COUNTIF(G450:G699,"&lt;"&amp;G700)+0.5*COUNTIF(G450:G699,G700))/COUNT(G450:G699),COUNTIF(G450:G699,"&lt;"&amp;G700)/COUNT(G450:G699))))</f>
        <v/>
      </c>
      <c r="K700" s="11" t="inlineStr">
        <is>
          <t>中间分位</t>
        </is>
      </c>
      <c r="L700" s="11" t="n">
        <v>46</v>
      </c>
      <c r="M700" s="11" t="inlineStr">
        <is>
          <t>Back(近强)</t>
        </is>
      </c>
      <c r="N700" s="11" t="n">
        <v>1</v>
      </c>
      <c r="O700" s="11" t="n">
        <v>0</v>
      </c>
      <c r="P700" s="12" t="n">
        <v>-8</v>
      </c>
      <c r="Q700" s="11" t="inlineStr"/>
    </row>
    <row r="701">
      <c r="A701" s="6" t="inlineStr">
        <is>
          <t>2025-07-11</t>
        </is>
      </c>
      <c r="B701" s="6" t="inlineStr">
        <is>
          <t>MA2509</t>
        </is>
      </c>
      <c r="C701" s="6" t="inlineStr">
        <is>
          <t>2025-09</t>
        </is>
      </c>
      <c r="D701" s="7" t="n">
        <v>2397.5</v>
      </c>
      <c r="E701" s="7" t="n">
        <v>2370</v>
      </c>
      <c r="F701" s="7">
        <f>D701-E701</f>
        <v/>
      </c>
      <c r="G701" s="8">
        <f>IF(D701=0,"",(D701-E701)/D701)</f>
        <v/>
      </c>
      <c r="H701" s="9" t="n">
        <v>685261</v>
      </c>
      <c r="I701" s="10" t="n">
        <v>0.428</v>
      </c>
      <c r="J701" s="10">
        <f>IF(COUNT(G451:G700)&lt;20,"",IF(COUNTIF(G451:G700,"&lt;"&amp;G701)&gt;=COUNT(G451:G700),(COUNT(G451:G700)-0.5)/COUNT(G451:G700),IF(COUNTIF(G451:G700,G701)&gt;0,(COUNTIF(G451:G700,"&lt;"&amp;G701)+0.5*COUNTIF(G451:G700,G701))/COUNT(G451:G700),COUNTIF(G451:G700,"&lt;"&amp;G701)/COUNT(G451:G700))))</f>
        <v/>
      </c>
      <c r="K701" s="6" t="inlineStr">
        <is>
          <t>中间分位</t>
        </is>
      </c>
      <c r="L701" s="6" t="n">
        <v>45</v>
      </c>
      <c r="M701" s="6" t="inlineStr">
        <is>
          <t>Back(近强)</t>
        </is>
      </c>
      <c r="N701" s="6" t="n">
        <v>1</v>
      </c>
      <c r="O701" s="6" t="n">
        <v>0</v>
      </c>
      <c r="P701" s="7" t="n">
        <v>-3</v>
      </c>
      <c r="Q701" s="6" t="inlineStr"/>
    </row>
    <row r="702">
      <c r="A702" s="11" t="inlineStr">
        <is>
          <t>2025-07-14</t>
        </is>
      </c>
      <c r="B702" s="11" t="inlineStr">
        <is>
          <t>MA2509</t>
        </is>
      </c>
      <c r="C702" s="11" t="inlineStr">
        <is>
          <t>2025-09</t>
        </is>
      </c>
      <c r="D702" s="12" t="n">
        <v>2378.33</v>
      </c>
      <c r="E702" s="12" t="n">
        <v>2396</v>
      </c>
      <c r="F702" s="12">
        <f>D702-E702</f>
        <v/>
      </c>
      <c r="G702" s="13">
        <f>IF(D702=0,"",(D702-E702)/D702)</f>
        <v/>
      </c>
      <c r="H702" s="14" t="n">
        <v>655520</v>
      </c>
      <c r="I702" s="15" t="n">
        <v>0.164</v>
      </c>
      <c r="J702" s="15">
        <f>IF(COUNT(G452:G701)&lt;20,"",IF(COUNTIF(G452:G701,"&lt;"&amp;G702)&gt;=COUNT(G452:G701),(COUNT(G452:G701)-0.5)/COUNT(G452:G701),IF(COUNTIF(G452:G701,G702)&gt;0,(COUNTIF(G452:G701,"&lt;"&amp;G702)+0.5*COUNTIF(G452:G701,G702))/COUNT(G452:G701),COUNTIF(G452:G701,"&lt;"&amp;G702)/COUNT(G452:G701))))</f>
        <v/>
      </c>
      <c r="K702" s="11" t="inlineStr">
        <is>
          <t>中间分位</t>
        </is>
      </c>
      <c r="L702" s="11" t="n">
        <v>44</v>
      </c>
      <c r="M702" s="11" t="inlineStr">
        <is>
          <t>Back(近强)</t>
        </is>
      </c>
      <c r="N702" s="11" t="n">
        <v>1</v>
      </c>
      <c r="O702" s="11" t="n">
        <v>0</v>
      </c>
      <c r="P702" s="12" t="n">
        <v>16</v>
      </c>
      <c r="Q702" s="11" t="inlineStr"/>
    </row>
    <row r="703">
      <c r="A703" s="6" t="inlineStr">
        <is>
          <t>2025-07-15</t>
        </is>
      </c>
      <c r="B703" s="6" t="inlineStr">
        <is>
          <t>MA2509</t>
        </is>
      </c>
      <c r="C703" s="6" t="inlineStr">
        <is>
          <t>2025-09</t>
        </is>
      </c>
      <c r="D703" s="7" t="n">
        <v>2390</v>
      </c>
      <c r="E703" s="7" t="n">
        <v>2386</v>
      </c>
      <c r="F703" s="7">
        <f>D703-E703</f>
        <v/>
      </c>
      <c r="G703" s="8">
        <f>IF(D703=0,"",(D703-E703)/D703)</f>
        <v/>
      </c>
      <c r="H703" s="9" t="n">
        <v>650875</v>
      </c>
      <c r="I703" s="10" t="n">
        <v>0.308</v>
      </c>
      <c r="J703" s="10">
        <f>IF(COUNT(G453:G702)&lt;20,"",IF(COUNTIF(G453:G702,"&lt;"&amp;G703)&gt;=COUNT(G453:G702),(COUNT(G453:G702)-0.5)/COUNT(G453:G702),IF(COUNTIF(G453:G702,G703)&gt;0,(COUNTIF(G453:G702,"&lt;"&amp;G703)+0.5*COUNTIF(G453:G702,G703))/COUNT(G453:G702),COUNTIF(G453:G702,"&lt;"&amp;G703)/COUNT(G453:G702))))</f>
        <v/>
      </c>
      <c r="K703" s="6" t="inlineStr">
        <is>
          <t>中间分位</t>
        </is>
      </c>
      <c r="L703" s="6" t="n">
        <v>43</v>
      </c>
      <c r="M703" s="6" t="inlineStr">
        <is>
          <t>Back(近强)</t>
        </is>
      </c>
      <c r="N703" s="6" t="n">
        <v>1</v>
      </c>
      <c r="O703" s="6" t="n">
        <v>0</v>
      </c>
      <c r="P703" s="7" t="n">
        <v>16</v>
      </c>
      <c r="Q703" s="6" t="inlineStr"/>
    </row>
    <row r="704">
      <c r="A704" s="11" t="inlineStr">
        <is>
          <t>2025-07-16</t>
        </is>
      </c>
      <c r="B704" s="11" t="inlineStr">
        <is>
          <t>MA2509</t>
        </is>
      </c>
      <c r="C704" s="11" t="inlineStr">
        <is>
          <t>2025-09</t>
        </is>
      </c>
      <c r="D704" s="12" t="n">
        <v>2390</v>
      </c>
      <c r="E704" s="12" t="n">
        <v>2367</v>
      </c>
      <c r="F704" s="12">
        <f>D704-E704</f>
        <v/>
      </c>
      <c r="G704" s="13">
        <f>IF(D704=0,"",(D704-E704)/D704)</f>
        <v/>
      </c>
      <c r="H704" s="14" t="n">
        <v>654082</v>
      </c>
      <c r="I704" s="15" t="n">
        <v>0.4</v>
      </c>
      <c r="J704" s="15">
        <f>IF(COUNT(G454:G703)&lt;20,"",IF(COUNTIF(G454:G703,"&lt;"&amp;G704)&gt;=COUNT(G454:G703),(COUNT(G454:G703)-0.5)/COUNT(G454:G703),IF(COUNTIF(G454:G703,G704)&gt;0,(COUNTIF(G454:G703,"&lt;"&amp;G704)+0.5*COUNTIF(G454:G703,G704))/COUNT(G454:G703),COUNTIF(G454:G703,"&lt;"&amp;G704)/COUNT(G454:G703))))</f>
        <v/>
      </c>
      <c r="K704" s="11" t="inlineStr">
        <is>
          <t>中间分位</t>
        </is>
      </c>
      <c r="L704" s="11" t="n">
        <v>42</v>
      </c>
      <c r="M704" s="11" t="inlineStr">
        <is>
          <t>Back(近强)</t>
        </is>
      </c>
      <c r="N704" s="11" t="n">
        <v>1</v>
      </c>
      <c r="O704" s="11" t="n">
        <v>0</v>
      </c>
      <c r="P704" s="12" t="n">
        <v>20</v>
      </c>
      <c r="Q704" s="11" t="inlineStr"/>
    </row>
    <row r="705">
      <c r="A705" s="6" t="inlineStr">
        <is>
          <t>2025-07-17</t>
        </is>
      </c>
      <c r="B705" s="6" t="inlineStr">
        <is>
          <t>MA2509</t>
        </is>
      </c>
      <c r="C705" s="6" t="inlineStr">
        <is>
          <t>2025-09</t>
        </is>
      </c>
      <c r="D705" s="7" t="n">
        <v>2381.67</v>
      </c>
      <c r="E705" s="7" t="n">
        <v>2373</v>
      </c>
      <c r="F705" s="7">
        <f>D705-E705</f>
        <v/>
      </c>
      <c r="G705" s="8">
        <f>IF(D705=0,"",(D705-E705)/D705)</f>
        <v/>
      </c>
      <c r="H705" s="9" t="n">
        <v>653886</v>
      </c>
      <c r="I705" s="10" t="n">
        <v>0.324</v>
      </c>
      <c r="J705" s="10">
        <f>IF(COUNT(G455:G704)&lt;20,"",IF(COUNTIF(G455:G704,"&lt;"&amp;G705)&gt;=COUNT(G455:G704),(COUNT(G455:G704)-0.5)/COUNT(G455:G704),IF(COUNTIF(G455:G704,G705)&gt;0,(COUNTIF(G455:G704,"&lt;"&amp;G705)+0.5*COUNTIF(G455:G704,G705))/COUNT(G455:G704),COUNTIF(G455:G704,"&lt;"&amp;G705)/COUNT(G455:G704))))</f>
        <v/>
      </c>
      <c r="K705" s="6" t="inlineStr">
        <is>
          <t>中间分位</t>
        </is>
      </c>
      <c r="L705" s="6" t="n">
        <v>41</v>
      </c>
      <c r="M705" s="6" t="inlineStr">
        <is>
          <t>Back(近强)</t>
        </is>
      </c>
      <c r="N705" s="6" t="n">
        <v>1</v>
      </c>
      <c r="O705" s="6" t="n">
        <v>0</v>
      </c>
      <c r="P705" s="7" t="n">
        <v>23</v>
      </c>
      <c r="Q705" s="6" t="inlineStr"/>
    </row>
    <row r="706">
      <c r="A706" s="11" t="inlineStr">
        <is>
          <t>2025-07-18</t>
        </is>
      </c>
      <c r="B706" s="11" t="inlineStr">
        <is>
          <t>MA2509</t>
        </is>
      </c>
      <c r="C706" s="11" t="inlineStr">
        <is>
          <t>2025-09</t>
        </is>
      </c>
      <c r="D706" s="12" t="n">
        <v>2391.67</v>
      </c>
      <c r="E706" s="12" t="n">
        <v>2365</v>
      </c>
      <c r="F706" s="12">
        <f>D706-E706</f>
        <v/>
      </c>
      <c r="G706" s="13">
        <f>IF(D706=0,"",(D706-E706)/D706)</f>
        <v/>
      </c>
      <c r="H706" s="14" t="n">
        <v>669737</v>
      </c>
      <c r="I706" s="15" t="n">
        <v>0.42</v>
      </c>
      <c r="J706" s="15">
        <f>IF(COUNT(G456:G705)&lt;20,"",IF(COUNTIF(G456:G705,"&lt;"&amp;G706)&gt;=COUNT(G456:G705),(COUNT(G456:G705)-0.5)/COUNT(G456:G705),IF(COUNTIF(G456:G705,G706)&gt;0,(COUNTIF(G456:G705,"&lt;"&amp;G706)+0.5*COUNTIF(G456:G705,G706))/COUNT(G456:G705),COUNTIF(G456:G705,"&lt;"&amp;G706)/COUNT(G456:G705))))</f>
        <v/>
      </c>
      <c r="K706" s="11" t="inlineStr">
        <is>
          <t>中间分位</t>
        </is>
      </c>
      <c r="L706" s="11" t="n">
        <v>40</v>
      </c>
      <c r="M706" s="11" t="inlineStr">
        <is>
          <t>Back(近强)</t>
        </is>
      </c>
      <c r="N706" s="11" t="n">
        <v>1</v>
      </c>
      <c r="O706" s="11" t="n">
        <v>0</v>
      </c>
      <c r="P706" s="12" t="n">
        <v>29</v>
      </c>
      <c r="Q706" s="11" t="inlineStr"/>
    </row>
    <row r="707">
      <c r="A707" s="6" t="inlineStr">
        <is>
          <t>2025-07-21</t>
        </is>
      </c>
      <c r="B707" s="6" t="inlineStr">
        <is>
          <t>MA2509</t>
        </is>
      </c>
      <c r="C707" s="6" t="inlineStr">
        <is>
          <t>2025-09</t>
        </is>
      </c>
      <c r="D707" s="7" t="n">
        <v>2383.33</v>
      </c>
      <c r="E707" s="7" t="n">
        <v>2411</v>
      </c>
      <c r="F707" s="7">
        <f>D707-E707</f>
        <v/>
      </c>
      <c r="G707" s="8">
        <f>IF(D707=0,"",(D707-E707)/D707)</f>
        <v/>
      </c>
      <c r="H707" s="9" t="n">
        <v>650630</v>
      </c>
      <c r="I707" s="10" t="n">
        <v>0.104</v>
      </c>
      <c r="J707" s="10">
        <f>IF(COUNT(G457:G706)&lt;20,"",IF(COUNTIF(G457:G706,"&lt;"&amp;G707)&gt;=COUNT(G457:G706),(COUNT(G457:G706)-0.5)/COUNT(G457:G706),IF(COUNTIF(G457:G706,G707)&gt;0,(COUNTIF(G457:G706,"&lt;"&amp;G707)+0.5*COUNTIF(G457:G706,G707))/COUNT(G457:G706),COUNTIF(G457:G706,"&lt;"&amp;G707)/COUNT(G457:G706))))</f>
        <v/>
      </c>
      <c r="K707" s="6" t="inlineStr">
        <is>
          <t>中间分位</t>
        </is>
      </c>
      <c r="L707" s="6" t="n">
        <v>39</v>
      </c>
      <c r="M707" s="6" t="inlineStr">
        <is>
          <t>Back(近强)</t>
        </is>
      </c>
      <c r="N707" s="6" t="n">
        <v>1</v>
      </c>
      <c r="O707" s="6" t="n">
        <v>0</v>
      </c>
      <c r="P707" s="7" t="n">
        <v>30</v>
      </c>
      <c r="Q707" s="6" t="inlineStr"/>
    </row>
    <row r="708">
      <c r="A708" s="11" t="inlineStr">
        <is>
          <t>2025-07-22</t>
        </is>
      </c>
      <c r="B708" s="11" t="inlineStr">
        <is>
          <t>MA2509</t>
        </is>
      </c>
      <c r="C708" s="11" t="inlineStr">
        <is>
          <t>2025-09</t>
        </is>
      </c>
      <c r="D708" s="12" t="n">
        <v>2405</v>
      </c>
      <c r="E708" s="12" t="n">
        <v>2457</v>
      </c>
      <c r="F708" s="12">
        <f>D708-E708</f>
        <v/>
      </c>
      <c r="G708" s="13">
        <f>IF(D708=0,"",(D708-E708)/D708)</f>
        <v/>
      </c>
      <c r="H708" s="14" t="n">
        <v>660678</v>
      </c>
      <c r="I708" s="15" t="n">
        <v>0.044</v>
      </c>
      <c r="J708" s="15">
        <f>IF(COUNT(G458:G707)&lt;20,"",IF(COUNTIF(G458:G707,"&lt;"&amp;G708)&gt;=COUNT(G458:G707),(COUNT(G458:G707)-0.5)/COUNT(G458:G707),IF(COUNTIF(G458:G707,G708)&gt;0,(COUNTIF(G458:G707,"&lt;"&amp;G708)+0.5*COUNTIF(G458:G707,G708))/COUNT(G458:G707),COUNTIF(G458:G707,"&lt;"&amp;G708)/COUNT(G458:G707))))</f>
        <v/>
      </c>
      <c r="K708" s="11" t="inlineStr">
        <is>
          <t>低分位</t>
        </is>
      </c>
      <c r="L708" s="11" t="n">
        <v>38</v>
      </c>
      <c r="M708" s="11" t="inlineStr">
        <is>
          <t>Back(近强)</t>
        </is>
      </c>
      <c r="N708" s="11" t="n">
        <v>1</v>
      </c>
      <c r="O708" s="11" t="n">
        <v>0</v>
      </c>
      <c r="P708" s="12" t="n">
        <v>34</v>
      </c>
      <c r="Q708" s="11" t="inlineStr"/>
    </row>
    <row r="709">
      <c r="A709" s="6" t="inlineStr">
        <is>
          <t>2025-07-23</t>
        </is>
      </c>
      <c r="B709" s="6" t="inlineStr">
        <is>
          <t>MA2509</t>
        </is>
      </c>
      <c r="C709" s="6" t="inlineStr">
        <is>
          <t>2025-09</t>
        </is>
      </c>
      <c r="D709" s="7" t="n">
        <v>2433.33</v>
      </c>
      <c r="E709" s="7" t="n">
        <v>2411</v>
      </c>
      <c r="F709" s="7">
        <f>D709-E709</f>
        <v/>
      </c>
      <c r="G709" s="8">
        <f>IF(D709=0,"",(D709-E709)/D709)</f>
        <v/>
      </c>
      <c r="H709" s="9" t="n">
        <v>666635</v>
      </c>
      <c r="I709" s="10" t="n">
        <v>0.384</v>
      </c>
      <c r="J709" s="10">
        <f>IF(COUNT(G459:G708)&lt;20,"",IF(COUNTIF(G459:G708,"&lt;"&amp;G709)&gt;=COUNT(G459:G708),(COUNT(G459:G708)-0.5)/COUNT(G459:G708),IF(COUNTIF(G459:G708,G709)&gt;0,(COUNTIF(G459:G708,"&lt;"&amp;G709)+0.5*COUNTIF(G459:G708,G709))/COUNT(G459:G708),COUNTIF(G459:G708,"&lt;"&amp;G709)/COUNT(G459:G708))))</f>
        <v/>
      </c>
      <c r="K709" s="6" t="inlineStr">
        <is>
          <t>中间分位</t>
        </is>
      </c>
      <c r="L709" s="6" t="n">
        <v>37</v>
      </c>
      <c r="M709" s="6" t="inlineStr">
        <is>
          <t>Back(近强)</t>
        </is>
      </c>
      <c r="N709" s="6" t="n">
        <v>1</v>
      </c>
      <c r="O709" s="6" t="n">
        <v>0</v>
      </c>
      <c r="P709" s="7" t="n">
        <v>29</v>
      </c>
      <c r="Q709" s="6" t="inlineStr"/>
    </row>
    <row r="710">
      <c r="A710" s="11" t="inlineStr">
        <is>
          <t>2025-07-24</t>
        </is>
      </c>
      <c r="B710" s="11" t="inlineStr">
        <is>
          <t>MA2509</t>
        </is>
      </c>
      <c r="C710" s="11" t="inlineStr">
        <is>
          <t>2025-09</t>
        </is>
      </c>
      <c r="D710" s="12" t="n">
        <v>2404.17</v>
      </c>
      <c r="E710" s="12" t="n">
        <v>2480</v>
      </c>
      <c r="F710" s="12">
        <f>D710-E710</f>
        <v/>
      </c>
      <c r="G710" s="13">
        <f>IF(D710=0,"",(D710-E710)/D710)</f>
        <v/>
      </c>
      <c r="H710" s="14" t="n">
        <v>632187</v>
      </c>
      <c r="I710" s="15" t="n">
        <v>0.004</v>
      </c>
      <c r="J710" s="15">
        <f>IF(COUNT(G460:G709)&lt;20,"",IF(COUNTIF(G460:G709,"&lt;"&amp;G710)&gt;=COUNT(G460:G709),(COUNT(G460:G709)-0.5)/COUNT(G460:G709),IF(COUNTIF(G460:G709,G710)&gt;0,(COUNTIF(G460:G709,"&lt;"&amp;G710)+0.5*COUNTIF(G460:G709,G710))/COUNT(G460:G709),COUNTIF(G460:G709,"&lt;"&amp;G710)/COUNT(G460:G709))))</f>
        <v/>
      </c>
      <c r="K710" s="11" t="inlineStr">
        <is>
          <t>低分位</t>
        </is>
      </c>
      <c r="L710" s="11" t="n">
        <v>36</v>
      </c>
      <c r="M710" s="11" t="inlineStr">
        <is>
          <t>Back(近强)</t>
        </is>
      </c>
      <c r="N710" s="11" t="n">
        <v>1</v>
      </c>
      <c r="O710" s="11" t="n">
        <v>0</v>
      </c>
      <c r="P710" s="12" t="n">
        <v>28</v>
      </c>
      <c r="Q710" s="11" t="inlineStr"/>
    </row>
    <row r="711">
      <c r="A711" s="6" t="inlineStr">
        <is>
          <t>2025-07-25</t>
        </is>
      </c>
      <c r="B711" s="6" t="inlineStr">
        <is>
          <t>MA2509</t>
        </is>
      </c>
      <c r="C711" s="6" t="inlineStr">
        <is>
          <t>2025-09</t>
        </is>
      </c>
      <c r="D711" s="7" t="n">
        <v>2459.17</v>
      </c>
      <c r="E711" s="7" t="n">
        <v>2519</v>
      </c>
      <c r="F711" s="7">
        <f>D711-E711</f>
        <v/>
      </c>
      <c r="G711" s="8">
        <f>IF(D711=0,"",(D711-E711)/D711)</f>
        <v/>
      </c>
      <c r="H711" s="9" t="n">
        <v>663635</v>
      </c>
      <c r="I711" s="10" t="n">
        <v>0.028</v>
      </c>
      <c r="J711" s="10">
        <f>IF(COUNT(G461:G710)&lt;20,"",IF(COUNTIF(G461:G710,"&lt;"&amp;G711)&gt;=COUNT(G461:G710),(COUNT(G461:G710)-0.5)/COUNT(G461:G710),IF(COUNTIF(G461:G710,G711)&gt;0,(COUNTIF(G461:G710,"&lt;"&amp;G711)+0.5*COUNTIF(G461:G710,G711))/COUNT(G461:G710),COUNTIF(G461:G710,"&lt;"&amp;G711)/COUNT(G461:G710))))</f>
        <v/>
      </c>
      <c r="K711" s="6" t="inlineStr">
        <is>
          <t>低分位</t>
        </is>
      </c>
      <c r="L711" s="6" t="n">
        <v>35</v>
      </c>
      <c r="M711" s="6" t="inlineStr">
        <is>
          <t>Back(近强)</t>
        </is>
      </c>
      <c r="N711" s="6" t="n">
        <v>1</v>
      </c>
      <c r="O711" s="6" t="n">
        <v>0</v>
      </c>
      <c r="P711" s="7" t="n">
        <v>30</v>
      </c>
      <c r="Q711" s="6" t="inlineStr"/>
    </row>
    <row r="712">
      <c r="A712" s="11" t="inlineStr">
        <is>
          <t>2025-07-28</t>
        </is>
      </c>
      <c r="B712" s="11" t="inlineStr">
        <is>
          <t>MA2509</t>
        </is>
      </c>
      <c r="C712" s="11" t="inlineStr">
        <is>
          <t>2025-09</t>
        </is>
      </c>
      <c r="D712" s="12" t="n">
        <v>2481.67</v>
      </c>
      <c r="E712" s="12" t="n">
        <v>2404</v>
      </c>
      <c r="F712" s="12">
        <f>D712-E712</f>
        <v/>
      </c>
      <c r="G712" s="13">
        <f>IF(D712=0,"",(D712-E712)/D712)</f>
        <v/>
      </c>
      <c r="H712" s="14" t="n">
        <v>616715</v>
      </c>
      <c r="I712" s="15" t="n">
        <v>0.696</v>
      </c>
      <c r="J712" s="15">
        <f>IF(COUNT(G462:G711)&lt;20,"",IF(COUNTIF(G462:G711,"&lt;"&amp;G712)&gt;=COUNT(G462:G711),(COUNT(G462:G711)-0.5)/COUNT(G462:G711),IF(COUNTIF(G462:G711,G712)&gt;0,(COUNTIF(G462:G711,"&lt;"&amp;G712)+0.5*COUNTIF(G462:G711,G712))/COUNT(G462:G711),COUNTIF(G462:G711,"&lt;"&amp;G712)/COUNT(G462:G711))))</f>
        <v/>
      </c>
      <c r="K712" s="11" t="inlineStr">
        <is>
          <t>中间分位</t>
        </is>
      </c>
      <c r="L712" s="11" t="n">
        <v>34</v>
      </c>
      <c r="M712" s="11" t="inlineStr">
        <is>
          <t>Back(近强)</t>
        </is>
      </c>
      <c r="N712" s="11" t="n">
        <v>1</v>
      </c>
      <c r="O712" s="11" t="n">
        <v>0</v>
      </c>
      <c r="P712" s="12" t="n">
        <v>49</v>
      </c>
      <c r="Q712" s="11" t="inlineStr"/>
    </row>
    <row r="713">
      <c r="A713" s="6" t="inlineStr">
        <is>
          <t>2025-07-29</t>
        </is>
      </c>
      <c r="B713" s="6" t="inlineStr">
        <is>
          <t>MA2509</t>
        </is>
      </c>
      <c r="C713" s="6" t="inlineStr">
        <is>
          <t>2025-09</t>
        </is>
      </c>
      <c r="D713" s="7" t="n">
        <v>2392.5</v>
      </c>
      <c r="E713" s="7" t="n">
        <v>2434</v>
      </c>
      <c r="F713" s="7">
        <f>D713-E713</f>
        <v/>
      </c>
      <c r="G713" s="8">
        <f>IF(D713=0,"",(D713-E713)/D713)</f>
        <v/>
      </c>
      <c r="H713" s="9" t="n">
        <v>576028</v>
      </c>
      <c r="I713" s="10" t="n">
        <v>0.064</v>
      </c>
      <c r="J713" s="10">
        <f>IF(COUNT(G463:G712)&lt;20,"",IF(COUNTIF(G463:G712,"&lt;"&amp;G713)&gt;=COUNT(G463:G712),(COUNT(G463:G712)-0.5)/COUNT(G463:G712),IF(COUNTIF(G463:G712,G713)&gt;0,(COUNTIF(G463:G712,"&lt;"&amp;G713)+0.5*COUNTIF(G463:G712,G713))/COUNT(G463:G712),COUNTIF(G463:G712,"&lt;"&amp;G713)/COUNT(G463:G712))))</f>
        <v/>
      </c>
      <c r="K713" s="6" t="inlineStr">
        <is>
          <t>低分位</t>
        </is>
      </c>
      <c r="L713" s="6" t="n">
        <v>33</v>
      </c>
      <c r="M713" s="6" t="inlineStr">
        <is>
          <t>Back(近强)</t>
        </is>
      </c>
      <c r="N713" s="6" t="n">
        <v>1</v>
      </c>
      <c r="O713" s="6" t="n">
        <v>0</v>
      </c>
      <c r="P713" s="7" t="n">
        <v>19</v>
      </c>
      <c r="Q713" s="6" t="inlineStr"/>
    </row>
    <row r="714">
      <c r="A714" s="11" t="inlineStr">
        <is>
          <t>2025-07-30</t>
        </is>
      </c>
      <c r="B714" s="11" t="inlineStr">
        <is>
          <t>MA2509</t>
        </is>
      </c>
      <c r="C714" s="11" t="inlineStr">
        <is>
          <t>2025-09</t>
        </is>
      </c>
      <c r="D714" s="12" t="n">
        <v>2405</v>
      </c>
      <c r="E714" s="12" t="n">
        <v>2419</v>
      </c>
      <c r="F714" s="12">
        <f>D714-E714</f>
        <v/>
      </c>
      <c r="G714" s="13">
        <f>IF(D714=0,"",(D714-E714)/D714)</f>
        <v/>
      </c>
      <c r="H714" s="14" t="n">
        <v>579345</v>
      </c>
      <c r="I714" s="15" t="n">
        <v>0.192</v>
      </c>
      <c r="J714" s="15">
        <f>IF(COUNT(G464:G713)&lt;20,"",IF(COUNTIF(G464:G713,"&lt;"&amp;G714)&gt;=COUNT(G464:G713),(COUNT(G464:G713)-0.5)/COUNT(G464:G713),IF(COUNTIF(G464:G713,G714)&gt;0,(COUNTIF(G464:G713,"&lt;"&amp;G714)+0.5*COUNTIF(G464:G713,G714))/COUNT(G464:G713),COUNTIF(G464:G713,"&lt;"&amp;G714)/COUNT(G464:G713))))</f>
        <v/>
      </c>
      <c r="K714" s="11" t="inlineStr">
        <is>
          <t>中间分位</t>
        </is>
      </c>
      <c r="L714" s="11" t="n">
        <v>32</v>
      </c>
      <c r="M714" s="11" t="inlineStr">
        <is>
          <t>Back(近强)</t>
        </is>
      </c>
      <c r="N714" s="11" t="n">
        <v>1</v>
      </c>
      <c r="O714" s="11" t="n">
        <v>0</v>
      </c>
      <c r="P714" s="12" t="n">
        <v>44</v>
      </c>
      <c r="Q714" s="11" t="inlineStr"/>
    </row>
    <row r="715">
      <c r="A715" s="6" t="inlineStr">
        <is>
          <t>2025-07-31</t>
        </is>
      </c>
      <c r="B715" s="6" t="inlineStr">
        <is>
          <t>MA2509</t>
        </is>
      </c>
      <c r="C715" s="6" t="inlineStr">
        <is>
          <t>2025-09</t>
        </is>
      </c>
      <c r="D715" s="7" t="n">
        <v>2416.67</v>
      </c>
      <c r="E715" s="7" t="n">
        <v>2405</v>
      </c>
      <c r="F715" s="7">
        <f>D715-E715</f>
        <v/>
      </c>
      <c r="G715" s="8">
        <f>IF(D715=0,"",(D715-E715)/D715)</f>
        <v/>
      </c>
      <c r="H715" s="9" t="n">
        <v>564414</v>
      </c>
      <c r="I715" s="10" t="n">
        <v>0.32</v>
      </c>
      <c r="J715" s="10">
        <f>IF(COUNT(G465:G714)&lt;20,"",IF(COUNTIF(G465:G714,"&lt;"&amp;G715)&gt;=COUNT(G465:G714),(COUNT(G465:G714)-0.5)/COUNT(G465:G714),IF(COUNTIF(G465:G714,G715)&gt;0,(COUNTIF(G465:G714,"&lt;"&amp;G715)+0.5*COUNTIF(G465:G714,G715))/COUNT(G465:G714),COUNTIF(G465:G714,"&lt;"&amp;G715)/COUNT(G465:G714))))</f>
        <v/>
      </c>
      <c r="K715" s="6" t="inlineStr">
        <is>
          <t>中间分位</t>
        </is>
      </c>
      <c r="L715" s="6" t="n">
        <v>31</v>
      </c>
      <c r="M715" s="6" t="inlineStr">
        <is>
          <t>Back(近强)</t>
        </is>
      </c>
      <c r="N715" s="6" t="n">
        <v>1</v>
      </c>
      <c r="O715" s="6" t="n">
        <v>0</v>
      </c>
      <c r="P715" s="7" t="n">
        <v>50</v>
      </c>
      <c r="Q715" s="6" t="inlineStr"/>
    </row>
    <row r="716">
      <c r="A716" s="11" t="inlineStr">
        <is>
          <t>2025-08-01</t>
        </is>
      </c>
      <c r="B716" s="11" t="inlineStr">
        <is>
          <t>MA2509</t>
        </is>
      </c>
      <c r="C716" s="11" t="inlineStr">
        <is>
          <t>2025-09</t>
        </is>
      </c>
      <c r="D716" s="12" t="n">
        <v>2393.33</v>
      </c>
      <c r="E716" s="12" t="n">
        <v>2393</v>
      </c>
      <c r="F716" s="12">
        <f>D716-E716</f>
        <v/>
      </c>
      <c r="G716" s="13">
        <f>IF(D716=0,"",(D716-E716)/D716)</f>
        <v/>
      </c>
      <c r="H716" s="14" t="n">
        <v>533076</v>
      </c>
      <c r="I716" s="15" t="n">
        <v>0.28</v>
      </c>
      <c r="J716" s="15">
        <f>IF(COUNT(G466:G715)&lt;20,"",IF(COUNTIF(G466:G715,"&lt;"&amp;G716)&gt;=COUNT(G466:G715),(COUNT(G466:G715)-0.5)/COUNT(G466:G715),IF(COUNTIF(G466:G715,G716)&gt;0,(COUNTIF(G466:G715,"&lt;"&amp;G716)+0.5*COUNTIF(G466:G715,G716))/COUNT(G466:G715),COUNTIF(G466:G715,"&lt;"&amp;G716)/COUNT(G466:G715))))</f>
        <v/>
      </c>
      <c r="K716" s="11" t="inlineStr">
        <is>
          <t>中间分位</t>
        </is>
      </c>
      <c r="L716" s="11" t="n">
        <v>30</v>
      </c>
      <c r="M716" s="11" t="inlineStr">
        <is>
          <t>结构不明</t>
        </is>
      </c>
      <c r="N716" s="11" t="n">
        <v>1</v>
      </c>
      <c r="O716" s="11" t="n">
        <v>0</v>
      </c>
      <c r="P716" s="12" t="n">
        <v>-29</v>
      </c>
      <c r="Q716" s="11" t="inlineStr"/>
    </row>
    <row r="717">
      <c r="A717" s="6" t="inlineStr">
        <is>
          <t>2025-08-04</t>
        </is>
      </c>
      <c r="B717" s="6" t="inlineStr">
        <is>
          <t>MA2509</t>
        </is>
      </c>
      <c r="C717" s="6" t="inlineStr">
        <is>
          <t>2025-09</t>
        </is>
      </c>
      <c r="D717" s="7" t="n">
        <v>2389.17</v>
      </c>
      <c r="E717" s="7" t="n">
        <v>2390</v>
      </c>
      <c r="F717" s="7">
        <f>D717-E717</f>
        <v/>
      </c>
      <c r="G717" s="8">
        <f>IF(D717=0,"",(D717-E717)/D717)</f>
        <v/>
      </c>
      <c r="H717" s="9" t="n">
        <v>498785</v>
      </c>
      <c r="I717" s="10" t="n">
        <v>0.28</v>
      </c>
      <c r="J717" s="10">
        <f>IF(COUNT(G467:G716)&lt;20,"",IF(COUNTIF(G467:G716,"&lt;"&amp;G717)&gt;=COUNT(G467:G716),(COUNT(G467:G716)-0.5)/COUNT(G467:G716),IF(COUNTIF(G467:G716,G717)&gt;0,(COUNTIF(G467:G716,"&lt;"&amp;G717)+0.5*COUNTIF(G467:G716,G717))/COUNT(G467:G716),COUNTIF(G467:G716,"&lt;"&amp;G717)/COUNT(G467:G716))))</f>
        <v/>
      </c>
      <c r="K717" s="6" t="inlineStr">
        <is>
          <t>中间分位</t>
        </is>
      </c>
      <c r="L717" s="6" t="n">
        <v>29</v>
      </c>
      <c r="M717" s="6" t="inlineStr">
        <is>
          <t>结构不明</t>
        </is>
      </c>
      <c r="N717" s="6" t="n">
        <v>1</v>
      </c>
      <c r="O717" s="6" t="n">
        <v>0</v>
      </c>
      <c r="P717" s="7" t="n">
        <v>-29</v>
      </c>
      <c r="Q717" s="6" t="inlineStr"/>
    </row>
    <row r="718">
      <c r="A718" s="11" t="inlineStr">
        <is>
          <t>2025-08-05</t>
        </is>
      </c>
      <c r="B718" s="11" t="inlineStr">
        <is>
          <t>MA2509</t>
        </is>
      </c>
      <c r="C718" s="11" t="inlineStr">
        <is>
          <t>2025-09</t>
        </is>
      </c>
      <c r="D718" s="12" t="n">
        <v>2375.83</v>
      </c>
      <c r="E718" s="12" t="n">
        <v>2397</v>
      </c>
      <c r="F718" s="12">
        <f>D718-E718</f>
        <v/>
      </c>
      <c r="G718" s="13">
        <f>IF(D718=0,"",(D718-E718)/D718)</f>
        <v/>
      </c>
      <c r="H718" s="14" t="n">
        <v>484212</v>
      </c>
      <c r="I718" s="15" t="n">
        <v>0.152</v>
      </c>
      <c r="J718" s="15">
        <f>IF(COUNT(G468:G717)&lt;20,"",IF(COUNTIF(G468:G717,"&lt;"&amp;G718)&gt;=COUNT(G468:G717),(COUNT(G468:G717)-0.5)/COUNT(G468:G717),IF(COUNTIF(G468:G717,G718)&gt;0,(COUNTIF(G468:G717,"&lt;"&amp;G718)+0.5*COUNTIF(G468:G717,G718))/COUNT(G468:G717),COUNTIF(G468:G717,"&lt;"&amp;G718)/COUNT(G468:G717))))</f>
        <v/>
      </c>
      <c r="K718" s="11" t="inlineStr">
        <is>
          <t>中间分位</t>
        </is>
      </c>
      <c r="L718" s="11" t="n">
        <v>28</v>
      </c>
      <c r="M718" s="11" t="inlineStr">
        <is>
          <t>Back(近强)</t>
        </is>
      </c>
      <c r="N718" s="11" t="n">
        <v>1</v>
      </c>
      <c r="O718" s="11" t="n">
        <v>0</v>
      </c>
      <c r="P718" s="12" t="n">
        <v>42</v>
      </c>
      <c r="Q718" s="11" t="inlineStr"/>
    </row>
    <row r="719">
      <c r="A719" s="6" t="inlineStr">
        <is>
          <t>2025-08-06</t>
        </is>
      </c>
      <c r="B719" s="6" t="inlineStr">
        <is>
          <t>MA2509</t>
        </is>
      </c>
      <c r="C719" s="6" t="inlineStr">
        <is>
          <t>2025-09</t>
        </is>
      </c>
      <c r="D719" s="7" t="n">
        <v>2380</v>
      </c>
      <c r="E719" s="7" t="n">
        <v>2396</v>
      </c>
      <c r="F719" s="7">
        <f>D719-E719</f>
        <v/>
      </c>
      <c r="G719" s="8">
        <f>IF(D719=0,"",(D719-E719)/D719)</f>
        <v/>
      </c>
      <c r="H719" s="9" t="n">
        <v>454433</v>
      </c>
      <c r="I719" s="10" t="n">
        <v>0.178</v>
      </c>
      <c r="J719" s="10">
        <f>IF(COUNT(G469:G718)&lt;20,"",IF(COUNTIF(G469:G718,"&lt;"&amp;G719)&gt;=COUNT(G469:G718),(COUNT(G469:G718)-0.5)/COUNT(G469:G718),IF(COUNTIF(G469:G718,G719)&gt;0,(COUNTIF(G469:G718,"&lt;"&amp;G719)+0.5*COUNTIF(G469:G718,G719))/COUNT(G469:G718),COUNTIF(G469:G718,"&lt;"&amp;G719)/COUNT(G469:G718))))</f>
        <v/>
      </c>
      <c r="K719" s="6" t="inlineStr">
        <is>
          <t>中间分位</t>
        </is>
      </c>
      <c r="L719" s="6" t="n">
        <v>27</v>
      </c>
      <c r="M719" s="6" t="inlineStr">
        <is>
          <t>结构不明</t>
        </is>
      </c>
      <c r="N719" s="6" t="n">
        <v>1</v>
      </c>
      <c r="O719" s="6" t="n">
        <v>0</v>
      </c>
      <c r="P719" s="7" t="n">
        <v>-31</v>
      </c>
      <c r="Q719" s="6" t="inlineStr"/>
    </row>
    <row r="720">
      <c r="A720" s="11" t="inlineStr">
        <is>
          <t>2025-08-07</t>
        </is>
      </c>
      <c r="B720" s="11" t="inlineStr">
        <is>
          <t>MA2509</t>
        </is>
      </c>
      <c r="C720" s="11" t="inlineStr">
        <is>
          <t>2025-09</t>
        </is>
      </c>
      <c r="D720" s="12" t="n">
        <v>2383.33</v>
      </c>
      <c r="E720" s="12" t="n">
        <v>2388</v>
      </c>
      <c r="F720" s="12">
        <f>D720-E720</f>
        <v/>
      </c>
      <c r="G720" s="13">
        <f>IF(D720=0,"",(D720-E720)/D720)</f>
        <v/>
      </c>
      <c r="H720" s="14" t="n">
        <v>436712</v>
      </c>
      <c r="I720" s="15" t="n">
        <v>0.248</v>
      </c>
      <c r="J720" s="15">
        <f>IF(COUNT(G470:G719)&lt;20,"",IF(COUNTIF(G470:G719,"&lt;"&amp;G720)&gt;=COUNT(G470:G719),(COUNT(G470:G719)-0.5)/COUNT(G470:G719),IF(COUNTIF(G470:G719,G720)&gt;0,(COUNTIF(G470:G719,"&lt;"&amp;G720)+0.5*COUNTIF(G470:G719,G720))/COUNT(G470:G719),COUNTIF(G470:G719,"&lt;"&amp;G720)/COUNT(G470:G719))))</f>
        <v/>
      </c>
      <c r="K720" s="11" t="inlineStr">
        <is>
          <t>中间分位</t>
        </is>
      </c>
      <c r="L720" s="11" t="n">
        <v>26</v>
      </c>
      <c r="M720" s="11" t="inlineStr">
        <is>
          <t>结构不明</t>
        </is>
      </c>
      <c r="N720" s="11" t="n">
        <v>1</v>
      </c>
      <c r="O720" s="11" t="n">
        <v>0</v>
      </c>
      <c r="P720" s="12" t="n">
        <v>-29</v>
      </c>
      <c r="Q720" s="11" t="inlineStr"/>
    </row>
    <row r="721">
      <c r="A721" s="6" t="inlineStr">
        <is>
          <t>2025-08-08</t>
        </is>
      </c>
      <c r="B721" s="6" t="inlineStr">
        <is>
          <t>MA2509</t>
        </is>
      </c>
      <c r="C721" s="6" t="inlineStr">
        <is>
          <t>2025-09</t>
        </is>
      </c>
      <c r="D721" s="7" t="n">
        <v>2380.83</v>
      </c>
      <c r="E721" s="7" t="n">
        <v>2383</v>
      </c>
      <c r="F721" s="7">
        <f>D721-E721</f>
        <v/>
      </c>
      <c r="G721" s="8">
        <f>IF(D721=0,"",(D721-E721)/D721)</f>
        <v/>
      </c>
      <c r="H721" s="9" t="n">
        <v>406384</v>
      </c>
      <c r="I721" s="10" t="n">
        <v>0.272</v>
      </c>
      <c r="J721" s="10">
        <f>IF(COUNT(G471:G720)&lt;20,"",IF(COUNTIF(G471:G720,"&lt;"&amp;G721)&gt;=COUNT(G471:G720),(COUNT(G471:G720)-0.5)/COUNT(G471:G720),IF(COUNTIF(G471:G720,G721)&gt;0,(COUNTIF(G471:G720,"&lt;"&amp;G721)+0.5*COUNTIF(G471:G720,G721))/COUNT(G471:G720),COUNTIF(G471:G720,"&lt;"&amp;G721)/COUNT(G471:G720))))</f>
        <v/>
      </c>
      <c r="K721" s="6" t="inlineStr">
        <is>
          <t>中间分位</t>
        </is>
      </c>
      <c r="L721" s="6" t="n">
        <v>25</v>
      </c>
      <c r="M721" s="6" t="inlineStr">
        <is>
          <t>Back(近强)</t>
        </is>
      </c>
      <c r="N721" s="6" t="n">
        <v>1</v>
      </c>
      <c r="O721" s="6" t="n">
        <v>0</v>
      </c>
      <c r="P721" s="7" t="n">
        <v>-26</v>
      </c>
      <c r="Q721" s="6" t="inlineStr"/>
    </row>
    <row r="722">
      <c r="A722" s="11" t="inlineStr">
        <is>
          <t>2025-08-11</t>
        </is>
      </c>
      <c r="B722" s="11" t="inlineStr">
        <is>
          <t>MA2601</t>
        </is>
      </c>
      <c r="C722" s="11" t="inlineStr">
        <is>
          <t>2026-01</t>
        </is>
      </c>
      <c r="D722" s="12" t="n">
        <v>2378.33</v>
      </c>
      <c r="E722" s="12" t="n">
        <v>2485</v>
      </c>
      <c r="F722" s="12">
        <f>D722-E722</f>
        <v/>
      </c>
      <c r="G722" s="13">
        <f>IF(D722=0,"",(D722-E722)/D722)</f>
        <v/>
      </c>
      <c r="H722" s="14" t="n">
        <v>420764</v>
      </c>
      <c r="I722" s="15" t="n">
        <v>0</v>
      </c>
      <c r="J722" s="15">
        <f>IF(COUNT(G472:G721)&lt;20,"",IF(COUNTIF(G472:G721,"&lt;"&amp;G722)&gt;=COUNT(G472:G721),(COUNT(G472:G721)-0.5)/COUNT(G472:G721),IF(COUNTIF(G472:G721,G722)&gt;0,(COUNTIF(G472:G721,"&lt;"&amp;G722)+0.5*COUNTIF(G472:G721,G722))/COUNT(G472:G721),COUNTIF(G472:G721,"&lt;"&amp;G722)/COUNT(G472:G721))))</f>
        <v/>
      </c>
      <c r="K722" s="11" t="inlineStr">
        <is>
          <t>低分位</t>
        </is>
      </c>
      <c r="L722" s="11" t="n">
        <v>106</v>
      </c>
      <c r="M722" s="11" t="inlineStr">
        <is>
          <t>Back(近强)</t>
        </is>
      </c>
      <c r="N722" s="11" t="n">
        <v>1</v>
      </c>
      <c r="O722" s="11" t="n">
        <v>1</v>
      </c>
      <c r="P722" s="12" t="n">
        <v>96</v>
      </c>
      <c r="Q722" s="11" t="inlineStr"/>
    </row>
    <row r="723">
      <c r="A723" s="6" t="inlineStr">
        <is>
          <t>2025-08-12</t>
        </is>
      </c>
      <c r="B723" s="6" t="inlineStr">
        <is>
          <t>MA2601</t>
        </is>
      </c>
      <c r="C723" s="6" t="inlineStr">
        <is>
          <t>2026-01</t>
        </is>
      </c>
      <c r="D723" s="7" t="n">
        <v>2382.5</v>
      </c>
      <c r="E723" s="7" t="n">
        <v>2496</v>
      </c>
      <c r="F723" s="7">
        <f>D723-E723</f>
        <v/>
      </c>
      <c r="G723" s="8">
        <f>IF(D723=0,"",(D723-E723)/D723)</f>
        <v/>
      </c>
      <c r="H723" s="9" t="n">
        <v>454099</v>
      </c>
      <c r="I723" s="10" t="n">
        <v>0</v>
      </c>
      <c r="J723" s="10">
        <f>IF(COUNT(G473:G722)&lt;20,"",IF(COUNTIF(G473:G722,"&lt;"&amp;G723)&gt;=COUNT(G473:G722),(COUNT(G473:G722)-0.5)/COUNT(G473:G722),IF(COUNTIF(G473:G722,G723)&gt;0,(COUNTIF(G473:G722,"&lt;"&amp;G723)+0.5*COUNTIF(G473:G722,G723))/COUNT(G473:G722),COUNTIF(G473:G722,"&lt;"&amp;G723)/COUNT(G473:G722))))</f>
        <v/>
      </c>
      <c r="K723" s="6" t="inlineStr">
        <is>
          <t>低分位</t>
        </is>
      </c>
      <c r="L723" s="6" t="n">
        <v>105</v>
      </c>
      <c r="M723" s="6" t="inlineStr">
        <is>
          <t>Back(近强)</t>
        </is>
      </c>
      <c r="N723" s="6" t="n">
        <v>1</v>
      </c>
      <c r="O723" s="6" t="n">
        <v>0</v>
      </c>
      <c r="P723" s="7" t="n">
        <v>105</v>
      </c>
      <c r="Q723" s="6" t="inlineStr"/>
    </row>
    <row r="724">
      <c r="A724" s="11" t="inlineStr">
        <is>
          <t>2025-08-13</t>
        </is>
      </c>
      <c r="B724" s="11" t="inlineStr">
        <is>
          <t>MA2601</t>
        </is>
      </c>
      <c r="C724" s="11" t="inlineStr">
        <is>
          <t>2026-01</t>
        </is>
      </c>
      <c r="D724" s="12" t="n">
        <v>2384.17</v>
      </c>
      <c r="E724" s="12" t="n">
        <v>2479</v>
      </c>
      <c r="F724" s="12">
        <f>D724-E724</f>
        <v/>
      </c>
      <c r="G724" s="13">
        <f>IF(D724=0,"",(D724-E724)/D724)</f>
        <v/>
      </c>
      <c r="H724" s="14" t="n">
        <v>484012</v>
      </c>
      <c r="I724" s="15" t="n">
        <v>0.008</v>
      </c>
      <c r="J724" s="15">
        <f>IF(COUNT(G474:G723)&lt;20,"",IF(COUNTIF(G474:G723,"&lt;"&amp;G724)&gt;=COUNT(G474:G723),(COUNT(G474:G723)-0.5)/COUNT(G474:G723),IF(COUNTIF(G474:G723,G724)&gt;0,(COUNTIF(G474:G723,"&lt;"&amp;G724)+0.5*COUNTIF(G474:G723,G724))/COUNT(G474:G723),COUNTIF(G474:G723,"&lt;"&amp;G724)/COUNT(G474:G723))))</f>
        <v/>
      </c>
      <c r="K724" s="11" t="inlineStr">
        <is>
          <t>低分位</t>
        </is>
      </c>
      <c r="L724" s="11" t="n">
        <v>104</v>
      </c>
      <c r="M724" s="11" t="inlineStr">
        <is>
          <t>Back(近强)</t>
        </is>
      </c>
      <c r="N724" s="11" t="n">
        <v>1</v>
      </c>
      <c r="O724" s="11" t="n">
        <v>0</v>
      </c>
      <c r="P724" s="12" t="n">
        <v>104</v>
      </c>
      <c r="Q724" s="11" t="inlineStr"/>
    </row>
    <row r="725">
      <c r="A725" s="6" t="inlineStr">
        <is>
          <t>2025-08-14</t>
        </is>
      </c>
      <c r="B725" s="6" t="inlineStr">
        <is>
          <t>MA2601</t>
        </is>
      </c>
      <c r="C725" s="6" t="inlineStr">
        <is>
          <t>2026-01</t>
        </is>
      </c>
      <c r="D725" s="7" t="n">
        <v>2373.33</v>
      </c>
      <c r="E725" s="7" t="n">
        <v>2435</v>
      </c>
      <c r="F725" s="7">
        <f>D725-E725</f>
        <v/>
      </c>
      <c r="G725" s="8">
        <f>IF(D725=0,"",(D725-E725)/D725)</f>
        <v/>
      </c>
      <c r="H725" s="9" t="n">
        <v>557439</v>
      </c>
      <c r="I725" s="10" t="n">
        <v>0.032</v>
      </c>
      <c r="J725" s="10">
        <f>IF(COUNT(G475:G724)&lt;20,"",IF(COUNTIF(G475:G724,"&lt;"&amp;G725)&gt;=COUNT(G475:G724),(COUNT(G475:G724)-0.5)/COUNT(G475:G724),IF(COUNTIF(G475:G724,G725)&gt;0,(COUNTIF(G475:G724,"&lt;"&amp;G725)+0.5*COUNTIF(G475:G724,G725))/COUNT(G475:G724),COUNTIF(G475:G724,"&lt;"&amp;G725)/COUNT(G475:G724))))</f>
        <v/>
      </c>
      <c r="K725" s="6" t="inlineStr">
        <is>
          <t>低分位</t>
        </is>
      </c>
      <c r="L725" s="6" t="n">
        <v>103</v>
      </c>
      <c r="M725" s="6" t="inlineStr">
        <is>
          <t>Back(近强)</t>
        </is>
      </c>
      <c r="N725" s="6" t="n">
        <v>1</v>
      </c>
      <c r="O725" s="6" t="n">
        <v>0</v>
      </c>
      <c r="P725" s="7" t="n">
        <v>95</v>
      </c>
      <c r="Q725" s="6" t="inlineStr"/>
    </row>
    <row r="726">
      <c r="A726" s="11" t="inlineStr">
        <is>
          <t>2025-08-15</t>
        </is>
      </c>
      <c r="B726" s="11" t="inlineStr">
        <is>
          <t>MA2601</t>
        </is>
      </c>
      <c r="C726" s="11" t="inlineStr">
        <is>
          <t>2026-01</t>
        </is>
      </c>
      <c r="D726" s="12" t="n">
        <v>2346.67</v>
      </c>
      <c r="E726" s="12" t="n">
        <v>2412</v>
      </c>
      <c r="F726" s="12">
        <f>D726-E726</f>
        <v/>
      </c>
      <c r="G726" s="13">
        <f>IF(D726=0,"",(D726-E726)/D726)</f>
        <v/>
      </c>
      <c r="H726" s="14" t="n">
        <v>623445</v>
      </c>
      <c r="I726" s="15" t="n">
        <v>0.02</v>
      </c>
      <c r="J726" s="15">
        <f>IF(COUNT(G476:G725)&lt;20,"",IF(COUNTIF(G476:G725,"&lt;"&amp;G726)&gt;=COUNT(G476:G725),(COUNT(G476:G725)-0.5)/COUNT(G476:G725),IF(COUNTIF(G476:G725,G726)&gt;0,(COUNTIF(G476:G725,"&lt;"&amp;G726)+0.5*COUNTIF(G476:G725,G726))/COUNT(G476:G725),COUNTIF(G476:G725,"&lt;"&amp;G726)/COUNT(G476:G725))))</f>
        <v/>
      </c>
      <c r="K726" s="11" t="inlineStr">
        <is>
          <t>低分位</t>
        </is>
      </c>
      <c r="L726" s="11" t="n">
        <v>102</v>
      </c>
      <c r="M726" s="11" t="inlineStr">
        <is>
          <t>Back(近强)</t>
        </is>
      </c>
      <c r="N726" s="11" t="n">
        <v>1</v>
      </c>
      <c r="O726" s="11" t="n">
        <v>0</v>
      </c>
      <c r="P726" s="12" t="n">
        <v>96</v>
      </c>
      <c r="Q726" s="11" t="inlineStr"/>
    </row>
    <row r="727">
      <c r="A727" s="6" t="inlineStr">
        <is>
          <t>2025-08-18</t>
        </is>
      </c>
      <c r="B727" s="6" t="inlineStr">
        <is>
          <t>MA2601</t>
        </is>
      </c>
      <c r="C727" s="6" t="inlineStr">
        <is>
          <t>2026-01</t>
        </is>
      </c>
      <c r="D727" s="7" t="n">
        <v>2338.33</v>
      </c>
      <c r="E727" s="7" t="n">
        <v>2396</v>
      </c>
      <c r="F727" s="7">
        <f>D727-E727</f>
        <v/>
      </c>
      <c r="G727" s="8">
        <f>IF(D727=0,"",(D727-E727)/D727)</f>
        <v/>
      </c>
      <c r="H727" s="9" t="n">
        <v>665628</v>
      </c>
      <c r="I727" s="10" t="n">
        <v>0.044</v>
      </c>
      <c r="J727" s="10">
        <f>IF(COUNT(G477:G726)&lt;20,"",IF(COUNTIF(G477:G726,"&lt;"&amp;G727)&gt;=COUNT(G477:G726),(COUNT(G477:G726)-0.5)/COUNT(G477:G726),IF(COUNTIF(G477:G726,G727)&gt;0,(COUNTIF(G477:G726,"&lt;"&amp;G727)+0.5*COUNTIF(G477:G726,G727))/COUNT(G477:G726),COUNTIF(G477:G726,"&lt;"&amp;G727)/COUNT(G477:G726))))</f>
        <v/>
      </c>
      <c r="K727" s="6" t="inlineStr">
        <is>
          <t>低分位</t>
        </is>
      </c>
      <c r="L727" s="6" t="n">
        <v>101</v>
      </c>
      <c r="M727" s="6" t="inlineStr">
        <is>
          <t>Back(近强)</t>
        </is>
      </c>
      <c r="N727" s="6" t="n">
        <v>1</v>
      </c>
      <c r="O727" s="6" t="n">
        <v>0</v>
      </c>
      <c r="P727" s="7" t="n">
        <v>103</v>
      </c>
      <c r="Q727" s="6" t="inlineStr"/>
    </row>
    <row r="728">
      <c r="A728" s="11" t="inlineStr">
        <is>
          <t>2025-08-19</t>
        </is>
      </c>
      <c r="B728" s="11" t="inlineStr">
        <is>
          <t>MA2601</t>
        </is>
      </c>
      <c r="C728" s="11" t="inlineStr">
        <is>
          <t>2026-01</t>
        </is>
      </c>
      <c r="D728" s="12" t="n">
        <v>2318.67</v>
      </c>
      <c r="E728" s="12" t="n">
        <v>2391</v>
      </c>
      <c r="F728" s="12">
        <f>D728-E728</f>
        <v/>
      </c>
      <c r="G728" s="13">
        <f>IF(D728=0,"",(D728-E728)/D728)</f>
        <v/>
      </c>
      <c r="H728" s="14" t="n">
        <v>686276</v>
      </c>
      <c r="I728" s="15" t="n">
        <v>0.02</v>
      </c>
      <c r="J728" s="15">
        <f>IF(COUNT(G478:G727)&lt;20,"",IF(COUNTIF(G478:G727,"&lt;"&amp;G728)&gt;=COUNT(G478:G727),(COUNT(G478:G727)-0.5)/COUNT(G478:G727),IF(COUNTIF(G478:G727,G728)&gt;0,(COUNTIF(G478:G727,"&lt;"&amp;G728)+0.5*COUNTIF(G478:G727,G728))/COUNT(G478:G727),COUNTIF(G478:G727,"&lt;"&amp;G728)/COUNT(G478:G727))))</f>
        <v/>
      </c>
      <c r="K728" s="11" t="inlineStr">
        <is>
          <t>低分位</t>
        </is>
      </c>
      <c r="L728" s="11" t="n">
        <v>100</v>
      </c>
      <c r="M728" s="11" t="inlineStr">
        <is>
          <t>Back(近强)</t>
        </is>
      </c>
      <c r="N728" s="11" t="n">
        <v>1</v>
      </c>
      <c r="O728" s="11" t="n">
        <v>0</v>
      </c>
      <c r="P728" s="12" t="n">
        <v>106</v>
      </c>
      <c r="Q728" s="11" t="inlineStr"/>
    </row>
    <row r="729">
      <c r="A729" s="6" t="inlineStr">
        <is>
          <t>2025-08-20</t>
        </is>
      </c>
      <c r="B729" s="6" t="inlineStr">
        <is>
          <t>MA2601</t>
        </is>
      </c>
      <c r="C729" s="6" t="inlineStr">
        <is>
          <t>2026-01</t>
        </is>
      </c>
      <c r="D729" s="7" t="n">
        <v>2301.67</v>
      </c>
      <c r="E729" s="7" t="n">
        <v>2424</v>
      </c>
      <c r="F729" s="7">
        <f>D729-E729</f>
        <v/>
      </c>
      <c r="G729" s="8">
        <f>IF(D729=0,"",(D729-E729)/D729)</f>
        <v/>
      </c>
      <c r="H729" s="9" t="n">
        <v>674733</v>
      </c>
      <c r="I729" s="10" t="n">
        <v>0</v>
      </c>
      <c r="J729" s="10">
        <f>IF(COUNT(G479:G728)&lt;20,"",IF(COUNTIF(G479:G728,"&lt;"&amp;G729)&gt;=COUNT(G479:G728),(COUNT(G479:G728)-0.5)/COUNT(G479:G728),IF(COUNTIF(G479:G728,G729)&gt;0,(COUNTIF(G479:G728,"&lt;"&amp;G729)+0.5*COUNTIF(G479:G728,G729))/COUNT(G479:G728),COUNTIF(G479:G728,"&lt;"&amp;G729)/COUNT(G479:G728))))</f>
        <v/>
      </c>
      <c r="K729" s="6" t="inlineStr">
        <is>
          <t>低分位</t>
        </is>
      </c>
      <c r="L729" s="6" t="n">
        <v>99</v>
      </c>
      <c r="M729" s="6" t="inlineStr">
        <is>
          <t>Back(近强)</t>
        </is>
      </c>
      <c r="N729" s="6" t="n">
        <v>1</v>
      </c>
      <c r="O729" s="6" t="n">
        <v>0</v>
      </c>
      <c r="P729" s="7" t="n">
        <v>109</v>
      </c>
      <c r="Q729" s="6" t="inlineStr"/>
    </row>
    <row r="730">
      <c r="A730" s="11" t="inlineStr">
        <is>
          <t>2025-08-21</t>
        </is>
      </c>
      <c r="B730" s="11" t="inlineStr">
        <is>
          <t>MA2601</t>
        </is>
      </c>
      <c r="C730" s="11" t="inlineStr">
        <is>
          <t>2026-01</t>
        </is>
      </c>
      <c r="D730" s="12" t="n">
        <v>2310</v>
      </c>
      <c r="E730" s="12" t="n">
        <v>2425</v>
      </c>
      <c r="F730" s="12">
        <f>D730-E730</f>
        <v/>
      </c>
      <c r="G730" s="13">
        <f>IF(D730=0,"",(D730-E730)/D730)</f>
        <v/>
      </c>
      <c r="H730" s="14" t="n">
        <v>680234</v>
      </c>
      <c r="I730" s="15" t="n">
        <v>0.004</v>
      </c>
      <c r="J730" s="15">
        <f>IF(COUNT(G480:G729)&lt;20,"",IF(COUNTIF(G480:G729,"&lt;"&amp;G730)&gt;=COUNT(G480:G729),(COUNT(G480:G729)-0.5)/COUNT(G480:G729),IF(COUNTIF(G480:G729,G730)&gt;0,(COUNTIF(G480:G729,"&lt;"&amp;G730)+0.5*COUNTIF(G480:G729,G730))/COUNT(G480:G729),COUNTIF(G480:G729,"&lt;"&amp;G730)/COUNT(G480:G729))))</f>
        <v/>
      </c>
      <c r="K730" s="11" t="inlineStr">
        <is>
          <t>低分位</t>
        </is>
      </c>
      <c r="L730" s="11" t="n">
        <v>98</v>
      </c>
      <c r="M730" s="11" t="inlineStr">
        <is>
          <t>Back(近强)</t>
        </is>
      </c>
      <c r="N730" s="11" t="n">
        <v>1</v>
      </c>
      <c r="O730" s="11" t="n">
        <v>0</v>
      </c>
      <c r="P730" s="12" t="n">
        <v>111</v>
      </c>
      <c r="Q730" s="11" t="inlineStr"/>
    </row>
    <row r="731">
      <c r="A731" s="6" t="inlineStr">
        <is>
          <t>2025-08-22</t>
        </is>
      </c>
      <c r="B731" s="6" t="inlineStr">
        <is>
          <t>MA2601</t>
        </is>
      </c>
      <c r="C731" s="6" t="inlineStr">
        <is>
          <t>2026-01</t>
        </is>
      </c>
      <c r="D731" s="7" t="n">
        <v>2308.83</v>
      </c>
      <c r="E731" s="7" t="n">
        <v>2405</v>
      </c>
      <c r="F731" s="7">
        <f>D731-E731</f>
        <v/>
      </c>
      <c r="G731" s="8">
        <f>IF(D731=0,"",(D731-E731)/D731)</f>
        <v/>
      </c>
      <c r="H731" s="9" t="n">
        <v>698146</v>
      </c>
      <c r="I731" s="10" t="n">
        <v>0.016</v>
      </c>
      <c r="J731" s="10">
        <f>IF(COUNT(G481:G730)&lt;20,"",IF(COUNTIF(G481:G730,"&lt;"&amp;G731)&gt;=COUNT(G481:G730),(COUNT(G481:G730)-0.5)/COUNT(G481:G730),IF(COUNTIF(G481:G730,G731)&gt;0,(COUNTIF(G481:G730,"&lt;"&amp;G731)+0.5*COUNTIF(G481:G730,G731))/COUNT(G481:G730),COUNTIF(G481:G730,"&lt;"&amp;G731)/COUNT(G481:G730))))</f>
        <v/>
      </c>
      <c r="K731" s="6" t="inlineStr">
        <is>
          <t>低分位</t>
        </is>
      </c>
      <c r="L731" s="6" t="n">
        <v>97</v>
      </c>
      <c r="M731" s="6" t="inlineStr">
        <is>
          <t>Back(近强)</t>
        </is>
      </c>
      <c r="N731" s="6" t="n">
        <v>1</v>
      </c>
      <c r="O731" s="6" t="n">
        <v>0</v>
      </c>
      <c r="P731" s="7" t="n">
        <v>111</v>
      </c>
      <c r="Q731" s="6" t="inlineStr"/>
    </row>
    <row r="732">
      <c r="A732" s="11" t="inlineStr">
        <is>
          <t>2025-08-25</t>
        </is>
      </c>
      <c r="B732" s="11" t="inlineStr">
        <is>
          <t>MA2601</t>
        </is>
      </c>
      <c r="C732" s="11" t="inlineStr">
        <is>
          <t>2026-01</t>
        </is>
      </c>
      <c r="D732" s="12" t="n">
        <v>2305</v>
      </c>
      <c r="E732" s="12" t="n">
        <v>2424</v>
      </c>
      <c r="F732" s="12">
        <f>D732-E732</f>
        <v/>
      </c>
      <c r="G732" s="13">
        <f>IF(D732=0,"",(D732-E732)/D732)</f>
        <v/>
      </c>
      <c r="H732" s="14" t="n">
        <v>675269</v>
      </c>
      <c r="I732" s="15" t="n">
        <v>0.004</v>
      </c>
      <c r="J732" s="15">
        <f>IF(COUNT(G482:G731)&lt;20,"",IF(COUNTIF(G482:G731,"&lt;"&amp;G732)&gt;=COUNT(G482:G731),(COUNT(G482:G731)-0.5)/COUNT(G482:G731),IF(COUNTIF(G482:G731,G732)&gt;0,(COUNTIF(G482:G731,"&lt;"&amp;G732)+0.5*COUNTIF(G482:G731,G732))/COUNT(G482:G731),COUNTIF(G482:G731,"&lt;"&amp;G732)/COUNT(G482:G731))))</f>
        <v/>
      </c>
      <c r="K732" s="11" t="inlineStr">
        <is>
          <t>低分位</t>
        </is>
      </c>
      <c r="L732" s="11" t="n">
        <v>96</v>
      </c>
      <c r="M732" s="11" t="inlineStr">
        <is>
          <t>Back(近强)</t>
        </is>
      </c>
      <c r="N732" s="11" t="n">
        <v>1</v>
      </c>
      <c r="O732" s="11" t="n">
        <v>0</v>
      </c>
      <c r="P732" s="12" t="n">
        <v>116</v>
      </c>
      <c r="Q732" s="11" t="inlineStr"/>
    </row>
    <row r="733">
      <c r="A733" s="6" t="inlineStr">
        <is>
          <t>2025-08-26</t>
        </is>
      </c>
      <c r="B733" s="6" t="inlineStr">
        <is>
          <t>MA2601</t>
        </is>
      </c>
      <c r="C733" s="6" t="inlineStr">
        <is>
          <t>2026-01</t>
        </is>
      </c>
      <c r="D733" s="7" t="n">
        <v>2306.67</v>
      </c>
      <c r="E733" s="7" t="n">
        <v>2395</v>
      </c>
      <c r="F733" s="7">
        <f>D733-E733</f>
        <v/>
      </c>
      <c r="G733" s="8">
        <f>IF(D733=0,"",(D733-E733)/D733)</f>
        <v/>
      </c>
      <c r="H733" s="9" t="n">
        <v>710322</v>
      </c>
      <c r="I733" s="10" t="n">
        <v>0.028</v>
      </c>
      <c r="J733" s="10">
        <f>IF(COUNT(G483:G732)&lt;20,"",IF(COUNTIF(G483:G732,"&lt;"&amp;G733)&gt;=COUNT(G483:G732),(COUNT(G483:G732)-0.5)/COUNT(G483:G732),IF(COUNTIF(G483:G732,G733)&gt;0,(COUNTIF(G483:G732,"&lt;"&amp;G733)+0.5*COUNTIF(G483:G732,G733))/COUNT(G483:G732),COUNTIF(G483:G732,"&lt;"&amp;G733)/COUNT(G483:G732))))</f>
        <v/>
      </c>
      <c r="K733" s="6" t="inlineStr">
        <is>
          <t>低分位</t>
        </is>
      </c>
      <c r="L733" s="6" t="n">
        <v>95</v>
      </c>
      <c r="M733" s="6" t="inlineStr">
        <is>
          <t>Back(近强)</t>
        </is>
      </c>
      <c r="N733" s="6" t="n">
        <v>1</v>
      </c>
      <c r="O733" s="6" t="n">
        <v>0</v>
      </c>
      <c r="P733" s="7" t="n">
        <v>123</v>
      </c>
      <c r="Q733" s="6" t="inlineStr"/>
    </row>
    <row r="734">
      <c r="A734" s="11" t="inlineStr">
        <is>
          <t>2025-08-27</t>
        </is>
      </c>
      <c r="B734" s="11" t="inlineStr">
        <is>
          <t>MA2601</t>
        </is>
      </c>
      <c r="C734" s="11" t="inlineStr">
        <is>
          <t>2026-01</t>
        </is>
      </c>
      <c r="D734" s="12" t="n">
        <v>2296.67</v>
      </c>
      <c r="E734" s="12" t="n">
        <v>2372</v>
      </c>
      <c r="F734" s="12">
        <f>D734-E734</f>
        <v/>
      </c>
      <c r="G734" s="13">
        <f>IF(D734=0,"",(D734-E734)/D734)</f>
        <v/>
      </c>
      <c r="H734" s="14" t="n">
        <v>754731</v>
      </c>
      <c r="I734" s="15" t="n">
        <v>0.032</v>
      </c>
      <c r="J734" s="15">
        <f>IF(COUNT(G484:G733)&lt;20,"",IF(COUNTIF(G484:G733,"&lt;"&amp;G734)&gt;=COUNT(G484:G733),(COUNT(G484:G733)-0.5)/COUNT(G484:G733),IF(COUNTIF(G484:G733,G734)&gt;0,(COUNTIF(G484:G733,"&lt;"&amp;G734)+0.5*COUNTIF(G484:G733,G734))/COUNT(G484:G733),COUNTIF(G484:G733,"&lt;"&amp;G734)/COUNT(G484:G733))))</f>
        <v/>
      </c>
      <c r="K734" s="11" t="inlineStr">
        <is>
          <t>低分位</t>
        </is>
      </c>
      <c r="L734" s="11" t="n">
        <v>94</v>
      </c>
      <c r="M734" s="11" t="inlineStr">
        <is>
          <t>Back(近强)</t>
        </is>
      </c>
      <c r="N734" s="11" t="n">
        <v>1</v>
      </c>
      <c r="O734" s="11" t="n">
        <v>0</v>
      </c>
      <c r="P734" s="12" t="n">
        <v>125</v>
      </c>
      <c r="Q734" s="11" t="inlineStr"/>
    </row>
    <row r="735">
      <c r="A735" s="6" t="inlineStr">
        <is>
          <t>2025-08-28</t>
        </is>
      </c>
      <c r="B735" s="6" t="inlineStr">
        <is>
          <t>MA2601</t>
        </is>
      </c>
      <c r="C735" s="6" t="inlineStr">
        <is>
          <t>2026-01</t>
        </is>
      </c>
      <c r="D735" s="7" t="n">
        <v>2251.67</v>
      </c>
      <c r="E735" s="7" t="n">
        <v>2373</v>
      </c>
      <c r="F735" s="7">
        <f>D735-E735</f>
        <v/>
      </c>
      <c r="G735" s="8">
        <f>IF(D735=0,"",(D735-E735)/D735)</f>
        <v/>
      </c>
      <c r="H735" s="9" t="n">
        <v>785833</v>
      </c>
      <c r="I735" s="10" t="n">
        <v>0</v>
      </c>
      <c r="J735" s="10">
        <f>IF(COUNT(G485:G734)&lt;20,"",IF(COUNTIF(G485:G734,"&lt;"&amp;G735)&gt;=COUNT(G485:G734),(COUNT(G485:G734)-0.5)/COUNT(G485:G734),IF(COUNTIF(G485:G734,G735)&gt;0,(COUNTIF(G485:G734,"&lt;"&amp;G735)+0.5*COUNTIF(G485:G734,G735))/COUNT(G485:G734),COUNTIF(G485:G734,"&lt;"&amp;G735)/COUNT(G485:G734))))</f>
        <v/>
      </c>
      <c r="K735" s="6" t="inlineStr">
        <is>
          <t>低分位</t>
        </is>
      </c>
      <c r="L735" s="6" t="n">
        <v>93</v>
      </c>
      <c r="M735" s="6" t="inlineStr">
        <is>
          <t>Back(近强)</t>
        </is>
      </c>
      <c r="N735" s="6" t="n">
        <v>1</v>
      </c>
      <c r="O735" s="6" t="n">
        <v>0</v>
      </c>
      <c r="P735" s="7" t="n">
        <v>148</v>
      </c>
      <c r="Q735" s="6" t="inlineStr"/>
    </row>
    <row r="736">
      <c r="A736" s="11" t="inlineStr">
        <is>
          <t>2025-08-29</t>
        </is>
      </c>
      <c r="B736" s="11" t="inlineStr">
        <is>
          <t>MA2601</t>
        </is>
      </c>
      <c r="C736" s="11" t="inlineStr">
        <is>
          <t>2026-01</t>
        </is>
      </c>
      <c r="D736" s="12" t="n">
        <v>2245.83</v>
      </c>
      <c r="E736" s="12" t="n">
        <v>2361</v>
      </c>
      <c r="F736" s="12">
        <f>D736-E736</f>
        <v/>
      </c>
      <c r="G736" s="13">
        <f>IF(D736=0,"",(D736-E736)/D736)</f>
        <v/>
      </c>
      <c r="H736" s="14" t="n">
        <v>821019</v>
      </c>
      <c r="I736" s="15" t="n">
        <v>0.012</v>
      </c>
      <c r="J736" s="15">
        <f>IF(COUNT(G486:G735)&lt;20,"",IF(COUNTIF(G486:G735,"&lt;"&amp;G736)&gt;=COUNT(G486:G735),(COUNT(G486:G735)-0.5)/COUNT(G486:G735),IF(COUNTIF(G486:G735,G736)&gt;0,(COUNTIF(G486:G735,"&lt;"&amp;G736)+0.5*COUNTIF(G486:G735,G736))/COUNT(G486:G735),COUNTIF(G486:G735,"&lt;"&amp;G736)/COUNT(G486:G735))))</f>
        <v/>
      </c>
      <c r="K736" s="11" t="inlineStr">
        <is>
          <t>低分位</t>
        </is>
      </c>
      <c r="L736" s="11" t="n">
        <v>92</v>
      </c>
      <c r="M736" s="11" t="inlineStr">
        <is>
          <t>Back(近强)</t>
        </is>
      </c>
      <c r="N736" s="11" t="n">
        <v>1</v>
      </c>
      <c r="O736" s="11" t="n">
        <v>0</v>
      </c>
      <c r="P736" s="12" t="n">
        <v>157</v>
      </c>
      <c r="Q736" s="11" t="inlineStr"/>
    </row>
    <row r="737">
      <c r="A737" s="6" t="inlineStr">
        <is>
          <t>2025-09-01</t>
        </is>
      </c>
      <c r="B737" s="6" t="inlineStr">
        <is>
          <t>MA2601</t>
        </is>
      </c>
      <c r="C737" s="6" t="inlineStr">
        <is>
          <t>2026-01</t>
        </is>
      </c>
      <c r="D737" s="7" t="n">
        <v>2233.33</v>
      </c>
      <c r="E737" s="7" t="n">
        <v>2385</v>
      </c>
      <c r="F737" s="7">
        <f>D737-E737</f>
        <v/>
      </c>
      <c r="G737" s="8">
        <f>IF(D737=0,"",(D737-E737)/D737)</f>
        <v/>
      </c>
      <c r="H737" s="9" t="n">
        <v>799308</v>
      </c>
      <c r="I737" s="10" t="n">
        <v>0</v>
      </c>
      <c r="J737" s="10">
        <f>IF(COUNT(G487:G736)&lt;20,"",IF(COUNTIF(G487:G736,"&lt;"&amp;G737)&gt;=COUNT(G487:G736),(COUNT(G487:G736)-0.5)/COUNT(G487:G736),IF(COUNTIF(G487:G736,G737)&gt;0,(COUNTIF(G487:G736,"&lt;"&amp;G737)+0.5*COUNTIF(G487:G736,G737))/COUNT(G487:G736),COUNTIF(G487:G736,"&lt;"&amp;G737)/COUNT(G487:G736))))</f>
        <v/>
      </c>
      <c r="K737" s="6" t="inlineStr">
        <is>
          <t>低分位</t>
        </is>
      </c>
      <c r="L737" s="6" t="n">
        <v>91</v>
      </c>
      <c r="M737" s="6" t="inlineStr">
        <is>
          <t>Back(近强)</t>
        </is>
      </c>
      <c r="N737" s="6" t="n">
        <v>1</v>
      </c>
      <c r="O737" s="6" t="n">
        <v>0</v>
      </c>
      <c r="P737" s="7" t="n">
        <v>159</v>
      </c>
      <c r="Q737" s="6" t="inlineStr"/>
    </row>
    <row r="738">
      <c r="A738" s="11" t="inlineStr">
        <is>
          <t>2025-09-02</t>
        </is>
      </c>
      <c r="B738" s="11" t="inlineStr">
        <is>
          <t>MA2601</t>
        </is>
      </c>
      <c r="C738" s="11" t="inlineStr">
        <is>
          <t>2026-01</t>
        </is>
      </c>
      <c r="D738" s="12" t="n">
        <v>2253.33</v>
      </c>
      <c r="E738" s="12" t="n">
        <v>2372</v>
      </c>
      <c r="F738" s="12">
        <f>D738-E738</f>
        <v/>
      </c>
      <c r="G738" s="13">
        <f>IF(D738=0,"",(D738-E738)/D738)</f>
        <v/>
      </c>
      <c r="H738" s="14" t="n">
        <v>807495</v>
      </c>
      <c r="I738" s="15" t="n">
        <v>0.012</v>
      </c>
      <c r="J738" s="15">
        <f>IF(COUNT(G488:G737)&lt;20,"",IF(COUNTIF(G488:G737,"&lt;"&amp;G738)&gt;=COUNT(G488:G737),(COUNT(G488:G737)-0.5)/COUNT(G488:G737),IF(COUNTIF(G488:G737,G738)&gt;0,(COUNTIF(G488:G737,"&lt;"&amp;G738)+0.5*COUNTIF(G488:G737,G738))/COUNT(G488:G737),COUNTIF(G488:G737,"&lt;"&amp;G738)/COUNT(G488:G737))))</f>
        <v/>
      </c>
      <c r="K738" s="11" t="inlineStr">
        <is>
          <t>低分位</t>
        </is>
      </c>
      <c r="L738" s="11" t="n">
        <v>90</v>
      </c>
      <c r="M738" s="11" t="inlineStr">
        <is>
          <t>Back(近强)</t>
        </is>
      </c>
      <c r="N738" s="11" t="n">
        <v>1</v>
      </c>
      <c r="O738" s="11" t="n">
        <v>0</v>
      </c>
      <c r="P738" s="12" t="n">
        <v>160</v>
      </c>
      <c r="Q738" s="11" t="inlineStr"/>
    </row>
    <row r="739">
      <c r="A739" s="6" t="inlineStr">
        <is>
          <t>2025-09-03</t>
        </is>
      </c>
      <c r="B739" s="6" t="inlineStr">
        <is>
          <t>MA2601</t>
        </is>
      </c>
      <c r="C739" s="6" t="inlineStr">
        <is>
          <t>2026-01</t>
        </is>
      </c>
      <c r="D739" s="7" t="n">
        <v>2239.17</v>
      </c>
      <c r="E739" s="7" t="n">
        <v>2382</v>
      </c>
      <c r="F739" s="7">
        <f>D739-E739</f>
        <v/>
      </c>
      <c r="G739" s="8">
        <f>IF(D739=0,"",(D739-E739)/D739)</f>
        <v/>
      </c>
      <c r="H739" s="9" t="n">
        <v>795320</v>
      </c>
      <c r="I739" s="10" t="n">
        <v>0.004</v>
      </c>
      <c r="J739" s="10">
        <f>IF(COUNT(G489:G738)&lt;20,"",IF(COUNTIF(G489:G738,"&lt;"&amp;G739)&gt;=COUNT(G489:G738),(COUNT(G489:G738)-0.5)/COUNT(G489:G738),IF(COUNTIF(G489:G738,G739)&gt;0,(COUNTIF(G489:G738,"&lt;"&amp;G739)+0.5*COUNTIF(G489:G738,G739))/COUNT(G489:G738),COUNTIF(G489:G738,"&lt;"&amp;G739)/COUNT(G489:G738))))</f>
        <v/>
      </c>
      <c r="K739" s="6" t="inlineStr">
        <is>
          <t>低分位</t>
        </is>
      </c>
      <c r="L739" s="6" t="n">
        <v>89</v>
      </c>
      <c r="M739" s="6" t="inlineStr">
        <is>
          <t>Back(近强)</t>
        </is>
      </c>
      <c r="N739" s="6" t="n">
        <v>1</v>
      </c>
      <c r="O739" s="6" t="n">
        <v>0</v>
      </c>
      <c r="P739" s="7" t="n">
        <v>156</v>
      </c>
      <c r="Q739" s="6" t="inlineStr"/>
    </row>
    <row r="740">
      <c r="A740" s="11" t="inlineStr">
        <is>
          <t>2025-09-04</t>
        </is>
      </c>
      <c r="B740" s="11" t="inlineStr">
        <is>
          <t>MA2601</t>
        </is>
      </c>
      <c r="C740" s="11" t="inlineStr">
        <is>
          <t>2026-01</t>
        </is>
      </c>
      <c r="D740" s="12" t="n">
        <v>2243.33</v>
      </c>
      <c r="E740" s="12" t="n">
        <v>2378</v>
      </c>
      <c r="F740" s="12">
        <f>D740-E740</f>
        <v/>
      </c>
      <c r="G740" s="13">
        <f>IF(D740=0,"",(D740-E740)/D740)</f>
        <v/>
      </c>
      <c r="H740" s="14" t="n">
        <v>801993</v>
      </c>
      <c r="I740" s="15" t="n">
        <v>0.008</v>
      </c>
      <c r="J740" s="15">
        <f>IF(COUNT(G490:G739)&lt;20,"",IF(COUNTIF(G490:G739,"&lt;"&amp;G740)&gt;=COUNT(G490:G739),(COUNT(G490:G739)-0.5)/COUNT(G490:G739),IF(COUNTIF(G490:G739,G740)&gt;0,(COUNTIF(G490:G739,"&lt;"&amp;G740)+0.5*COUNTIF(G490:G739,G740))/COUNT(G490:G739),COUNTIF(G490:G739,"&lt;"&amp;G740)/COUNT(G490:G739))))</f>
        <v/>
      </c>
      <c r="K740" s="11" t="inlineStr">
        <is>
          <t>低分位</t>
        </is>
      </c>
      <c r="L740" s="11" t="n">
        <v>88</v>
      </c>
      <c r="M740" s="11" t="inlineStr">
        <is>
          <t>Back(近强)</t>
        </is>
      </c>
      <c r="N740" s="11" t="n">
        <v>1</v>
      </c>
      <c r="O740" s="11" t="n">
        <v>0</v>
      </c>
      <c r="P740" s="12" t="n">
        <v>151</v>
      </c>
      <c r="Q740" s="11" t="inlineStr"/>
    </row>
    <row r="741">
      <c r="A741" s="6" t="inlineStr">
        <is>
          <t>2025-09-05</t>
        </is>
      </c>
      <c r="B741" s="6" t="inlineStr">
        <is>
          <t>MA2601</t>
        </is>
      </c>
      <c r="C741" s="6" t="inlineStr">
        <is>
          <t>2026-01</t>
        </is>
      </c>
      <c r="D741" s="7" t="n">
        <v>2245.83</v>
      </c>
      <c r="E741" s="7" t="n">
        <v>2415</v>
      </c>
      <c r="F741" s="7">
        <f>D741-E741</f>
        <v/>
      </c>
      <c r="G741" s="8">
        <f>IF(D741=0,"",(D741-E741)/D741)</f>
        <v/>
      </c>
      <c r="H741" s="9" t="n">
        <v>777813</v>
      </c>
      <c r="I741" s="10" t="n">
        <v>0</v>
      </c>
      <c r="J741" s="10">
        <f>IF(COUNT(G491:G740)&lt;20,"",IF(COUNTIF(G491:G740,"&lt;"&amp;G741)&gt;=COUNT(G491:G740),(COUNT(G491:G740)-0.5)/COUNT(G491:G740),IF(COUNTIF(G491:G740,G741)&gt;0,(COUNTIF(G491:G740,"&lt;"&amp;G741)+0.5*COUNTIF(G491:G740,G741))/COUNT(G491:G740),COUNTIF(G491:G740,"&lt;"&amp;G741)/COUNT(G491:G740))))</f>
        <v/>
      </c>
      <c r="K741" s="6" t="inlineStr">
        <is>
          <t>低分位</t>
        </is>
      </c>
      <c r="L741" s="6" t="n">
        <v>87</v>
      </c>
      <c r="M741" s="6" t="inlineStr">
        <is>
          <t>Back(近强)</t>
        </is>
      </c>
      <c r="N741" s="6" t="n">
        <v>1</v>
      </c>
      <c r="O741" s="6" t="n">
        <v>0</v>
      </c>
      <c r="P741" s="7" t="n">
        <v>155</v>
      </c>
      <c r="Q741" s="6" t="inlineStr"/>
    </row>
    <row r="742">
      <c r="A742" s="11" t="inlineStr">
        <is>
          <t>2025-09-08</t>
        </is>
      </c>
      <c r="B742" s="11" t="inlineStr">
        <is>
          <t>MA2601</t>
        </is>
      </c>
      <c r="C742" s="11" t="inlineStr">
        <is>
          <t>2026-01</t>
        </is>
      </c>
      <c r="D742" s="12" t="n">
        <v>2271.67</v>
      </c>
      <c r="E742" s="12" t="n">
        <v>2408</v>
      </c>
      <c r="F742" s="12">
        <f>D742-E742</f>
        <v/>
      </c>
      <c r="G742" s="13">
        <f>IF(D742=0,"",(D742-E742)/D742)</f>
        <v/>
      </c>
      <c r="H742" s="14" t="n">
        <v>776260</v>
      </c>
      <c r="I742" s="15" t="n">
        <v>0.016</v>
      </c>
      <c r="J742" s="15">
        <f>IF(COUNT(G492:G741)&lt;20,"",IF(COUNTIF(G492:G741,"&lt;"&amp;G742)&gt;=COUNT(G492:G741),(COUNT(G492:G741)-0.5)/COUNT(G492:G741),IF(COUNTIF(G492:G741,G742)&gt;0,(COUNTIF(G492:G741,"&lt;"&amp;G742)+0.5*COUNTIF(G492:G741,G742))/COUNT(G492:G741),COUNTIF(G492:G741,"&lt;"&amp;G742)/COUNT(G492:G741))))</f>
        <v/>
      </c>
      <c r="K742" s="11" t="inlineStr">
        <is>
          <t>低分位</t>
        </is>
      </c>
      <c r="L742" s="11" t="n">
        <v>86</v>
      </c>
      <c r="M742" s="11" t="inlineStr">
        <is>
          <t>Back(近强)</t>
        </is>
      </c>
      <c r="N742" s="11" t="n">
        <v>1</v>
      </c>
      <c r="O742" s="11" t="n">
        <v>0</v>
      </c>
      <c r="P742" s="12" t="n">
        <v>160</v>
      </c>
      <c r="Q742" s="11" t="inlineStr"/>
    </row>
    <row r="743">
      <c r="A743" s="6" t="inlineStr">
        <is>
          <t>2025-09-09</t>
        </is>
      </c>
      <c r="B743" s="6" t="inlineStr">
        <is>
          <t>MA2601</t>
        </is>
      </c>
      <c r="C743" s="6" t="inlineStr">
        <is>
          <t>2026-01</t>
        </is>
      </c>
      <c r="D743" s="7" t="n">
        <v>2271.67</v>
      </c>
      <c r="E743" s="7" t="n">
        <v>2398</v>
      </c>
      <c r="F743" s="7">
        <f>D743-E743</f>
        <v/>
      </c>
      <c r="G743" s="8">
        <f>IF(D743=0,"",(D743-E743)/D743)</f>
        <v/>
      </c>
      <c r="H743" s="9" t="n">
        <v>768625</v>
      </c>
      <c r="I743" s="10" t="n">
        <v>0.02</v>
      </c>
      <c r="J743" s="10">
        <f>IF(COUNT(G493:G742)&lt;20,"",IF(COUNTIF(G493:G742,"&lt;"&amp;G743)&gt;=COUNT(G493:G742),(COUNT(G493:G742)-0.5)/COUNT(G493:G742),IF(COUNTIF(G493:G742,G743)&gt;0,(COUNTIF(G493:G742,"&lt;"&amp;G743)+0.5*COUNTIF(G493:G742,G743))/COUNT(G493:G742),COUNTIF(G493:G742,"&lt;"&amp;G743)/COUNT(G493:G742))))</f>
        <v/>
      </c>
      <c r="K743" s="6" t="inlineStr">
        <is>
          <t>低分位</t>
        </is>
      </c>
      <c r="L743" s="6" t="n">
        <v>85</v>
      </c>
      <c r="M743" s="6" t="inlineStr">
        <is>
          <t>Back(近强)</t>
        </is>
      </c>
      <c r="N743" s="6" t="n">
        <v>1</v>
      </c>
      <c r="O743" s="6" t="n">
        <v>0</v>
      </c>
      <c r="P743" s="7" t="n">
        <v>151</v>
      </c>
      <c r="Q743" s="6" t="inlineStr"/>
    </row>
    <row r="744">
      <c r="A744" s="11" t="inlineStr">
        <is>
          <t>2025-09-10</t>
        </is>
      </c>
      <c r="B744" s="11" t="inlineStr">
        <is>
          <t>MA2601</t>
        </is>
      </c>
      <c r="C744" s="11" t="inlineStr">
        <is>
          <t>2026-01</t>
        </is>
      </c>
      <c r="D744" s="12" t="n">
        <v>2277.83</v>
      </c>
      <c r="E744" s="12" t="n">
        <v>2407</v>
      </c>
      <c r="F744" s="12">
        <f>D744-E744</f>
        <v/>
      </c>
      <c r="G744" s="13">
        <f>IF(D744=0,"",(D744-E744)/D744)</f>
        <v/>
      </c>
      <c r="H744" s="14" t="n">
        <v>755966</v>
      </c>
      <c r="I744" s="15" t="n">
        <v>0.02</v>
      </c>
      <c r="J744" s="15">
        <f>IF(COUNT(G494:G743)&lt;20,"",IF(COUNTIF(G494:G743,"&lt;"&amp;G744)&gt;=COUNT(G494:G743),(COUNT(G494:G743)-0.5)/COUNT(G494:G743),IF(COUNTIF(G494:G743,G744)&gt;0,(COUNTIF(G494:G743,"&lt;"&amp;G744)+0.5*COUNTIF(G494:G743,G744))/COUNT(G494:G743),COUNTIF(G494:G743,"&lt;"&amp;G744)/COUNT(G494:G743))))</f>
        <v/>
      </c>
      <c r="K744" s="11" t="inlineStr">
        <is>
          <t>低分位</t>
        </is>
      </c>
      <c r="L744" s="11" t="n">
        <v>84</v>
      </c>
      <c r="M744" s="11" t="inlineStr">
        <is>
          <t>Back(近强)</t>
        </is>
      </c>
      <c r="N744" s="11" t="n">
        <v>1</v>
      </c>
      <c r="O744" s="11" t="n">
        <v>0</v>
      </c>
      <c r="P744" s="12" t="n">
        <v>142</v>
      </c>
      <c r="Q744" s="11" t="inlineStr"/>
    </row>
    <row r="745">
      <c r="A745" s="6" t="inlineStr">
        <is>
          <t>2025-09-11</t>
        </is>
      </c>
      <c r="B745" s="6" t="inlineStr">
        <is>
          <t>MA2601</t>
        </is>
      </c>
      <c r="C745" s="6" t="inlineStr">
        <is>
          <t>2026-01</t>
        </is>
      </c>
      <c r="D745" s="7" t="n">
        <v>2296.67</v>
      </c>
      <c r="E745" s="7" t="n">
        <v>2387</v>
      </c>
      <c r="F745" s="7">
        <f>D745-E745</f>
        <v/>
      </c>
      <c r="G745" s="8">
        <f>IF(D745=0,"",(D745-E745)/D745)</f>
        <v/>
      </c>
      <c r="H745" s="9" t="n">
        <v>775400</v>
      </c>
      <c r="I745" s="10" t="n">
        <v>0.068</v>
      </c>
      <c r="J745" s="10">
        <f>IF(COUNT(G495:G744)&lt;20,"",IF(COUNTIF(G495:G744,"&lt;"&amp;G745)&gt;=COUNT(G495:G744),(COUNT(G495:G744)-0.5)/COUNT(G495:G744),IF(COUNTIF(G495:G744,G745)&gt;0,(COUNTIF(G495:G744,"&lt;"&amp;G745)+0.5*COUNTIF(G495:G744,G745))/COUNT(G495:G744),COUNTIF(G495:G744,"&lt;"&amp;G745)/COUNT(G495:G744))))</f>
        <v/>
      </c>
      <c r="K745" s="6" t="inlineStr">
        <is>
          <t>低分位</t>
        </is>
      </c>
      <c r="L745" s="6" t="n">
        <v>83</v>
      </c>
      <c r="M745" s="6" t="inlineStr">
        <is>
          <t>Back(近强)</t>
        </is>
      </c>
      <c r="N745" s="6" t="n">
        <v>1</v>
      </c>
      <c r="O745" s="6" t="n">
        <v>0</v>
      </c>
      <c r="P745" s="7" t="n">
        <v>174</v>
      </c>
      <c r="Q745" s="6" t="inlineStr"/>
    </row>
    <row r="746">
      <c r="A746" s="11" t="inlineStr">
        <is>
          <t>2025-09-12</t>
        </is>
      </c>
      <c r="B746" s="11" t="inlineStr">
        <is>
          <t>MA2601</t>
        </is>
      </c>
      <c r="C746" s="11" t="inlineStr">
        <is>
          <t>2026-01</t>
        </is>
      </c>
      <c r="D746" s="12" t="n">
        <v>2290</v>
      </c>
      <c r="E746" s="12" t="n">
        <v>2379</v>
      </c>
      <c r="F746" s="12">
        <f>D746-E746</f>
        <v/>
      </c>
      <c r="G746" s="13">
        <f>IF(D746=0,"",(D746-E746)/D746)</f>
        <v/>
      </c>
      <c r="H746" s="14" t="n">
        <v>798411</v>
      </c>
      <c r="I746" s="15" t="n">
        <v>0.07199999999999999</v>
      </c>
      <c r="J746" s="15">
        <f>IF(COUNT(G496:G745)&lt;20,"",IF(COUNTIF(G496:G745,"&lt;"&amp;G746)&gt;=COUNT(G496:G745),(COUNT(G496:G745)-0.5)/COUNT(G496:G745),IF(COUNTIF(G496:G745,G746)&gt;0,(COUNTIF(G496:G745,"&lt;"&amp;G746)+0.5*COUNTIF(G496:G745,G746))/COUNT(G496:G745),COUNTIF(G496:G745,"&lt;"&amp;G746)/COUNT(G496:G745))))</f>
        <v/>
      </c>
      <c r="K746" s="11" t="inlineStr">
        <is>
          <t>低分位</t>
        </is>
      </c>
      <c r="L746" s="11" t="n">
        <v>82</v>
      </c>
      <c r="M746" s="11" t="inlineStr">
        <is>
          <t>Back(近强)</t>
        </is>
      </c>
      <c r="N746" s="11" t="n">
        <v>1</v>
      </c>
      <c r="O746" s="11" t="n">
        <v>0</v>
      </c>
      <c r="P746" s="12" t="n">
        <v>149</v>
      </c>
      <c r="Q746" s="11" t="inlineStr"/>
    </row>
    <row r="747">
      <c r="A747" s="6" t="inlineStr">
        <is>
          <t>2025-09-15</t>
        </is>
      </c>
      <c r="B747" s="6" t="inlineStr">
        <is>
          <t>MA2601</t>
        </is>
      </c>
      <c r="C747" s="6" t="inlineStr">
        <is>
          <t>2026-01</t>
        </is>
      </c>
      <c r="D747" s="7" t="n">
        <v>2288.33</v>
      </c>
      <c r="E747" s="7" t="n">
        <v>2396</v>
      </c>
      <c r="F747" s="7">
        <f>D747-E747</f>
        <v/>
      </c>
      <c r="G747" s="8">
        <f>IF(D747=0,"",(D747-E747)/D747)</f>
        <v/>
      </c>
      <c r="H747" s="9" t="n">
        <v>783891</v>
      </c>
      <c r="I747" s="10" t="n">
        <v>0.056</v>
      </c>
      <c r="J747" s="10">
        <f>IF(COUNT(G497:G746)&lt;20,"",IF(COUNTIF(G497:G746,"&lt;"&amp;G747)&gt;=COUNT(G497:G746),(COUNT(G497:G746)-0.5)/COUNT(G497:G746),IF(COUNTIF(G497:G746,G747)&gt;0,(COUNTIF(G497:G746,"&lt;"&amp;G747)+0.5*COUNTIF(G497:G746,G747))/COUNT(G497:G746),COUNTIF(G497:G746,"&lt;"&amp;G747)/COUNT(G497:G746))))</f>
        <v/>
      </c>
      <c r="K747" s="6" t="inlineStr">
        <is>
          <t>低分位</t>
        </is>
      </c>
      <c r="L747" s="6" t="n">
        <v>81</v>
      </c>
      <c r="M747" s="6" t="inlineStr">
        <is>
          <t>Back(近强)</t>
        </is>
      </c>
      <c r="N747" s="6" t="n">
        <v>1</v>
      </c>
      <c r="O747" s="6" t="n">
        <v>0</v>
      </c>
      <c r="P747" s="7" t="n">
        <v>99</v>
      </c>
      <c r="Q747" s="6" t="inlineStr"/>
    </row>
    <row r="748">
      <c r="A748" s="11" t="inlineStr">
        <is>
          <t>2025-09-16</t>
        </is>
      </c>
      <c r="B748" s="11" t="inlineStr">
        <is>
          <t>MA2601</t>
        </is>
      </c>
      <c r="C748" s="11" t="inlineStr">
        <is>
          <t>2026-01</t>
        </is>
      </c>
      <c r="D748" s="12" t="n">
        <v>2295</v>
      </c>
      <c r="E748" s="12" t="n">
        <v>2375</v>
      </c>
      <c r="F748" s="12">
        <f>D748-E748</f>
        <v/>
      </c>
      <c r="G748" s="13">
        <f>IF(D748=0,"",(D748-E748)/D748)</f>
        <v/>
      </c>
      <c r="H748" s="14" t="n">
        <v>805395</v>
      </c>
      <c r="I748" s="15" t="n">
        <v>0.08400000000000001</v>
      </c>
      <c r="J748" s="15">
        <f>IF(COUNT(G498:G747)&lt;20,"",IF(COUNTIF(G498:G747,"&lt;"&amp;G748)&gt;=COUNT(G498:G747),(COUNT(G498:G747)-0.5)/COUNT(G498:G747),IF(COUNTIF(G498:G747,G748)&gt;0,(COUNTIF(G498:G747,"&lt;"&amp;G748)+0.5*COUNTIF(G498:G747,G748))/COUNT(G498:G747),COUNTIF(G498:G747,"&lt;"&amp;G748)/COUNT(G498:G747))))</f>
        <v/>
      </c>
      <c r="K748" s="11" t="inlineStr">
        <is>
          <t>低分位</t>
        </is>
      </c>
      <c r="L748" s="11" t="n">
        <v>80</v>
      </c>
      <c r="M748" s="11" t="inlineStr">
        <is>
          <t>Back(近强)</t>
        </is>
      </c>
      <c r="N748" s="11" t="n">
        <v>1</v>
      </c>
      <c r="O748" s="11" t="n">
        <v>0</v>
      </c>
      <c r="P748" s="12" t="n">
        <v>91</v>
      </c>
      <c r="Q748" s="11" t="inlineStr"/>
    </row>
    <row r="749">
      <c r="A749" s="6" t="inlineStr">
        <is>
          <t>2025-09-17</t>
        </is>
      </c>
      <c r="B749" s="6" t="inlineStr">
        <is>
          <t>MA2601</t>
        </is>
      </c>
      <c r="C749" s="6" t="inlineStr">
        <is>
          <t>2026-01</t>
        </is>
      </c>
      <c r="D749" s="7" t="n">
        <v>2286.67</v>
      </c>
      <c r="E749" s="7" t="n">
        <v>2376</v>
      </c>
      <c r="F749" s="7">
        <f>D749-E749</f>
        <v/>
      </c>
      <c r="G749" s="8">
        <f>IF(D749=0,"",(D749-E749)/D749)</f>
        <v/>
      </c>
      <c r="H749" s="9" t="n">
        <v>836608</v>
      </c>
      <c r="I749" s="10" t="n">
        <v>0.076</v>
      </c>
      <c r="J749" s="10">
        <f>IF(COUNT(G499:G748)&lt;20,"",IF(COUNTIF(G499:G748,"&lt;"&amp;G749)&gt;=COUNT(G499:G748),(COUNT(G499:G748)-0.5)/COUNT(G499:G748),IF(COUNTIF(G499:G748,G749)&gt;0,(COUNTIF(G499:G748,"&lt;"&amp;G749)+0.5*COUNTIF(G499:G748,G749))/COUNT(G499:G748),COUNTIF(G499:G748,"&lt;"&amp;G749)/COUNT(G499:G748))))</f>
        <v/>
      </c>
      <c r="K749" s="6" t="inlineStr">
        <is>
          <t>低分位</t>
        </is>
      </c>
      <c r="L749" s="6" t="n">
        <v>79</v>
      </c>
      <c r="M749" s="6" t="inlineStr">
        <is>
          <t>Back(近强)</t>
        </is>
      </c>
      <c r="N749" s="6" t="n">
        <v>1</v>
      </c>
      <c r="O749" s="6" t="n">
        <v>0</v>
      </c>
      <c r="P749" s="7" t="n">
        <v>87</v>
      </c>
      <c r="Q749" s="6" t="inlineStr"/>
    </row>
    <row r="750">
      <c r="A750" s="11" t="inlineStr">
        <is>
          <t>2025-09-18</t>
        </is>
      </c>
      <c r="B750" s="11" t="inlineStr">
        <is>
          <t>MA2601</t>
        </is>
      </c>
      <c r="C750" s="11" t="inlineStr">
        <is>
          <t>2026-01</t>
        </is>
      </c>
      <c r="D750" s="12" t="n">
        <v>2282.5</v>
      </c>
      <c r="E750" s="12" t="n">
        <v>2346</v>
      </c>
      <c r="F750" s="12">
        <f>D750-E750</f>
        <v/>
      </c>
      <c r="G750" s="13">
        <f>IF(D750=0,"",(D750-E750)/D750)</f>
        <v/>
      </c>
      <c r="H750" s="14" t="n">
        <v>942904</v>
      </c>
      <c r="I750" s="15" t="n">
        <v>0.108</v>
      </c>
      <c r="J750" s="15">
        <f>IF(COUNT(G500:G749)&lt;20,"",IF(COUNTIF(G500:G749,"&lt;"&amp;G750)&gt;=COUNT(G500:G749),(COUNT(G500:G749)-0.5)/COUNT(G500:G749),IF(COUNTIF(G500:G749,G750)&gt;0,(COUNTIF(G500:G749,"&lt;"&amp;G750)+0.5*COUNTIF(G500:G749,G750))/COUNT(G500:G749),COUNTIF(G500:G749,"&lt;"&amp;G750)/COUNT(G500:G749))))</f>
        <v/>
      </c>
      <c r="K750" s="11" t="inlineStr">
        <is>
          <t>中间分位</t>
        </is>
      </c>
      <c r="L750" s="11" t="n">
        <v>78</v>
      </c>
      <c r="M750" s="11" t="inlineStr">
        <is>
          <t>Back(近强)</t>
        </is>
      </c>
      <c r="N750" s="11" t="n">
        <v>1</v>
      </c>
      <c r="O750" s="11" t="n">
        <v>0</v>
      </c>
      <c r="P750" s="12" t="n">
        <v>89</v>
      </c>
      <c r="Q750" s="11" t="inlineStr"/>
    </row>
    <row r="751">
      <c r="A751" s="6" t="inlineStr">
        <is>
          <t>2025-09-19</t>
        </is>
      </c>
      <c r="B751" s="6" t="inlineStr">
        <is>
          <t>MA2601</t>
        </is>
      </c>
      <c r="C751" s="6" t="inlineStr">
        <is>
          <t>2026-01</t>
        </is>
      </c>
      <c r="D751" s="7" t="n">
        <v>2261.67</v>
      </c>
      <c r="E751" s="7" t="n">
        <v>2361</v>
      </c>
      <c r="F751" s="7">
        <f>D751-E751</f>
        <v/>
      </c>
      <c r="G751" s="8">
        <f>IF(D751=0,"",(D751-E751)/D751)</f>
        <v/>
      </c>
      <c r="H751" s="9" t="n">
        <v>928408</v>
      </c>
      <c r="I751" s="10" t="n">
        <v>0.064</v>
      </c>
      <c r="J751" s="10">
        <f>IF(COUNT(G501:G750)&lt;20,"",IF(COUNTIF(G501:G750,"&lt;"&amp;G751)&gt;=COUNT(G501:G750),(COUNT(G501:G750)-0.5)/COUNT(G501:G750),IF(COUNTIF(G501:G750,G751)&gt;0,(COUNTIF(G501:G750,"&lt;"&amp;G751)+0.5*COUNTIF(G501:G750,G751))/COUNT(G501:G750),COUNTIF(G501:G750,"&lt;"&amp;G751)/COUNT(G501:G750))))</f>
        <v/>
      </c>
      <c r="K751" s="6" t="inlineStr">
        <is>
          <t>低分位</t>
        </is>
      </c>
      <c r="L751" s="6" t="n">
        <v>77</v>
      </c>
      <c r="M751" s="6" t="inlineStr">
        <is>
          <t>Back(近强)</t>
        </is>
      </c>
      <c r="N751" s="6" t="n">
        <v>1</v>
      </c>
      <c r="O751" s="6" t="n">
        <v>0</v>
      </c>
      <c r="P751" s="7" t="n">
        <v>93</v>
      </c>
      <c r="Q751" s="6" t="inlineStr"/>
    </row>
    <row r="752">
      <c r="A752" s="11" t="inlineStr">
        <is>
          <t>2025-09-22</t>
        </is>
      </c>
      <c r="B752" s="11" t="inlineStr">
        <is>
          <t>MA2601</t>
        </is>
      </c>
      <c r="C752" s="11" t="inlineStr">
        <is>
          <t>2026-01</t>
        </is>
      </c>
      <c r="D752" s="12" t="n">
        <v>2262</v>
      </c>
      <c r="E752" s="12" t="n">
        <v>2348</v>
      </c>
      <c r="F752" s="12">
        <f>D752-E752</f>
        <v/>
      </c>
      <c r="G752" s="13">
        <f>IF(D752=0,"",(D752-E752)/D752)</f>
        <v/>
      </c>
      <c r="H752" s="14" t="n">
        <v>946990</v>
      </c>
      <c r="I752" s="15" t="n">
        <v>0.092</v>
      </c>
      <c r="J752" s="15">
        <f>IF(COUNT(G502:G751)&lt;20,"",IF(COUNTIF(G502:G751,"&lt;"&amp;G752)&gt;=COUNT(G502:G751),(COUNT(G502:G751)-0.5)/COUNT(G502:G751),IF(COUNTIF(G502:G751,G752)&gt;0,(COUNTIF(G502:G751,"&lt;"&amp;G752)+0.5*COUNTIF(G502:G751,G752))/COUNT(G502:G751),COUNTIF(G502:G751,"&lt;"&amp;G752)/COUNT(G502:G751))))</f>
        <v/>
      </c>
      <c r="K752" s="11" t="inlineStr">
        <is>
          <t>低分位</t>
        </is>
      </c>
      <c r="L752" s="11" t="n">
        <v>76</v>
      </c>
      <c r="M752" s="11" t="inlineStr">
        <is>
          <t>Back(近强)</t>
        </is>
      </c>
      <c r="N752" s="11" t="n">
        <v>1</v>
      </c>
      <c r="O752" s="11" t="n">
        <v>0</v>
      </c>
      <c r="P752" s="12" t="n">
        <v>95</v>
      </c>
      <c r="Q752" s="11" t="inlineStr"/>
    </row>
    <row r="753">
      <c r="A753" s="6" t="inlineStr">
        <is>
          <t>2025-09-23</t>
        </is>
      </c>
      <c r="B753" s="6" t="inlineStr">
        <is>
          <t>MA2601</t>
        </is>
      </c>
      <c r="C753" s="6" t="inlineStr">
        <is>
          <t>2026-01</t>
        </is>
      </c>
      <c r="D753" s="7" t="n">
        <v>2255</v>
      </c>
      <c r="E753" s="7" t="n">
        <v>2343</v>
      </c>
      <c r="F753" s="7">
        <f>D753-E753</f>
        <v/>
      </c>
      <c r="G753" s="8">
        <f>IF(D753=0,"",(D753-E753)/D753)</f>
        <v/>
      </c>
      <c r="H753" s="9" t="n">
        <v>967432</v>
      </c>
      <c r="I753" s="10" t="n">
        <v>0.08400000000000001</v>
      </c>
      <c r="J753" s="10">
        <f>IF(COUNT(G503:G752)&lt;20,"",IF(COUNTIF(G503:G752,"&lt;"&amp;G753)&gt;=COUNT(G503:G752),(COUNT(G503:G752)-0.5)/COUNT(G503:G752),IF(COUNTIF(G503:G752,G753)&gt;0,(COUNTIF(G503:G752,"&lt;"&amp;G753)+0.5*COUNTIF(G503:G752,G753))/COUNT(G503:G752),COUNTIF(G503:G752,"&lt;"&amp;G753)/COUNT(G503:G752))))</f>
        <v/>
      </c>
      <c r="K753" s="6" t="inlineStr">
        <is>
          <t>低分位</t>
        </is>
      </c>
      <c r="L753" s="6" t="n">
        <v>75</v>
      </c>
      <c r="M753" s="6" t="inlineStr">
        <is>
          <t>Back(近强)</t>
        </is>
      </c>
      <c r="N753" s="6" t="n">
        <v>1</v>
      </c>
      <c r="O753" s="6" t="n">
        <v>0</v>
      </c>
      <c r="P753" s="7" t="n">
        <v>91</v>
      </c>
      <c r="Q753" s="6" t="inlineStr"/>
    </row>
    <row r="754">
      <c r="A754" s="11" t="inlineStr">
        <is>
          <t>2025-09-24</t>
        </is>
      </c>
      <c r="B754" s="11" t="inlineStr">
        <is>
          <t>MA2601</t>
        </is>
      </c>
      <c r="C754" s="11" t="inlineStr">
        <is>
          <t>2026-01</t>
        </is>
      </c>
      <c r="D754" s="12" t="n">
        <v>2255</v>
      </c>
      <c r="E754" s="12" t="n">
        <v>2351</v>
      </c>
      <c r="F754" s="12">
        <f>D754-E754</f>
        <v/>
      </c>
      <c r="G754" s="13">
        <f>IF(D754=0,"",(D754-E754)/D754)</f>
        <v/>
      </c>
      <c r="H754" s="14" t="n">
        <v>929200</v>
      </c>
      <c r="I754" s="15" t="n">
        <v>0.068</v>
      </c>
      <c r="J754" s="15">
        <f>IF(COUNT(G504:G753)&lt;20,"",IF(COUNTIF(G504:G753,"&lt;"&amp;G754)&gt;=COUNT(G504:G753),(COUNT(G504:G753)-0.5)/COUNT(G504:G753),IF(COUNTIF(G504:G753,G754)&gt;0,(COUNTIF(G504:G753,"&lt;"&amp;G754)+0.5*COUNTIF(G504:G753,G754))/COUNT(G504:G753),COUNTIF(G504:G753,"&lt;"&amp;G754)/COUNT(G504:G753))))</f>
        <v/>
      </c>
      <c r="K754" s="11" t="inlineStr">
        <is>
          <t>低分位</t>
        </is>
      </c>
      <c r="L754" s="11" t="n">
        <v>74</v>
      </c>
      <c r="M754" s="11" t="inlineStr">
        <is>
          <t>Back(近强)</t>
        </is>
      </c>
      <c r="N754" s="11" t="n">
        <v>1</v>
      </c>
      <c r="O754" s="11" t="n">
        <v>0</v>
      </c>
      <c r="P754" s="12" t="n">
        <v>94</v>
      </c>
      <c r="Q754" s="11" t="inlineStr"/>
    </row>
    <row r="755">
      <c r="A755" s="6" t="inlineStr">
        <is>
          <t>2025-09-25</t>
        </is>
      </c>
      <c r="B755" s="6" t="inlineStr">
        <is>
          <t>MA2601</t>
        </is>
      </c>
      <c r="C755" s="6" t="inlineStr">
        <is>
          <t>2026-01</t>
        </is>
      </c>
      <c r="D755" s="7" t="n">
        <v>2261</v>
      </c>
      <c r="E755" s="7" t="n">
        <v>2356</v>
      </c>
      <c r="F755" s="7">
        <f>D755-E755</f>
        <v/>
      </c>
      <c r="G755" s="8">
        <f>IF(D755=0,"",(D755-E755)/D755)</f>
        <v/>
      </c>
      <c r="H755" s="9" t="n">
        <v>913517</v>
      </c>
      <c r="I755" s="10" t="n">
        <v>0.07199999999999999</v>
      </c>
      <c r="J755" s="10">
        <f>IF(COUNT(G505:G754)&lt;20,"",IF(COUNTIF(G505:G754,"&lt;"&amp;G755)&gt;=COUNT(G505:G754),(COUNT(G505:G754)-0.5)/COUNT(G505:G754),IF(COUNTIF(G505:G754,G755)&gt;0,(COUNTIF(G505:G754,"&lt;"&amp;G755)+0.5*COUNTIF(G505:G754,G755))/COUNT(G505:G754),COUNTIF(G505:G754,"&lt;"&amp;G755)/COUNT(G505:G754))))</f>
        <v/>
      </c>
      <c r="K755" s="6" t="inlineStr">
        <is>
          <t>低分位</t>
        </is>
      </c>
      <c r="L755" s="6" t="n">
        <v>73</v>
      </c>
      <c r="M755" s="6" t="inlineStr">
        <is>
          <t>Back(近强)</t>
        </is>
      </c>
      <c r="N755" s="6" t="n">
        <v>1</v>
      </c>
      <c r="O755" s="6" t="n">
        <v>0</v>
      </c>
      <c r="P755" s="7" t="n">
        <v>92</v>
      </c>
      <c r="Q755" s="6" t="inlineStr"/>
    </row>
    <row r="756">
      <c r="A756" s="11" t="inlineStr">
        <is>
          <t>2025-09-26</t>
        </is>
      </c>
      <c r="B756" s="11" t="inlineStr">
        <is>
          <t>MA2601</t>
        </is>
      </c>
      <c r="C756" s="11" t="inlineStr">
        <is>
          <t>2026-01</t>
        </is>
      </c>
      <c r="D756" s="12" t="n">
        <v>2253.75</v>
      </c>
      <c r="E756" s="12" t="n">
        <v>2355</v>
      </c>
      <c r="F756" s="12">
        <f>D756-E756</f>
        <v/>
      </c>
      <c r="G756" s="13">
        <f>IF(D756=0,"",(D756-E756)/D756)</f>
        <v/>
      </c>
      <c r="H756" s="14" t="n">
        <v>885132</v>
      </c>
      <c r="I756" s="15" t="n">
        <v>0.06</v>
      </c>
      <c r="J756" s="15">
        <f>IF(COUNT(G506:G755)&lt;20,"",IF(COUNTIF(G506:G755,"&lt;"&amp;G756)&gt;=COUNT(G506:G755),(COUNT(G506:G755)-0.5)/COUNT(G506:G755),IF(COUNTIF(G506:G755,G756)&gt;0,(COUNTIF(G506:G755,"&lt;"&amp;G756)+0.5*COUNTIF(G506:G755,G756))/COUNT(G506:G755),COUNTIF(G506:G755,"&lt;"&amp;G756)/COUNT(G506:G755))))</f>
        <v/>
      </c>
      <c r="K756" s="11" t="inlineStr">
        <is>
          <t>低分位</t>
        </is>
      </c>
      <c r="L756" s="11" t="n">
        <v>72</v>
      </c>
      <c r="M756" s="11" t="inlineStr">
        <is>
          <t>Back(近强)</t>
        </is>
      </c>
      <c r="N756" s="11" t="n">
        <v>1</v>
      </c>
      <c r="O756" s="11" t="n">
        <v>0</v>
      </c>
      <c r="P756" s="12" t="n">
        <v>99</v>
      </c>
      <c r="Q756" s="11" t="inlineStr"/>
    </row>
    <row r="757">
      <c r="A757" s="6" t="inlineStr">
        <is>
          <t>2025-09-29</t>
        </is>
      </c>
      <c r="B757" s="6" t="inlineStr">
        <is>
          <t>MA2601</t>
        </is>
      </c>
      <c r="C757" s="6" t="inlineStr">
        <is>
          <t>2026-01</t>
        </is>
      </c>
      <c r="D757" s="7" t="n">
        <v>2263.75</v>
      </c>
      <c r="E757" s="7" t="n">
        <v>2359</v>
      </c>
      <c r="F757" s="7">
        <f>D757-E757</f>
        <v/>
      </c>
      <c r="G757" s="8">
        <f>IF(D757=0,"",(D757-E757)/D757)</f>
        <v/>
      </c>
      <c r="H757" s="9" t="n">
        <v>869500</v>
      </c>
      <c r="I757" s="10" t="n">
        <v>0.076</v>
      </c>
      <c r="J757" s="10">
        <f>IF(COUNT(G507:G756)&lt;20,"",IF(COUNTIF(G507:G756,"&lt;"&amp;G757)&gt;=COUNT(G507:G756),(COUNT(G507:G756)-0.5)/COUNT(G507:G756),IF(COUNTIF(G507:G756,G757)&gt;0,(COUNTIF(G507:G756,"&lt;"&amp;G757)+0.5*COUNTIF(G507:G756,G757))/COUNT(G507:G756),COUNTIF(G507:G756,"&lt;"&amp;G757)/COUNT(G507:G756))))</f>
        <v/>
      </c>
      <c r="K757" s="6" t="inlineStr">
        <is>
          <t>低分位</t>
        </is>
      </c>
      <c r="L757" s="6" t="n">
        <v>71</v>
      </c>
      <c r="M757" s="6" t="inlineStr">
        <is>
          <t>Back(近强)</t>
        </is>
      </c>
      <c r="N757" s="6" t="n">
        <v>1</v>
      </c>
      <c r="O757" s="6" t="n">
        <v>0</v>
      </c>
      <c r="P757" s="7" t="n">
        <v>97</v>
      </c>
      <c r="Q757" s="6" t="inlineStr"/>
    </row>
    <row r="758">
      <c r="A758" s="11" t="inlineStr">
        <is>
          <t>2025-09-30</t>
        </is>
      </c>
      <c r="B758" s="11" t="inlineStr">
        <is>
          <t>MA2601</t>
        </is>
      </c>
      <c r="C758" s="11" t="inlineStr">
        <is>
          <t>2026-01</t>
        </is>
      </c>
      <c r="D758" s="12" t="n">
        <v>2260</v>
      </c>
      <c r="E758" s="12" t="n">
        <v>2328</v>
      </c>
      <c r="F758" s="12">
        <f>D758-E758</f>
        <v/>
      </c>
      <c r="G758" s="13">
        <f>IF(D758=0,"",(D758-E758)/D758)</f>
        <v/>
      </c>
      <c r="H758" s="14" t="n">
        <v>888083</v>
      </c>
      <c r="I758" s="15" t="n">
        <v>0.132</v>
      </c>
      <c r="J758" s="15">
        <f>IF(COUNT(G508:G757)&lt;20,"",IF(COUNTIF(G508:G757,"&lt;"&amp;G758)&gt;=COUNT(G508:G757),(COUNT(G508:G757)-0.5)/COUNT(G508:G757),IF(COUNTIF(G508:G757,G758)&gt;0,(COUNTIF(G508:G757,"&lt;"&amp;G758)+0.5*COUNTIF(G508:G757,G758))/COUNT(G508:G757),COUNTIF(G508:G757,"&lt;"&amp;G758)/COUNT(G508:G757))))</f>
        <v/>
      </c>
      <c r="K758" s="11" t="inlineStr">
        <is>
          <t>中间分位</t>
        </is>
      </c>
      <c r="L758" s="11" t="n">
        <v>70</v>
      </c>
      <c r="M758" s="11" t="inlineStr">
        <is>
          <t>Back(近强)</t>
        </is>
      </c>
      <c r="N758" s="11" t="n">
        <v>1</v>
      </c>
      <c r="O758" s="11" t="n">
        <v>0</v>
      </c>
      <c r="P758" s="12" t="n">
        <v>93</v>
      </c>
      <c r="Q758" s="11" t="inlineStr"/>
    </row>
    <row r="759">
      <c r="A759" s="6" t="inlineStr">
        <is>
          <t>2025-10-09</t>
        </is>
      </c>
      <c r="B759" s="6" t="inlineStr">
        <is>
          <t>MA2601</t>
        </is>
      </c>
      <c r="C759" s="6" t="inlineStr">
        <is>
          <t>2026-01</t>
        </is>
      </c>
      <c r="D759" s="7" t="n">
        <v>2237.5</v>
      </c>
      <c r="E759" s="7" t="n">
        <v>2290</v>
      </c>
      <c r="F759" s="7">
        <f>D759-E759</f>
        <v/>
      </c>
      <c r="G759" s="8">
        <f>IF(D759=0,"",(D759-E759)/D759)</f>
        <v/>
      </c>
      <c r="H759" s="9" t="n">
        <v>999972</v>
      </c>
      <c r="I759" s="10" t="n">
        <v>0.168</v>
      </c>
      <c r="J759" s="10">
        <f>IF(COUNT(G509:G758)&lt;20,"",IF(COUNTIF(G509:G758,"&lt;"&amp;G759)&gt;=COUNT(G509:G758),(COUNT(G509:G758)-0.5)/COUNT(G509:G758),IF(COUNTIF(G509:G758,G759)&gt;0,(COUNTIF(G509:G758,"&lt;"&amp;G759)+0.5*COUNTIF(G509:G758,G759))/COUNT(G509:G758),COUNTIF(G509:G758,"&lt;"&amp;G759)/COUNT(G509:G758))))</f>
        <v/>
      </c>
      <c r="K759" s="6" t="inlineStr">
        <is>
          <t>中间分位</t>
        </is>
      </c>
      <c r="L759" s="6" t="n">
        <v>69</v>
      </c>
      <c r="M759" s="6" t="inlineStr">
        <is>
          <t>Back(近强)</t>
        </is>
      </c>
      <c r="N759" s="6" t="n">
        <v>0</v>
      </c>
      <c r="O759" s="6" t="n">
        <v>0</v>
      </c>
      <c r="P759" s="7" t="n">
        <v>103</v>
      </c>
      <c r="Q759" s="6" t="inlineStr"/>
    </row>
    <row r="760">
      <c r="A760" s="11" t="inlineStr">
        <is>
          <t>2025-10-10</t>
        </is>
      </c>
      <c r="B760" s="11" t="inlineStr">
        <is>
          <t>MA2601</t>
        </is>
      </c>
      <c r="C760" s="11" t="inlineStr">
        <is>
          <t>2026-01</t>
        </is>
      </c>
      <c r="D760" s="12" t="n">
        <v>2216.25</v>
      </c>
      <c r="E760" s="12" t="n">
        <v>2307</v>
      </c>
      <c r="F760" s="12">
        <f>D760-E760</f>
        <v/>
      </c>
      <c r="G760" s="13">
        <f>IF(D760=0,"",(D760-E760)/D760)</f>
        <v/>
      </c>
      <c r="H760" s="14" t="n">
        <v>1001498</v>
      </c>
      <c r="I760" s="15" t="n">
        <v>0.08799999999999999</v>
      </c>
      <c r="J760" s="15">
        <f>IF(COUNT(G510:G759)&lt;20,"",IF(COUNTIF(G510:G759,"&lt;"&amp;G760)&gt;=COUNT(G510:G759),(COUNT(G510:G759)-0.5)/COUNT(G510:G759),IF(COUNTIF(G510:G759,G760)&gt;0,(COUNTIF(G510:G759,"&lt;"&amp;G760)+0.5*COUNTIF(G510:G759,G760))/COUNT(G510:G759),COUNTIF(G510:G759,"&lt;"&amp;G760)/COUNT(G510:G759))))</f>
        <v/>
      </c>
      <c r="K760" s="11" t="inlineStr">
        <is>
          <t>低分位</t>
        </is>
      </c>
      <c r="L760" s="11" t="n">
        <v>68</v>
      </c>
      <c r="M760" s="11" t="inlineStr">
        <is>
          <t>Back(近强)</t>
        </is>
      </c>
      <c r="N760" s="11" t="n">
        <v>0</v>
      </c>
      <c r="O760" s="11" t="n">
        <v>0</v>
      </c>
      <c r="P760" s="12" t="n">
        <v>97</v>
      </c>
      <c r="Q760" s="11" t="inlineStr"/>
    </row>
    <row r="761">
      <c r="A761" s="6" t="inlineStr">
        <is>
          <t>2025-10-13</t>
        </is>
      </c>
      <c r="B761" s="6" t="inlineStr">
        <is>
          <t>MA2601</t>
        </is>
      </c>
      <c r="C761" s="6" t="inlineStr">
        <is>
          <t>2026-01</t>
        </is>
      </c>
      <c r="D761" s="7" t="n">
        <v>2242.5</v>
      </c>
      <c r="E761" s="7" t="n">
        <v>2342</v>
      </c>
      <c r="F761" s="7">
        <f>D761-E761</f>
        <v/>
      </c>
      <c r="G761" s="8">
        <f>IF(D761=0,"",(D761-E761)/D761)</f>
        <v/>
      </c>
      <c r="H761" s="9" t="n">
        <v>991942</v>
      </c>
      <c r="I761" s="10" t="n">
        <v>0.068</v>
      </c>
      <c r="J761" s="10">
        <f>IF(COUNT(G511:G760)&lt;20,"",IF(COUNTIF(G511:G760,"&lt;"&amp;G761)&gt;=COUNT(G511:G760),(COUNT(G511:G760)-0.5)/COUNT(G511:G760),IF(COUNTIF(G511:G760,G761)&gt;0,(COUNTIF(G511:G760,"&lt;"&amp;G761)+0.5*COUNTIF(G511:G760,G761))/COUNT(G511:G760),COUNTIF(G511:G760,"&lt;"&amp;G761)/COUNT(G511:G760))))</f>
        <v/>
      </c>
      <c r="K761" s="6" t="inlineStr">
        <is>
          <t>低分位</t>
        </is>
      </c>
      <c r="L761" s="6" t="n">
        <v>67</v>
      </c>
      <c r="M761" s="6" t="inlineStr">
        <is>
          <t>Back(近强)</t>
        </is>
      </c>
      <c r="N761" s="6" t="n">
        <v>0</v>
      </c>
      <c r="O761" s="6" t="n">
        <v>0</v>
      </c>
      <c r="P761" s="7" t="n">
        <v>111</v>
      </c>
      <c r="Q761" s="6" t="inlineStr"/>
    </row>
    <row r="762">
      <c r="A762" s="11" t="inlineStr">
        <is>
          <t>2025-10-14</t>
        </is>
      </c>
      <c r="B762" s="11" t="inlineStr">
        <is>
          <t>MA2601</t>
        </is>
      </c>
      <c r="C762" s="11" t="inlineStr">
        <is>
          <t>2026-01</t>
        </is>
      </c>
      <c r="D762" s="12" t="n">
        <v>2288.75</v>
      </c>
      <c r="E762" s="12" t="n">
        <v>2274</v>
      </c>
      <c r="F762" s="12">
        <f>D762-E762</f>
        <v/>
      </c>
      <c r="G762" s="13">
        <f>IF(D762=0,"",(D762-E762)/D762)</f>
        <v/>
      </c>
      <c r="H762" s="14" t="n">
        <v>1051360</v>
      </c>
      <c r="I762" s="15" t="n">
        <v>0.42</v>
      </c>
      <c r="J762" s="15">
        <f>IF(COUNT(G512:G761)&lt;20,"",IF(COUNTIF(G512:G761,"&lt;"&amp;G762)&gt;=COUNT(G512:G761),(COUNT(G512:G761)-0.5)/COUNT(G512:G761),IF(COUNTIF(G512:G761,G762)&gt;0,(COUNTIF(G512:G761,"&lt;"&amp;G762)+0.5*COUNTIF(G512:G761,G762))/COUNT(G512:G761),COUNTIF(G512:G761,"&lt;"&amp;G762)/COUNT(G512:G761))))</f>
        <v/>
      </c>
      <c r="K762" s="11" t="inlineStr">
        <is>
          <t>中间分位</t>
        </is>
      </c>
      <c r="L762" s="11" t="n">
        <v>66</v>
      </c>
      <c r="M762" s="11" t="inlineStr">
        <is>
          <t>Back(近强)</t>
        </is>
      </c>
      <c r="N762" s="11" t="n">
        <v>0</v>
      </c>
      <c r="O762" s="11" t="n">
        <v>0</v>
      </c>
      <c r="P762" s="12" t="n">
        <v>34</v>
      </c>
      <c r="Q762" s="11" t="inlineStr"/>
    </row>
    <row r="763">
      <c r="A763" s="6" t="inlineStr">
        <is>
          <t>2025-10-15</t>
        </is>
      </c>
      <c r="B763" s="6" t="inlineStr">
        <is>
          <t>MA2601</t>
        </is>
      </c>
      <c r="C763" s="6" t="inlineStr">
        <is>
          <t>2026-01</t>
        </is>
      </c>
      <c r="D763" s="7" t="n">
        <v>2260</v>
      </c>
      <c r="E763" s="7" t="n">
        <v>2298</v>
      </c>
      <c r="F763" s="7">
        <f>D763-E763</f>
        <v/>
      </c>
      <c r="G763" s="8">
        <f>IF(D763=0,"",(D763-E763)/D763)</f>
        <v/>
      </c>
      <c r="H763" s="9" t="n">
        <v>1038960</v>
      </c>
      <c r="I763" s="10" t="n">
        <v>0.212</v>
      </c>
      <c r="J763" s="10">
        <f>IF(COUNT(G513:G762)&lt;20,"",IF(COUNTIF(G513:G762,"&lt;"&amp;G763)&gt;=COUNT(G513:G762),(COUNT(G513:G762)-0.5)/COUNT(G513:G762),IF(COUNTIF(G513:G762,G763)&gt;0,(COUNTIF(G513:G762,"&lt;"&amp;G763)+0.5*COUNTIF(G513:G762,G763))/COUNT(G513:G762),COUNTIF(G513:G762,"&lt;"&amp;G763)/COUNT(G513:G762))))</f>
        <v/>
      </c>
      <c r="K763" s="6" t="inlineStr">
        <is>
          <t>中间分位</t>
        </is>
      </c>
      <c r="L763" s="6" t="n">
        <v>65</v>
      </c>
      <c r="M763" s="6" t="inlineStr">
        <is>
          <t>结构不明</t>
        </is>
      </c>
      <c r="N763" s="6" t="n">
        <v>0</v>
      </c>
      <c r="O763" s="6" t="n">
        <v>0</v>
      </c>
      <c r="P763" s="7" t="n">
        <v>20</v>
      </c>
      <c r="Q763" s="6" t="inlineStr"/>
    </row>
    <row r="764">
      <c r="A764" s="11" t="inlineStr">
        <is>
          <t>2025-10-16</t>
        </is>
      </c>
      <c r="B764" s="11" t="inlineStr">
        <is>
          <t>MA2601</t>
        </is>
      </c>
      <c r="C764" s="11" t="inlineStr">
        <is>
          <t>2026-01</t>
        </is>
      </c>
      <c r="D764" s="12" t="n">
        <v>2320</v>
      </c>
      <c r="E764" s="12" t="n">
        <v>2319</v>
      </c>
      <c r="F764" s="12">
        <f>D764-E764</f>
        <v/>
      </c>
      <c r="G764" s="13">
        <f>IF(D764=0,"",(D764-E764)/D764)</f>
        <v/>
      </c>
      <c r="H764" s="14" t="n">
        <v>1039282</v>
      </c>
      <c r="I764" s="15" t="n">
        <v>0.372</v>
      </c>
      <c r="J764" s="15">
        <f>IF(COUNT(G514:G763)&lt;20,"",IF(COUNTIF(G514:G763,"&lt;"&amp;G764)&gt;=COUNT(G514:G763),(COUNT(G514:G763)-0.5)/COUNT(G514:G763),IF(COUNTIF(G514:G763,G764)&gt;0,(COUNTIF(G514:G763,"&lt;"&amp;G764)+0.5*COUNTIF(G514:G763,G764))/COUNT(G514:G763),COUNTIF(G514:G763,"&lt;"&amp;G764)/COUNT(G514:G763))))</f>
        <v/>
      </c>
      <c r="K764" s="11" t="inlineStr">
        <is>
          <t>中间分位</t>
        </is>
      </c>
      <c r="L764" s="11" t="n">
        <v>64</v>
      </c>
      <c r="M764" s="11" t="inlineStr">
        <is>
          <t>结构不明</t>
        </is>
      </c>
      <c r="N764" s="11" t="n">
        <v>0</v>
      </c>
      <c r="O764" s="11" t="n">
        <v>0</v>
      </c>
      <c r="P764" s="12" t="n">
        <v>19</v>
      </c>
      <c r="Q764" s="11" t="inlineStr"/>
    </row>
    <row r="765">
      <c r="A765" s="6" t="inlineStr">
        <is>
          <t>2025-10-17</t>
        </is>
      </c>
      <c r="B765" s="6" t="inlineStr">
        <is>
          <t>MA2601</t>
        </is>
      </c>
      <c r="C765" s="6" t="inlineStr">
        <is>
          <t>2026-01</t>
        </is>
      </c>
      <c r="D765" s="7" t="n">
        <v>2324</v>
      </c>
      <c r="E765" s="7" t="n">
        <v>2272</v>
      </c>
      <c r="F765" s="7">
        <f>D765-E765</f>
        <v/>
      </c>
      <c r="G765" s="8">
        <f>IF(D765=0,"",(D765-E765)/D765)</f>
        <v/>
      </c>
      <c r="H765" s="9" t="n">
        <v>1058725</v>
      </c>
      <c r="I765" s="10" t="n">
        <v>0.604</v>
      </c>
      <c r="J765" s="10">
        <f>IF(COUNT(G515:G764)&lt;20,"",IF(COUNTIF(G515:G764,"&lt;"&amp;G765)&gt;=COUNT(G515:G764),(COUNT(G515:G764)-0.5)/COUNT(G515:G764),IF(COUNTIF(G515:G764,G765)&gt;0,(COUNTIF(G515:G764,"&lt;"&amp;G765)+0.5*COUNTIF(G515:G764,G765))/COUNT(G515:G764),COUNTIF(G515:G764,"&lt;"&amp;G765)/COUNT(G515:G764))))</f>
        <v/>
      </c>
      <c r="K765" s="6" t="inlineStr">
        <is>
          <t>中间分位</t>
        </is>
      </c>
      <c r="L765" s="6" t="n">
        <v>63</v>
      </c>
      <c r="M765" s="6" t="inlineStr">
        <is>
          <t>Back(近强)</t>
        </is>
      </c>
      <c r="N765" s="6" t="n">
        <v>0</v>
      </c>
      <c r="O765" s="6" t="n">
        <v>0</v>
      </c>
      <c r="P765" s="7" t="n">
        <v>32</v>
      </c>
      <c r="Q765" s="6" t="inlineStr"/>
    </row>
    <row r="766">
      <c r="A766" s="11" t="inlineStr">
        <is>
          <t>2025-10-20</t>
        </is>
      </c>
      <c r="B766" s="11" t="inlineStr">
        <is>
          <t>MA2601</t>
        </is>
      </c>
      <c r="C766" s="11" t="inlineStr">
        <is>
          <t>2026-01</t>
        </is>
      </c>
      <c r="D766" s="12" t="n">
        <v>2261</v>
      </c>
      <c r="E766" s="12" t="n">
        <v>2266</v>
      </c>
      <c r="F766" s="12">
        <f>D766-E766</f>
        <v/>
      </c>
      <c r="G766" s="13">
        <f>IF(D766=0,"",(D766-E766)/D766)</f>
        <v/>
      </c>
      <c r="H766" s="14" t="n">
        <v>1071256</v>
      </c>
      <c r="I766" s="15" t="n">
        <v>0.328</v>
      </c>
      <c r="J766" s="15">
        <f>IF(COUNT(G516:G765)&lt;20,"",IF(COUNTIF(G516:G765,"&lt;"&amp;G766)&gt;=COUNT(G516:G765),(COUNT(G516:G765)-0.5)/COUNT(G516:G765),IF(COUNTIF(G516:G765,G766)&gt;0,(COUNTIF(G516:G765,"&lt;"&amp;G766)+0.5*COUNTIF(G516:G765,G766))/COUNT(G516:G765),COUNTIF(G516:G765,"&lt;"&amp;G766)/COUNT(G516:G765))))</f>
        <v/>
      </c>
      <c r="K766" s="11" t="inlineStr">
        <is>
          <t>中间分位</t>
        </is>
      </c>
      <c r="L766" s="11" t="n">
        <v>62</v>
      </c>
      <c r="M766" s="11" t="inlineStr">
        <is>
          <t>结构不明</t>
        </is>
      </c>
      <c r="N766" s="11" t="n">
        <v>0</v>
      </c>
      <c r="O766" s="11" t="n">
        <v>0</v>
      </c>
      <c r="P766" s="12" t="n">
        <v>26</v>
      </c>
      <c r="Q766" s="11" t="inlineStr"/>
    </row>
    <row r="767">
      <c r="A767" s="6" t="inlineStr">
        <is>
          <t>2025-10-21</t>
        </is>
      </c>
      <c r="B767" s="6" t="inlineStr">
        <is>
          <t>MA2601</t>
        </is>
      </c>
      <c r="C767" s="6" t="inlineStr">
        <is>
          <t>2026-01</t>
        </is>
      </c>
      <c r="D767" s="7" t="n">
        <v>2290</v>
      </c>
      <c r="E767" s="7" t="n">
        <v>2268</v>
      </c>
      <c r="F767" s="7">
        <f>D767-E767</f>
        <v/>
      </c>
      <c r="G767" s="8">
        <f>IF(D767=0,"",(D767-E767)/D767)</f>
        <v/>
      </c>
      <c r="H767" s="9" t="n">
        <v>1059019</v>
      </c>
      <c r="I767" s="10" t="n">
        <v>0.444</v>
      </c>
      <c r="J767" s="10">
        <f>IF(COUNT(G517:G766)&lt;20,"",IF(COUNTIF(G517:G766,"&lt;"&amp;G767)&gt;=COUNT(G517:G766),(COUNT(G517:G766)-0.5)/COUNT(G517:G766),IF(COUNTIF(G517:G766,G767)&gt;0,(COUNTIF(G517:G766,"&lt;"&amp;G767)+0.5*COUNTIF(G517:G766,G767))/COUNT(G517:G766),COUNTIF(G517:G766,"&lt;"&amp;G767)/COUNT(G517:G766))))</f>
        <v/>
      </c>
      <c r="K767" s="6" t="inlineStr">
        <is>
          <t>中间分位</t>
        </is>
      </c>
      <c r="L767" s="6" t="n">
        <v>61</v>
      </c>
      <c r="M767" s="6" t="inlineStr">
        <is>
          <t>结构不明</t>
        </is>
      </c>
      <c r="N767" s="6" t="n">
        <v>0</v>
      </c>
      <c r="O767" s="6" t="n">
        <v>0</v>
      </c>
      <c r="P767" s="7" t="n">
        <v>25</v>
      </c>
      <c r="Q767" s="6" t="inlineStr"/>
    </row>
    <row r="768">
      <c r="A768" s="11" t="inlineStr">
        <is>
          <t>2025-10-22</t>
        </is>
      </c>
      <c r="B768" s="11" t="inlineStr">
        <is>
          <t>MA2601</t>
        </is>
      </c>
      <c r="C768" s="11" t="inlineStr">
        <is>
          <t>2026-01</t>
        </is>
      </c>
      <c r="D768" s="12" t="n">
        <v>2265</v>
      </c>
      <c r="E768" s="12" t="n">
        <v>2261</v>
      </c>
      <c r="F768" s="12">
        <f>D768-E768</f>
        <v/>
      </c>
      <c r="G768" s="13">
        <f>IF(D768=0,"",(D768-E768)/D768)</f>
        <v/>
      </c>
      <c r="H768" s="14" t="n">
        <v>1097780</v>
      </c>
      <c r="I768" s="15" t="n">
        <v>0.384</v>
      </c>
      <c r="J768" s="15">
        <f>IF(COUNT(G518:G767)&lt;20,"",IF(COUNTIF(G518:G767,"&lt;"&amp;G768)&gt;=COUNT(G518:G767),(COUNT(G518:G767)-0.5)/COUNT(G518:G767),IF(COUNTIF(G518:G767,G768)&gt;0,(COUNTIF(G518:G767,"&lt;"&amp;G768)+0.5*COUNTIF(G518:G767,G768))/COUNT(G518:G767),COUNTIF(G518:G767,"&lt;"&amp;G768)/COUNT(G518:G767))))</f>
        <v/>
      </c>
      <c r="K768" s="11" t="inlineStr">
        <is>
          <t>中间分位</t>
        </is>
      </c>
      <c r="L768" s="11" t="n">
        <v>60</v>
      </c>
      <c r="M768" s="11" t="inlineStr">
        <is>
          <t>Back(近强)</t>
        </is>
      </c>
      <c r="N768" s="11" t="n">
        <v>0</v>
      </c>
      <c r="O768" s="11" t="n">
        <v>0</v>
      </c>
      <c r="P768" s="12" t="n">
        <v>36</v>
      </c>
      <c r="Q768" s="11" t="inlineStr"/>
    </row>
    <row r="769">
      <c r="A769" s="6" t="inlineStr">
        <is>
          <t>2025-10-23</t>
        </is>
      </c>
      <c r="B769" s="6" t="inlineStr">
        <is>
          <t>MA2601</t>
        </is>
      </c>
      <c r="C769" s="6" t="inlineStr">
        <is>
          <t>2026-01</t>
        </is>
      </c>
      <c r="D769" s="7" t="n">
        <v>2236</v>
      </c>
      <c r="E769" s="7" t="n">
        <v>2292</v>
      </c>
      <c r="F769" s="7">
        <f>D769-E769</f>
        <v/>
      </c>
      <c r="G769" s="8">
        <f>IF(D769=0,"",(D769-E769)/D769)</f>
        <v/>
      </c>
      <c r="H769" s="9" t="n">
        <v>1066380</v>
      </c>
      <c r="I769" s="10" t="n">
        <v>0.164</v>
      </c>
      <c r="J769" s="10">
        <f>IF(COUNT(G519:G768)&lt;20,"",IF(COUNTIF(G519:G768,"&lt;"&amp;G769)&gt;=COUNT(G519:G768),(COUNT(G519:G768)-0.5)/COUNT(G519:G768),IF(COUNTIF(G519:G768,G769)&gt;0,(COUNTIF(G519:G768,"&lt;"&amp;G769)+0.5*COUNTIF(G519:G768,G769))/COUNT(G519:G768),COUNTIF(G519:G768,"&lt;"&amp;G769)/COUNT(G519:G768))))</f>
        <v/>
      </c>
      <c r="K769" s="6" t="inlineStr">
        <is>
          <t>中间分位</t>
        </is>
      </c>
      <c r="L769" s="6" t="n">
        <v>59</v>
      </c>
      <c r="M769" s="6" t="inlineStr">
        <is>
          <t>Back(近强)</t>
        </is>
      </c>
      <c r="N769" s="6" t="n">
        <v>0</v>
      </c>
      <c r="O769" s="6" t="n">
        <v>0</v>
      </c>
      <c r="P769" s="7" t="n">
        <v>51</v>
      </c>
      <c r="Q769" s="6" t="inlineStr"/>
    </row>
    <row r="770">
      <c r="A770" s="11" t="inlineStr">
        <is>
          <t>2025-10-24</t>
        </is>
      </c>
      <c r="B770" s="11" t="inlineStr">
        <is>
          <t>MA2601</t>
        </is>
      </c>
      <c r="C770" s="11" t="inlineStr">
        <is>
          <t>2026-01</t>
        </is>
      </c>
      <c r="D770" s="12" t="n">
        <v>2256</v>
      </c>
      <c r="E770" s="12" t="n">
        <v>2272</v>
      </c>
      <c r="F770" s="12">
        <f>D770-E770</f>
        <v/>
      </c>
      <c r="G770" s="13">
        <f>IF(D770=0,"",(D770-E770)/D770)</f>
        <v/>
      </c>
      <c r="H770" s="14" t="n">
        <v>1080950</v>
      </c>
      <c r="I770" s="15" t="n">
        <v>0.284</v>
      </c>
      <c r="J770" s="15">
        <f>IF(COUNT(G520:G769)&lt;20,"",IF(COUNTIF(G520:G769,"&lt;"&amp;G770)&gt;=COUNT(G520:G769),(COUNT(G520:G769)-0.5)/COUNT(G520:G769),IF(COUNTIF(G520:G769,G770)&gt;0,(COUNTIF(G520:G769,"&lt;"&amp;G770)+0.5*COUNTIF(G520:G769,G770))/COUNT(G520:G769),COUNTIF(G520:G769,"&lt;"&amp;G770)/COUNT(G520:G769))))</f>
        <v/>
      </c>
      <c r="K770" s="11" t="inlineStr">
        <is>
          <t>中间分位</t>
        </is>
      </c>
      <c r="L770" s="11" t="n">
        <v>58</v>
      </c>
      <c r="M770" s="11" t="inlineStr">
        <is>
          <t>Back(近强)</t>
        </is>
      </c>
      <c r="N770" s="11" t="n">
        <v>0</v>
      </c>
      <c r="O770" s="11" t="n">
        <v>0</v>
      </c>
      <c r="P770" s="12" t="n">
        <v>42</v>
      </c>
      <c r="Q770" s="11" t="inlineStr"/>
    </row>
    <row r="771">
      <c r="A771" s="6" t="inlineStr">
        <is>
          <t>2025-10-27</t>
        </is>
      </c>
      <c r="B771" s="6" t="inlineStr">
        <is>
          <t>MA2601</t>
        </is>
      </c>
      <c r="C771" s="6" t="inlineStr">
        <is>
          <t>2026-01</t>
        </is>
      </c>
      <c r="D771" s="7" t="n">
        <v>2238</v>
      </c>
      <c r="E771" s="7" t="n">
        <v>2268</v>
      </c>
      <c r="F771" s="7">
        <f>D771-E771</f>
        <v/>
      </c>
      <c r="G771" s="8">
        <f>IF(D771=0,"",(D771-E771)/D771)</f>
        <v/>
      </c>
      <c r="H771" s="9" t="n">
        <v>1102546</v>
      </c>
      <c r="I771" s="10" t="n">
        <v>0.232</v>
      </c>
      <c r="J771" s="10">
        <f>IF(COUNT(G521:G770)&lt;20,"",IF(COUNTIF(G521:G770,"&lt;"&amp;G771)&gt;=COUNT(G521:G770),(COUNT(G521:G770)-0.5)/COUNT(G521:G770),IF(COUNTIF(G521:G770,G771)&gt;0,(COUNTIF(G521:G770,"&lt;"&amp;G771)+0.5*COUNTIF(G521:G770,G771))/COUNT(G521:G770),COUNTIF(G521:G770,"&lt;"&amp;G771)/COUNT(G521:G770))))</f>
        <v/>
      </c>
      <c r="K771" s="6" t="inlineStr">
        <is>
          <t>中间分位</t>
        </is>
      </c>
      <c r="L771" s="6" t="n">
        <v>57</v>
      </c>
      <c r="M771" s="6" t="inlineStr">
        <is>
          <t>Back(近强)</t>
        </is>
      </c>
      <c r="N771" s="6" t="n">
        <v>0</v>
      </c>
      <c r="O771" s="6" t="n">
        <v>0</v>
      </c>
      <c r="P771" s="7" t="n">
        <v>48</v>
      </c>
      <c r="Q771" s="6" t="inlineStr"/>
    </row>
    <row r="772">
      <c r="A772" s="11" t="inlineStr">
        <is>
          <t>2025-10-28</t>
        </is>
      </c>
      <c r="B772" s="11" t="inlineStr">
        <is>
          <t>MA2601</t>
        </is>
      </c>
      <c r="C772" s="11" t="inlineStr">
        <is>
          <t>2026-01</t>
        </is>
      </c>
      <c r="D772" s="12" t="n">
        <v>2226</v>
      </c>
      <c r="E772" s="12" t="n">
        <v>2241</v>
      </c>
      <c r="F772" s="12">
        <f>D772-E772</f>
        <v/>
      </c>
      <c r="G772" s="13">
        <f>IF(D772=0,"",(D772-E772)/D772)</f>
        <v/>
      </c>
      <c r="H772" s="14" t="n">
        <v>1221292</v>
      </c>
      <c r="I772" s="15" t="n">
        <v>0.292</v>
      </c>
      <c r="J772" s="15">
        <f>IF(COUNT(G522:G771)&lt;20,"",IF(COUNTIF(G522:G771,"&lt;"&amp;G772)&gt;=COUNT(G522:G771),(COUNT(G522:G771)-0.5)/COUNT(G522:G771),IF(COUNTIF(G522:G771,G772)&gt;0,(COUNTIF(G522:G771,"&lt;"&amp;G772)+0.5*COUNTIF(G522:G771,G772))/COUNT(G522:G771),COUNTIF(G522:G771,"&lt;"&amp;G772)/COUNT(G522:G771))))</f>
        <v/>
      </c>
      <c r="K772" s="11" t="inlineStr">
        <is>
          <t>中间分位</t>
        </is>
      </c>
      <c r="L772" s="11" t="n">
        <v>56</v>
      </c>
      <c r="M772" s="11" t="inlineStr">
        <is>
          <t>Back(近强)</t>
        </is>
      </c>
      <c r="N772" s="11" t="n">
        <v>0</v>
      </c>
      <c r="O772" s="11" t="n">
        <v>0</v>
      </c>
      <c r="P772" s="12" t="n">
        <v>57</v>
      </c>
      <c r="Q772" s="11" t="inlineStr"/>
    </row>
    <row r="773">
      <c r="A773" s="6" t="inlineStr">
        <is>
          <t>2025-10-29</t>
        </is>
      </c>
      <c r="B773" s="6" t="inlineStr">
        <is>
          <t>MA2601</t>
        </is>
      </c>
      <c r="C773" s="6" t="inlineStr">
        <is>
          <t>2026-01</t>
        </is>
      </c>
      <c r="D773" s="7" t="n">
        <v>2205</v>
      </c>
      <c r="E773" s="7" t="n">
        <v>2257</v>
      </c>
      <c r="F773" s="7">
        <f>D773-E773</f>
        <v/>
      </c>
      <c r="G773" s="8">
        <f>IF(D773=0,"",(D773-E773)/D773)</f>
        <v/>
      </c>
      <c r="H773" s="9" t="n">
        <v>1197415</v>
      </c>
      <c r="I773" s="10" t="n">
        <v>0.18</v>
      </c>
      <c r="J773" s="10">
        <f>IF(COUNT(G523:G772)&lt;20,"",IF(COUNTIF(G523:G772,"&lt;"&amp;G773)&gt;=COUNT(G523:G772),(COUNT(G523:G772)-0.5)/COUNT(G523:G772),IF(COUNTIF(G523:G772,G773)&gt;0,(COUNTIF(G523:G772,"&lt;"&amp;G773)+0.5*COUNTIF(G523:G772,G773))/COUNT(G523:G772),COUNTIF(G523:G772,"&lt;"&amp;G773)/COUNT(G523:G772))))</f>
        <v/>
      </c>
      <c r="K773" s="6" t="inlineStr">
        <is>
          <t>中间分位</t>
        </is>
      </c>
      <c r="L773" s="6" t="n">
        <v>55</v>
      </c>
      <c r="M773" s="6" t="inlineStr">
        <is>
          <t>Back(近强)</t>
        </is>
      </c>
      <c r="N773" s="6" t="n">
        <v>0</v>
      </c>
      <c r="O773" s="6" t="n">
        <v>0</v>
      </c>
      <c r="P773" s="7" t="n">
        <v>47</v>
      </c>
      <c r="Q773" s="6" t="inlineStr"/>
    </row>
    <row r="774">
      <c r="A774" s="11" t="inlineStr">
        <is>
          <t>2025-10-30</t>
        </is>
      </c>
      <c r="B774" s="11" t="inlineStr">
        <is>
          <t>MA2601</t>
        </is>
      </c>
      <c r="C774" s="11" t="inlineStr">
        <is>
          <t>2026-01</t>
        </is>
      </c>
      <c r="D774" s="12" t="n">
        <v>2212</v>
      </c>
      <c r="E774" s="12" t="n">
        <v>2208</v>
      </c>
      <c r="F774" s="12">
        <f>D774-E774</f>
        <v/>
      </c>
      <c r="G774" s="13">
        <f>IF(D774=0,"",(D774-E774)/D774)</f>
        <v/>
      </c>
      <c r="H774" s="14" t="n">
        <v>1320962</v>
      </c>
      <c r="I774" s="15" t="n">
        <v>0.404</v>
      </c>
      <c r="J774" s="15">
        <f>IF(COUNT(G524:G773)&lt;20,"",IF(COUNTIF(G524:G773,"&lt;"&amp;G774)&gt;=COUNT(G524:G773),(COUNT(G524:G773)-0.5)/COUNT(G524:G773),IF(COUNTIF(G524:G773,G774)&gt;0,(COUNTIF(G524:G773,"&lt;"&amp;G774)+0.5*COUNTIF(G524:G773,G774))/COUNT(G524:G773),COUNTIF(G524:G773,"&lt;"&amp;G774)/COUNT(G524:G773))))</f>
        <v/>
      </c>
      <c r="K774" s="11" t="inlineStr">
        <is>
          <t>中间分位</t>
        </is>
      </c>
      <c r="L774" s="11" t="n">
        <v>54</v>
      </c>
      <c r="M774" s="11" t="inlineStr">
        <is>
          <t>结构不明</t>
        </is>
      </c>
      <c r="N774" s="11" t="n">
        <v>0</v>
      </c>
      <c r="O774" s="11" t="n">
        <v>0</v>
      </c>
      <c r="P774" s="12" t="n">
        <v>32</v>
      </c>
      <c r="Q774" s="11" t="inlineStr"/>
    </row>
    <row r="775">
      <c r="A775" s="6" t="inlineStr">
        <is>
          <t>2025-10-31</t>
        </is>
      </c>
      <c r="B775" s="6" t="inlineStr">
        <is>
          <t>MA2601</t>
        </is>
      </c>
      <c r="C775" s="6" t="inlineStr">
        <is>
          <t>2026-01</t>
        </is>
      </c>
      <c r="D775" s="7" t="n">
        <v>2176</v>
      </c>
      <c r="E775" s="7" t="n">
        <v>2180</v>
      </c>
      <c r="F775" s="7">
        <f>D775-E775</f>
        <v/>
      </c>
      <c r="G775" s="8">
        <f>IF(D775=0,"",(D775-E775)/D775)</f>
        <v/>
      </c>
      <c r="H775" s="9" t="n">
        <v>1350958</v>
      </c>
      <c r="I775" s="10" t="n">
        <v>0.356</v>
      </c>
      <c r="J775" s="10">
        <f>IF(COUNT(G525:G774)&lt;20,"",IF(COUNTIF(G525:G774,"&lt;"&amp;G775)&gt;=COUNT(G525:G774),(COUNT(G525:G774)-0.5)/COUNT(G525:G774),IF(COUNTIF(G525:G774,G775)&gt;0,(COUNTIF(G525:G774,"&lt;"&amp;G775)+0.5*COUNTIF(G525:G774,G775))/COUNT(G525:G774),COUNTIF(G525:G774,"&lt;"&amp;G775)/COUNT(G525:G774))))</f>
        <v/>
      </c>
      <c r="K775" s="6" t="inlineStr">
        <is>
          <t>中间分位</t>
        </is>
      </c>
      <c r="L775" s="6" t="n">
        <v>53</v>
      </c>
      <c r="M775" s="6" t="inlineStr">
        <is>
          <t>Back(近强)</t>
        </is>
      </c>
      <c r="N775" s="6" t="n">
        <v>0</v>
      </c>
      <c r="O775" s="6" t="n">
        <v>0</v>
      </c>
      <c r="P775" s="7" t="n">
        <v>51</v>
      </c>
      <c r="Q775" s="6" t="inlineStr"/>
    </row>
    <row r="776">
      <c r="A776" s="11" t="inlineStr">
        <is>
          <t>2025-11-03</t>
        </is>
      </c>
      <c r="B776" s="11" t="inlineStr">
        <is>
          <t>MA2601</t>
        </is>
      </c>
      <c r="C776" s="11" t="inlineStr">
        <is>
          <t>2026-01</t>
        </is>
      </c>
      <c r="D776" s="12" t="n">
        <v>2155</v>
      </c>
      <c r="E776" s="12" t="n">
        <v>2143</v>
      </c>
      <c r="F776" s="12">
        <f>D776-E776</f>
        <v/>
      </c>
      <c r="G776" s="13">
        <f>IF(D776=0,"",(D776-E776)/D776)</f>
        <v/>
      </c>
      <c r="H776" s="14" t="n">
        <v>1400566</v>
      </c>
      <c r="I776" s="15" t="n">
        <v>0.436</v>
      </c>
      <c r="J776" s="15">
        <f>IF(COUNT(G526:G775)&lt;20,"",IF(COUNTIF(G526:G775,"&lt;"&amp;G776)&gt;=COUNT(G526:G775),(COUNT(G526:G775)-0.5)/COUNT(G526:G775),IF(COUNTIF(G526:G775,G776)&gt;0,(COUNTIF(G526:G775,"&lt;"&amp;G776)+0.5*COUNTIF(G526:G775,G776))/COUNT(G526:G775),COUNTIF(G526:G775,"&lt;"&amp;G776)/COUNT(G526:G775))))</f>
        <v/>
      </c>
      <c r="K776" s="11" t="inlineStr">
        <is>
          <t>中间分位</t>
        </is>
      </c>
      <c r="L776" s="11" t="n">
        <v>52</v>
      </c>
      <c r="M776" s="11" t="inlineStr">
        <is>
          <t>结构不明</t>
        </is>
      </c>
      <c r="N776" s="11" t="n">
        <v>0</v>
      </c>
      <c r="O776" s="11" t="n">
        <v>0</v>
      </c>
      <c r="P776" s="12" t="n">
        <v>39</v>
      </c>
      <c r="Q776" s="11" t="inlineStr"/>
    </row>
    <row r="777">
      <c r="A777" s="6" t="inlineStr">
        <is>
          <t>2025-11-04</t>
        </is>
      </c>
      <c r="B777" s="6" t="inlineStr">
        <is>
          <t>MA2601</t>
        </is>
      </c>
      <c r="C777" s="6" t="inlineStr">
        <is>
          <t>2026-01</t>
        </is>
      </c>
      <c r="D777" s="7" t="n">
        <v>2102</v>
      </c>
      <c r="E777" s="7" t="n">
        <v>2115</v>
      </c>
      <c r="F777" s="7">
        <f>D777-E777</f>
        <v/>
      </c>
      <c r="G777" s="8">
        <f>IF(D777=0,"",(D777-E777)/D777)</f>
        <v/>
      </c>
      <c r="H777" s="9" t="n">
        <v>1410421</v>
      </c>
      <c r="I777" s="10" t="n">
        <v>0.308</v>
      </c>
      <c r="J777" s="10">
        <f>IF(COUNT(G527:G776)&lt;20,"",IF(COUNTIF(G527:G776,"&lt;"&amp;G777)&gt;=COUNT(G527:G776),(COUNT(G527:G776)-0.5)/COUNT(G527:G776),IF(COUNTIF(G527:G776,G777)&gt;0,(COUNTIF(G527:G776,"&lt;"&amp;G777)+0.5*COUNTIF(G527:G776,G777))/COUNT(G527:G776),COUNTIF(G527:G776,"&lt;"&amp;G777)/COUNT(G527:G776))))</f>
        <v/>
      </c>
      <c r="K777" s="6" t="inlineStr">
        <is>
          <t>中间分位</t>
        </is>
      </c>
      <c r="L777" s="6" t="n">
        <v>51</v>
      </c>
      <c r="M777" s="6" t="inlineStr">
        <is>
          <t>Back(近强)</t>
        </is>
      </c>
      <c r="N777" s="6" t="n">
        <v>0</v>
      </c>
      <c r="O777" s="6" t="n">
        <v>0</v>
      </c>
      <c r="P777" s="7" t="n">
        <v>56</v>
      </c>
      <c r="Q777" s="6" t="inlineStr"/>
    </row>
    <row r="778">
      <c r="A778" s="11" t="inlineStr">
        <is>
          <t>2025-11-05</t>
        </is>
      </c>
      <c r="B778" s="11" t="inlineStr">
        <is>
          <t>MA2601</t>
        </is>
      </c>
      <c r="C778" s="11" t="inlineStr">
        <is>
          <t>2026-01</t>
        </is>
      </c>
      <c r="D778" s="12" t="n">
        <v>2077</v>
      </c>
      <c r="E778" s="12" t="n">
        <v>2141</v>
      </c>
      <c r="F778" s="12">
        <f>D778-E778</f>
        <v/>
      </c>
      <c r="G778" s="13">
        <f>IF(D778=0,"",(D778-E778)/D778)</f>
        <v/>
      </c>
      <c r="H778" s="14" t="n">
        <v>1372748</v>
      </c>
      <c r="I778" s="15" t="n">
        <v>0.14</v>
      </c>
      <c r="J778" s="15">
        <f>IF(COUNT(G528:G777)&lt;20,"",IF(COUNTIF(G528:G777,"&lt;"&amp;G778)&gt;=COUNT(G528:G777),(COUNT(G528:G777)-0.5)/COUNT(G528:G777),IF(COUNTIF(G528:G777,G778)&gt;0,(COUNTIF(G528:G777,"&lt;"&amp;G778)+0.5*COUNTIF(G528:G777,G778))/COUNT(G528:G777),COUNTIF(G528:G777,"&lt;"&amp;G778)/COUNT(G528:G777))))</f>
        <v/>
      </c>
      <c r="K778" s="11" t="inlineStr">
        <is>
          <t>中间分位</t>
        </is>
      </c>
      <c r="L778" s="11" t="n">
        <v>50</v>
      </c>
      <c r="M778" s="11" t="inlineStr">
        <is>
          <t>Back(近强)</t>
        </is>
      </c>
      <c r="N778" s="11" t="n">
        <v>0</v>
      </c>
      <c r="O778" s="11" t="n">
        <v>0</v>
      </c>
      <c r="P778" s="12" t="n">
        <v>61</v>
      </c>
      <c r="Q778" s="11" t="inlineStr"/>
    </row>
    <row r="779">
      <c r="A779" s="6" t="inlineStr">
        <is>
          <t>2025-11-06</t>
        </is>
      </c>
      <c r="B779" s="6" t="inlineStr">
        <is>
          <t>MA2601</t>
        </is>
      </c>
      <c r="C779" s="6" t="inlineStr">
        <is>
          <t>2026-01</t>
        </is>
      </c>
      <c r="D779" s="7" t="n">
        <v>2073</v>
      </c>
      <c r="E779" s="7" t="n">
        <v>2125</v>
      </c>
      <c r="F779" s="7">
        <f>D779-E779</f>
        <v/>
      </c>
      <c r="G779" s="8">
        <f>IF(D779=0,"",(D779-E779)/D779)</f>
        <v/>
      </c>
      <c r="H779" s="9" t="n">
        <v>1368330</v>
      </c>
      <c r="I779" s="10" t="n">
        <v>0.168</v>
      </c>
      <c r="J779" s="10">
        <f>IF(COUNT(G529:G778)&lt;20,"",IF(COUNTIF(G529:G778,"&lt;"&amp;G779)&gt;=COUNT(G529:G778),(COUNT(G529:G778)-0.5)/COUNT(G529:G778),IF(COUNTIF(G529:G778,G779)&gt;0,(COUNTIF(G529:G778,"&lt;"&amp;G779)+0.5*COUNTIF(G529:G778,G779))/COUNT(G529:G778),COUNTIF(G529:G778,"&lt;"&amp;G779)/COUNT(G529:G778))))</f>
        <v/>
      </c>
      <c r="K779" s="6" t="inlineStr">
        <is>
          <t>中间分位</t>
        </is>
      </c>
      <c r="L779" s="6" t="n">
        <v>49</v>
      </c>
      <c r="M779" s="6" t="inlineStr">
        <is>
          <t>结构不明</t>
        </is>
      </c>
      <c r="N779" s="6" t="n">
        <v>0</v>
      </c>
      <c r="O779" s="6" t="n">
        <v>0</v>
      </c>
      <c r="P779" s="7" t="n">
        <v>38</v>
      </c>
      <c r="Q779" s="6" t="inlineStr"/>
    </row>
    <row r="780">
      <c r="A780" s="11" t="inlineStr">
        <is>
          <t>2025-11-07</t>
        </is>
      </c>
      <c r="B780" s="11" t="inlineStr">
        <is>
          <t>MA2601</t>
        </is>
      </c>
      <c r="C780" s="11" t="inlineStr">
        <is>
          <t>2026-01</t>
        </is>
      </c>
      <c r="D780" s="12" t="n">
        <v>2096</v>
      </c>
      <c r="E780" s="12" t="n">
        <v>2112</v>
      </c>
      <c r="F780" s="12">
        <f>D780-E780</f>
        <v/>
      </c>
      <c r="G780" s="13">
        <f>IF(D780=0,"",(D780-E780)/D780)</f>
        <v/>
      </c>
      <c r="H780" s="14" t="n">
        <v>1390818</v>
      </c>
      <c r="I780" s="15" t="n">
        <v>0.284</v>
      </c>
      <c r="J780" s="15">
        <f>IF(COUNT(G530:G779)&lt;20,"",IF(COUNTIF(G530:G779,"&lt;"&amp;G780)&gt;=COUNT(G530:G779),(COUNT(G530:G779)-0.5)/COUNT(G530:G779),IF(COUNTIF(G530:G779,G780)&gt;0,(COUNTIF(G530:G779,"&lt;"&amp;G780)+0.5*COUNTIF(G530:G779,G780))/COUNT(G530:G779),COUNTIF(G530:G779,"&lt;"&amp;G780)/COUNT(G530:G779))))</f>
        <v/>
      </c>
      <c r="K780" s="11" t="inlineStr">
        <is>
          <t>中间分位</t>
        </is>
      </c>
      <c r="L780" s="11" t="n">
        <v>48</v>
      </c>
      <c r="M780" s="11" t="inlineStr">
        <is>
          <t>Contango(远强)</t>
        </is>
      </c>
      <c r="N780" s="11" t="n">
        <v>0</v>
      </c>
      <c r="O780" s="11" t="n">
        <v>0</v>
      </c>
      <c r="P780" s="12" t="n">
        <v>14</v>
      </c>
      <c r="Q780" s="11" t="inlineStr"/>
    </row>
    <row r="781">
      <c r="A781" s="6" t="inlineStr">
        <is>
          <t>2025-11-10</t>
        </is>
      </c>
      <c r="B781" s="6" t="inlineStr">
        <is>
          <t>MA2601</t>
        </is>
      </c>
      <c r="C781" s="6" t="inlineStr">
        <is>
          <t>2026-01</t>
        </is>
      </c>
      <c r="D781" s="7" t="n">
        <v>2087</v>
      </c>
      <c r="E781" s="7" t="n">
        <v>2101</v>
      </c>
      <c r="F781" s="7">
        <f>D781-E781</f>
        <v/>
      </c>
      <c r="G781" s="8">
        <f>IF(D781=0,"",(D781-E781)/D781)</f>
        <v/>
      </c>
      <c r="H781" s="9" t="n">
        <v>1405588</v>
      </c>
      <c r="I781" s="10" t="n">
        <v>0.308</v>
      </c>
      <c r="J781" s="10">
        <f>IF(COUNT(G531:G780)&lt;20,"",IF(COUNTIF(G531:G780,"&lt;"&amp;G781)&gt;=COUNT(G531:G780),(COUNT(G531:G780)-0.5)/COUNT(G531:G780),IF(COUNTIF(G531:G780,G781)&gt;0,(COUNTIF(G531:G780,"&lt;"&amp;G781)+0.5*COUNTIF(G531:G780,G781))/COUNT(G531:G780),COUNTIF(G531:G780,"&lt;"&amp;G781)/COUNT(G531:G780))))</f>
        <v/>
      </c>
      <c r="K781" s="6" t="inlineStr">
        <is>
          <t>中间分位</t>
        </is>
      </c>
      <c r="L781" s="6" t="n">
        <v>47</v>
      </c>
      <c r="M781" s="6" t="inlineStr">
        <is>
          <t>结构不明</t>
        </is>
      </c>
      <c r="N781" s="6" t="n">
        <v>0</v>
      </c>
      <c r="O781" s="6" t="n">
        <v>0</v>
      </c>
      <c r="P781" s="7" t="n">
        <v>43</v>
      </c>
      <c r="Q781" s="6" t="inlineStr"/>
    </row>
    <row r="782">
      <c r="A782" s="11" t="inlineStr">
        <is>
          <t>2025-11-11</t>
        </is>
      </c>
      <c r="B782" s="11" t="inlineStr">
        <is>
          <t>MA2601</t>
        </is>
      </c>
      <c r="C782" s="11" t="inlineStr">
        <is>
          <t>2026-01</t>
        </is>
      </c>
      <c r="D782" s="12" t="n">
        <v>2067</v>
      </c>
      <c r="E782" s="12" t="n">
        <v>2082</v>
      </c>
      <c r="F782" s="12">
        <f>D782-E782</f>
        <v/>
      </c>
      <c r="G782" s="13">
        <f>IF(D782=0,"",(D782-E782)/D782)</f>
        <v/>
      </c>
      <c r="H782" s="14" t="n">
        <v>1449761</v>
      </c>
      <c r="I782" s="15" t="n">
        <v>0.292</v>
      </c>
      <c r="J782" s="15">
        <f>IF(COUNT(G532:G781)&lt;20,"",IF(COUNTIF(G532:G781,"&lt;"&amp;G782)&gt;=COUNT(G532:G781),(COUNT(G532:G781)-0.5)/COUNT(G532:G781),IF(COUNTIF(G532:G781,G782)&gt;0,(COUNTIF(G532:G781,"&lt;"&amp;G782)+0.5*COUNTIF(G532:G781,G782))/COUNT(G532:G781),COUNTIF(G532:G781,"&lt;"&amp;G782)/COUNT(G532:G781))))</f>
        <v/>
      </c>
      <c r="K782" s="11" t="inlineStr">
        <is>
          <t>中间分位</t>
        </is>
      </c>
      <c r="L782" s="11" t="n">
        <v>46</v>
      </c>
      <c r="M782" s="11" t="inlineStr">
        <is>
          <t>Contango(远强)</t>
        </is>
      </c>
      <c r="N782" s="11" t="n">
        <v>0</v>
      </c>
      <c r="O782" s="11" t="n">
        <v>0</v>
      </c>
      <c r="P782" s="12" t="n">
        <v>12</v>
      </c>
      <c r="Q782" s="11" t="inlineStr"/>
    </row>
    <row r="783">
      <c r="A783" s="6" t="inlineStr">
        <is>
          <t>2025-11-12</t>
        </is>
      </c>
      <c r="B783" s="6" t="inlineStr">
        <is>
          <t>MA2601</t>
        </is>
      </c>
      <c r="C783" s="6" t="inlineStr">
        <is>
          <t>2026-01</t>
        </is>
      </c>
      <c r="D783" s="7" t="n">
        <v>2070</v>
      </c>
      <c r="E783" s="7" t="n">
        <v>2108</v>
      </c>
      <c r="F783" s="7">
        <f>D783-E783</f>
        <v/>
      </c>
      <c r="G783" s="8">
        <f>IF(D783=0,"",(D783-E783)/D783)</f>
        <v/>
      </c>
      <c r="H783" s="9" t="n">
        <v>1407320</v>
      </c>
      <c r="I783" s="10" t="n">
        <v>0.216</v>
      </c>
      <c r="J783" s="10">
        <f>IF(COUNT(G533:G782)&lt;20,"",IF(COUNTIF(G533:G782,"&lt;"&amp;G783)&gt;=COUNT(G533:G782),(COUNT(G533:G782)-0.5)/COUNT(G533:G782),IF(COUNTIF(G533:G782,G783)&gt;0,(COUNTIF(G533:G782,"&lt;"&amp;G783)+0.5*COUNTIF(G533:G782,G783))/COUNT(G533:G782),COUNTIF(G533:G782,"&lt;"&amp;G783)/COUNT(G533:G782))))</f>
        <v/>
      </c>
      <c r="K783" s="6" t="inlineStr">
        <is>
          <t>中间分位</t>
        </is>
      </c>
      <c r="L783" s="6" t="n">
        <v>45</v>
      </c>
      <c r="M783" s="6" t="inlineStr">
        <is>
          <t>结构不明</t>
        </is>
      </c>
      <c r="N783" s="6" t="n">
        <v>0</v>
      </c>
      <c r="O783" s="6" t="n">
        <v>0</v>
      </c>
      <c r="P783" s="7" t="n">
        <v>33</v>
      </c>
      <c r="Q783" s="6" t="inlineStr"/>
    </row>
    <row r="784">
      <c r="A784" s="11" t="inlineStr">
        <is>
          <t>2025-11-13</t>
        </is>
      </c>
      <c r="B784" s="11" t="inlineStr">
        <is>
          <t>MA2601</t>
        </is>
      </c>
      <c r="C784" s="11" t="inlineStr">
        <is>
          <t>2026-01</t>
        </is>
      </c>
      <c r="D784" s="12" t="n">
        <v>2078</v>
      </c>
      <c r="E784" s="12" t="n">
        <v>2103</v>
      </c>
      <c r="F784" s="12">
        <f>D784-E784</f>
        <v/>
      </c>
      <c r="G784" s="13">
        <f>IF(D784=0,"",(D784-E784)/D784)</f>
        <v/>
      </c>
      <c r="H784" s="14" t="n">
        <v>1382830</v>
      </c>
      <c r="I784" s="15" t="n">
        <v>0.252</v>
      </c>
      <c r="J784" s="15">
        <f>IF(COUNT(G534:G783)&lt;20,"",IF(COUNTIF(G534:G783,"&lt;"&amp;G784)&gt;=COUNT(G534:G783),(COUNT(G534:G783)-0.5)/COUNT(G534:G783),IF(COUNTIF(G534:G783,G784)&gt;0,(COUNTIF(G534:G783,"&lt;"&amp;G784)+0.5*COUNTIF(G534:G783,G784))/COUNT(G534:G783),COUNTIF(G534:G783,"&lt;"&amp;G784)/COUNT(G534:G783))))</f>
        <v/>
      </c>
      <c r="K784" s="11" t="inlineStr">
        <is>
          <t>中间分位</t>
        </is>
      </c>
      <c r="L784" s="11" t="n">
        <v>44</v>
      </c>
      <c r="M784" s="11" t="inlineStr">
        <is>
          <t>Back(近强)</t>
        </is>
      </c>
      <c r="N784" s="11" t="n">
        <v>0</v>
      </c>
      <c r="O784" s="11" t="n">
        <v>0</v>
      </c>
      <c r="P784" s="12" t="n">
        <v>51</v>
      </c>
      <c r="Q784" s="11" t="inlineStr"/>
    </row>
    <row r="785">
      <c r="A785" s="6" t="inlineStr">
        <is>
          <t>2025-11-14</t>
        </is>
      </c>
      <c r="B785" s="6" t="inlineStr">
        <is>
          <t>MA2601</t>
        </is>
      </c>
      <c r="C785" s="6" t="inlineStr">
        <is>
          <t>2026-01</t>
        </is>
      </c>
      <c r="D785" s="7" t="n">
        <v>2078</v>
      </c>
      <c r="E785" s="7" t="n">
        <v>2055</v>
      </c>
      <c r="F785" s="7">
        <f>D785-E785</f>
        <v/>
      </c>
      <c r="G785" s="8">
        <f>IF(D785=0,"",(D785-E785)/D785)</f>
        <v/>
      </c>
      <c r="H785" s="9" t="n">
        <v>1516796</v>
      </c>
      <c r="I785" s="10" t="n">
        <v>0.488</v>
      </c>
      <c r="J785" s="10">
        <f>IF(COUNT(G535:G784)&lt;20,"",IF(COUNTIF(G535:G784,"&lt;"&amp;G785)&gt;=COUNT(G535:G784),(COUNT(G535:G784)-0.5)/COUNT(G535:G784),IF(COUNTIF(G535:G784,G785)&gt;0,(COUNTIF(G535:G784,"&lt;"&amp;G785)+0.5*COUNTIF(G535:G784,G785))/COUNT(G535:G784),COUNTIF(G535:G784,"&lt;"&amp;G785)/COUNT(G535:G784))))</f>
        <v/>
      </c>
      <c r="K785" s="6" t="inlineStr">
        <is>
          <t>中间分位</t>
        </is>
      </c>
      <c r="L785" s="6" t="n">
        <v>43</v>
      </c>
      <c r="M785" s="6" t="inlineStr">
        <is>
          <t>结构不明</t>
        </is>
      </c>
      <c r="N785" s="6" t="n">
        <v>0</v>
      </c>
      <c r="O785" s="6" t="n">
        <v>0</v>
      </c>
      <c r="P785" s="7" t="n">
        <v>43</v>
      </c>
      <c r="Q785" s="6" t="inlineStr"/>
    </row>
    <row r="786">
      <c r="A786" s="11" t="inlineStr">
        <is>
          <t>2025-11-17</t>
        </is>
      </c>
      <c r="B786" s="11" t="inlineStr">
        <is>
          <t>MA2601</t>
        </is>
      </c>
      <c r="C786" s="11" t="inlineStr">
        <is>
          <t>2026-01</t>
        </is>
      </c>
      <c r="D786" s="12" t="n">
        <v>2070</v>
      </c>
      <c r="E786" s="12" t="n">
        <v>2029</v>
      </c>
      <c r="F786" s="12">
        <f>D786-E786</f>
        <v/>
      </c>
      <c r="G786" s="13">
        <f>IF(D786=0,"",(D786-E786)/D786)</f>
        <v/>
      </c>
      <c r="H786" s="14" t="n">
        <v>1497531</v>
      </c>
      <c r="I786" s="15" t="n">
        <v>0.576</v>
      </c>
      <c r="J786" s="15">
        <f>IF(COUNT(G536:G785)&lt;20,"",IF(COUNTIF(G536:G785,"&lt;"&amp;G786)&gt;=COUNT(G536:G785),(COUNT(G536:G785)-0.5)/COUNT(G536:G785),IF(COUNTIF(G536:G785,G786)&gt;0,(COUNTIF(G536:G785,"&lt;"&amp;G786)+0.5*COUNTIF(G536:G785,G786))/COUNT(G536:G785),COUNTIF(G536:G785,"&lt;"&amp;G786)/COUNT(G536:G785))))</f>
        <v/>
      </c>
      <c r="K786" s="11" t="inlineStr">
        <is>
          <t>中间分位</t>
        </is>
      </c>
      <c r="L786" s="11" t="n">
        <v>42</v>
      </c>
      <c r="M786" s="11" t="inlineStr">
        <is>
          <t>结构不明</t>
        </is>
      </c>
      <c r="N786" s="11" t="n">
        <v>0</v>
      </c>
      <c r="O786" s="11" t="n">
        <v>0</v>
      </c>
      <c r="P786" s="12" t="n">
        <v>35</v>
      </c>
      <c r="Q786" s="11" t="inlineStr"/>
    </row>
    <row r="787">
      <c r="A787" s="6" t="inlineStr">
        <is>
          <t>2025-11-18</t>
        </is>
      </c>
      <c r="B787" s="6" t="inlineStr">
        <is>
          <t>MA2601</t>
        </is>
      </c>
      <c r="C787" s="6" t="inlineStr">
        <is>
          <t>2026-01</t>
        </is>
      </c>
      <c r="D787" s="7" t="n">
        <v>2020</v>
      </c>
      <c r="E787" s="7" t="n">
        <v>2030</v>
      </c>
      <c r="F787" s="7">
        <f>D787-E787</f>
        <v/>
      </c>
      <c r="G787" s="8">
        <f>IF(D787=0,"",(D787-E787)/D787)</f>
        <v/>
      </c>
      <c r="H787" s="9" t="n">
        <v>1458493</v>
      </c>
      <c r="I787" s="10" t="n">
        <v>0.34</v>
      </c>
      <c r="J787" s="10">
        <f>IF(COUNT(G537:G786)&lt;20,"",IF(COUNTIF(G537:G786,"&lt;"&amp;G787)&gt;=COUNT(G537:G786),(COUNT(G537:G786)-0.5)/COUNT(G537:G786),IF(COUNTIF(G537:G786,G787)&gt;0,(COUNTIF(G537:G786,"&lt;"&amp;G787)+0.5*COUNTIF(G537:G786,G787))/COUNT(G537:G786),COUNTIF(G537:G786,"&lt;"&amp;G787)/COUNT(G537:G786))))</f>
        <v/>
      </c>
      <c r="K787" s="6" t="inlineStr">
        <is>
          <t>中间分位</t>
        </is>
      </c>
      <c r="L787" s="6" t="n">
        <v>41</v>
      </c>
      <c r="M787" s="6" t="inlineStr">
        <is>
          <t>结构不明</t>
        </is>
      </c>
      <c r="N787" s="6" t="n">
        <v>0</v>
      </c>
      <c r="O787" s="6" t="n">
        <v>0</v>
      </c>
      <c r="P787" s="7" t="n">
        <v>35</v>
      </c>
      <c r="Q787" s="6" t="inlineStr"/>
    </row>
    <row r="788">
      <c r="A788" s="11" t="inlineStr">
        <is>
          <t>2025-11-19</t>
        </is>
      </c>
      <c r="B788" s="11" t="inlineStr">
        <is>
          <t>MA2601</t>
        </is>
      </c>
      <c r="C788" s="11" t="inlineStr">
        <is>
          <t>2026-01</t>
        </is>
      </c>
      <c r="D788" s="12" t="n">
        <v>2006</v>
      </c>
      <c r="E788" s="12" t="n">
        <v>2013</v>
      </c>
      <c r="F788" s="12">
        <f>D788-E788</f>
        <v/>
      </c>
      <c r="G788" s="13">
        <f>IF(D788=0,"",(D788-E788)/D788)</f>
        <v/>
      </c>
      <c r="H788" s="14" t="n">
        <v>1450621</v>
      </c>
      <c r="I788" s="15" t="n">
        <v>0.348</v>
      </c>
      <c r="J788" s="15">
        <f>IF(COUNT(G538:G787)&lt;20,"",IF(COUNTIF(G538:G787,"&lt;"&amp;G788)&gt;=COUNT(G538:G787),(COUNT(G538:G787)-0.5)/COUNT(G538:G787),IF(COUNTIF(G538:G787,G788)&gt;0,(COUNTIF(G538:G787,"&lt;"&amp;G788)+0.5*COUNTIF(G538:G787,G788))/COUNT(G538:G787),COUNTIF(G538:G787,"&lt;"&amp;G788)/COUNT(G538:G787))))</f>
        <v/>
      </c>
      <c r="K788" s="11" t="inlineStr">
        <is>
          <t>中间分位</t>
        </is>
      </c>
      <c r="L788" s="11" t="n">
        <v>40</v>
      </c>
      <c r="M788" s="11" t="inlineStr">
        <is>
          <t>结构不明</t>
        </is>
      </c>
      <c r="N788" s="11" t="n">
        <v>0</v>
      </c>
      <c r="O788" s="11" t="n">
        <v>0</v>
      </c>
      <c r="P788" s="12" t="n">
        <v>34</v>
      </c>
      <c r="Q788" s="11" t="inlineStr"/>
    </row>
    <row r="789">
      <c r="A789" s="6" t="inlineStr">
        <is>
          <t>2025-11-20</t>
        </is>
      </c>
      <c r="B789" s="6" t="inlineStr">
        <is>
          <t>MA2601</t>
        </is>
      </c>
      <c r="C789" s="6" t="inlineStr">
        <is>
          <t>2026-01</t>
        </is>
      </c>
      <c r="D789" s="7" t="n">
        <v>1999</v>
      </c>
      <c r="E789" s="7" t="n">
        <v>2016</v>
      </c>
      <c r="F789" s="7">
        <f>D789-E789</f>
        <v/>
      </c>
      <c r="G789" s="8">
        <f>IF(D789=0,"",(D789-E789)/D789)</f>
        <v/>
      </c>
      <c r="H789" s="9" t="n">
        <v>1427832</v>
      </c>
      <c r="I789" s="10" t="n">
        <v>0.28</v>
      </c>
      <c r="J789" s="10">
        <f>IF(COUNT(G539:G788)&lt;20,"",IF(COUNTIF(G539:G788,"&lt;"&amp;G789)&gt;=COUNT(G539:G788),(COUNT(G539:G788)-0.5)/COUNT(G539:G788),IF(COUNTIF(G539:G788,G789)&gt;0,(COUNTIF(G539:G788,"&lt;"&amp;G789)+0.5*COUNTIF(G539:G788,G789))/COUNT(G539:G788),COUNTIF(G539:G788,"&lt;"&amp;G789)/COUNT(G539:G788))))</f>
        <v/>
      </c>
      <c r="K789" s="6" t="inlineStr">
        <is>
          <t>中间分位</t>
        </is>
      </c>
      <c r="L789" s="6" t="n">
        <v>39</v>
      </c>
      <c r="M789" s="6" t="inlineStr">
        <is>
          <t>结构不明</t>
        </is>
      </c>
      <c r="N789" s="6" t="n">
        <v>0</v>
      </c>
      <c r="O789" s="6" t="n">
        <v>0</v>
      </c>
      <c r="P789" s="7" t="n">
        <v>39</v>
      </c>
      <c r="Q789" s="6" t="inlineStr"/>
    </row>
    <row r="790">
      <c r="A790" s="11" t="inlineStr">
        <is>
          <t>2025-11-21</t>
        </is>
      </c>
      <c r="B790" s="11" t="inlineStr">
        <is>
          <t>MA2601</t>
        </is>
      </c>
      <c r="C790" s="11" t="inlineStr">
        <is>
          <t>2026-01</t>
        </is>
      </c>
      <c r="D790" s="12" t="n">
        <v>2002</v>
      </c>
      <c r="E790" s="12" t="n">
        <v>2004</v>
      </c>
      <c r="F790" s="12">
        <f>D790-E790</f>
        <v/>
      </c>
      <c r="G790" s="13">
        <f>IF(D790=0,"",(D790-E790)/D790)</f>
        <v/>
      </c>
      <c r="H790" s="14" t="n">
        <v>1402473</v>
      </c>
      <c r="I790" s="15" t="n">
        <v>0.376</v>
      </c>
      <c r="J790" s="15">
        <f>IF(COUNT(G540:G789)&lt;20,"",IF(COUNTIF(G540:G789,"&lt;"&amp;G790)&gt;=COUNT(G540:G789),(COUNT(G540:G789)-0.5)/COUNT(G540:G789),IF(COUNTIF(G540:G789,G790)&gt;0,(COUNTIF(G540:G789,"&lt;"&amp;G790)+0.5*COUNTIF(G540:G789,G790))/COUNT(G540:G789),COUNTIF(G540:G789,"&lt;"&amp;G790)/COUNT(G540:G789))))</f>
        <v/>
      </c>
      <c r="K790" s="11" t="inlineStr">
        <is>
          <t>中间分位</t>
        </is>
      </c>
      <c r="L790" s="11" t="n">
        <v>38</v>
      </c>
      <c r="M790" s="11" t="inlineStr">
        <is>
          <t>结构不明</t>
        </is>
      </c>
      <c r="N790" s="11" t="n">
        <v>0</v>
      </c>
      <c r="O790" s="11" t="n">
        <v>0</v>
      </c>
      <c r="P790" s="12" t="n">
        <v>38</v>
      </c>
      <c r="Q790" s="11" t="inlineStr"/>
    </row>
    <row r="791">
      <c r="A791" s="6" t="inlineStr">
        <is>
          <t>2025-11-24</t>
        </is>
      </c>
      <c r="B791" s="6" t="inlineStr">
        <is>
          <t>MA2601</t>
        </is>
      </c>
      <c r="C791" s="6" t="inlineStr">
        <is>
          <t>2026-01</t>
        </is>
      </c>
      <c r="D791" s="7" t="n">
        <v>1995</v>
      </c>
      <c r="E791" s="7" t="n">
        <v>2077</v>
      </c>
      <c r="F791" s="7">
        <f>D791-E791</f>
        <v/>
      </c>
      <c r="G791" s="8">
        <f>IF(D791=0,"",(D791-E791)/D791)</f>
        <v/>
      </c>
      <c r="H791" s="9" t="n">
        <v>1312675</v>
      </c>
      <c r="I791" s="10" t="n">
        <v>0.092</v>
      </c>
      <c r="J791" s="10">
        <f>IF(COUNT(G541:G790)&lt;20,"",IF(COUNTIF(G541:G790,"&lt;"&amp;G791)&gt;=COUNT(G541:G790),(COUNT(G541:G790)-0.5)/COUNT(G541:G790),IF(COUNTIF(G541:G790,G791)&gt;0,(COUNTIF(G541:G790,"&lt;"&amp;G791)+0.5*COUNTIF(G541:G790,G791))/COUNT(G541:G790),COUNTIF(G541:G790,"&lt;"&amp;G791)/COUNT(G541:G790))))</f>
        <v/>
      </c>
      <c r="K791" s="6" t="inlineStr">
        <is>
          <t>低分位</t>
        </is>
      </c>
      <c r="L791" s="6" t="n">
        <v>37</v>
      </c>
      <c r="M791" s="6" t="inlineStr">
        <is>
          <t>结构不明</t>
        </is>
      </c>
      <c r="N791" s="6" t="n">
        <v>0</v>
      </c>
      <c r="O791" s="6" t="n">
        <v>0</v>
      </c>
      <c r="P791" s="7" t="n">
        <v>36</v>
      </c>
      <c r="Q791" s="6" t="inlineStr"/>
    </row>
    <row r="792">
      <c r="A792" s="11" t="inlineStr">
        <is>
          <t>2025-11-25</t>
        </is>
      </c>
      <c r="B792" s="11" t="inlineStr">
        <is>
          <t>MA2601</t>
        </is>
      </c>
      <c r="C792" s="11" t="inlineStr">
        <is>
          <t>2026-01</t>
        </is>
      </c>
      <c r="D792" s="12" t="n">
        <v>2066</v>
      </c>
      <c r="E792" s="12" t="n">
        <v>2067</v>
      </c>
      <c r="F792" s="12">
        <f>D792-E792</f>
        <v/>
      </c>
      <c r="G792" s="13">
        <f>IF(D792=0,"",(D792-E792)/D792)</f>
        <v/>
      </c>
      <c r="H792" s="14" t="n">
        <v>1200371</v>
      </c>
      <c r="I792" s="15" t="n">
        <v>0.388</v>
      </c>
      <c r="J792" s="15">
        <f>IF(COUNT(G542:G791)&lt;20,"",IF(COUNTIF(G542:G791,"&lt;"&amp;G792)&gt;=COUNT(G542:G791),(COUNT(G542:G791)-0.5)/COUNT(G542:G791),IF(COUNTIF(G542:G791,G792)&gt;0,(COUNTIF(G542:G791,"&lt;"&amp;G792)+0.5*COUNTIF(G542:G791,G792))/COUNT(G542:G791),COUNTIF(G542:G791,"&lt;"&amp;G792)/COUNT(G542:G791))))</f>
        <v/>
      </c>
      <c r="K792" s="11" t="inlineStr">
        <is>
          <t>中间分位</t>
        </is>
      </c>
      <c r="L792" s="11" t="n">
        <v>36</v>
      </c>
      <c r="M792" s="11" t="inlineStr">
        <is>
          <t>结构不明</t>
        </is>
      </c>
      <c r="N792" s="11" t="n">
        <v>0</v>
      </c>
      <c r="O792" s="11" t="n">
        <v>0</v>
      </c>
      <c r="P792" s="12" t="n">
        <v>38</v>
      </c>
      <c r="Q792" s="11" t="inlineStr"/>
    </row>
    <row r="793">
      <c r="A793" s="6" t="inlineStr">
        <is>
          <t>2025-11-26</t>
        </is>
      </c>
      <c r="B793" s="6" t="inlineStr">
        <is>
          <t>MA2601</t>
        </is>
      </c>
      <c r="C793" s="6" t="inlineStr">
        <is>
          <t>2026-01</t>
        </is>
      </c>
      <c r="D793" s="7" t="n">
        <v>2055</v>
      </c>
      <c r="E793" s="7" t="n">
        <v>2094</v>
      </c>
      <c r="F793" s="7">
        <f>D793-E793</f>
        <v/>
      </c>
      <c r="G793" s="8">
        <f>IF(D793=0,"",(D793-E793)/D793)</f>
        <v/>
      </c>
      <c r="H793" s="9" t="n">
        <v>1154686</v>
      </c>
      <c r="I793" s="10" t="n">
        <v>0.216</v>
      </c>
      <c r="J793" s="10">
        <f>IF(COUNT(G543:G792)&lt;20,"",IF(COUNTIF(G543:G792,"&lt;"&amp;G793)&gt;=COUNT(G543:G792),(COUNT(G543:G792)-0.5)/COUNT(G543:G792),IF(COUNTIF(G543:G792,G793)&gt;0,(COUNTIF(G543:G792,"&lt;"&amp;G793)+0.5*COUNTIF(G543:G792,G793))/COUNT(G543:G792),COUNTIF(G543:G792,"&lt;"&amp;G793)/COUNT(G543:G792))))</f>
        <v/>
      </c>
      <c r="K793" s="6" t="inlineStr">
        <is>
          <t>中间分位</t>
        </is>
      </c>
      <c r="L793" s="6" t="n">
        <v>35</v>
      </c>
      <c r="M793" s="6" t="inlineStr">
        <is>
          <t>结构不明</t>
        </is>
      </c>
      <c r="N793" s="6" t="n">
        <v>0</v>
      </c>
      <c r="O793" s="6" t="n">
        <v>0</v>
      </c>
      <c r="P793" s="7" t="n">
        <v>40</v>
      </c>
      <c r="Q793" s="6" t="inlineStr"/>
    </row>
    <row r="794">
      <c r="A794" s="11" t="inlineStr">
        <is>
          <t>2025-11-27</t>
        </is>
      </c>
      <c r="B794" s="11" t="inlineStr">
        <is>
          <t>MA2601</t>
        </is>
      </c>
      <c r="C794" s="11" t="inlineStr">
        <is>
          <t>2026-01</t>
        </is>
      </c>
      <c r="D794" s="12" t="n">
        <v>2079.17</v>
      </c>
      <c r="E794" s="12" t="n">
        <v>2114</v>
      </c>
      <c r="F794" s="12">
        <f>D794-E794</f>
        <v/>
      </c>
      <c r="G794" s="13">
        <f>IF(D794=0,"",(D794-E794)/D794)</f>
        <v/>
      </c>
      <c r="H794" s="14" t="n">
        <v>1103826</v>
      </c>
      <c r="I794" s="15" t="n">
        <v>0.236</v>
      </c>
      <c r="J794" s="15">
        <f>IF(COUNT(G544:G793)&lt;20,"",IF(COUNTIF(G544:G793,"&lt;"&amp;G794)&gt;=COUNT(G544:G793),(COUNT(G544:G793)-0.5)/COUNT(G544:G793),IF(COUNTIF(G544:G793,G794)&gt;0,(COUNTIF(G544:G793,"&lt;"&amp;G794)+0.5*COUNTIF(G544:G793,G794))/COUNT(G544:G793),COUNTIF(G544:G793,"&lt;"&amp;G794)/COUNT(G544:G793))))</f>
        <v/>
      </c>
      <c r="K794" s="11" t="inlineStr">
        <is>
          <t>中间分位</t>
        </is>
      </c>
      <c r="L794" s="11" t="n">
        <v>34</v>
      </c>
      <c r="M794" s="11" t="inlineStr">
        <is>
          <t>结构不明</t>
        </is>
      </c>
      <c r="N794" s="11" t="n">
        <v>0</v>
      </c>
      <c r="O794" s="11" t="n">
        <v>0</v>
      </c>
      <c r="P794" s="12" t="n">
        <v>41</v>
      </c>
      <c r="Q794" s="11" t="inlineStr"/>
    </row>
    <row r="795">
      <c r="A795" s="6" t="inlineStr">
        <is>
          <t>2025-11-28</t>
        </is>
      </c>
      <c r="B795" s="6" t="inlineStr">
        <is>
          <t>MA2601</t>
        </is>
      </c>
      <c r="C795" s="6" t="inlineStr">
        <is>
          <t>2026-01</t>
        </is>
      </c>
      <c r="D795" s="7" t="n">
        <v>2103.33</v>
      </c>
      <c r="E795" s="7" t="n">
        <v>2135</v>
      </c>
      <c r="F795" s="7">
        <f>D795-E795</f>
        <v/>
      </c>
      <c r="G795" s="8">
        <f>IF(D795=0,"",(D795-E795)/D795)</f>
        <v/>
      </c>
      <c r="H795" s="9" t="n">
        <v>1048516</v>
      </c>
      <c r="I795" s="10" t="n">
        <v>0.248</v>
      </c>
      <c r="J795" s="10">
        <f>IF(COUNT(G545:G794)&lt;20,"",IF(COUNTIF(G545:G794,"&lt;"&amp;G795)&gt;=COUNT(G545:G794),(COUNT(G545:G794)-0.5)/COUNT(G545:G794),IF(COUNTIF(G545:G794,G795)&gt;0,(COUNTIF(G545:G794,"&lt;"&amp;G795)+0.5*COUNTIF(G545:G794,G795))/COUNT(G545:G794),COUNTIF(G545:G794,"&lt;"&amp;G795)/COUNT(G545:G794))))</f>
        <v/>
      </c>
      <c r="K795" s="6" t="inlineStr">
        <is>
          <t>中间分位</t>
        </is>
      </c>
      <c r="L795" s="6" t="n">
        <v>33</v>
      </c>
      <c r="M795" s="6" t="inlineStr">
        <is>
          <t>结构不明</t>
        </is>
      </c>
      <c r="N795" s="6" t="n">
        <v>0</v>
      </c>
      <c r="O795" s="6" t="n">
        <v>0</v>
      </c>
      <c r="P795" s="7" t="n">
        <v>45</v>
      </c>
      <c r="Q795" s="6" t="inlineStr"/>
    </row>
    <row r="796">
      <c r="A796" s="11" t="inlineStr">
        <is>
          <t>2025-12-01</t>
        </is>
      </c>
      <c r="B796" s="11" t="inlineStr">
        <is>
          <t>MA2601</t>
        </is>
      </c>
      <c r="C796" s="11" t="inlineStr">
        <is>
          <t>2026-01</t>
        </is>
      </c>
      <c r="D796" s="12" t="n">
        <v>2120</v>
      </c>
      <c r="E796" s="12" t="n">
        <v>2136</v>
      </c>
      <c r="F796" s="12">
        <f>D796-E796</f>
        <v/>
      </c>
      <c r="G796" s="13">
        <f>IF(D796=0,"",(D796-E796)/D796)</f>
        <v/>
      </c>
      <c r="H796" s="14" t="n">
        <v>1003722</v>
      </c>
      <c r="I796" s="15" t="n">
        <v>0.296</v>
      </c>
      <c r="J796" s="15">
        <f>IF(COUNT(G546:G795)&lt;20,"",IF(COUNTIF(G546:G795,"&lt;"&amp;G796)&gt;=COUNT(G546:G795),(COUNT(G546:G795)-0.5)/COUNT(G546:G795),IF(COUNTIF(G546:G795,G796)&gt;0,(COUNTIF(G546:G795,"&lt;"&amp;G796)+0.5*COUNTIF(G546:G795,G796))/COUNT(G546:G795),COUNTIF(G546:G795,"&lt;"&amp;G796)/COUNT(G546:G795))))</f>
        <v/>
      </c>
      <c r="K796" s="11" t="inlineStr">
        <is>
          <t>中间分位</t>
        </is>
      </c>
      <c r="L796" s="11" t="n">
        <v>32</v>
      </c>
      <c r="M796" s="11" t="inlineStr">
        <is>
          <t>结构不明</t>
        </is>
      </c>
      <c r="N796" s="11" t="n">
        <v>0</v>
      </c>
      <c r="O796" s="11" t="n">
        <v>0</v>
      </c>
      <c r="P796" s="12" t="n">
        <v>37</v>
      </c>
      <c r="Q796" s="11" t="inlineStr"/>
    </row>
    <row r="797">
      <c r="A797" s="6" t="inlineStr">
        <is>
          <t>2025-12-02</t>
        </is>
      </c>
      <c r="B797" s="6" t="inlineStr">
        <is>
          <t>MA2601</t>
        </is>
      </c>
      <c r="C797" s="6" t="inlineStr">
        <is>
          <t>2026-01</t>
        </is>
      </c>
      <c r="D797" s="7" t="n">
        <v>2125</v>
      </c>
      <c r="E797" s="7" t="n">
        <v>2132</v>
      </c>
      <c r="F797" s="7">
        <f>D797-E797</f>
        <v/>
      </c>
      <c r="G797" s="8">
        <f>IF(D797=0,"",(D797-E797)/D797)</f>
        <v/>
      </c>
      <c r="H797" s="9" t="n">
        <v>978564</v>
      </c>
      <c r="I797" s="10" t="n">
        <v>0.352</v>
      </c>
      <c r="J797" s="10">
        <f>IF(COUNT(G547:G796)&lt;20,"",IF(COUNTIF(G547:G796,"&lt;"&amp;G797)&gt;=COUNT(G547:G796),(COUNT(G547:G796)-0.5)/COUNT(G547:G796),IF(COUNTIF(G547:G796,G797)&gt;0,(COUNTIF(G547:G796,"&lt;"&amp;G797)+0.5*COUNTIF(G547:G796,G797))/COUNT(G547:G796),COUNTIF(G547:G796,"&lt;"&amp;G797)/COUNT(G547:G796))))</f>
        <v/>
      </c>
      <c r="K797" s="6" t="inlineStr">
        <is>
          <t>中间分位</t>
        </is>
      </c>
      <c r="L797" s="6" t="n">
        <v>31</v>
      </c>
      <c r="M797" s="6" t="inlineStr">
        <is>
          <t>Back(近强)</t>
        </is>
      </c>
      <c r="N797" s="6" t="n">
        <v>0</v>
      </c>
      <c r="O797" s="6" t="n">
        <v>0</v>
      </c>
      <c r="P797" s="7" t="n">
        <v>62</v>
      </c>
      <c r="Q797" s="6" t="inlineStr"/>
    </row>
    <row r="798">
      <c r="A798" s="11" t="inlineStr">
        <is>
          <t>2025-12-03</t>
        </is>
      </c>
      <c r="B798" s="11" t="inlineStr">
        <is>
          <t>MA2601</t>
        </is>
      </c>
      <c r="C798" s="11" t="inlineStr">
        <is>
          <t>2026-01</t>
        </is>
      </c>
      <c r="D798" s="12" t="n">
        <v>2127.5</v>
      </c>
      <c r="E798" s="12" t="n">
        <v>2128</v>
      </c>
      <c r="F798" s="12">
        <f>D798-E798</f>
        <v/>
      </c>
      <c r="G798" s="13">
        <f>IF(D798=0,"",(D798-E798)/D798)</f>
        <v/>
      </c>
      <c r="H798" s="14" t="n">
        <v>948396</v>
      </c>
      <c r="I798" s="15" t="n">
        <v>0.396</v>
      </c>
      <c r="J798" s="15">
        <f>IF(COUNT(G548:G797)&lt;20,"",IF(COUNTIF(G548:G797,"&lt;"&amp;G798)&gt;=COUNT(G548:G797),(COUNT(G548:G797)-0.5)/COUNT(G548:G797),IF(COUNTIF(G548:G797,G798)&gt;0,(COUNTIF(G548:G797,"&lt;"&amp;G798)+0.5*COUNTIF(G548:G797,G798))/COUNT(G548:G797),COUNTIF(G548:G797,"&lt;"&amp;G798)/COUNT(G548:G797))))</f>
        <v/>
      </c>
      <c r="K798" s="11" t="inlineStr">
        <is>
          <t>中间分位</t>
        </is>
      </c>
      <c r="L798" s="11" t="n">
        <v>30</v>
      </c>
      <c r="M798" s="11" t="inlineStr">
        <is>
          <t>结构不明</t>
        </is>
      </c>
      <c r="N798" s="11" t="n">
        <v>0</v>
      </c>
      <c r="O798" s="11" t="n">
        <v>0</v>
      </c>
      <c r="P798" s="12" t="n">
        <v>48</v>
      </c>
      <c r="Q798" s="11" t="inlineStr"/>
    </row>
    <row r="799">
      <c r="A799" s="6" t="inlineStr">
        <is>
          <t>2025-12-04</t>
        </is>
      </c>
      <c r="B799" s="6" t="inlineStr">
        <is>
          <t>MA2601</t>
        </is>
      </c>
      <c r="C799" s="6" t="inlineStr">
        <is>
          <t>2026-01</t>
        </is>
      </c>
      <c r="D799" s="7" t="n">
        <v>2115</v>
      </c>
      <c r="E799" s="7" t="n">
        <v>2113</v>
      </c>
      <c r="F799" s="7">
        <f>D799-E799</f>
        <v/>
      </c>
      <c r="G799" s="8">
        <f>IF(D799=0,"",(D799-E799)/D799)</f>
        <v/>
      </c>
      <c r="H799" s="9" t="n">
        <v>934566</v>
      </c>
      <c r="I799" s="10" t="n">
        <v>0.404</v>
      </c>
      <c r="J799" s="10">
        <f>IF(COUNT(G549:G798)&lt;20,"",IF(COUNTIF(G549:G798,"&lt;"&amp;G799)&gt;=COUNT(G549:G798),(COUNT(G549:G798)-0.5)/COUNT(G549:G798),IF(COUNTIF(G549:G798,G799)&gt;0,(COUNTIF(G549:G798,"&lt;"&amp;G799)+0.5*COUNTIF(G549:G798,G799))/COUNT(G549:G798),COUNTIF(G549:G798,"&lt;"&amp;G799)/COUNT(G549:G798))))</f>
        <v/>
      </c>
      <c r="K799" s="6" t="inlineStr">
        <is>
          <t>中间分位</t>
        </is>
      </c>
      <c r="L799" s="6" t="n">
        <v>29</v>
      </c>
      <c r="M799" s="6" t="inlineStr">
        <is>
          <t>Contango(远强)</t>
        </is>
      </c>
      <c r="N799" s="6" t="n">
        <v>0</v>
      </c>
      <c r="O799" s="6" t="n">
        <v>0</v>
      </c>
      <c r="P799" s="7" t="n">
        <v>-36</v>
      </c>
      <c r="Q799" s="6" t="inlineStr"/>
    </row>
    <row r="800">
      <c r="A800" s="11" t="inlineStr">
        <is>
          <t>2025-12-05</t>
        </is>
      </c>
      <c r="B800" s="11" t="inlineStr">
        <is>
          <t>MA2601</t>
        </is>
      </c>
      <c r="C800" s="11" t="inlineStr">
        <is>
          <t>2026-01</t>
        </is>
      </c>
      <c r="D800" s="12" t="n">
        <v>2100</v>
      </c>
      <c r="E800" s="12" t="n">
        <v>2077</v>
      </c>
      <c r="F800" s="12">
        <f>D800-E800</f>
        <v/>
      </c>
      <c r="G800" s="13">
        <f>IF(D800=0,"",(D800-E800)/D800)</f>
        <v/>
      </c>
      <c r="H800" s="14" t="n">
        <v>872092</v>
      </c>
      <c r="I800" s="15" t="n">
        <v>0.48</v>
      </c>
      <c r="J800" s="15">
        <f>IF(COUNT(G550:G799)&lt;20,"",IF(COUNTIF(G550:G799,"&lt;"&amp;G800)&gt;=COUNT(G550:G799),(COUNT(G550:G799)-0.5)/COUNT(G550:G799),IF(COUNTIF(G550:G799,G800)&gt;0,(COUNTIF(G550:G799,"&lt;"&amp;G800)+0.5*COUNTIF(G550:G799,G800))/COUNT(G550:G799),COUNTIF(G550:G799,"&lt;"&amp;G800)/COUNT(G550:G799))))</f>
        <v/>
      </c>
      <c r="K800" s="11" t="inlineStr">
        <is>
          <t>中间分位</t>
        </is>
      </c>
      <c r="L800" s="11" t="n">
        <v>28</v>
      </c>
      <c r="M800" s="11" t="inlineStr">
        <is>
          <t>Contango(远强)</t>
        </is>
      </c>
      <c r="N800" s="11" t="n">
        <v>0</v>
      </c>
      <c r="O800" s="11" t="n">
        <v>0</v>
      </c>
      <c r="P800" s="12" t="n">
        <v>-38</v>
      </c>
      <c r="Q800" s="11" t="inlineStr"/>
    </row>
    <row r="801">
      <c r="A801" s="6" t="inlineStr">
        <is>
          <t>2025-12-08</t>
        </is>
      </c>
      <c r="B801" s="6" t="inlineStr">
        <is>
          <t>MA2601</t>
        </is>
      </c>
      <c r="C801" s="6" t="inlineStr">
        <is>
          <t>2026-01</t>
        </is>
      </c>
      <c r="D801" s="7" t="n">
        <v>2078.33</v>
      </c>
      <c r="E801" s="7" t="n">
        <v>2089</v>
      </c>
      <c r="F801" s="7">
        <f>D801-E801</f>
        <v/>
      </c>
      <c r="G801" s="8">
        <f>IF(D801=0,"",(D801-E801)/D801)</f>
        <v/>
      </c>
      <c r="H801" s="9" t="n">
        <v>802547</v>
      </c>
      <c r="I801" s="10" t="n">
        <v>0.324</v>
      </c>
      <c r="J801" s="10">
        <f>IF(COUNT(G551:G800)&lt;20,"",IF(COUNTIF(G551:G800,"&lt;"&amp;G801)&gt;=COUNT(G551:G800),(COUNT(G551:G800)-0.5)/COUNT(G551:G800),IF(COUNTIF(G551:G800,G801)&gt;0,(COUNTIF(G551:G800,"&lt;"&amp;G801)+0.5*COUNTIF(G551:G800,G801))/COUNT(G551:G800),COUNTIF(G551:G800,"&lt;"&amp;G801)/COUNT(G551:G800))))</f>
        <v/>
      </c>
      <c r="K801" s="6" t="inlineStr">
        <is>
          <t>中间分位</t>
        </is>
      </c>
      <c r="L801" s="6" t="n">
        <v>27</v>
      </c>
      <c r="M801" s="6" t="inlineStr">
        <is>
          <t>Back(近强)</t>
        </is>
      </c>
      <c r="N801" s="6" t="n">
        <v>0</v>
      </c>
      <c r="O801" s="6" t="n">
        <v>0</v>
      </c>
      <c r="P801" s="7" t="n">
        <v>71</v>
      </c>
      <c r="Q801" s="6" t="inlineStr"/>
    </row>
    <row r="802">
      <c r="A802" s="11" t="inlineStr">
        <is>
          <t>2025-12-09</t>
        </is>
      </c>
      <c r="B802" s="11" t="inlineStr">
        <is>
          <t>MA2601</t>
        </is>
      </c>
      <c r="C802" s="11" t="inlineStr">
        <is>
          <t>2026-01</t>
        </is>
      </c>
      <c r="D802" s="12" t="n">
        <v>2090</v>
      </c>
      <c r="E802" s="12" t="n">
        <v>2066</v>
      </c>
      <c r="F802" s="12">
        <f>D802-E802</f>
        <v/>
      </c>
      <c r="G802" s="13">
        <f>IF(D802=0,"",(D802-E802)/D802)</f>
        <v/>
      </c>
      <c r="H802" s="14" t="n">
        <v>723596</v>
      </c>
      <c r="I802" s="15" t="n">
        <v>0.496</v>
      </c>
      <c r="J802" s="15">
        <f>IF(COUNT(G552:G801)&lt;20,"",IF(COUNTIF(G552:G801,"&lt;"&amp;G802)&gt;=COUNT(G552:G801),(COUNT(G552:G801)-0.5)/COUNT(G552:G801),IF(COUNTIF(G552:G801,G802)&gt;0,(COUNTIF(G552:G801,"&lt;"&amp;G802)+0.5*COUNTIF(G552:G801,G802))/COUNT(G552:G801),COUNTIF(G552:G801,"&lt;"&amp;G802)/COUNT(G552:G801))))</f>
        <v/>
      </c>
      <c r="K802" s="11" t="inlineStr">
        <is>
          <t>中间分位</t>
        </is>
      </c>
      <c r="L802" s="11" t="n">
        <v>26</v>
      </c>
      <c r="M802" s="11" t="inlineStr">
        <is>
          <t>Contango(远强)</t>
        </is>
      </c>
      <c r="N802" s="11" t="n">
        <v>0</v>
      </c>
      <c r="O802" s="11" t="n">
        <v>0</v>
      </c>
      <c r="P802" s="12" t="n">
        <v>-33</v>
      </c>
      <c r="Q802" s="11" t="inlineStr"/>
    </row>
    <row r="803">
      <c r="A803" s="6" t="inlineStr">
        <is>
          <t>2025-12-10</t>
        </is>
      </c>
      <c r="B803" s="6" t="inlineStr">
        <is>
          <t>MA2605</t>
        </is>
      </c>
      <c r="C803" s="6" t="inlineStr">
        <is>
          <t>2026-05</t>
        </is>
      </c>
      <c r="D803" s="7" t="n">
        <v>2080</v>
      </c>
      <c r="E803" s="7" t="n">
        <v>2129</v>
      </c>
      <c r="F803" s="7">
        <f>D803-E803</f>
        <v/>
      </c>
      <c r="G803" s="8">
        <f>IF(D803=0,"",(D803-E803)/D803)</f>
        <v/>
      </c>
      <c r="H803" s="9" t="n">
        <v>713089</v>
      </c>
      <c r="I803" s="10" t="n">
        <v>0.192</v>
      </c>
      <c r="J803" s="10">
        <f>IF(COUNT(G553:G802)&lt;20,"",IF(COUNTIF(G553:G802,"&lt;"&amp;G803)&gt;=COUNT(G553:G802),(COUNT(G553:G802)-0.5)/COUNT(G553:G802),IF(COUNTIF(G553:G802,G803)&gt;0,(COUNTIF(G553:G802,"&lt;"&amp;G803)+0.5*COUNTIF(G553:G802,G803))/COUNT(G553:G802),COUNTIF(G553:G802,"&lt;"&amp;G803)/COUNT(G553:G802))))</f>
        <v/>
      </c>
      <c r="K803" s="6" t="inlineStr">
        <is>
          <t>中间分位</t>
        </is>
      </c>
      <c r="L803" s="6" t="n">
        <v>102</v>
      </c>
      <c r="M803" s="6" t="inlineStr">
        <is>
          <t>Back(近强)</t>
        </is>
      </c>
      <c r="N803" s="6" t="n">
        <v>0</v>
      </c>
      <c r="O803" s="6" t="n">
        <v>1</v>
      </c>
      <c r="P803" s="7" t="n">
        <v>76</v>
      </c>
      <c r="Q803" s="6" t="inlineStr"/>
    </row>
    <row r="804">
      <c r="A804" s="11" t="inlineStr">
        <is>
          <t>2025-12-11</t>
        </is>
      </c>
      <c r="B804" s="11" t="inlineStr">
        <is>
          <t>MA2605</t>
        </is>
      </c>
      <c r="C804" s="11" t="inlineStr">
        <is>
          <t>2026-05</t>
        </is>
      </c>
      <c r="D804" s="12" t="n">
        <v>2080</v>
      </c>
      <c r="E804" s="12" t="n">
        <v>2120</v>
      </c>
      <c r="F804" s="12">
        <f>D804-E804</f>
        <v/>
      </c>
      <c r="G804" s="13">
        <f>IF(D804=0,"",(D804-E804)/D804)</f>
        <v/>
      </c>
      <c r="H804" s="14" t="n">
        <v>769603</v>
      </c>
      <c r="I804" s="15" t="n">
        <v>0.216</v>
      </c>
      <c r="J804" s="15">
        <f>IF(COUNT(G554:G803)&lt;20,"",IF(COUNTIF(G554:G803,"&lt;"&amp;G804)&gt;=COUNT(G554:G803),(COUNT(G554:G803)-0.5)/COUNT(G554:G803),IF(COUNTIF(G554:G803,G804)&gt;0,(COUNTIF(G554:G803,"&lt;"&amp;G804)+0.5*COUNTIF(G554:G803,G804))/COUNT(G554:G803),COUNTIF(G554:G803,"&lt;"&amp;G804)/COUNT(G554:G803))))</f>
        <v/>
      </c>
      <c r="K804" s="11" t="inlineStr">
        <is>
          <t>中间分位</t>
        </is>
      </c>
      <c r="L804" s="11" t="n">
        <v>101</v>
      </c>
      <c r="M804" s="11" t="inlineStr">
        <is>
          <t>结构不明</t>
        </is>
      </c>
      <c r="N804" s="11" t="n">
        <v>0</v>
      </c>
      <c r="O804" s="11" t="n">
        <v>0</v>
      </c>
      <c r="P804" s="12" t="n">
        <v>46</v>
      </c>
      <c r="Q804" s="11" t="inlineStr"/>
    </row>
    <row r="805">
      <c r="A805" s="6" t="inlineStr">
        <is>
          <t>2025-12-12</t>
        </is>
      </c>
      <c r="B805" s="6" t="inlineStr">
        <is>
          <t>MA2605</t>
        </is>
      </c>
      <c r="C805" s="6" t="inlineStr">
        <is>
          <t>2026-05</t>
        </is>
      </c>
      <c r="D805" s="7" t="n">
        <v>2104.17</v>
      </c>
      <c r="E805" s="7" t="n">
        <v>2099</v>
      </c>
      <c r="F805" s="7">
        <f>D805-E805</f>
        <v/>
      </c>
      <c r="G805" s="8">
        <f>IF(D805=0,"",(D805-E805)/D805)</f>
        <v/>
      </c>
      <c r="H805" s="9" t="n">
        <v>833887</v>
      </c>
      <c r="I805" s="10" t="n">
        <v>0.412</v>
      </c>
      <c r="J805" s="10">
        <f>IF(COUNT(G555:G804)&lt;20,"",IF(COUNTIF(G555:G804,"&lt;"&amp;G805)&gt;=COUNT(G555:G804),(COUNT(G555:G804)-0.5)/COUNT(G555:G804),IF(COUNTIF(G555:G804,G805)&gt;0,(COUNTIF(G555:G804,"&lt;"&amp;G805)+0.5*COUNTIF(G555:G804,G805))/COUNT(G555:G804),COUNTIF(G555:G804,"&lt;"&amp;G805)/COUNT(G555:G804))))</f>
        <v/>
      </c>
      <c r="K805" s="6" t="inlineStr">
        <is>
          <t>中间分位</t>
        </is>
      </c>
      <c r="L805" s="6" t="n">
        <v>100</v>
      </c>
      <c r="M805" s="6" t="inlineStr">
        <is>
          <t>Contango(远强)</t>
        </is>
      </c>
      <c r="N805" s="6" t="n">
        <v>0</v>
      </c>
      <c r="O805" s="6" t="n">
        <v>0</v>
      </c>
      <c r="P805" s="7" t="n">
        <v>32</v>
      </c>
      <c r="Q805" s="6" t="inlineStr"/>
    </row>
    <row r="806">
      <c r="A806" s="11" t="inlineStr">
        <is>
          <t>2025-12-15</t>
        </is>
      </c>
      <c r="B806" s="11" t="inlineStr">
        <is>
          <t>MA2605</t>
        </is>
      </c>
      <c r="C806" s="11" t="inlineStr">
        <is>
          <t>2026-05</t>
        </is>
      </c>
      <c r="D806" s="12" t="n">
        <v>2105.83</v>
      </c>
      <c r="E806" s="12" t="n">
        <v>2124</v>
      </c>
      <c r="F806" s="12">
        <f>D806-E806</f>
        <v/>
      </c>
      <c r="G806" s="13">
        <f>IF(D806=0,"",(D806-E806)/D806)</f>
        <v/>
      </c>
      <c r="H806" s="14" t="n">
        <v>847558</v>
      </c>
      <c r="I806" s="15" t="n">
        <v>0.268</v>
      </c>
      <c r="J806" s="15">
        <f>IF(COUNT(G556:G805)&lt;20,"",IF(COUNTIF(G556:G805,"&lt;"&amp;G806)&gt;=COUNT(G556:G805),(COUNT(G556:G805)-0.5)/COUNT(G556:G805),IF(COUNTIF(G556:G805,G806)&gt;0,(COUNTIF(G556:G805,"&lt;"&amp;G806)+0.5*COUNTIF(G556:G805,G806))/COUNT(G556:G805),COUNTIF(G556:G805,"&lt;"&amp;G806)/COUNT(G556:G805))))</f>
        <v/>
      </c>
      <c r="K806" s="11" t="inlineStr">
        <is>
          <t>中间分位</t>
        </is>
      </c>
      <c r="L806" s="11" t="n">
        <v>99</v>
      </c>
      <c r="M806" s="11" t="inlineStr">
        <is>
          <t>结构不明</t>
        </is>
      </c>
      <c r="N806" s="11" t="n">
        <v>0</v>
      </c>
      <c r="O806" s="11" t="n">
        <v>0</v>
      </c>
      <c r="P806" s="12" t="n">
        <v>50</v>
      </c>
      <c r="Q806" s="11" t="inlineStr"/>
    </row>
    <row r="807">
      <c r="A807" s="6" t="inlineStr">
        <is>
          <t>2025-12-16</t>
        </is>
      </c>
      <c r="B807" s="6" t="inlineStr">
        <is>
          <t>MA2605</t>
        </is>
      </c>
      <c r="C807" s="6" t="inlineStr">
        <is>
          <t>2026-05</t>
        </is>
      </c>
      <c r="D807" s="7" t="n">
        <v>2102.5</v>
      </c>
      <c r="E807" s="7" t="n">
        <v>2129</v>
      </c>
      <c r="F807" s="7">
        <f>D807-E807</f>
        <v/>
      </c>
      <c r="G807" s="8">
        <f>IF(D807=0,"",(D807-E807)/D807)</f>
        <v/>
      </c>
      <c r="H807" s="9" t="n">
        <v>896627</v>
      </c>
      <c r="I807" s="10" t="n">
        <v>0.248</v>
      </c>
      <c r="J807" s="10">
        <f>IF(COUNT(G557:G806)&lt;20,"",IF(COUNTIF(G557:G806,"&lt;"&amp;G807)&gt;=COUNT(G557:G806),(COUNT(G557:G806)-0.5)/COUNT(G557:G806),IF(COUNTIF(G557:G806,G807)&gt;0,(COUNTIF(G557:G806,"&lt;"&amp;G807)+0.5*COUNTIF(G557:G806,G807))/COUNT(G557:G806),COUNTIF(G557:G806,"&lt;"&amp;G807)/COUNT(G557:G806))))</f>
        <v/>
      </c>
      <c r="K807" s="6" t="inlineStr">
        <is>
          <t>中间分位</t>
        </is>
      </c>
      <c r="L807" s="6" t="n">
        <v>98</v>
      </c>
      <c r="M807" s="6" t="inlineStr">
        <is>
          <t>结构不明</t>
        </is>
      </c>
      <c r="N807" s="6" t="n">
        <v>0</v>
      </c>
      <c r="O807" s="6" t="n">
        <v>0</v>
      </c>
      <c r="P807" s="7" t="n">
        <v>50</v>
      </c>
      <c r="Q807" s="6" t="inlineStr"/>
    </row>
    <row r="808">
      <c r="A808" s="11" t="inlineStr">
        <is>
          <t>2025-12-17</t>
        </is>
      </c>
      <c r="B808" s="11" t="inlineStr">
        <is>
          <t>MA2605</t>
        </is>
      </c>
      <c r="C808" s="11" t="inlineStr">
        <is>
          <t>2026-05</t>
        </is>
      </c>
      <c r="D808" s="12" t="n">
        <v>2113.33</v>
      </c>
      <c r="E808" s="12" t="n">
        <v>2156</v>
      </c>
      <c r="F808" s="12">
        <f>D808-E808</f>
        <v/>
      </c>
      <c r="G808" s="13">
        <f>IF(D808=0,"",(D808-E808)/D808)</f>
        <v/>
      </c>
      <c r="H808" s="14" t="n">
        <v>874732</v>
      </c>
      <c r="I808" s="15" t="n">
        <v>0.216</v>
      </c>
      <c r="J808" s="15">
        <f>IF(COUNT(G558:G807)&lt;20,"",IF(COUNTIF(G558:G807,"&lt;"&amp;G808)&gt;=COUNT(G558:G807),(COUNT(G558:G807)-0.5)/COUNT(G558:G807),IF(COUNTIF(G558:G807,G808)&gt;0,(COUNTIF(G558:G807,"&lt;"&amp;G808)+0.5*COUNTIF(G558:G807,G808))/COUNT(G558:G807),COUNTIF(G558:G807,"&lt;"&amp;G808)/COUNT(G558:G807))))</f>
        <v/>
      </c>
      <c r="K808" s="11" t="inlineStr">
        <is>
          <t>中间分位</t>
        </is>
      </c>
      <c r="L808" s="11" t="n">
        <v>97</v>
      </c>
      <c r="M808" s="11" t="inlineStr">
        <is>
          <t>结构不明</t>
        </is>
      </c>
      <c r="N808" s="11" t="n">
        <v>0</v>
      </c>
      <c r="O808" s="11" t="n">
        <v>0</v>
      </c>
      <c r="P808" s="12" t="n">
        <v>45</v>
      </c>
      <c r="Q808" s="11" t="inlineStr"/>
    </row>
    <row r="809">
      <c r="A809" s="6" t="inlineStr">
        <is>
          <t>2025-12-18</t>
        </is>
      </c>
      <c r="B809" s="6" t="inlineStr">
        <is>
          <t>MA2605</t>
        </is>
      </c>
      <c r="C809" s="6" t="inlineStr">
        <is>
          <t>2026-05</t>
        </is>
      </c>
      <c r="D809" s="7" t="n">
        <v>2126.67</v>
      </c>
      <c r="E809" s="7" t="n">
        <v>2174</v>
      </c>
      <c r="F809" s="7">
        <f>D809-E809</f>
        <v/>
      </c>
      <c r="G809" s="8">
        <f>IF(D809=0,"",(D809-E809)/D809)</f>
        <v/>
      </c>
      <c r="H809" s="9" t="n">
        <v>867499</v>
      </c>
      <c r="I809" s="10" t="n">
        <v>0.204</v>
      </c>
      <c r="J809" s="10">
        <f>IF(COUNT(G559:G808)&lt;20,"",IF(COUNTIF(G559:G808,"&lt;"&amp;G809)&gt;=COUNT(G559:G808),(COUNT(G559:G808)-0.5)/COUNT(G559:G808),IF(COUNTIF(G559:G808,G809)&gt;0,(COUNTIF(G559:G808,"&lt;"&amp;G809)+0.5*COUNTIF(G559:G808,G809))/COUNT(G559:G808),COUNTIF(G559:G808,"&lt;"&amp;G809)/COUNT(G559:G808))))</f>
        <v/>
      </c>
      <c r="K809" s="6" t="inlineStr">
        <is>
          <t>中间分位</t>
        </is>
      </c>
      <c r="L809" s="6" t="n">
        <v>96</v>
      </c>
      <c r="M809" s="6" t="inlineStr">
        <is>
          <t>结构不明</t>
        </is>
      </c>
      <c r="N809" s="6" t="n">
        <v>0</v>
      </c>
      <c r="O809" s="6" t="n">
        <v>0</v>
      </c>
      <c r="P809" s="7" t="n">
        <v>42</v>
      </c>
      <c r="Q809" s="6" t="inlineStr"/>
    </row>
    <row r="810">
      <c r="A810" s="11" t="inlineStr">
        <is>
          <t>2025-12-19</t>
        </is>
      </c>
      <c r="B810" s="11" t="inlineStr">
        <is>
          <t>MA2605</t>
        </is>
      </c>
      <c r="C810" s="11" t="inlineStr">
        <is>
          <t>2026-05</t>
        </is>
      </c>
      <c r="D810" s="12" t="n">
        <v>2157.5</v>
      </c>
      <c r="E810" s="12" t="n">
        <v>2148</v>
      </c>
      <c r="F810" s="12">
        <f>D810-E810</f>
        <v/>
      </c>
      <c r="G810" s="13">
        <f>IF(D810=0,"",(D810-E810)/D810)</f>
        <v/>
      </c>
      <c r="H810" s="14" t="n">
        <v>868575</v>
      </c>
      <c r="I810" s="15" t="n">
        <v>0.416</v>
      </c>
      <c r="J810" s="15">
        <f>IF(COUNT(G560:G809)&lt;20,"",IF(COUNTIF(G560:G809,"&lt;"&amp;G810)&gt;=COUNT(G560:G809),(COUNT(G560:G809)-0.5)/COUNT(G560:G809),IF(COUNTIF(G560:G809,G810)&gt;0,(COUNTIF(G560:G809,"&lt;"&amp;G810)+0.5*COUNTIF(G560:G809,G810))/COUNT(G560:G809),COUNTIF(G560:G809,"&lt;"&amp;G810)/COUNT(G560:G809))))</f>
        <v/>
      </c>
      <c r="K810" s="11" t="inlineStr">
        <is>
          <t>中间分位</t>
        </is>
      </c>
      <c r="L810" s="11" t="n">
        <v>95</v>
      </c>
      <c r="M810" s="11" t="inlineStr">
        <is>
          <t>Contango(远强)</t>
        </is>
      </c>
      <c r="N810" s="11" t="n">
        <v>0</v>
      </c>
      <c r="O810" s="11" t="n">
        <v>0</v>
      </c>
      <c r="P810" s="12" t="n">
        <v>32</v>
      </c>
      <c r="Q810" s="11" t="inlineStr"/>
    </row>
    <row r="811">
      <c r="A811" s="6" t="inlineStr">
        <is>
          <t>2025-12-22</t>
        </is>
      </c>
      <c r="B811" s="6" t="inlineStr">
        <is>
          <t>MA2605</t>
        </is>
      </c>
      <c r="C811" s="6" t="inlineStr">
        <is>
          <t>2026-05</t>
        </is>
      </c>
      <c r="D811" s="7" t="n">
        <v>2140</v>
      </c>
      <c r="E811" s="7" t="n">
        <v>2155</v>
      </c>
      <c r="F811" s="7">
        <f>D811-E811</f>
        <v/>
      </c>
      <c r="G811" s="8">
        <f>IF(D811=0,"",(D811-E811)/D811)</f>
        <v/>
      </c>
      <c r="H811" s="9" t="n">
        <v>847144</v>
      </c>
      <c r="I811" s="10" t="n">
        <v>0.304</v>
      </c>
      <c r="J811" s="10">
        <f>IF(COUNT(G561:G810)&lt;20,"",IF(COUNTIF(G561:G810,"&lt;"&amp;G811)&gt;=COUNT(G561:G810),(COUNT(G561:G810)-0.5)/COUNT(G561:G810),IF(COUNTIF(G561:G810,G811)&gt;0,(COUNTIF(G561:G810,"&lt;"&amp;G811)+0.5*COUNTIF(G561:G810,G811))/COUNT(G561:G810),COUNTIF(G561:G810,"&lt;"&amp;G811)/COUNT(G561:G810))))</f>
        <v/>
      </c>
      <c r="K811" s="6" t="inlineStr">
        <is>
          <t>中间分位</t>
        </is>
      </c>
      <c r="L811" s="6" t="n">
        <v>94</v>
      </c>
      <c r="M811" s="6" t="inlineStr">
        <is>
          <t>结构不明</t>
        </is>
      </c>
      <c r="N811" s="6" t="n">
        <v>0</v>
      </c>
      <c r="O811" s="6" t="n">
        <v>0</v>
      </c>
      <c r="P811" s="7" t="n">
        <v>39</v>
      </c>
      <c r="Q811" s="6" t="inlineStr"/>
    </row>
    <row r="812">
      <c r="A812" s="11" t="inlineStr">
        <is>
          <t>2025-12-23</t>
        </is>
      </c>
      <c r="B812" s="11" t="inlineStr">
        <is>
          <t>MA2605</t>
        </is>
      </c>
      <c r="C812" s="11" t="inlineStr">
        <is>
          <t>2026-05</t>
        </is>
      </c>
      <c r="D812" s="12" t="n">
        <v>2140</v>
      </c>
      <c r="E812" s="12" t="n">
        <v>2156</v>
      </c>
      <c r="F812" s="12">
        <f>D812-E812</f>
        <v/>
      </c>
      <c r="G812" s="13">
        <f>IF(D812=0,"",(D812-E812)/D812)</f>
        <v/>
      </c>
      <c r="H812" s="14" t="n">
        <v>855385</v>
      </c>
      <c r="I812" s="15" t="n">
        <v>0.284</v>
      </c>
      <c r="J812" s="15">
        <f>IF(COUNT(G562:G811)&lt;20,"",IF(COUNTIF(G562:G811,"&lt;"&amp;G812)&gt;=COUNT(G562:G811),(COUNT(G562:G811)-0.5)/COUNT(G562:G811),IF(COUNTIF(G562:G811,G812)&gt;0,(COUNTIF(G562:G811,"&lt;"&amp;G812)+0.5*COUNTIF(G562:G811,G812))/COUNT(G562:G811),COUNTIF(G562:G811,"&lt;"&amp;G812)/COUNT(G562:G811))))</f>
        <v/>
      </c>
      <c r="K812" s="11" t="inlineStr">
        <is>
          <t>中间分位</t>
        </is>
      </c>
      <c r="L812" s="11" t="n">
        <v>93</v>
      </c>
      <c r="M812" s="11" t="inlineStr">
        <is>
          <t>Contango(远强)</t>
        </is>
      </c>
      <c r="N812" s="11" t="n">
        <v>0</v>
      </c>
      <c r="O812" s="11" t="n">
        <v>0</v>
      </c>
      <c r="P812" s="12" t="n">
        <v>26</v>
      </c>
      <c r="Q812" s="11" t="inlineStr"/>
    </row>
    <row r="813">
      <c r="A813" s="6" t="inlineStr">
        <is>
          <t>2025-12-24</t>
        </is>
      </c>
      <c r="B813" s="6" t="inlineStr">
        <is>
          <t>MA2605</t>
        </is>
      </c>
      <c r="C813" s="6" t="inlineStr">
        <is>
          <t>2026-05</t>
        </is>
      </c>
      <c r="D813" s="7" t="n">
        <v>2150.83</v>
      </c>
      <c r="E813" s="7" t="n">
        <v>2172</v>
      </c>
      <c r="F813" s="7">
        <f>D813-E813</f>
        <v/>
      </c>
      <c r="G813" s="8">
        <f>IF(D813=0,"",(D813-E813)/D813)</f>
        <v/>
      </c>
      <c r="H813" s="9" t="n">
        <v>797941</v>
      </c>
      <c r="I813" s="10" t="n">
        <v>0.26</v>
      </c>
      <c r="J813" s="10">
        <f>IF(COUNT(G563:G812)&lt;20,"",IF(COUNTIF(G563:G812,"&lt;"&amp;G813)&gt;=COUNT(G563:G812),(COUNT(G563:G812)-0.5)/COUNT(G563:G812),IF(COUNTIF(G563:G812,G813)&gt;0,(COUNTIF(G563:G812,"&lt;"&amp;G813)+0.5*COUNTIF(G563:G812,G813))/COUNT(G563:G812),COUNTIF(G563:G812,"&lt;"&amp;G813)/COUNT(G563:G812))))</f>
        <v/>
      </c>
      <c r="K813" s="6" t="inlineStr">
        <is>
          <t>中间分位</t>
        </is>
      </c>
      <c r="L813" s="6" t="n">
        <v>92</v>
      </c>
      <c r="M813" s="6" t="inlineStr">
        <is>
          <t>结构不明</t>
        </is>
      </c>
      <c r="N813" s="6" t="n">
        <v>0</v>
      </c>
      <c r="O813" s="6" t="n">
        <v>0</v>
      </c>
      <c r="P813" s="7" t="n">
        <v>38</v>
      </c>
      <c r="Q813" s="6" t="inlineStr"/>
    </row>
    <row r="814">
      <c r="A814" s="11" t="inlineStr">
        <is>
          <t>2025-12-25</t>
        </is>
      </c>
      <c r="B814" s="11" t="inlineStr">
        <is>
          <t>MA2605</t>
        </is>
      </c>
      <c r="C814" s="11" t="inlineStr">
        <is>
          <t>2026-05</t>
        </is>
      </c>
      <c r="D814" s="12" t="n">
        <v>2160</v>
      </c>
      <c r="E814" s="12" t="n">
        <v>2162</v>
      </c>
      <c r="F814" s="12">
        <f>D814-E814</f>
        <v/>
      </c>
      <c r="G814" s="13">
        <f>IF(D814=0,"",(D814-E814)/D814)</f>
        <v/>
      </c>
      <c r="H814" s="14" t="n">
        <v>794131</v>
      </c>
      <c r="I814" s="15" t="n">
        <v>0.364</v>
      </c>
      <c r="J814" s="15">
        <f>IF(COUNT(G564:G813)&lt;20,"",IF(COUNTIF(G564:G813,"&lt;"&amp;G814)&gt;=COUNT(G564:G813),(COUNT(G564:G813)-0.5)/COUNT(G564:G813),IF(COUNTIF(G564:G813,G814)&gt;0,(COUNTIF(G564:G813,"&lt;"&amp;G814)+0.5*COUNTIF(G564:G813,G814))/COUNT(G564:G813),COUNTIF(G564:G813,"&lt;"&amp;G814)/COUNT(G564:G813))))</f>
        <v/>
      </c>
      <c r="K814" s="11" t="inlineStr">
        <is>
          <t>中间分位</t>
        </is>
      </c>
      <c r="L814" s="11" t="n">
        <v>91</v>
      </c>
      <c r="M814" s="11" t="inlineStr">
        <is>
          <t>Contango(远强)</t>
        </is>
      </c>
      <c r="N814" s="11" t="n">
        <v>0</v>
      </c>
      <c r="O814" s="11" t="n">
        <v>0</v>
      </c>
      <c r="P814" s="12" t="n">
        <v>33</v>
      </c>
      <c r="Q814" s="11" t="inlineStr"/>
    </row>
    <row r="815">
      <c r="A815" s="6" t="inlineStr">
        <is>
          <t>2025-12-26</t>
        </is>
      </c>
      <c r="B815" s="6" t="inlineStr">
        <is>
          <t>MA2605</t>
        </is>
      </c>
      <c r="C815" s="6" t="inlineStr">
        <is>
          <t>2026-05</t>
        </is>
      </c>
      <c r="D815" s="7" t="n">
        <v>2150</v>
      </c>
      <c r="E815" s="7" t="n">
        <v>2161</v>
      </c>
      <c r="F815" s="7">
        <f>D815-E815</f>
        <v/>
      </c>
      <c r="G815" s="8">
        <f>IF(D815=0,"",(D815-E815)/D815)</f>
        <v/>
      </c>
      <c r="H815" s="9" t="n">
        <v>781934</v>
      </c>
      <c r="I815" s="10" t="n">
        <v>0.328</v>
      </c>
      <c r="J815" s="10">
        <f>IF(COUNT(G565:G814)&lt;20,"",IF(COUNTIF(G565:G814,"&lt;"&amp;G815)&gt;=COUNT(G565:G814),(COUNT(G565:G814)-0.5)/COUNT(G565:G814),IF(COUNTIF(G565:G814,G815)&gt;0,(COUNTIF(G565:G814,"&lt;"&amp;G815)+0.5*COUNTIF(G565:G814,G815))/COUNT(G565:G814),COUNTIF(G565:G814,"&lt;"&amp;G815)/COUNT(G565:G814))))</f>
        <v/>
      </c>
      <c r="K815" s="6" t="inlineStr">
        <is>
          <t>中间分位</t>
        </is>
      </c>
      <c r="L815" s="6" t="n">
        <v>90</v>
      </c>
      <c r="M815" s="6" t="inlineStr">
        <is>
          <t>Contango(远强)</t>
        </is>
      </c>
      <c r="N815" s="6" t="n">
        <v>0</v>
      </c>
      <c r="O815" s="6" t="n">
        <v>0</v>
      </c>
      <c r="P815" s="7" t="n">
        <v>31</v>
      </c>
      <c r="Q815" s="6" t="inlineStr"/>
    </row>
    <row r="816">
      <c r="A816" s="11" t="inlineStr">
        <is>
          <t>2025-12-29</t>
        </is>
      </c>
      <c r="B816" s="11" t="inlineStr">
        <is>
          <t>MA2605</t>
        </is>
      </c>
      <c r="C816" s="11" t="inlineStr">
        <is>
          <t>2026-05</t>
        </is>
      </c>
      <c r="D816" s="12" t="n">
        <v>2149.17</v>
      </c>
      <c r="E816" s="12" t="n">
        <v>2161</v>
      </c>
      <c r="F816" s="12">
        <f>D816-E816</f>
        <v/>
      </c>
      <c r="G816" s="13">
        <f>IF(D816=0,"",(D816-E816)/D816)</f>
        <v/>
      </c>
      <c r="H816" s="14" t="n">
        <v>773858</v>
      </c>
      <c r="I816" s="15" t="n">
        <v>0.32</v>
      </c>
      <c r="J816" s="15">
        <f>IF(COUNT(G566:G815)&lt;20,"",IF(COUNTIF(G566:G815,"&lt;"&amp;G816)&gt;=COUNT(G566:G815),(COUNT(G566:G815)-0.5)/COUNT(G566:G815),IF(COUNTIF(G566:G815,G816)&gt;0,(COUNTIF(G566:G815,"&lt;"&amp;G816)+0.5*COUNTIF(G566:G815,G816))/COUNT(G566:G815),COUNTIF(G566:G815,"&lt;"&amp;G816)/COUNT(G566:G815))))</f>
        <v/>
      </c>
      <c r="K816" s="11" t="inlineStr">
        <is>
          <t>中间分位</t>
        </is>
      </c>
      <c r="L816" s="11" t="n">
        <v>89</v>
      </c>
      <c r="M816" s="11" t="inlineStr">
        <is>
          <t>Contango(远强)</t>
        </is>
      </c>
      <c r="N816" s="11" t="n">
        <v>0</v>
      </c>
      <c r="O816" s="11" t="n">
        <v>0</v>
      </c>
      <c r="P816" s="12" t="n">
        <v>31</v>
      </c>
      <c r="Q816" s="11" t="inlineStr"/>
    </row>
    <row r="817">
      <c r="A817" s="6" t="inlineStr">
        <is>
          <t>2025-12-30</t>
        </is>
      </c>
      <c r="B817" s="6" t="inlineStr">
        <is>
          <t>MA2605</t>
        </is>
      </c>
      <c r="C817" s="6" t="inlineStr">
        <is>
          <t>2026-05</t>
        </is>
      </c>
      <c r="D817" s="7" t="n">
        <v>2154.17</v>
      </c>
      <c r="E817" s="7" t="n">
        <v>2219</v>
      </c>
      <c r="F817" s="7">
        <f>D817-E817</f>
        <v/>
      </c>
      <c r="G817" s="8">
        <f>IF(D817=0,"",(D817-E817)/D817)</f>
        <v/>
      </c>
      <c r="H817" s="9" t="n">
        <v>814284</v>
      </c>
      <c r="I817" s="10" t="n">
        <v>0.148</v>
      </c>
      <c r="J817" s="10">
        <f>IF(COUNT(G567:G816)&lt;20,"",IF(COUNTIF(G567:G816,"&lt;"&amp;G817)&gt;=COUNT(G567:G816),(COUNT(G567:G816)-0.5)/COUNT(G567:G816),IF(COUNTIF(G567:G816,G817)&gt;0,(COUNTIF(G567:G816,"&lt;"&amp;G817)+0.5*COUNTIF(G567:G816,G817))/COUNT(G567:G816),COUNTIF(G567:G816,"&lt;"&amp;G817)/COUNT(G567:G816))))</f>
        <v/>
      </c>
      <c r="K817" s="6" t="inlineStr">
        <is>
          <t>中间分位</t>
        </is>
      </c>
      <c r="L817" s="6" t="n">
        <v>88</v>
      </c>
      <c r="M817" s="6" t="inlineStr">
        <is>
          <t>Contango(远强)</t>
        </is>
      </c>
      <c r="N817" s="6" t="n">
        <v>0</v>
      </c>
      <c r="O817" s="6" t="n">
        <v>0</v>
      </c>
      <c r="P817" s="7" t="n">
        <v>28</v>
      </c>
      <c r="Q817" s="6" t="inlineStr"/>
    </row>
    <row r="818">
      <c r="A818" s="11" t="inlineStr">
        <is>
          <t>2025-12-31</t>
        </is>
      </c>
      <c r="B818" s="11" t="inlineStr">
        <is>
          <t>MA2605</t>
        </is>
      </c>
      <c r="C818" s="11" t="inlineStr">
        <is>
          <t>2026-05</t>
        </is>
      </c>
      <c r="D818" s="12" t="n">
        <v>2200</v>
      </c>
      <c r="E818" s="12" t="n">
        <v>2216</v>
      </c>
      <c r="F818" s="12">
        <f>D818-E818</f>
        <v/>
      </c>
      <c r="G818" s="13">
        <f>IF(D818=0,"",(D818-E818)/D818)</f>
        <v/>
      </c>
      <c r="H818" s="14" t="n">
        <v>731388</v>
      </c>
      <c r="I818" s="15" t="n">
        <v>0.288</v>
      </c>
      <c r="J818" s="15">
        <f>IF(COUNT(G568:G817)&lt;20,"",IF(COUNTIF(G568:G817,"&lt;"&amp;G818)&gt;=COUNT(G568:G817),(COUNT(G568:G817)-0.5)/COUNT(G568:G817),IF(COUNTIF(G568:G817,G818)&gt;0,(COUNTIF(G568:G817,"&lt;"&amp;G818)+0.5*COUNTIF(G568:G817,G818))/COUNT(G568:G817),COUNTIF(G568:G817,"&lt;"&amp;G818)/COUNT(G568:G817))))</f>
        <v/>
      </c>
      <c r="K818" s="11" t="inlineStr">
        <is>
          <t>中间分位</t>
        </is>
      </c>
      <c r="L818" s="11" t="n">
        <v>87</v>
      </c>
      <c r="M818" s="11" t="inlineStr">
        <is>
          <t>Contango(远强)</t>
        </is>
      </c>
      <c r="N818" s="11" t="n">
        <v>0</v>
      </c>
      <c r="O818" s="11" t="n">
        <v>0</v>
      </c>
      <c r="P818" s="12" t="n">
        <v>26</v>
      </c>
      <c r="Q818" s="11" t="inlineStr"/>
    </row>
    <row r="819">
      <c r="A819" s="6" t="inlineStr">
        <is>
          <t>2026-01-05</t>
        </is>
      </c>
      <c r="B819" s="6" t="inlineStr">
        <is>
          <t>MA2605</t>
        </is>
      </c>
      <c r="C819" s="6" t="inlineStr">
        <is>
          <t>2026-05</t>
        </is>
      </c>
      <c r="D819" s="7" t="n">
        <v>2245</v>
      </c>
      <c r="E819" s="7" t="n">
        <v>2215</v>
      </c>
      <c r="F819" s="7">
        <f>D819-E819</f>
        <v/>
      </c>
      <c r="G819" s="8">
        <f>IF(D819=0,"",(D819-E819)/D819)</f>
        <v/>
      </c>
      <c r="H819" s="9" t="n">
        <v>773584</v>
      </c>
      <c r="I819" s="10" t="n">
        <v>0.52</v>
      </c>
      <c r="J819" s="10">
        <f>IF(COUNT(G569:G818)&lt;20,"",IF(COUNTIF(G569:G818,"&lt;"&amp;G819)&gt;=COUNT(G569:G818),(COUNT(G569:G818)-0.5)/COUNT(G569:G818),IF(COUNTIF(G569:G818,G819)&gt;0,(COUNTIF(G569:G818,"&lt;"&amp;G819)+0.5*COUNTIF(G569:G818,G819))/COUNT(G569:G818),COUNTIF(G569:G818,"&lt;"&amp;G819)/COUNT(G569:G818))))</f>
        <v/>
      </c>
      <c r="K819" s="6" t="inlineStr">
        <is>
          <t>中间分位</t>
        </is>
      </c>
      <c r="L819" s="6" t="n">
        <v>86</v>
      </c>
      <c r="M819" s="6" t="inlineStr">
        <is>
          <t>Contango(远强)</t>
        </is>
      </c>
      <c r="N819" s="6" t="n">
        <v>0</v>
      </c>
      <c r="O819" s="6" t="n">
        <v>0</v>
      </c>
      <c r="P819" s="7" t="n">
        <v>24</v>
      </c>
      <c r="Q819" s="6" t="inlineStr"/>
    </row>
    <row r="820">
      <c r="A820" s="11" t="inlineStr">
        <is>
          <t>2026-01-06</t>
        </is>
      </c>
      <c r="B820" s="11" t="inlineStr">
        <is>
          <t>MA2605</t>
        </is>
      </c>
      <c r="C820" s="11" t="inlineStr">
        <is>
          <t>2026-05</t>
        </is>
      </c>
      <c r="D820" s="12" t="n">
        <v>2224.17</v>
      </c>
      <c r="E820" s="12" t="n">
        <v>2293</v>
      </c>
      <c r="F820" s="12">
        <f>D820-E820</f>
        <v/>
      </c>
      <c r="G820" s="13">
        <f>IF(D820=0,"",(D820-E820)/D820)</f>
        <v/>
      </c>
      <c r="H820" s="14" t="n">
        <v>824536</v>
      </c>
      <c r="I820" s="15" t="n">
        <v>0.144</v>
      </c>
      <c r="J820" s="15">
        <f>IF(COUNT(G570:G819)&lt;20,"",IF(COUNTIF(G570:G819,"&lt;"&amp;G820)&gt;=COUNT(G570:G819),(COUNT(G570:G819)-0.5)/COUNT(G570:G819),IF(COUNTIF(G570:G819,G820)&gt;0,(COUNTIF(G570:G819,"&lt;"&amp;G820)+0.5*COUNTIF(G570:G819,G820))/COUNT(G570:G819),COUNTIF(G570:G819,"&lt;"&amp;G820)/COUNT(G570:G819))))</f>
        <v/>
      </c>
      <c r="K820" s="11" t="inlineStr">
        <is>
          <t>中间分位</t>
        </is>
      </c>
      <c r="L820" s="11" t="n">
        <v>85</v>
      </c>
      <c r="M820" s="11" t="inlineStr">
        <is>
          <t>Contango(远强)</t>
        </is>
      </c>
      <c r="N820" s="11" t="n">
        <v>0</v>
      </c>
      <c r="O820" s="11" t="n">
        <v>0</v>
      </c>
      <c r="P820" s="12" t="n">
        <v>25</v>
      </c>
      <c r="Q820" s="11" t="inlineStr"/>
    </row>
    <row r="821">
      <c r="A821" s="6" t="inlineStr">
        <is>
          <t>2026-01-07</t>
        </is>
      </c>
      <c r="B821" s="6" t="inlineStr">
        <is>
          <t>MA2605</t>
        </is>
      </c>
      <c r="C821" s="6" t="inlineStr">
        <is>
          <t>2026-05</t>
        </is>
      </c>
      <c r="D821" s="7" t="n">
        <v>2277.5</v>
      </c>
      <c r="E821" s="7" t="n">
        <v>2267</v>
      </c>
      <c r="F821" s="7">
        <f>D821-E821</f>
        <v/>
      </c>
      <c r="G821" s="8">
        <f>IF(D821=0,"",(D821-E821)/D821)</f>
        <v/>
      </c>
      <c r="H821" s="9" t="n">
        <v>818847</v>
      </c>
      <c r="I821" s="10" t="n">
        <v>0.428</v>
      </c>
      <c r="J821" s="10">
        <f>IF(COUNT(G571:G820)&lt;20,"",IF(COUNTIF(G571:G820,"&lt;"&amp;G821)&gt;=COUNT(G571:G820),(COUNT(G571:G820)-0.5)/COUNT(G571:G820),IF(COUNTIF(G571:G820,G821)&gt;0,(COUNTIF(G571:G820,"&lt;"&amp;G821)+0.5*COUNTIF(G571:G820,G821))/COUNT(G571:G820),COUNTIF(G571:G820,"&lt;"&amp;G821)/COUNT(G571:G820))))</f>
        <v/>
      </c>
      <c r="K821" s="6" t="inlineStr">
        <is>
          <t>中间分位</t>
        </is>
      </c>
      <c r="L821" s="6" t="n">
        <v>84</v>
      </c>
      <c r="M821" s="6" t="inlineStr">
        <is>
          <t>Contango(远强)</t>
        </is>
      </c>
      <c r="N821" s="6" t="n">
        <v>0</v>
      </c>
      <c r="O821" s="6" t="n">
        <v>0</v>
      </c>
      <c r="P821" s="7" t="n">
        <v>32</v>
      </c>
      <c r="Q821" s="6" t="inlineStr"/>
    </row>
    <row r="822">
      <c r="A822" s="11" t="inlineStr">
        <is>
          <t>2026-01-08</t>
        </is>
      </c>
      <c r="B822" s="11" t="inlineStr">
        <is>
          <t>MA2605</t>
        </is>
      </c>
      <c r="C822" s="11" t="inlineStr">
        <is>
          <t>2026-05</t>
        </is>
      </c>
      <c r="D822" s="12" t="n">
        <v>2277.5</v>
      </c>
      <c r="E822" s="12" t="n">
        <v>2231</v>
      </c>
      <c r="F822" s="12">
        <f>D822-E822</f>
        <v/>
      </c>
      <c r="G822" s="13">
        <f>IF(D822=0,"",(D822-E822)/D822)</f>
        <v/>
      </c>
      <c r="H822" s="14" t="n">
        <v>870199</v>
      </c>
      <c r="I822" s="15" t="n">
        <v>0.576</v>
      </c>
      <c r="J822" s="15">
        <f>IF(COUNT(G572:G821)&lt;20,"",IF(COUNTIF(G572:G821,"&lt;"&amp;G822)&gt;=COUNT(G572:G821),(COUNT(G572:G821)-0.5)/COUNT(G572:G821),IF(COUNTIF(G572:G821,G822)&gt;0,(COUNTIF(G572:G821,"&lt;"&amp;G822)+0.5*COUNTIF(G572:G821,G822))/COUNT(G572:G821),COUNTIF(G572:G821,"&lt;"&amp;G822)/COUNT(G572:G821))))</f>
        <v/>
      </c>
      <c r="K822" s="11" t="inlineStr">
        <is>
          <t>中间分位</t>
        </is>
      </c>
      <c r="L822" s="11" t="n">
        <v>83</v>
      </c>
      <c r="M822" s="11" t="inlineStr">
        <is>
          <t>Contango(远强)</t>
        </is>
      </c>
      <c r="N822" s="11" t="n">
        <v>0</v>
      </c>
      <c r="O822" s="11" t="n">
        <v>0</v>
      </c>
      <c r="P822" s="12" t="n">
        <v>36</v>
      </c>
      <c r="Q822" s="11" t="inlineStr"/>
    </row>
    <row r="823">
      <c r="A823" s="6" t="inlineStr">
        <is>
          <t>2026-01-09</t>
        </is>
      </c>
      <c r="B823" s="6" t="inlineStr">
        <is>
          <t>MA2605</t>
        </is>
      </c>
      <c r="C823" s="6" t="inlineStr">
        <is>
          <t>2026-05</t>
        </is>
      </c>
      <c r="D823" s="7" t="n">
        <v>2240.83</v>
      </c>
      <c r="E823" s="7" t="n">
        <v>2273</v>
      </c>
      <c r="F823" s="7">
        <f>D823-E823</f>
        <v/>
      </c>
      <c r="G823" s="8">
        <f>IF(D823=0,"",(D823-E823)/D823)</f>
        <v/>
      </c>
      <c r="H823" s="9" t="n">
        <v>812955</v>
      </c>
      <c r="I823" s="10" t="n">
        <v>0.24</v>
      </c>
      <c r="J823" s="10">
        <f>IF(COUNT(G573:G822)&lt;20,"",IF(COUNTIF(G573:G822,"&lt;"&amp;G823)&gt;=COUNT(G573:G822),(COUNT(G573:G822)-0.5)/COUNT(G573:G822),IF(COUNTIF(G573:G822,G823)&gt;0,(COUNTIF(G573:G822,"&lt;"&amp;G823)+0.5*COUNTIF(G573:G822,G823))/COUNT(G573:G822),COUNTIF(G573:G822,"&lt;"&amp;G823)/COUNT(G573:G822))))</f>
        <v/>
      </c>
      <c r="K823" s="6" t="inlineStr">
        <is>
          <t>中间分位</t>
        </is>
      </c>
      <c r="L823" s="6" t="n">
        <v>82</v>
      </c>
      <c r="M823" s="6" t="inlineStr">
        <is>
          <t>Contango(远强)</t>
        </is>
      </c>
      <c r="N823" s="6" t="n">
        <v>0</v>
      </c>
      <c r="O823" s="6" t="n">
        <v>0</v>
      </c>
      <c r="P823" s="7" t="n">
        <v>33</v>
      </c>
      <c r="Q823" s="6" t="inlineStr"/>
    </row>
    <row r="824">
      <c r="A824" s="11" t="inlineStr">
        <is>
          <t>2026-01-12</t>
        </is>
      </c>
      <c r="B824" s="11" t="inlineStr">
        <is>
          <t>MA2605</t>
        </is>
      </c>
      <c r="C824" s="11" t="inlineStr">
        <is>
          <t>2026-05</t>
        </is>
      </c>
      <c r="D824" s="12" t="n">
        <v>2265.83</v>
      </c>
      <c r="E824" s="12" t="n">
        <v>2263</v>
      </c>
      <c r="F824" s="12">
        <f>D824-E824</f>
        <v/>
      </c>
      <c r="G824" s="13">
        <f>IF(D824=0,"",(D824-E824)/D824)</f>
        <v/>
      </c>
      <c r="H824" s="14" t="n">
        <v>863591</v>
      </c>
      <c r="I824" s="15" t="n">
        <v>0.408</v>
      </c>
      <c r="J824" s="15">
        <f>IF(COUNT(G574:G823)&lt;20,"",IF(COUNTIF(G574:G823,"&lt;"&amp;G824)&gt;=COUNT(G574:G823),(COUNT(G574:G823)-0.5)/COUNT(G574:G823),IF(COUNTIF(G574:G823,G824)&gt;0,(COUNTIF(G574:G823,"&lt;"&amp;G824)+0.5*COUNTIF(G574:G823,G824))/COUNT(G574:G823),COUNTIF(G574:G823,"&lt;"&amp;G824)/COUNT(G574:G823))))</f>
        <v/>
      </c>
      <c r="K824" s="11" t="inlineStr">
        <is>
          <t>中间分位</t>
        </is>
      </c>
      <c r="L824" s="11" t="n">
        <v>81</v>
      </c>
      <c r="M824" s="11" t="inlineStr">
        <is>
          <t>Contango(远强)</t>
        </is>
      </c>
      <c r="N824" s="11" t="n">
        <v>0</v>
      </c>
      <c r="O824" s="11" t="n">
        <v>0</v>
      </c>
      <c r="P824" s="12" t="n">
        <v>38</v>
      </c>
      <c r="Q824" s="11" t="inlineStr"/>
    </row>
    <row r="825">
      <c r="A825" s="6" t="inlineStr">
        <is>
          <t>2026-01-13</t>
        </is>
      </c>
      <c r="B825" s="6" t="inlineStr">
        <is>
          <t>MA2605</t>
        </is>
      </c>
      <c r="C825" s="6" t="inlineStr">
        <is>
          <t>2026-05</t>
        </is>
      </c>
      <c r="D825" s="7" t="n">
        <v>2253.33</v>
      </c>
      <c r="E825" s="7" t="n">
        <v>2263</v>
      </c>
      <c r="F825" s="7">
        <f>D825-E825</f>
        <v/>
      </c>
      <c r="G825" s="8">
        <f>IF(D825=0,"",(D825-E825)/D825)</f>
        <v/>
      </c>
      <c r="H825" s="9" t="n">
        <v>830030</v>
      </c>
      <c r="I825" s="10" t="n">
        <v>0.348</v>
      </c>
      <c r="J825" s="10">
        <f>IF(COUNT(G575:G824)&lt;20,"",IF(COUNTIF(G575:G824,"&lt;"&amp;G825)&gt;=COUNT(G575:G824),(COUNT(G575:G824)-0.5)/COUNT(G575:G824),IF(COUNTIF(G575:G824,G825)&gt;0,(COUNTIF(G575:G824,"&lt;"&amp;G825)+0.5*COUNTIF(G575:G824,G825))/COUNT(G575:G824),COUNTIF(G575:G824,"&lt;"&amp;G825)/COUNT(G575:G824))))</f>
        <v/>
      </c>
      <c r="K825" s="6" t="inlineStr">
        <is>
          <t>中间分位</t>
        </is>
      </c>
      <c r="L825" s="6" t="n">
        <v>80</v>
      </c>
      <c r="M825" s="6" t="inlineStr">
        <is>
          <t>Back(近强)</t>
        </is>
      </c>
      <c r="N825" s="6" t="n">
        <v>0</v>
      </c>
      <c r="O825" s="6" t="n">
        <v>0</v>
      </c>
      <c r="P825" s="7" t="n">
        <v>94</v>
      </c>
      <c r="Q825" s="6" t="inlineStr"/>
    </row>
    <row r="826">
      <c r="A826" s="11" t="inlineStr">
        <is>
          <t>2026-01-14</t>
        </is>
      </c>
      <c r="B826" s="11" t="inlineStr">
        <is>
          <t>MA2605</t>
        </is>
      </c>
      <c r="C826" s="11" t="inlineStr">
        <is>
          <t>2026-05</t>
        </is>
      </c>
      <c r="D826" s="12" t="n">
        <v>2244.17</v>
      </c>
      <c r="E826" s="12" t="n">
        <v>2288</v>
      </c>
      <c r="F826" s="12">
        <f>D826-E826</f>
        <v/>
      </c>
      <c r="G826" s="13">
        <f>IF(D826=0,"",(D826-E826)/D826)</f>
        <v/>
      </c>
      <c r="H826" s="14" t="n">
        <v>823784</v>
      </c>
      <c r="I826" s="15" t="n">
        <v>0.212</v>
      </c>
      <c r="J826" s="15">
        <f>IF(COUNT(G576:G825)&lt;20,"",IF(COUNTIF(G576:G825,"&lt;"&amp;G826)&gt;=COUNT(G576:G825),(COUNT(G576:G825)-0.5)/COUNT(G576:G825),IF(COUNTIF(G576:G825,G826)&gt;0,(COUNTIF(G576:G825,"&lt;"&amp;G826)+0.5*COUNTIF(G576:G825,G826))/COUNT(G576:G825),COUNTIF(G576:G825,"&lt;"&amp;G826)/COUNT(G576:G825))))</f>
        <v/>
      </c>
      <c r="K826" s="11" t="inlineStr">
        <is>
          <t>中间分位</t>
        </is>
      </c>
      <c r="L826" s="11" t="n">
        <v>79</v>
      </c>
      <c r="M826" s="11" t="inlineStr">
        <is>
          <t>Contango(远强)</t>
        </is>
      </c>
      <c r="N826" s="11" t="n">
        <v>0</v>
      </c>
      <c r="O826" s="11" t="n">
        <v>0</v>
      </c>
      <c r="P826" s="12" t="n">
        <v>37</v>
      </c>
      <c r="Q826" s="11" t="inlineStr"/>
    </row>
    <row r="827">
      <c r="A827" s="6" t="inlineStr">
        <is>
          <t>2026-01-15</t>
        </is>
      </c>
      <c r="B827" s="6" t="inlineStr">
        <is>
          <t>MA2605</t>
        </is>
      </c>
      <c r="C827" s="6" t="inlineStr">
        <is>
          <t>2026-05</t>
        </is>
      </c>
      <c r="D827" s="7" t="n">
        <v>2269.17</v>
      </c>
      <c r="E827" s="7" t="n">
        <v>2273</v>
      </c>
      <c r="F827" s="7">
        <f>D827-E827</f>
        <v/>
      </c>
      <c r="G827" s="8">
        <f>IF(D827=0,"",(D827-E827)/D827)</f>
        <v/>
      </c>
      <c r="H827" s="9" t="n">
        <v>829375</v>
      </c>
      <c r="I827" s="10" t="n">
        <v>0.38</v>
      </c>
      <c r="J827" s="10">
        <f>IF(COUNT(G577:G826)&lt;20,"",IF(COUNTIF(G577:G826,"&lt;"&amp;G827)&gt;=COUNT(G577:G826),(COUNT(G577:G826)-0.5)/COUNT(G577:G826),IF(COUNTIF(G577:G826,G827)&gt;0,(COUNTIF(G577:G826,"&lt;"&amp;G827)+0.5*COUNTIF(G577:G826,G827))/COUNT(G577:G826),COUNTIF(G577:G826,"&lt;"&amp;G827)/COUNT(G577:G826))))</f>
        <v/>
      </c>
      <c r="K827" s="6" t="inlineStr">
        <is>
          <t>中间分位</t>
        </is>
      </c>
      <c r="L827" s="6" t="n">
        <v>78</v>
      </c>
      <c r="M827" s="6" t="inlineStr">
        <is>
          <t>Back(近强)</t>
        </is>
      </c>
      <c r="N827" s="6" t="n">
        <v>0</v>
      </c>
      <c r="O827" s="6" t="n">
        <v>0</v>
      </c>
      <c r="P827" s="7" t="n">
        <v>115</v>
      </c>
      <c r="Q827" s="6" t="inlineStr"/>
    </row>
    <row r="828">
      <c r="A828" s="11" t="inlineStr">
        <is>
          <t>2026-01-16</t>
        </is>
      </c>
      <c r="B828" s="11" t="inlineStr">
        <is>
          <t>MA2605</t>
        </is>
      </c>
      <c r="C828" s="11" t="inlineStr">
        <is>
          <t>2026-05</t>
        </is>
      </c>
      <c r="D828" s="12" t="n">
        <v>2250.83</v>
      </c>
      <c r="E828" s="12" t="n">
        <v>2239</v>
      </c>
      <c r="F828" s="12">
        <f>D828-E828</f>
        <v/>
      </c>
      <c r="G828" s="13">
        <f>IF(D828=0,"",(D828-E828)/D828)</f>
        <v/>
      </c>
      <c r="H828" s="14" t="n">
        <v>824058</v>
      </c>
      <c r="I828" s="15" t="n">
        <v>0.456</v>
      </c>
      <c r="J828" s="15">
        <f>IF(COUNT(G578:G827)&lt;20,"",IF(COUNTIF(G578:G827,"&lt;"&amp;G828)&gt;=COUNT(G578:G827),(COUNT(G578:G827)-0.5)/COUNT(G578:G827),IF(COUNTIF(G578:G827,G828)&gt;0,(COUNTIF(G578:G827,"&lt;"&amp;G828)+0.5*COUNTIF(G578:G827,G828))/COUNT(G578:G827),COUNTIF(G578:G827,"&lt;"&amp;G828)/COUNT(G578:G827))))</f>
        <v/>
      </c>
      <c r="K828" s="11" t="inlineStr">
        <is>
          <t>中间分位</t>
        </is>
      </c>
      <c r="L828" s="11" t="n">
        <v>77</v>
      </c>
      <c r="M828" s="11" t="inlineStr">
        <is>
          <t>Back(近强)</t>
        </is>
      </c>
      <c r="N828" s="11" t="n">
        <v>0</v>
      </c>
      <c r="O828" s="11" t="n">
        <v>0</v>
      </c>
      <c r="P828" s="12" t="n">
        <v>84</v>
      </c>
      <c r="Q828" s="11" t="inlineStr"/>
    </row>
    <row r="829">
      <c r="A829" s="6" t="inlineStr">
        <is>
          <t>2026-01-19</t>
        </is>
      </c>
      <c r="B829" s="6" t="inlineStr">
        <is>
          <t>MA2605</t>
        </is>
      </c>
      <c r="C829" s="6" t="inlineStr">
        <is>
          <t>2026-05</t>
        </is>
      </c>
      <c r="D829" s="7" t="n">
        <v>2220</v>
      </c>
      <c r="E829" s="7" t="n">
        <v>2212</v>
      </c>
      <c r="F829" s="7">
        <f>D829-E829</f>
        <v/>
      </c>
      <c r="G829" s="8">
        <f>IF(D829=0,"",(D829-E829)/D829)</f>
        <v/>
      </c>
      <c r="H829" s="9" t="n">
        <v>858519</v>
      </c>
      <c r="I829" s="10" t="n">
        <v>0.44</v>
      </c>
      <c r="J829" s="10">
        <f>IF(COUNT(G579:G828)&lt;20,"",IF(COUNTIF(G579:G828,"&lt;"&amp;G829)&gt;=COUNT(G579:G828),(COUNT(G579:G828)-0.5)/COUNT(G579:G828),IF(COUNTIF(G579:G828,G829)&gt;0,(COUNTIF(G579:G828,"&lt;"&amp;G829)+0.5*COUNTIF(G579:G828,G829))/COUNT(G579:G828),COUNTIF(G579:G828,"&lt;"&amp;G829)/COUNT(G579:G828))))</f>
        <v/>
      </c>
      <c r="K829" s="6" t="inlineStr">
        <is>
          <t>中间分位</t>
        </is>
      </c>
      <c r="L829" s="6" t="n">
        <v>76</v>
      </c>
      <c r="M829" s="6" t="inlineStr">
        <is>
          <t>Contango(远强)</t>
        </is>
      </c>
      <c r="N829" s="6" t="n">
        <v>0</v>
      </c>
      <c r="O829" s="6" t="n">
        <v>0</v>
      </c>
      <c r="P829" s="7" t="n">
        <v>35</v>
      </c>
      <c r="Q829" s="6" t="inlineStr"/>
    </row>
    <row r="830">
      <c r="A830" s="11" t="inlineStr">
        <is>
          <t>2026-01-20</t>
        </is>
      </c>
      <c r="B830" s="11" t="inlineStr">
        <is>
          <t>MA2605</t>
        </is>
      </c>
      <c r="C830" s="11" t="inlineStr">
        <is>
          <t>2026-05</t>
        </is>
      </c>
      <c r="D830" s="12" t="n">
        <v>2218.33</v>
      </c>
      <c r="E830" s="12" t="n">
        <v>2206</v>
      </c>
      <c r="F830" s="12">
        <f>D830-E830</f>
        <v/>
      </c>
      <c r="G830" s="13">
        <f>IF(D830=0,"",(D830-E830)/D830)</f>
        <v/>
      </c>
      <c r="H830" s="14" t="n">
        <v>830923</v>
      </c>
      <c r="I830" s="15" t="n">
        <v>0.468</v>
      </c>
      <c r="J830" s="15">
        <f>IF(COUNT(G580:G829)&lt;20,"",IF(COUNTIF(G580:G829,"&lt;"&amp;G830)&gt;=COUNT(G580:G829),(COUNT(G580:G829)-0.5)/COUNT(G580:G829),IF(COUNTIF(G580:G829,G830)&gt;0,(COUNTIF(G580:G829,"&lt;"&amp;G830)+0.5*COUNTIF(G580:G829,G830))/COUNT(G580:G829),COUNTIF(G580:G829,"&lt;"&amp;G830)/COUNT(G580:G829))))</f>
        <v/>
      </c>
      <c r="K830" s="11" t="inlineStr">
        <is>
          <t>中间分位</t>
        </is>
      </c>
      <c r="L830" s="11" t="n">
        <v>75</v>
      </c>
      <c r="M830" s="11" t="inlineStr">
        <is>
          <t>Contango(远强)</t>
        </is>
      </c>
      <c r="N830" s="11" t="n">
        <v>0</v>
      </c>
      <c r="O830" s="11" t="n">
        <v>0</v>
      </c>
      <c r="P830" s="12" t="n">
        <v>28</v>
      </c>
      <c r="Q830" s="11" t="inlineStr"/>
    </row>
    <row r="831">
      <c r="A831" s="6" t="inlineStr">
        <is>
          <t>2026-01-21</t>
        </is>
      </c>
      <c r="B831" s="6" t="inlineStr">
        <is>
          <t>MA2605</t>
        </is>
      </c>
      <c r="C831" s="6" t="inlineStr">
        <is>
          <t>2026-05</t>
        </is>
      </c>
      <c r="D831" s="7" t="n">
        <v>2205</v>
      </c>
      <c r="E831" s="7" t="n">
        <v>2209</v>
      </c>
      <c r="F831" s="7">
        <f>D831-E831</f>
        <v/>
      </c>
      <c r="G831" s="8">
        <f>IF(D831=0,"",(D831-E831)/D831)</f>
        <v/>
      </c>
      <c r="H831" s="9" t="n">
        <v>848962</v>
      </c>
      <c r="I831" s="10" t="n">
        <v>0.38</v>
      </c>
      <c r="J831" s="10">
        <f>IF(COUNT(G581:G830)&lt;20,"",IF(COUNTIF(G581:G830,"&lt;"&amp;G831)&gt;=COUNT(G581:G830),(COUNT(G581:G830)-0.5)/COUNT(G581:G830),IF(COUNTIF(G581:G830,G831)&gt;0,(COUNTIF(G581:G830,"&lt;"&amp;G831)+0.5*COUNTIF(G581:G830,G831))/COUNT(G581:G830),COUNTIF(G581:G830,"&lt;"&amp;G831)/COUNT(G581:G830))))</f>
        <v/>
      </c>
      <c r="K831" s="6" t="inlineStr">
        <is>
          <t>中间分位</t>
        </is>
      </c>
      <c r="L831" s="6" t="n">
        <v>74</v>
      </c>
      <c r="M831" s="6" t="inlineStr">
        <is>
          <t>Contango(远强)</t>
        </is>
      </c>
      <c r="N831" s="6" t="n">
        <v>0</v>
      </c>
      <c r="O831" s="6" t="n">
        <v>0</v>
      </c>
      <c r="P831" s="7" t="n">
        <v>26</v>
      </c>
      <c r="Q831" s="6" t="inlineStr"/>
    </row>
    <row r="832">
      <c r="A832" s="11" t="inlineStr">
        <is>
          <t>2026-01-22</t>
        </is>
      </c>
      <c r="B832" s="11" t="inlineStr">
        <is>
          <t>MA2605</t>
        </is>
      </c>
      <c r="C832" s="11" t="inlineStr">
        <is>
          <t>2026-05</t>
        </is>
      </c>
      <c r="D832" s="12" t="n">
        <v>2218.33</v>
      </c>
      <c r="E832" s="12" t="n">
        <v>2260</v>
      </c>
      <c r="F832" s="12">
        <f>D832-E832</f>
        <v/>
      </c>
      <c r="G832" s="13">
        <f>IF(D832=0,"",(D832-E832)/D832)</f>
        <v/>
      </c>
      <c r="H832" s="14" t="n">
        <v>817171</v>
      </c>
      <c r="I832" s="15" t="n">
        <v>0.224</v>
      </c>
      <c r="J832" s="15">
        <f>IF(COUNT(G582:G831)&lt;20,"",IF(COUNTIF(G582:G831,"&lt;"&amp;G832)&gt;=COUNT(G582:G831),(COUNT(G582:G831)-0.5)/COUNT(G582:G831),IF(COUNTIF(G582:G831,G832)&gt;0,(COUNTIF(G582:G831,"&lt;"&amp;G832)+0.5*COUNTIF(G582:G831,G832))/COUNT(G582:G831),COUNTIF(G582:G831,"&lt;"&amp;G832)/COUNT(G582:G831))))</f>
        <v/>
      </c>
      <c r="K832" s="11" t="inlineStr">
        <is>
          <t>中间分位</t>
        </is>
      </c>
      <c r="L832" s="11" t="n">
        <v>73</v>
      </c>
      <c r="M832" s="11" t="inlineStr">
        <is>
          <t>Contango(远强)</t>
        </is>
      </c>
      <c r="N832" s="11" t="n">
        <v>0</v>
      </c>
      <c r="O832" s="11" t="n">
        <v>0</v>
      </c>
      <c r="P832" s="12" t="n">
        <v>30</v>
      </c>
      <c r="Q832" s="11" t="inlineStr"/>
    </row>
    <row r="833">
      <c r="A833" s="6" t="inlineStr">
        <is>
          <t>2026-01-23</t>
        </is>
      </c>
      <c r="B833" s="6" t="inlineStr">
        <is>
          <t>MA2605</t>
        </is>
      </c>
      <c r="C833" s="6" t="inlineStr">
        <is>
          <t>2026-05</t>
        </is>
      </c>
      <c r="D833" s="7" t="n">
        <v>2225.83</v>
      </c>
      <c r="E833" s="7" t="n">
        <v>2298</v>
      </c>
      <c r="F833" s="7">
        <f>D833-E833</f>
        <v/>
      </c>
      <c r="G833" s="8">
        <f>IF(D833=0,"",(D833-E833)/D833)</f>
        <v/>
      </c>
      <c r="H833" s="9" t="n">
        <v>806994</v>
      </c>
      <c r="I833" s="10" t="n">
        <v>0.136</v>
      </c>
      <c r="J833" s="10">
        <f>IF(COUNT(G583:G832)&lt;20,"",IF(COUNTIF(G583:G832,"&lt;"&amp;G833)&gt;=COUNT(G583:G832),(COUNT(G583:G832)-0.5)/COUNT(G583:G832),IF(COUNTIF(G583:G832,G833)&gt;0,(COUNTIF(G583:G832,"&lt;"&amp;G833)+0.5*COUNTIF(G583:G832,G833))/COUNT(G583:G832),COUNTIF(G583:G832,"&lt;"&amp;G833)/COUNT(G583:G832))))</f>
        <v/>
      </c>
      <c r="K833" s="6" t="inlineStr">
        <is>
          <t>中间分位</t>
        </is>
      </c>
      <c r="L833" s="6" t="n">
        <v>72</v>
      </c>
      <c r="M833" s="6" t="inlineStr">
        <is>
          <t>结构不明</t>
        </is>
      </c>
      <c r="N833" s="6" t="n">
        <v>0</v>
      </c>
      <c r="O833" s="6" t="n">
        <v>0</v>
      </c>
      <c r="P833" s="7" t="n">
        <v>46</v>
      </c>
      <c r="Q833" s="6" t="inlineStr"/>
    </row>
    <row r="834">
      <c r="A834" s="11" t="inlineStr">
        <is>
          <t>2026-01-26</t>
        </is>
      </c>
      <c r="B834" s="11" t="inlineStr">
        <is>
          <t>MA2605</t>
        </is>
      </c>
      <c r="C834" s="11" t="inlineStr">
        <is>
          <t>2026-05</t>
        </is>
      </c>
      <c r="D834" s="12" t="n">
        <v>2283.33</v>
      </c>
      <c r="E834" s="12" t="n">
        <v>2347</v>
      </c>
      <c r="F834" s="12">
        <f>D834-E834</f>
        <v/>
      </c>
      <c r="G834" s="13">
        <f>IF(D834=0,"",(D834-E834)/D834)</f>
        <v/>
      </c>
      <c r="H834" s="14" t="n">
        <v>855550</v>
      </c>
      <c r="I834" s="15" t="n">
        <v>0.164</v>
      </c>
      <c r="J834" s="15">
        <f>IF(COUNT(G584:G833)&lt;20,"",IF(COUNTIF(G584:G833,"&lt;"&amp;G834)&gt;=COUNT(G584:G833),(COUNT(G584:G833)-0.5)/COUNT(G584:G833),IF(COUNTIF(G584:G833,G834)&gt;0,(COUNTIF(G584:G833,"&lt;"&amp;G834)+0.5*COUNTIF(G584:G833,G834))/COUNT(G584:G833),COUNTIF(G584:G833,"&lt;"&amp;G834)/COUNT(G584:G833))))</f>
        <v/>
      </c>
      <c r="K834" s="11" t="inlineStr">
        <is>
          <t>中间分位</t>
        </is>
      </c>
      <c r="L834" s="11" t="n">
        <v>71</v>
      </c>
      <c r="M834" s="11" t="inlineStr">
        <is>
          <t>结构不明</t>
        </is>
      </c>
      <c r="N834" s="11" t="n">
        <v>0</v>
      </c>
      <c r="O834" s="11" t="n">
        <v>0</v>
      </c>
      <c r="P834" s="12" t="n">
        <v>45</v>
      </c>
      <c r="Q834" s="11" t="inlineStr"/>
    </row>
    <row r="835">
      <c r="A835" s="6" t="inlineStr">
        <is>
          <t>2026-01-27</t>
        </is>
      </c>
      <c r="B835" s="6" t="inlineStr">
        <is>
          <t>MA2605</t>
        </is>
      </c>
      <c r="C835" s="6" t="inlineStr">
        <is>
          <t>2026-05</t>
        </is>
      </c>
      <c r="D835" s="7" t="n">
        <v>2315</v>
      </c>
      <c r="E835" s="7" t="n">
        <v>2304</v>
      </c>
      <c r="F835" s="7">
        <f>D835-E835</f>
        <v/>
      </c>
      <c r="G835" s="8">
        <f>IF(D835=0,"",(D835-E835)/D835)</f>
        <v/>
      </c>
      <c r="H835" s="9" t="n">
        <v>846819</v>
      </c>
      <c r="I835" s="10" t="n">
        <v>0.472</v>
      </c>
      <c r="J835" s="10">
        <f>IF(COUNT(G585:G834)&lt;20,"",IF(COUNTIF(G585:G834,"&lt;"&amp;G835)&gt;=COUNT(G585:G834),(COUNT(G585:G834)-0.5)/COUNT(G585:G834),IF(COUNTIF(G585:G834,G835)&gt;0,(COUNTIF(G585:G834,"&lt;"&amp;G835)+0.5*COUNTIF(G585:G834,G835))/COUNT(G585:G834),COUNTIF(G585:G834,"&lt;"&amp;G835)/COUNT(G585:G834))))</f>
        <v/>
      </c>
      <c r="K835" s="6" t="inlineStr">
        <is>
          <t>中间分位</t>
        </is>
      </c>
      <c r="L835" s="6" t="n">
        <v>70</v>
      </c>
      <c r="M835" s="6" t="inlineStr">
        <is>
          <t>结构不明</t>
        </is>
      </c>
      <c r="N835" s="6" t="n">
        <v>0</v>
      </c>
      <c r="O835" s="6" t="n">
        <v>0</v>
      </c>
      <c r="P835" s="7" t="n">
        <v>54</v>
      </c>
      <c r="Q835" s="6" t="inlineStr"/>
    </row>
    <row r="836">
      <c r="A836" s="11" t="inlineStr">
        <is>
          <t>2026-01-28</t>
        </is>
      </c>
      <c r="B836" s="11" t="inlineStr">
        <is>
          <t>MA2605</t>
        </is>
      </c>
      <c r="C836" s="11" t="inlineStr">
        <is>
          <t>2026-05</t>
        </is>
      </c>
      <c r="D836" s="12" t="n">
        <v>2274.17</v>
      </c>
      <c r="E836" s="12" t="n">
        <v>2339</v>
      </c>
      <c r="F836" s="12">
        <f>D836-E836</f>
        <v/>
      </c>
      <c r="G836" s="13">
        <f>IF(D836=0,"",(D836-E836)/D836)</f>
        <v/>
      </c>
      <c r="H836" s="14" t="n">
        <v>824556</v>
      </c>
      <c r="I836" s="15" t="n">
        <v>0.164</v>
      </c>
      <c r="J836" s="15">
        <f>IF(COUNT(G586:G835)&lt;20,"",IF(COUNTIF(G586:G835,"&lt;"&amp;G836)&gt;=COUNT(G586:G835),(COUNT(G586:G835)-0.5)/COUNT(G586:G835),IF(COUNTIF(G586:G835,G836)&gt;0,(COUNTIF(G586:G835,"&lt;"&amp;G836)+0.5*COUNTIF(G586:G835,G836))/COUNT(G586:G835),COUNTIF(G586:G835,"&lt;"&amp;G836)/COUNT(G586:G835))))</f>
        <v/>
      </c>
      <c r="K836" s="11" t="inlineStr">
        <is>
          <t>中间分位</t>
        </is>
      </c>
      <c r="L836" s="11" t="n">
        <v>69</v>
      </c>
      <c r="M836" s="11" t="inlineStr">
        <is>
          <t>结构不明</t>
        </is>
      </c>
      <c r="N836" s="11" t="n">
        <v>0</v>
      </c>
      <c r="O836" s="11" t="n">
        <v>0</v>
      </c>
      <c r="P836" s="12" t="n">
        <v>54</v>
      </c>
      <c r="Q836" s="11" t="inlineStr"/>
    </row>
    <row r="837">
      <c r="A837" s="6" t="inlineStr">
        <is>
          <t>2026-01-29</t>
        </is>
      </c>
      <c r="B837" s="6" t="inlineStr">
        <is>
          <t>MA2605</t>
        </is>
      </c>
      <c r="C837" s="6" t="inlineStr">
        <is>
          <t>2026-05</t>
        </is>
      </c>
      <c r="D837" s="7" t="n">
        <v>2288.33</v>
      </c>
      <c r="E837" s="7" t="n">
        <v>2352</v>
      </c>
      <c r="F837" s="7">
        <f>D837-E837</f>
        <v/>
      </c>
      <c r="G837" s="8">
        <f>IF(D837=0,"",(D837-E837)/D837)</f>
        <v/>
      </c>
      <c r="H837" s="9" t="n">
        <v>815097</v>
      </c>
      <c r="I837" s="10" t="n">
        <v>0.176</v>
      </c>
      <c r="J837" s="10">
        <f>IF(COUNT(G587:G836)&lt;20,"",IF(COUNTIF(G587:G836,"&lt;"&amp;G837)&gt;=COUNT(G587:G836),(COUNT(G587:G836)-0.5)/COUNT(G587:G836),IF(COUNTIF(G587:G836,G837)&gt;0,(COUNTIF(G587:G836,"&lt;"&amp;G837)+0.5*COUNTIF(G587:G836,G837))/COUNT(G587:G836),COUNTIF(G587:G836,"&lt;"&amp;G837)/COUNT(G587:G836))))</f>
        <v/>
      </c>
      <c r="K837" s="6" t="inlineStr">
        <is>
          <t>中间分位</t>
        </is>
      </c>
      <c r="L837" s="6" t="n">
        <v>68</v>
      </c>
      <c r="M837" s="6" t="inlineStr">
        <is>
          <t>结构不明</t>
        </is>
      </c>
      <c r="N837" s="6" t="n">
        <v>0</v>
      </c>
      <c r="O837" s="6" t="n">
        <v>0</v>
      </c>
      <c r="P837" s="7" t="n">
        <v>47</v>
      </c>
      <c r="Q837" s="6" t="inlineStr"/>
    </row>
    <row r="838">
      <c r="A838" s="11" t="inlineStr">
        <is>
          <t>2026-01-30</t>
        </is>
      </c>
      <c r="B838" s="11" t="inlineStr">
        <is>
          <t>MA2605</t>
        </is>
      </c>
      <c r="C838" s="11" t="inlineStr">
        <is>
          <t>2026-05</t>
        </is>
      </c>
      <c r="D838" s="12" t="n">
        <v>2284.17</v>
      </c>
      <c r="E838" s="12" t="n">
        <v>2320</v>
      </c>
      <c r="F838" s="12">
        <f>D838-E838</f>
        <v/>
      </c>
      <c r="G838" s="13">
        <f>IF(D838=0,"",(D838-E838)/D838)</f>
        <v/>
      </c>
      <c r="H838" s="14" t="n">
        <v>827100</v>
      </c>
      <c r="I838" s="15" t="n">
        <v>0.26</v>
      </c>
      <c r="J838" s="15">
        <f>IF(COUNT(G588:G837)&lt;20,"",IF(COUNTIF(G588:G837,"&lt;"&amp;G838)&gt;=COUNT(G588:G837),(COUNT(G588:G837)-0.5)/COUNT(G588:G837),IF(COUNTIF(G588:G837,G838)&gt;0,(COUNTIF(G588:G837,"&lt;"&amp;G838)+0.5*COUNTIF(G588:G837,G838))/COUNT(G588:G837),COUNTIF(G588:G837,"&lt;"&amp;G838)/COUNT(G588:G837))))</f>
        <v/>
      </c>
      <c r="K838" s="11" t="inlineStr">
        <is>
          <t>中间分位</t>
        </is>
      </c>
      <c r="L838" s="11" t="n">
        <v>67</v>
      </c>
      <c r="M838" s="11" t="inlineStr">
        <is>
          <t>Back(近强)</t>
        </is>
      </c>
      <c r="N838" s="11" t="n">
        <v>0</v>
      </c>
      <c r="O838" s="11" t="n">
        <v>0</v>
      </c>
      <c r="P838" s="12" t="n">
        <v>60</v>
      </c>
      <c r="Q838" s="11" t="inlineStr"/>
    </row>
    <row r="839">
      <c r="A839" s="6" t="inlineStr">
        <is>
          <t>2026-02-02</t>
        </is>
      </c>
      <c r="B839" s="6" t="inlineStr">
        <is>
          <t>MA2605</t>
        </is>
      </c>
      <c r="C839" s="6" t="inlineStr">
        <is>
          <t>2026-05</t>
        </is>
      </c>
      <c r="D839" s="7" t="n">
        <v>2265</v>
      </c>
      <c r="E839" s="7" t="n">
        <v>2252</v>
      </c>
      <c r="F839" s="7">
        <f>D839-E839</f>
        <v/>
      </c>
      <c r="G839" s="8">
        <f>IF(D839=0,"",(D839-E839)/D839)</f>
        <v/>
      </c>
      <c r="H839" s="9" t="n">
        <v>813310</v>
      </c>
      <c r="I839" s="10" t="n">
        <v>0.508</v>
      </c>
      <c r="J839" s="10">
        <f>IF(COUNT(G589:G838)&lt;20,"",IF(COUNTIF(G589:G838,"&lt;"&amp;G839)&gt;=COUNT(G589:G838),(COUNT(G589:G838)-0.5)/COUNT(G589:G838),IF(COUNTIF(G589:G838,G839)&gt;0,(COUNTIF(G589:G838,"&lt;"&amp;G839)+0.5*COUNTIF(G589:G838,G839))/COUNT(G589:G838),COUNTIF(G589:G838,"&lt;"&amp;G839)/COUNT(G589:G838))))</f>
        <v/>
      </c>
      <c r="K839" s="6" t="inlineStr">
        <is>
          <t>中间分位</t>
        </is>
      </c>
      <c r="L839" s="6" t="n">
        <v>66</v>
      </c>
      <c r="M839" s="6" t="inlineStr">
        <is>
          <t>结构不明</t>
        </is>
      </c>
      <c r="N839" s="6" t="n">
        <v>0</v>
      </c>
      <c r="O839" s="6" t="n">
        <v>0</v>
      </c>
      <c r="P839" s="7" t="n">
        <v>42</v>
      </c>
      <c r="Q839" s="6" t="inlineStr"/>
    </row>
    <row r="840">
      <c r="A840" s="11" t="inlineStr">
        <is>
          <t>2026-02-03</t>
        </is>
      </c>
      <c r="B840" s="11" t="inlineStr">
        <is>
          <t>MA2605</t>
        </is>
      </c>
      <c r="C840" s="11" t="inlineStr">
        <is>
          <t>2026-05</t>
        </is>
      </c>
      <c r="D840" s="12" t="n">
        <v>2223.33</v>
      </c>
      <c r="E840" s="12" t="n">
        <v>2247</v>
      </c>
      <c r="F840" s="12">
        <f>D840-E840</f>
        <v/>
      </c>
      <c r="G840" s="13">
        <f>IF(D840=0,"",(D840-E840)/D840)</f>
        <v/>
      </c>
      <c r="H840" s="14" t="n">
        <v>817035</v>
      </c>
      <c r="I840" s="15" t="n">
        <v>0.292</v>
      </c>
      <c r="J840" s="15">
        <f>IF(COUNT(G590:G839)&lt;20,"",IF(COUNTIF(G590:G839,"&lt;"&amp;G840)&gt;=COUNT(G590:G839),(COUNT(G590:G839)-0.5)/COUNT(G590:G839),IF(COUNTIF(G590:G839,G840)&gt;0,(COUNTIF(G590:G839,"&lt;"&amp;G840)+0.5*COUNTIF(G590:G839,G840))/COUNT(G590:G839),COUNTIF(G590:G839,"&lt;"&amp;G840)/COUNT(G590:G839))))</f>
        <v/>
      </c>
      <c r="K840" s="11" t="inlineStr">
        <is>
          <t>中间分位</t>
        </is>
      </c>
      <c r="L840" s="11" t="n">
        <v>65</v>
      </c>
      <c r="M840" s="11" t="inlineStr">
        <is>
          <t>Contango(远强)</t>
        </is>
      </c>
      <c r="N840" s="11" t="n">
        <v>0</v>
      </c>
      <c r="O840" s="11" t="n">
        <v>0</v>
      </c>
      <c r="P840" s="12" t="n">
        <v>26</v>
      </c>
      <c r="Q840" s="11" t="inlineStr"/>
    </row>
    <row r="841">
      <c r="A841" s="6" t="inlineStr">
        <is>
          <t>2026-02-04</t>
        </is>
      </c>
      <c r="B841" s="6" t="inlineStr">
        <is>
          <t>MA2605</t>
        </is>
      </c>
      <c r="C841" s="6" t="inlineStr">
        <is>
          <t>2026-05</t>
        </is>
      </c>
      <c r="D841" s="7" t="n">
        <v>2215</v>
      </c>
      <c r="E841" s="7" t="n">
        <v>2279</v>
      </c>
      <c r="F841" s="7">
        <f>D841-E841</f>
        <v/>
      </c>
      <c r="G841" s="8">
        <f>IF(D841=0,"",(D841-E841)/D841)</f>
        <v/>
      </c>
      <c r="H841" s="9" t="n">
        <v>821944</v>
      </c>
      <c r="I841" s="10" t="n">
        <v>0.164</v>
      </c>
      <c r="J841" s="10">
        <f>IF(COUNT(G591:G840)&lt;20,"",IF(COUNTIF(G591:G840,"&lt;"&amp;G841)&gt;=COUNT(G591:G840),(COUNT(G591:G840)-0.5)/COUNT(G591:G840),IF(COUNTIF(G591:G840,G841)&gt;0,(COUNTIF(G591:G840,"&lt;"&amp;G841)+0.5*COUNTIF(G591:G840,G841))/COUNT(G591:G840),COUNTIF(G591:G840,"&lt;"&amp;G841)/COUNT(G591:G840))))</f>
        <v/>
      </c>
      <c r="K841" s="6" t="inlineStr">
        <is>
          <t>中间分位</t>
        </is>
      </c>
      <c r="L841" s="6" t="n">
        <v>64</v>
      </c>
      <c r="M841" s="6" t="inlineStr">
        <is>
          <t>Contango(远强)</t>
        </is>
      </c>
      <c r="N841" s="6" t="n">
        <v>0</v>
      </c>
      <c r="O841" s="6" t="n">
        <v>0</v>
      </c>
      <c r="P841" s="7" t="n">
        <v>26</v>
      </c>
      <c r="Q841" s="6" t="inlineStr"/>
    </row>
    <row r="842">
      <c r="A842" s="11" t="inlineStr">
        <is>
          <t>2026-02-05</t>
        </is>
      </c>
      <c r="B842" s="11" t="inlineStr">
        <is>
          <t>MA2605</t>
        </is>
      </c>
      <c r="C842" s="11" t="inlineStr">
        <is>
          <t>2026-05</t>
        </is>
      </c>
      <c r="D842" s="12" t="n">
        <v>2231.67</v>
      </c>
      <c r="E842" s="12" t="n">
        <v>2225</v>
      </c>
      <c r="F842" s="12">
        <f>D842-E842</f>
        <v/>
      </c>
      <c r="G842" s="13">
        <f>IF(D842=0,"",(D842-E842)/D842)</f>
        <v/>
      </c>
      <c r="H842" s="14" t="n">
        <v>858053</v>
      </c>
      <c r="I842" s="15" t="n">
        <v>0.476</v>
      </c>
      <c r="J842" s="15">
        <f>IF(COUNT(G592:G841)&lt;20,"",IF(COUNTIF(G592:G841,"&lt;"&amp;G842)&gt;=COUNT(G592:G841),(COUNT(G592:G841)-0.5)/COUNT(G592:G841),IF(COUNTIF(G592:G841,G842)&gt;0,(COUNTIF(G592:G841,"&lt;"&amp;G842)+0.5*COUNTIF(G592:G841,G842))/COUNT(G592:G841),COUNTIF(G592:G841,"&lt;"&amp;G842)/COUNT(G592:G841))))</f>
        <v/>
      </c>
      <c r="K842" s="11" t="inlineStr">
        <is>
          <t>中间分位</t>
        </is>
      </c>
      <c r="L842" s="11" t="n">
        <v>63</v>
      </c>
      <c r="M842" s="11" t="inlineStr">
        <is>
          <t>Contango(远强)</t>
        </is>
      </c>
      <c r="N842" s="11" t="n">
        <v>0</v>
      </c>
      <c r="O842" s="11" t="n">
        <v>0</v>
      </c>
      <c r="P842" s="12" t="n">
        <v>25</v>
      </c>
      <c r="Q842" s="11" t="inlineStr"/>
    </row>
    <row r="843">
      <c r="A843" s="6" t="inlineStr">
        <is>
          <t>2026-02-06</t>
        </is>
      </c>
      <c r="B843" s="6" t="inlineStr">
        <is>
          <t>MA2605</t>
        </is>
      </c>
      <c r="C843" s="6" t="inlineStr">
        <is>
          <t>2026-05</t>
        </is>
      </c>
      <c r="D843" s="7" t="n">
        <v>2200</v>
      </c>
      <c r="E843" s="7" t="n">
        <v>2244</v>
      </c>
      <c r="F843" s="7">
        <f>D843-E843</f>
        <v/>
      </c>
      <c r="G843" s="8">
        <f>IF(D843=0,"",(D843-E843)/D843)</f>
        <v/>
      </c>
      <c r="H843" s="9" t="n">
        <v>826289</v>
      </c>
      <c r="I843" s="10" t="n">
        <v>0.232</v>
      </c>
      <c r="J843" s="10">
        <f>IF(COUNT(G593:G842)&lt;20,"",IF(COUNTIF(G593:G842,"&lt;"&amp;G843)&gt;=COUNT(G593:G842),(COUNT(G593:G842)-0.5)/COUNT(G593:G842),IF(COUNTIF(G593:G842,G843)&gt;0,(COUNTIF(G593:G842,"&lt;"&amp;G843)+0.5*COUNTIF(G593:G842,G843))/COUNT(G593:G842),COUNTIF(G593:G842,"&lt;"&amp;G843)/COUNT(G593:G842))))</f>
        <v/>
      </c>
      <c r="K843" s="6" t="inlineStr">
        <is>
          <t>中间分位</t>
        </is>
      </c>
      <c r="L843" s="6" t="n">
        <v>62</v>
      </c>
      <c r="M843" s="6" t="inlineStr">
        <is>
          <t>Contango(远强)</t>
        </is>
      </c>
      <c r="N843" s="6" t="n">
        <v>0</v>
      </c>
      <c r="O843" s="6" t="n">
        <v>0</v>
      </c>
      <c r="P843" s="7" t="n">
        <v>24</v>
      </c>
      <c r="Q843" s="6" t="inlineStr"/>
    </row>
    <row r="844">
      <c r="A844" s="11" t="inlineStr">
        <is>
          <t>2026-02-09</t>
        </is>
      </c>
      <c r="B844" s="11" t="inlineStr">
        <is>
          <t>MA2605</t>
        </is>
      </c>
      <c r="C844" s="11" t="inlineStr">
        <is>
          <t>2026-05</t>
        </is>
      </c>
      <c r="D844" s="12" t="n">
        <v>2223.33</v>
      </c>
      <c r="E844" s="12" t="n">
        <v>2231</v>
      </c>
      <c r="F844" s="12">
        <f>D844-E844</f>
        <v/>
      </c>
      <c r="G844" s="13">
        <f>IF(D844=0,"",(D844-E844)/D844)</f>
        <v/>
      </c>
      <c r="H844" s="14" t="n">
        <v>831646</v>
      </c>
      <c r="I844" s="15" t="n">
        <v>0.396</v>
      </c>
      <c r="J844" s="15">
        <f>IF(COUNT(G594:G843)&lt;20,"",IF(COUNTIF(G594:G843,"&lt;"&amp;G844)&gt;=COUNT(G594:G843),(COUNT(G594:G843)-0.5)/COUNT(G594:G843),IF(COUNTIF(G594:G843,G844)&gt;0,(COUNTIF(G594:G843,"&lt;"&amp;G844)+0.5*COUNTIF(G594:G843,G844))/COUNT(G594:G843),COUNTIF(G594:G843,"&lt;"&amp;G844)/COUNT(G594:G843))))</f>
        <v/>
      </c>
      <c r="K844" s="11" t="inlineStr">
        <is>
          <t>中间分位</t>
        </is>
      </c>
      <c r="L844" s="11" t="n">
        <v>61</v>
      </c>
      <c r="M844" s="11" t="inlineStr">
        <is>
          <t>Contango(远强)</t>
        </is>
      </c>
      <c r="N844" s="11" t="n">
        <v>0</v>
      </c>
      <c r="O844" s="11" t="n">
        <v>0</v>
      </c>
      <c r="P844" s="12" t="n">
        <v>-2</v>
      </c>
      <c r="Q844" s="11" t="inlineStr"/>
    </row>
    <row r="845">
      <c r="A845" s="6" t="inlineStr">
        <is>
          <t>2026-02-10</t>
        </is>
      </c>
      <c r="B845" s="6" t="inlineStr">
        <is>
          <t>MA2605</t>
        </is>
      </c>
      <c r="C845" s="6" t="inlineStr">
        <is>
          <t>2026-05</t>
        </is>
      </c>
      <c r="D845" s="7" t="n">
        <v>2210</v>
      </c>
      <c r="E845" s="7" t="n">
        <v>2241</v>
      </c>
      <c r="F845" s="7">
        <f>D845-E845</f>
        <v/>
      </c>
      <c r="G845" s="8">
        <f>IF(D845=0,"",(D845-E845)/D845)</f>
        <v/>
      </c>
      <c r="H845" s="9" t="n">
        <v>807370</v>
      </c>
      <c r="I845" s="10" t="n">
        <v>0.28</v>
      </c>
      <c r="J845" s="10">
        <f>IF(COUNT(G595:G844)&lt;20,"",IF(COUNTIF(G595:G844,"&lt;"&amp;G845)&gt;=COUNT(G595:G844),(COUNT(G595:G844)-0.5)/COUNT(G595:G844),IF(COUNTIF(G595:G844,G845)&gt;0,(COUNTIF(G595:G844,"&lt;"&amp;G845)+0.5*COUNTIF(G595:G844,G845))/COUNT(G595:G844),COUNTIF(G595:G844,"&lt;"&amp;G845)/COUNT(G595:G844))))</f>
        <v/>
      </c>
      <c r="K845" s="6" t="inlineStr">
        <is>
          <t>中间分位</t>
        </is>
      </c>
      <c r="L845" s="6" t="n">
        <v>60</v>
      </c>
      <c r="M845" s="6" t="inlineStr">
        <is>
          <t>Contango(远强)</t>
        </is>
      </c>
      <c r="N845" s="6" t="n">
        <v>0</v>
      </c>
      <c r="O845" s="6" t="n">
        <v>0</v>
      </c>
      <c r="P845" s="7" t="n">
        <v>37</v>
      </c>
      <c r="Q845" s="6" t="inlineStr"/>
    </row>
    <row r="846">
      <c r="A846" s="11" t="inlineStr">
        <is>
          <t>2026-02-11</t>
        </is>
      </c>
      <c r="B846" s="11" t="inlineStr">
        <is>
          <t>MA2605</t>
        </is>
      </c>
      <c r="C846" s="11" t="inlineStr">
        <is>
          <t>2026-05</t>
        </is>
      </c>
      <c r="D846" s="12" t="n">
        <v>2220</v>
      </c>
      <c r="E846" s="12" t="n">
        <v>2248</v>
      </c>
      <c r="F846" s="12">
        <f>D846-E846</f>
        <v/>
      </c>
      <c r="G846" s="13">
        <f>IF(D846=0,"",(D846-E846)/D846)</f>
        <v/>
      </c>
      <c r="H846" s="14" t="n">
        <v>786703</v>
      </c>
      <c r="I846" s="15" t="n">
        <v>0.288</v>
      </c>
      <c r="J846" s="15">
        <f>IF(COUNT(G596:G845)&lt;20,"",IF(COUNTIF(G596:G845,"&lt;"&amp;G846)&gt;=COUNT(G596:G845),(COUNT(G596:G845)-0.5)/COUNT(G596:G845),IF(COUNTIF(G596:G845,G846)&gt;0,(COUNTIF(G596:G845,"&lt;"&amp;G846)+0.5*COUNTIF(G596:G845,G846))/COUNT(G596:G845),COUNTIF(G596:G845,"&lt;"&amp;G846)/COUNT(G596:G845))))</f>
        <v/>
      </c>
      <c r="K846" s="11" t="inlineStr">
        <is>
          <t>中间分位</t>
        </is>
      </c>
      <c r="L846" s="11" t="n">
        <v>59</v>
      </c>
      <c r="M846" s="11" t="inlineStr">
        <is>
          <t>Back(近强)</t>
        </is>
      </c>
      <c r="N846" s="11" t="n">
        <v>0</v>
      </c>
      <c r="O846" s="11" t="n">
        <v>0</v>
      </c>
      <c r="P846" s="12" t="n">
        <v>118</v>
      </c>
      <c r="Q846" s="11" t="inlineStr"/>
    </row>
    <row r="847">
      <c r="A847" s="6" t="inlineStr">
        <is>
          <t>2026-02-12</t>
        </is>
      </c>
      <c r="B847" s="6" t="inlineStr">
        <is>
          <t>MA2605</t>
        </is>
      </c>
      <c r="C847" s="6" t="inlineStr">
        <is>
          <t>2026-05</t>
        </is>
      </c>
      <c r="D847" s="7" t="n">
        <v>2221.67</v>
      </c>
      <c r="E847" s="7" t="n">
        <v>2231</v>
      </c>
      <c r="F847" s="7">
        <f>D847-E847</f>
        <v/>
      </c>
      <c r="G847" s="8">
        <f>IF(D847=0,"",(D847-E847)/D847)</f>
        <v/>
      </c>
      <c r="H847" s="9" t="n">
        <v>758354</v>
      </c>
      <c r="I847" s="10" t="n">
        <v>0.4</v>
      </c>
      <c r="J847" s="10">
        <f>IF(COUNT(G597:G846)&lt;20,"",IF(COUNTIF(G597:G846,"&lt;"&amp;G847)&gt;=COUNT(G597:G846),(COUNT(G597:G846)-0.5)/COUNT(G597:G846),IF(COUNTIF(G597:G846,G847)&gt;0,(COUNTIF(G597:G846,"&lt;"&amp;G847)+0.5*COUNTIF(G597:G846,G847))/COUNT(G597:G846),COUNTIF(G597:G846,"&lt;"&amp;G847)/COUNT(G597:G846))))</f>
        <v/>
      </c>
      <c r="K847" s="6" t="inlineStr">
        <is>
          <t>中间分位</t>
        </is>
      </c>
      <c r="L847" s="6" t="n">
        <v>58</v>
      </c>
      <c r="M847" s="6" t="inlineStr">
        <is>
          <t>结构不明</t>
        </is>
      </c>
      <c r="N847" s="6" t="n">
        <v>0</v>
      </c>
      <c r="O847" s="6" t="n">
        <v>0</v>
      </c>
      <c r="P847" s="7" t="n">
        <v>51</v>
      </c>
      <c r="Q847" s="6" t="inlineStr"/>
    </row>
    <row r="848">
      <c r="A848" s="11" t="inlineStr">
        <is>
          <t>2026-02-13</t>
        </is>
      </c>
      <c r="B848" s="11" t="inlineStr">
        <is>
          <t>MA2605</t>
        </is>
      </c>
      <c r="C848" s="11" t="inlineStr">
        <is>
          <t>2026-05</t>
        </is>
      </c>
      <c r="D848" s="12" t="n">
        <v>2225</v>
      </c>
      <c r="E848" s="12" t="n">
        <v>2188</v>
      </c>
      <c r="F848" s="12">
        <f>D848-E848</f>
        <v/>
      </c>
      <c r="G848" s="13">
        <f>IF(D848=0,"",(D848-E848)/D848)</f>
        <v/>
      </c>
      <c r="H848" s="14" t="n">
        <v>737401</v>
      </c>
      <c r="I848" s="15" t="n">
        <v>0.644</v>
      </c>
      <c r="J848" s="15">
        <f>IF(COUNT(G598:G847)&lt;20,"",IF(COUNTIF(G598:G847,"&lt;"&amp;G848)&gt;=COUNT(G598:G847),(COUNT(G598:G847)-0.5)/COUNT(G598:G847),IF(COUNTIF(G598:G847,G848)&gt;0,(COUNTIF(G598:G847,"&lt;"&amp;G848)+0.5*COUNTIF(G598:G847,G848))/COUNT(G598:G847),COUNTIF(G598:G847,"&lt;"&amp;G848)/COUNT(G598:G847))))</f>
        <v/>
      </c>
      <c r="K848" s="11" t="inlineStr">
        <is>
          <t>中间分位</t>
        </is>
      </c>
      <c r="L848" s="11" t="n">
        <v>57</v>
      </c>
      <c r="M848" s="11" t="inlineStr">
        <is>
          <t>Contango(远强)</t>
        </is>
      </c>
      <c r="N848" s="11" t="n">
        <v>0</v>
      </c>
      <c r="O848" s="11" t="n">
        <v>0</v>
      </c>
      <c r="P848" s="12" t="n">
        <v>29</v>
      </c>
      <c r="Q848" s="11" t="inlineStr"/>
    </row>
    <row r="849">
      <c r="A849" s="6" t="inlineStr">
        <is>
          <t>2026-02-24</t>
        </is>
      </c>
      <c r="B849" s="6" t="inlineStr">
        <is>
          <t>MA2605</t>
        </is>
      </c>
      <c r="C849" s="6" t="inlineStr">
        <is>
          <t>2026-05</t>
        </is>
      </c>
      <c r="D849" s="7" t="n">
        <v>2201.67</v>
      </c>
      <c r="E849" s="7" t="n">
        <v>2285</v>
      </c>
      <c r="F849" s="7">
        <f>D849-E849</f>
        <v/>
      </c>
      <c r="G849" s="8">
        <f>IF(D849=0,"",(D849-E849)/D849)</f>
        <v/>
      </c>
      <c r="H849" s="9" t="n">
        <v>745441</v>
      </c>
      <c r="I849" s="10" t="n">
        <v>0.128</v>
      </c>
      <c r="J849" s="10">
        <f>IF(COUNT(G599:G848)&lt;20,"",IF(COUNTIF(G599:G848,"&lt;"&amp;G849)&gt;=COUNT(G599:G848),(COUNT(G599:G848)-0.5)/COUNT(G599:G848),IF(COUNTIF(G599:G848,G849)&gt;0,(COUNTIF(G599:G848,"&lt;"&amp;G849)+0.5*COUNTIF(G599:G848,G849))/COUNT(G599:G848),COUNTIF(G599:G848,"&lt;"&amp;G849)/COUNT(G599:G848))))</f>
        <v/>
      </c>
      <c r="K849" s="6" t="inlineStr">
        <is>
          <t>中间分位</t>
        </is>
      </c>
      <c r="L849" s="6" t="n">
        <v>56</v>
      </c>
      <c r="M849" s="6" t="inlineStr">
        <is>
          <t>Contango(远强)</t>
        </is>
      </c>
      <c r="N849" s="6" t="n">
        <v>0</v>
      </c>
      <c r="O849" s="6" t="n">
        <v>0</v>
      </c>
      <c r="P849" s="7" t="n">
        <v>37</v>
      </c>
      <c r="Q849" s="6" t="inlineStr"/>
    </row>
    <row r="850">
      <c r="A850" s="11" t="inlineStr">
        <is>
          <t>2026-02-25</t>
        </is>
      </c>
      <c r="B850" s="11" t="inlineStr">
        <is>
          <t>MA2605</t>
        </is>
      </c>
      <c r="C850" s="11" t="inlineStr">
        <is>
          <t>2026-05</t>
        </is>
      </c>
      <c r="D850" s="12" t="n">
        <v>2255.83</v>
      </c>
      <c r="E850" s="12" t="n">
        <v>2249</v>
      </c>
      <c r="F850" s="12">
        <f>D850-E850</f>
        <v/>
      </c>
      <c r="G850" s="13">
        <f>IF(D850=0,"",(D850-E850)/D850)</f>
        <v/>
      </c>
      <c r="H850" s="14" t="n">
        <v>795241</v>
      </c>
      <c r="I850" s="15" t="n">
        <v>0.504</v>
      </c>
      <c r="J850" s="15">
        <f>IF(COUNT(G600:G849)&lt;20,"",IF(COUNTIF(G600:G849,"&lt;"&amp;G850)&gt;=COUNT(G600:G849),(COUNT(G600:G849)-0.5)/COUNT(G600:G849),IF(COUNTIF(G600:G849,G850)&gt;0,(COUNTIF(G600:G849,"&lt;"&amp;G850)+0.5*COUNTIF(G600:G849,G850))/COUNT(G600:G849),COUNTIF(G600:G849,"&lt;"&amp;G850)/COUNT(G600:G849))))</f>
        <v/>
      </c>
      <c r="K850" s="11" t="inlineStr">
        <is>
          <t>中间分位</t>
        </is>
      </c>
      <c r="L850" s="11" t="n">
        <v>55</v>
      </c>
      <c r="M850" s="11" t="inlineStr">
        <is>
          <t>Contango(远强)</t>
        </is>
      </c>
      <c r="N850" s="11" t="n">
        <v>0</v>
      </c>
      <c r="O850" s="11" t="n">
        <v>0</v>
      </c>
      <c r="P850" s="12" t="n">
        <v>33</v>
      </c>
      <c r="Q850" s="11" t="inlineStr"/>
    </row>
    <row r="851">
      <c r="A851" s="6" t="inlineStr">
        <is>
          <t>2026-02-26</t>
        </is>
      </c>
      <c r="B851" s="6" t="inlineStr">
        <is>
          <t>MA2605</t>
        </is>
      </c>
      <c r="C851" s="6" t="inlineStr">
        <is>
          <t>2026-05</t>
        </is>
      </c>
      <c r="D851" s="7" t="n">
        <v>2227.5</v>
      </c>
      <c r="E851" s="7" t="n">
        <v>2210</v>
      </c>
      <c r="F851" s="7">
        <f>D851-E851</f>
        <v/>
      </c>
      <c r="G851" s="8">
        <f>IF(D851=0,"",(D851-E851)/D851)</f>
        <v/>
      </c>
      <c r="H851" s="9" t="n">
        <v>891322</v>
      </c>
      <c r="I851" s="10" t="n">
        <v>0.556</v>
      </c>
      <c r="J851" s="10">
        <f>IF(COUNT(G601:G850)&lt;20,"",IF(COUNTIF(G601:G850,"&lt;"&amp;G851)&gt;=COUNT(G601:G850),(COUNT(G601:G850)-0.5)/COUNT(G601:G850),IF(COUNTIF(G601:G850,G851)&gt;0,(COUNTIF(G601:G850,"&lt;"&amp;G851)+0.5*COUNTIF(G601:G850,G851))/COUNT(G601:G850),COUNTIF(G601:G850,"&lt;"&amp;G851)/COUNT(G601:G850))))</f>
        <v/>
      </c>
      <c r="K851" s="6" t="inlineStr">
        <is>
          <t>中间分位</t>
        </is>
      </c>
      <c r="L851" s="6" t="n">
        <v>54</v>
      </c>
      <c r="M851" s="6" t="inlineStr">
        <is>
          <t>Contango(远强)</t>
        </is>
      </c>
      <c r="N851" s="6" t="n">
        <v>0</v>
      </c>
      <c r="O851" s="6" t="n">
        <v>0</v>
      </c>
      <c r="P851" s="7" t="n">
        <v>30</v>
      </c>
      <c r="Q851" s="6" t="inlineStr"/>
    </row>
    <row r="852">
      <c r="A852" s="11" t="inlineStr">
        <is>
          <t>2026-02-27</t>
        </is>
      </c>
      <c r="B852" s="11" t="inlineStr">
        <is>
          <t>MA2605</t>
        </is>
      </c>
      <c r="C852" s="11" t="inlineStr">
        <is>
          <t>2026-05</t>
        </is>
      </c>
      <c r="D852" s="12" t="n">
        <v>2185.83</v>
      </c>
      <c r="E852" s="12" t="n">
        <v>2179</v>
      </c>
      <c r="F852" s="12">
        <f>D852-E852</f>
        <v/>
      </c>
      <c r="G852" s="13">
        <f>IF(D852=0,"",(D852-E852)/D852)</f>
        <v/>
      </c>
      <c r="H852" s="14" t="n">
        <v>977269</v>
      </c>
      <c r="I852" s="15" t="n">
        <v>0.508</v>
      </c>
      <c r="J852" s="15">
        <f>IF(COUNT(G602:G851)&lt;20,"",IF(COUNTIF(G602:G851,"&lt;"&amp;G852)&gt;=COUNT(G602:G851),(COUNT(G602:G851)-0.5)/COUNT(G602:G851),IF(COUNTIF(G602:G851,G852)&gt;0,(COUNTIF(G602:G851,"&lt;"&amp;G852)+0.5*COUNTIF(G602:G851,G852))/COUNT(G602:G851),COUNTIF(G602:G851,"&lt;"&amp;G852)/COUNT(G602:G851))))</f>
        <v/>
      </c>
      <c r="K852" s="11" t="inlineStr">
        <is>
          <t>中间分位</t>
        </is>
      </c>
      <c r="L852" s="11" t="n">
        <v>53</v>
      </c>
      <c r="M852" s="11" t="inlineStr">
        <is>
          <t>Contango(远强)</t>
        </is>
      </c>
      <c r="N852" s="11" t="n">
        <v>0</v>
      </c>
      <c r="O852" s="11" t="n">
        <v>0</v>
      </c>
      <c r="P852" s="12" t="n">
        <v>14</v>
      </c>
      <c r="Q852" s="11" t="inlineStr"/>
    </row>
    <row r="853">
      <c r="A853" s="6" t="inlineStr">
        <is>
          <t>2026-03-02</t>
        </is>
      </c>
      <c r="B853" s="6" t="inlineStr">
        <is>
          <t>MA2605</t>
        </is>
      </c>
      <c r="C853" s="6" t="inlineStr">
        <is>
          <t>2026-05</t>
        </is>
      </c>
      <c r="D853" s="7" t="n">
        <v>2200</v>
      </c>
      <c r="E853" s="7" t="n">
        <v>2365</v>
      </c>
      <c r="F853" s="7">
        <f>D853-E853</f>
        <v/>
      </c>
      <c r="G853" s="8">
        <f>IF(D853=0,"",(D853-E853)/D853)</f>
        <v/>
      </c>
      <c r="H853" s="9" t="n">
        <v>942819</v>
      </c>
      <c r="I853" s="10" t="n">
        <v>0.004</v>
      </c>
      <c r="J853" s="10">
        <f>IF(COUNT(G603:G852)&lt;20,"",IF(COUNTIF(G603:G852,"&lt;"&amp;G853)&gt;=COUNT(G603:G852),(COUNT(G603:G852)-0.5)/COUNT(G603:G852),IF(COUNTIF(G603:G852,G853)&gt;0,(COUNTIF(G603:G852,"&lt;"&amp;G853)+0.5*COUNTIF(G603:G852,G853))/COUNT(G603:G852),COUNTIF(G603:G852,"&lt;"&amp;G853)/COUNT(G603:G852))))</f>
        <v/>
      </c>
      <c r="K853" s="6" t="inlineStr">
        <is>
          <t>低分位</t>
        </is>
      </c>
      <c r="L853" s="6" t="n">
        <v>52</v>
      </c>
      <c r="M853" s="6" t="inlineStr">
        <is>
          <t>Back(近强)</t>
        </is>
      </c>
      <c r="N853" s="6" t="n">
        <v>0</v>
      </c>
      <c r="O853" s="6" t="n">
        <v>0</v>
      </c>
      <c r="P853" s="7" t="n">
        <v>77</v>
      </c>
      <c r="Q853" s="6" t="inlineStr"/>
    </row>
    <row r="854">
      <c r="A854" s="11" t="inlineStr">
        <is>
          <t>2026-03-03</t>
        </is>
      </c>
      <c r="B854" s="11" t="inlineStr">
        <is>
          <t>MA2605</t>
        </is>
      </c>
      <c r="C854" s="11" t="inlineStr">
        <is>
          <t>2026-05</t>
        </is>
      </c>
      <c r="D854" s="12" t="n">
        <v>2370</v>
      </c>
      <c r="E854" s="12" t="n">
        <v>2557</v>
      </c>
      <c r="F854" s="12">
        <f>D854-E854</f>
        <v/>
      </c>
      <c r="G854" s="13">
        <f>IF(D854=0,"",(D854-E854)/D854)</f>
        <v/>
      </c>
      <c r="H854" s="14" t="n">
        <v>942655</v>
      </c>
      <c r="I854" s="15" t="n">
        <v>0</v>
      </c>
      <c r="J854" s="15">
        <f>IF(COUNT(G604:G853)&lt;20,"",IF(COUNTIF(G604:G853,"&lt;"&amp;G854)&gt;=COUNT(G604:G853),(COUNT(G604:G853)-0.5)/COUNT(G604:G853),IF(COUNTIF(G604:G853,G854)&gt;0,(COUNTIF(G604:G853,"&lt;"&amp;G854)+0.5*COUNTIF(G604:G853,G854))/COUNT(G604:G853),COUNTIF(G604:G853,"&lt;"&amp;G854)/COUNT(G604:G853))))</f>
        <v/>
      </c>
      <c r="K854" s="11" t="inlineStr">
        <is>
          <t>低分位</t>
        </is>
      </c>
      <c r="L854" s="11" t="n">
        <v>51</v>
      </c>
      <c r="M854" s="11" t="inlineStr">
        <is>
          <t>Back(近强)</t>
        </is>
      </c>
      <c r="N854" s="11" t="n">
        <v>0</v>
      </c>
      <c r="O854" s="11" t="n">
        <v>0</v>
      </c>
      <c r="P854" s="12" t="n">
        <v>119</v>
      </c>
      <c r="Q854" s="11" t="inlineStr"/>
    </row>
    <row r="855">
      <c r="A855" s="6" t="inlineStr">
        <is>
          <t>2026-03-04</t>
        </is>
      </c>
      <c r="B855" s="6" t="inlineStr">
        <is>
          <t>MA2605</t>
        </is>
      </c>
      <c r="C855" s="6" t="inlineStr">
        <is>
          <t>2026-05</t>
        </is>
      </c>
      <c r="D855" s="7" t="n">
        <v>2548.33</v>
      </c>
      <c r="E855" s="7" t="n">
        <v>2553</v>
      </c>
      <c r="F855" s="7">
        <f>D855-E855</f>
        <v/>
      </c>
      <c r="G855" s="8">
        <f>IF(D855=0,"",(D855-E855)/D855)</f>
        <v/>
      </c>
      <c r="H855" s="9" t="n">
        <v>802920</v>
      </c>
      <c r="I855" s="10" t="n">
        <v>0.444</v>
      </c>
      <c r="J855" s="10">
        <f>IF(COUNT(G605:G854)&lt;20,"",IF(COUNTIF(G605:G854,"&lt;"&amp;G855)&gt;=COUNT(G605:G854),(COUNT(G605:G854)-0.5)/COUNT(G605:G854),IF(COUNTIF(G605:G854,G855)&gt;0,(COUNTIF(G605:G854,"&lt;"&amp;G855)+0.5*COUNTIF(G605:G854,G855))/COUNT(G605:G854),COUNTIF(G605:G854,"&lt;"&amp;G855)/COUNT(G605:G854))))</f>
        <v/>
      </c>
      <c r="K855" s="6" t="inlineStr">
        <is>
          <t>中间分位</t>
        </is>
      </c>
      <c r="L855" s="6" t="n">
        <v>50</v>
      </c>
      <c r="M855" s="6" t="inlineStr">
        <is>
          <t>Contango(远强)</t>
        </is>
      </c>
      <c r="N855" s="6" t="n">
        <v>0</v>
      </c>
      <c r="O855" s="6" t="n">
        <v>0</v>
      </c>
      <c r="P855" s="7" t="n">
        <v>7</v>
      </c>
      <c r="Q855" s="6" t="inlineStr"/>
    </row>
    <row r="856">
      <c r="A856" s="11" t="inlineStr">
        <is>
          <t>2026-03-05</t>
        </is>
      </c>
      <c r="B856" s="11" t="inlineStr">
        <is>
          <t>MA2605</t>
        </is>
      </c>
      <c r="C856" s="11" t="inlineStr">
        <is>
          <t>2026-05</t>
        </is>
      </c>
      <c r="D856" s="12" t="n">
        <v>2553.33</v>
      </c>
      <c r="E856" s="12" t="n">
        <v>2487</v>
      </c>
      <c r="F856" s="12">
        <f>D856-E856</f>
        <v/>
      </c>
      <c r="G856" s="13">
        <f>IF(D856=0,"",(D856-E856)/D856)</f>
        <v/>
      </c>
      <c r="H856" s="14" t="n">
        <v>702756</v>
      </c>
      <c r="I856" s="15" t="n">
        <v>0.732</v>
      </c>
      <c r="J856" s="15">
        <f>IF(COUNT(G606:G855)&lt;20,"",IF(COUNTIF(G606:G855,"&lt;"&amp;G856)&gt;=COUNT(G606:G855),(COUNT(G606:G855)-0.5)/COUNT(G606:G855),IF(COUNTIF(G606:G855,G856)&gt;0,(COUNTIF(G606:G855,"&lt;"&amp;G856)+0.5*COUNTIF(G606:G855,G856))/COUNT(G606:G855),COUNTIF(G606:G855,"&lt;"&amp;G856)/COUNT(G606:G855))))</f>
        <v/>
      </c>
      <c r="K856" s="11" t="inlineStr">
        <is>
          <t>中间分位</t>
        </is>
      </c>
      <c r="L856" s="11" t="n">
        <v>49</v>
      </c>
      <c r="M856" s="11" t="inlineStr">
        <is>
          <t>Contango(远强)</t>
        </is>
      </c>
      <c r="N856" s="11" t="n">
        <v>0</v>
      </c>
      <c r="O856" s="11" t="n">
        <v>0</v>
      </c>
      <c r="P856" s="12" t="n">
        <v>20</v>
      </c>
      <c r="Q856" s="11" t="inlineStr"/>
    </row>
    <row r="857">
      <c r="A857" s="6" t="inlineStr">
        <is>
          <t>2026-03-06</t>
        </is>
      </c>
      <c r="B857" s="6" t="inlineStr">
        <is>
          <t>MA2605</t>
        </is>
      </c>
      <c r="C857" s="6" t="inlineStr">
        <is>
          <t>2026-05</t>
        </is>
      </c>
      <c r="D857" s="7" t="n">
        <v>2500</v>
      </c>
      <c r="E857" s="7" t="n">
        <v>2586</v>
      </c>
      <c r="F857" s="7">
        <f>D857-E857</f>
        <v/>
      </c>
      <c r="G857" s="8">
        <f>IF(D857=0,"",(D857-E857)/D857)</f>
        <v/>
      </c>
      <c r="H857" s="9" t="n">
        <v>679685</v>
      </c>
      <c r="I857" s="10" t="n">
        <v>0.144</v>
      </c>
      <c r="J857" s="10">
        <f>IF(COUNT(G607:G856)&lt;20,"",IF(COUNTIF(G607:G856,"&lt;"&amp;G857)&gt;=COUNT(G607:G856),(COUNT(G607:G856)-0.5)/COUNT(G607:G856),IF(COUNTIF(G607:G856,G857)&gt;0,(COUNTIF(G607:G856,"&lt;"&amp;G857)+0.5*COUNTIF(G607:G856,G857))/COUNT(G607:G856),COUNTIF(G607:G856,"&lt;"&amp;G857)/COUNT(G607:G856))))</f>
        <v/>
      </c>
      <c r="K857" s="6" t="inlineStr">
        <is>
          <t>中间分位</t>
        </is>
      </c>
      <c r="L857" s="6" t="n">
        <v>48</v>
      </c>
      <c r="M857" s="6" t="inlineStr">
        <is>
          <t>Contango(远强)</t>
        </is>
      </c>
      <c r="N857" s="6" t="n">
        <v>0</v>
      </c>
      <c r="O857" s="6" t="n">
        <v>0</v>
      </c>
      <c r="P857" s="7" t="n">
        <v>13</v>
      </c>
      <c r="Q857" s="6" t="inlineStr"/>
    </row>
    <row r="858">
      <c r="A858" s="11" t="inlineStr">
        <is>
          <t>2026-03-09</t>
        </is>
      </c>
      <c r="B858" s="11" t="inlineStr">
        <is>
          <t>MA2605</t>
        </is>
      </c>
      <c r="C858" s="11" t="inlineStr">
        <is>
          <t>2026-05</t>
        </is>
      </c>
      <c r="D858" s="12" t="n">
        <v>2595</v>
      </c>
      <c r="E858" s="12" t="n">
        <v>2830</v>
      </c>
      <c r="F858" s="12">
        <f>D858-E858</f>
        <v/>
      </c>
      <c r="G858" s="13">
        <f>IF(D858=0,"",(D858-E858)/D858)</f>
        <v/>
      </c>
      <c r="H858" s="14" t="n">
        <v>639205</v>
      </c>
      <c r="I858" s="15" t="n">
        <v>0</v>
      </c>
      <c r="J858" s="15">
        <f>IF(COUNT(G608:G857)&lt;20,"",IF(COUNTIF(G608:G857,"&lt;"&amp;G858)&gt;=COUNT(G608:G857),(COUNT(G608:G857)-0.5)/COUNT(G608:G857),IF(COUNTIF(G608:G857,G858)&gt;0,(COUNTIF(G608:G857,"&lt;"&amp;G858)+0.5*COUNTIF(G608:G857,G858))/COUNT(G608:G857),COUNTIF(G608:G857,"&lt;"&amp;G858)/COUNT(G608:G857))))</f>
        <v/>
      </c>
      <c r="K858" s="11" t="inlineStr">
        <is>
          <t>低分位</t>
        </is>
      </c>
      <c r="L858" s="11" t="n">
        <v>47</v>
      </c>
      <c r="M858" s="11" t="inlineStr">
        <is>
          <t>Back(近强)</t>
        </is>
      </c>
      <c r="N858" s="11" t="n">
        <v>0</v>
      </c>
      <c r="O858" s="11" t="n">
        <v>0</v>
      </c>
      <c r="P858" s="12" t="n">
        <v>153</v>
      </c>
      <c r="Q858" s="11" t="inlineStr"/>
    </row>
    <row r="859">
      <c r="A859" s="6" t="inlineStr">
        <is>
          <t>2026-03-10</t>
        </is>
      </c>
      <c r="B859" s="6" t="inlineStr">
        <is>
          <t>MA2605</t>
        </is>
      </c>
      <c r="C859" s="6" t="inlineStr">
        <is>
          <t>2026-05</t>
        </is>
      </c>
      <c r="D859" s="7" t="n">
        <v>2925</v>
      </c>
      <c r="E859" s="7" t="n">
        <v>2549</v>
      </c>
      <c r="F859" s="7">
        <f>D859-E859</f>
        <v/>
      </c>
      <c r="G859" s="8">
        <f>IF(D859=0,"",(D859-E859)/D859)</f>
        <v/>
      </c>
      <c r="H859" s="9" t="n">
        <v>535848</v>
      </c>
      <c r="I859" s="10" t="n">
        <v>0.988</v>
      </c>
      <c r="J859" s="10">
        <f>IF(COUNT(G609:G858)&lt;20,"",IF(COUNTIF(G609:G858,"&lt;"&amp;G859)&gt;=COUNT(G609:G858),(COUNT(G609:G858)-0.5)/COUNT(G609:G858),IF(COUNTIF(G609:G858,G859)&gt;0,(COUNTIF(G609:G858,"&lt;"&amp;G859)+0.5*COUNTIF(G609:G858,G859))/COUNT(G609:G858),COUNTIF(G609:G858,"&lt;"&amp;G859)/COUNT(G609:G858))))</f>
        <v/>
      </c>
      <c r="K859" s="6" t="inlineStr">
        <is>
          <t>高分位</t>
        </is>
      </c>
      <c r="L859" s="6" t="n">
        <v>46</v>
      </c>
      <c r="M859" s="6" t="inlineStr">
        <is>
          <t>Back(近强)</t>
        </is>
      </c>
      <c r="N859" s="6" t="n">
        <v>0</v>
      </c>
      <c r="O859" s="6" t="n">
        <v>0</v>
      </c>
      <c r="P859" s="7" t="n">
        <v>49</v>
      </c>
      <c r="Q859" s="6" t="inlineStr"/>
    </row>
    <row r="860">
      <c r="A860" s="11" t="inlineStr">
        <is>
          <t>2026-03-11</t>
        </is>
      </c>
      <c r="B860" s="11" t="inlineStr">
        <is>
          <t>MA2605</t>
        </is>
      </c>
      <c r="C860" s="11" t="inlineStr">
        <is>
          <t>2026-05</t>
        </is>
      </c>
      <c r="D860" s="12" t="n">
        <v>2593.33</v>
      </c>
      <c r="E860" s="12" t="n">
        <v>2658</v>
      </c>
      <c r="F860" s="12">
        <f>D860-E860</f>
        <v/>
      </c>
      <c r="G860" s="13">
        <f>IF(D860=0,"",(D860-E860)/D860)</f>
        <v/>
      </c>
      <c r="H860" s="14" t="n">
        <v>554940</v>
      </c>
      <c r="I860" s="15" t="n">
        <v>0.22</v>
      </c>
      <c r="J860" s="15">
        <f>IF(COUNT(G610:G859)&lt;20,"",IF(COUNTIF(G610:G859,"&lt;"&amp;G860)&gt;=COUNT(G610:G859),(COUNT(G610:G859)-0.5)/COUNT(G610:G859),IF(COUNTIF(G610:G859,G860)&gt;0,(COUNTIF(G610:G859,"&lt;"&amp;G860)+0.5*COUNTIF(G610:G859,G860))/COUNT(G610:G859),COUNTIF(G610:G859,"&lt;"&amp;G860)/COUNT(G610:G859))))</f>
        <v/>
      </c>
      <c r="K860" s="11" t="inlineStr">
        <is>
          <t>中间分位</t>
        </is>
      </c>
      <c r="L860" s="11" t="n">
        <v>45</v>
      </c>
      <c r="M860" s="11" t="inlineStr">
        <is>
          <t>Contango(远强)</t>
        </is>
      </c>
      <c r="N860" s="11" t="n">
        <v>0</v>
      </c>
      <c r="O860" s="11" t="n">
        <v>0</v>
      </c>
      <c r="P860" s="12" t="n">
        <v>-42</v>
      </c>
      <c r="Q860" s="11" t="inlineStr"/>
    </row>
    <row r="861">
      <c r="A861" s="6" t="inlineStr">
        <is>
          <t>2026-03-12</t>
        </is>
      </c>
      <c r="B861" s="6" t="inlineStr">
        <is>
          <t>MA2605</t>
        </is>
      </c>
      <c r="C861" s="6" t="inlineStr">
        <is>
          <t>2026-05</t>
        </is>
      </c>
      <c r="D861" s="7" t="n">
        <v>2703.33</v>
      </c>
      <c r="E861" s="7" t="n">
        <v>2726</v>
      </c>
      <c r="F861" s="7">
        <f>D861-E861</f>
        <v/>
      </c>
      <c r="G861" s="8">
        <f>IF(D861=0,"",(D861-E861)/D861)</f>
        <v/>
      </c>
      <c r="H861" s="9" t="n">
        <v>570573</v>
      </c>
      <c r="I861" s="10" t="n">
        <v>0.352</v>
      </c>
      <c r="J861" s="10">
        <f>IF(COUNT(G611:G860)&lt;20,"",IF(COUNTIF(G611:G860,"&lt;"&amp;G861)&gt;=COUNT(G611:G860),(COUNT(G611:G860)-0.5)/COUNT(G611:G860),IF(COUNTIF(G611:G860,G861)&gt;0,(COUNTIF(G611:G860,"&lt;"&amp;G861)+0.5*COUNTIF(G611:G860,G861))/COUNT(G611:G860),COUNTIF(G611:G860,"&lt;"&amp;G861)/COUNT(G611:G860))))</f>
        <v/>
      </c>
      <c r="K861" s="6" t="inlineStr">
        <is>
          <t>中间分位</t>
        </is>
      </c>
      <c r="L861" s="6" t="n">
        <v>44</v>
      </c>
      <c r="M861" s="6" t="inlineStr">
        <is>
          <t>Back(近强)</t>
        </is>
      </c>
      <c r="N861" s="6" t="n">
        <v>0</v>
      </c>
      <c r="O861" s="6" t="n">
        <v>0</v>
      </c>
      <c r="P861" s="7" t="n">
        <v>76</v>
      </c>
      <c r="Q861" s="6" t="inlineStr"/>
    </row>
    <row r="862">
      <c r="A862" s="11" t="inlineStr">
        <is>
          <t>2026-03-13</t>
        </is>
      </c>
      <c r="B862" s="11" t="inlineStr">
        <is>
          <t>MA2605</t>
        </is>
      </c>
      <c r="C862" s="11" t="inlineStr">
        <is>
          <t>2026-05</t>
        </is>
      </c>
      <c r="D862" s="12" t="n">
        <v>2750</v>
      </c>
      <c r="E862" s="12" t="n">
        <v>2805</v>
      </c>
      <c r="F862" s="12">
        <f>D862-E862</f>
        <v/>
      </c>
      <c r="G862" s="13">
        <f>IF(D862=0,"",(D862-E862)/D862)</f>
        <v/>
      </c>
      <c r="H862" s="14" t="n">
        <v>584205</v>
      </c>
      <c r="I862" s="15" t="n">
        <v>0.258</v>
      </c>
      <c r="J862" s="15">
        <f>IF(COUNT(G612:G861)&lt;20,"",IF(COUNTIF(G612:G861,"&lt;"&amp;G862)&gt;=COUNT(G612:G861),(COUNT(G612:G861)-0.5)/COUNT(G612:G861),IF(COUNTIF(G612:G861,G862)&gt;0,(COUNTIF(G612:G861,"&lt;"&amp;G862)+0.5*COUNTIF(G612:G861,G862))/COUNT(G612:G861),COUNTIF(G612:G861,"&lt;"&amp;G862)/COUNT(G612:G861))))</f>
        <v/>
      </c>
      <c r="K862" s="11" t="inlineStr">
        <is>
          <t>中间分位</t>
        </is>
      </c>
      <c r="L862" s="11" t="n">
        <v>43</v>
      </c>
      <c r="M862" s="11" t="inlineStr">
        <is>
          <t>Contango(远强)</t>
        </is>
      </c>
      <c r="N862" s="11" t="n">
        <v>0</v>
      </c>
      <c r="O862" s="11" t="n">
        <v>0</v>
      </c>
      <c r="P862" s="12" t="n">
        <v>-6</v>
      </c>
      <c r="Q862" s="11" t="inlineStr"/>
    </row>
    <row r="863">
      <c r="A863" s="6" t="inlineStr">
        <is>
          <t>2026-03-16</t>
        </is>
      </c>
      <c r="B863" s="6" t="inlineStr">
        <is>
          <t>MA2605</t>
        </is>
      </c>
      <c r="C863" s="6" t="inlineStr">
        <is>
          <t>2026-05</t>
        </is>
      </c>
      <c r="D863" s="7" t="n">
        <v>2832.5</v>
      </c>
      <c r="E863" s="7" t="n">
        <v>2837</v>
      </c>
      <c r="F863" s="7">
        <f>D863-E863</f>
        <v/>
      </c>
      <c r="G863" s="8">
        <f>IF(D863=0,"",(D863-E863)/D863)</f>
        <v/>
      </c>
      <c r="H863" s="9" t="n">
        <v>586726</v>
      </c>
      <c r="I863" s="10" t="n">
        <v>0.476</v>
      </c>
      <c r="J863" s="10">
        <f>IF(COUNT(G613:G862)&lt;20,"",IF(COUNTIF(G613:G862,"&lt;"&amp;G863)&gt;=COUNT(G613:G862),(COUNT(G613:G862)-0.5)/COUNT(G613:G862),IF(COUNTIF(G613:G862,G863)&gt;0,(COUNTIF(G613:G862,"&lt;"&amp;G863)+0.5*COUNTIF(G613:G862,G863))/COUNT(G613:G862),COUNTIF(G613:G862,"&lt;"&amp;G863)/COUNT(G613:G862))))</f>
        <v/>
      </c>
      <c r="K863" s="6" t="inlineStr">
        <is>
          <t>中间分位</t>
        </is>
      </c>
      <c r="L863" s="6" t="n">
        <v>42</v>
      </c>
      <c r="M863" s="6" t="inlineStr">
        <is>
          <t>Contango(远强)</t>
        </is>
      </c>
      <c r="N863" s="6" t="n">
        <v>0</v>
      </c>
      <c r="O863" s="6" t="n">
        <v>0</v>
      </c>
      <c r="P863" s="7" t="n">
        <v>-7</v>
      </c>
      <c r="Q863" s="6" t="inlineStr"/>
    </row>
    <row r="864">
      <c r="A864" s="11" t="inlineStr">
        <is>
          <t>2026-03-17</t>
        </is>
      </c>
      <c r="B864" s="11" t="inlineStr">
        <is>
          <t>MA2605</t>
        </is>
      </c>
      <c r="C864" s="11" t="inlineStr">
        <is>
          <t>2026-05</t>
        </is>
      </c>
      <c r="D864" s="12" t="n">
        <v>2840.83</v>
      </c>
      <c r="E864" s="12" t="n">
        <v>2847</v>
      </c>
      <c r="F864" s="12">
        <f>D864-E864</f>
        <v/>
      </c>
      <c r="G864" s="13">
        <f>IF(D864=0,"",(D864-E864)/D864)</f>
        <v/>
      </c>
      <c r="H864" s="14" t="n">
        <v>566887</v>
      </c>
      <c r="I864" s="15" t="n">
        <v>0.456</v>
      </c>
      <c r="J864" s="15">
        <f>IF(COUNT(G614:G863)&lt;20,"",IF(COUNTIF(G614:G863,"&lt;"&amp;G864)&gt;=COUNT(G614:G863),(COUNT(G614:G863)-0.5)/COUNT(G614:G863),IF(COUNTIF(G614:G863,G864)&gt;0,(COUNTIF(G614:G863,"&lt;"&amp;G864)+0.5*COUNTIF(G614:G863,G864))/COUNT(G614:G863),COUNTIF(G614:G863,"&lt;"&amp;G864)/COUNT(G614:G863))))</f>
        <v/>
      </c>
      <c r="K864" s="11" t="inlineStr">
        <is>
          <t>中间分位</t>
        </is>
      </c>
      <c r="L864" s="11" t="n">
        <v>41</v>
      </c>
      <c r="M864" s="11" t="inlineStr">
        <is>
          <t>Contango(远强)</t>
        </is>
      </c>
      <c r="N864" s="11" t="n">
        <v>0</v>
      </c>
      <c r="O864" s="11" t="n">
        <v>0</v>
      </c>
      <c r="P864" s="12" t="n">
        <v>-12</v>
      </c>
      <c r="Q864" s="11" t="inlineStr"/>
    </row>
    <row r="865">
      <c r="A865" s="6" t="inlineStr">
        <is>
          <t>2026-03-18</t>
        </is>
      </c>
      <c r="B865" s="6" t="inlineStr">
        <is>
          <t>MA2605</t>
        </is>
      </c>
      <c r="C865" s="6" t="inlineStr">
        <is>
          <t>2026-05</t>
        </is>
      </c>
      <c r="D865" s="7" t="n">
        <v>2868.33</v>
      </c>
      <c r="E865" s="7" t="n">
        <v>2912</v>
      </c>
      <c r="F865" s="7">
        <f>D865-E865</f>
        <v/>
      </c>
      <c r="G865" s="8">
        <f>IF(D865=0,"",(D865-E865)/D865)</f>
        <v/>
      </c>
      <c r="H865" s="9" t="n">
        <v>611727</v>
      </c>
      <c r="I865" s="10" t="n">
        <v>0.3</v>
      </c>
      <c r="J865" s="10">
        <f>IF(COUNT(G615:G864)&lt;20,"",IF(COUNTIF(G615:G864,"&lt;"&amp;G865)&gt;=COUNT(G615:G864),(COUNT(G615:G864)-0.5)/COUNT(G615:G864),IF(COUNTIF(G615:G864,G865)&gt;0,(COUNTIF(G615:G864,"&lt;"&amp;G865)+0.5*COUNTIF(G615:G864,G865))/COUNT(G615:G864),COUNTIF(G615:G864,"&lt;"&amp;G865)/COUNT(G615:G864))))</f>
        <v/>
      </c>
      <c r="K865" s="6" t="inlineStr">
        <is>
          <t>中间分位</t>
        </is>
      </c>
      <c r="L865" s="6" t="n">
        <v>40</v>
      </c>
      <c r="M865" s="6" t="inlineStr">
        <is>
          <t>Contango(远强)</t>
        </is>
      </c>
      <c r="N865" s="6" t="n">
        <v>0</v>
      </c>
      <c r="O865" s="6" t="n">
        <v>0</v>
      </c>
      <c r="P865" s="7" t="n">
        <v>-14</v>
      </c>
      <c r="Q865" s="6" t="inlineStr"/>
    </row>
    <row r="866">
      <c r="A866" s="11" t="inlineStr">
        <is>
          <t>2026-03-19</t>
        </is>
      </c>
      <c r="B866" s="11" t="inlineStr">
        <is>
          <t>MA2605</t>
        </is>
      </c>
      <c r="C866" s="11" t="inlineStr">
        <is>
          <t>2026-05</t>
        </is>
      </c>
      <c r="D866" s="12" t="n">
        <v>2953.33</v>
      </c>
      <c r="E866" s="12" t="n">
        <v>3182</v>
      </c>
      <c r="F866" s="12">
        <f>D866-E866</f>
        <v/>
      </c>
      <c r="G866" s="13">
        <f>IF(D866=0,"",(D866-E866)/D866)</f>
        <v/>
      </c>
      <c r="H866" s="14" t="n">
        <v>630976</v>
      </c>
      <c r="I866" s="15" t="n">
        <v>0.008</v>
      </c>
      <c r="J866" s="15">
        <f>IF(COUNT(G616:G865)&lt;20,"",IF(COUNTIF(G616:G865,"&lt;"&amp;G866)&gt;=COUNT(G616:G865),(COUNT(G616:G865)-0.5)/COUNT(G616:G865),IF(COUNTIF(G616:G865,G866)&gt;0,(COUNTIF(G616:G865,"&lt;"&amp;G866)+0.5*COUNTIF(G616:G865,G866))/COUNT(G616:G865),COUNTIF(G616:G865,"&lt;"&amp;G866)/COUNT(G616:G865))))</f>
        <v/>
      </c>
      <c r="K866" s="11" t="inlineStr">
        <is>
          <t>低分位</t>
        </is>
      </c>
      <c r="L866" s="11" t="n">
        <v>39</v>
      </c>
      <c r="M866" s="11" t="inlineStr">
        <is>
          <t>Contango(远强)</t>
        </is>
      </c>
      <c r="N866" s="11" t="n">
        <v>0</v>
      </c>
      <c r="O866" s="11" t="n">
        <v>0</v>
      </c>
      <c r="P866" s="12" t="n">
        <v>19</v>
      </c>
      <c r="Q866" s="11" t="inlineStr"/>
    </row>
    <row r="867">
      <c r="A867" s="6" t="inlineStr">
        <is>
          <t>2026-03-20</t>
        </is>
      </c>
      <c r="B867" s="6" t="inlineStr">
        <is>
          <t>MA2605</t>
        </is>
      </c>
      <c r="C867" s="6" t="inlineStr">
        <is>
          <t>2026-05</t>
        </is>
      </c>
      <c r="D867" s="7" t="n">
        <v>3170</v>
      </c>
      <c r="E867" s="7" t="n">
        <v>3132</v>
      </c>
      <c r="F867" s="7">
        <f>D867-E867</f>
        <v/>
      </c>
      <c r="G867" s="8">
        <f>IF(D867=0,"",(D867-E867)/D867)</f>
        <v/>
      </c>
      <c r="H867" s="9" t="n">
        <v>594386</v>
      </c>
      <c r="I867" s="10" t="n">
        <v>0.652</v>
      </c>
      <c r="J867" s="10">
        <f>IF(COUNT(G617:G866)&lt;20,"",IF(COUNTIF(G617:G866,"&lt;"&amp;G867)&gt;=COUNT(G617:G866),(COUNT(G617:G866)-0.5)/COUNT(G617:G866),IF(COUNTIF(G617:G866,G867)&gt;0,(COUNTIF(G617:G866,"&lt;"&amp;G867)+0.5*COUNTIF(G617:G866,G867))/COUNT(G617:G866),COUNTIF(G617:G866,"&lt;"&amp;G867)/COUNT(G617:G866))))</f>
        <v/>
      </c>
      <c r="K867" s="6" t="inlineStr">
        <is>
          <t>中间分位</t>
        </is>
      </c>
      <c r="L867" s="6" t="n">
        <v>38</v>
      </c>
      <c r="M867" s="6" t="inlineStr">
        <is>
          <t>Contango(远强)</t>
        </is>
      </c>
      <c r="N867" s="6" t="n">
        <v>0</v>
      </c>
      <c r="O867" s="6" t="n">
        <v>0</v>
      </c>
      <c r="P867" s="7" t="n">
        <v>30</v>
      </c>
      <c r="Q867" s="6" t="inlineStr"/>
    </row>
    <row r="868">
      <c r="A868" s="11" t="inlineStr">
        <is>
          <t>2026-03-23</t>
        </is>
      </c>
      <c r="B868" s="11" t="inlineStr">
        <is>
          <t>MA2605</t>
        </is>
      </c>
      <c r="C868" s="11" t="inlineStr">
        <is>
          <t>2026-05</t>
        </is>
      </c>
      <c r="D868" s="12" t="n">
        <v>3140</v>
      </c>
      <c r="E868" s="12" t="n">
        <v>3351</v>
      </c>
      <c r="F868" s="12">
        <f>D868-E868</f>
        <v/>
      </c>
      <c r="G868" s="13">
        <f>IF(D868=0,"",(D868-E868)/D868)</f>
        <v/>
      </c>
      <c r="H868" s="14" t="n">
        <v>591331</v>
      </c>
      <c r="I868" s="15" t="n">
        <v>0.024</v>
      </c>
      <c r="J868" s="15">
        <f>IF(COUNT(G618:G867)&lt;20,"",IF(COUNTIF(G618:G867,"&lt;"&amp;G868)&gt;=COUNT(G618:G867),(COUNT(G618:G867)-0.5)/COUNT(G618:G867),IF(COUNTIF(G618:G867,G868)&gt;0,(COUNTIF(G618:G867,"&lt;"&amp;G868)+0.5*COUNTIF(G618:G867,G868))/COUNT(G618:G867),COUNTIF(G618:G867,"&lt;"&amp;G868)/COUNT(G618:G867))))</f>
        <v/>
      </c>
      <c r="K868" s="11" t="inlineStr">
        <is>
          <t>低分位</t>
        </is>
      </c>
      <c r="L868" s="11" t="n">
        <v>37</v>
      </c>
      <c r="M868" s="11" t="inlineStr">
        <is>
          <t>结构不明</t>
        </is>
      </c>
      <c r="N868" s="11" t="n">
        <v>0</v>
      </c>
      <c r="O868" s="11" t="n">
        <v>0</v>
      </c>
      <c r="P868" s="12" t="n">
        <v>38</v>
      </c>
      <c r="Q868" s="11" t="inlineStr"/>
    </row>
    <row r="869">
      <c r="A869" s="6" t="inlineStr">
        <is>
          <t>2026-03-24</t>
        </is>
      </c>
      <c r="B869" s="6" t="inlineStr">
        <is>
          <t>MA2605</t>
        </is>
      </c>
      <c r="C869" s="6" t="inlineStr">
        <is>
          <t>2026-05</t>
        </is>
      </c>
      <c r="D869" s="7" t="n">
        <v>3360.83</v>
      </c>
      <c r="E869" s="7" t="n">
        <v>3139</v>
      </c>
      <c r="F869" s="7">
        <f>D869-E869</f>
        <v/>
      </c>
      <c r="G869" s="8">
        <f>IF(D869=0,"",(D869-E869)/D869)</f>
        <v/>
      </c>
      <c r="H869" s="9" t="n">
        <v>551972</v>
      </c>
      <c r="I869" s="10" t="n">
        <v>0.912</v>
      </c>
      <c r="J869" s="10">
        <f>IF(COUNT(G619:G868)&lt;20,"",IF(COUNTIF(G619:G868,"&lt;"&amp;G869)&gt;=COUNT(G619:G868),(COUNT(G619:G868)-0.5)/COUNT(G619:G868),IF(COUNTIF(G619:G868,G869)&gt;0,(COUNTIF(G619:G868,"&lt;"&amp;G869)+0.5*COUNTIF(G619:G868,G869))/COUNT(G619:G868),COUNTIF(G619:G868,"&lt;"&amp;G869)/COUNT(G619:G868))))</f>
        <v/>
      </c>
      <c r="K869" s="6" t="inlineStr">
        <is>
          <t>高分位</t>
        </is>
      </c>
      <c r="L869" s="6" t="n">
        <v>36</v>
      </c>
      <c r="M869" s="6" t="inlineStr">
        <is>
          <t>Back(近强)</t>
        </is>
      </c>
      <c r="N869" s="6" t="n">
        <v>0</v>
      </c>
      <c r="O869" s="6" t="n">
        <v>0</v>
      </c>
      <c r="P869" s="7" t="n">
        <v>43</v>
      </c>
      <c r="Q869" s="6" t="inlineStr"/>
    </row>
    <row r="870">
      <c r="A870" s="11" t="inlineStr">
        <is>
          <t>2026-03-25</t>
        </is>
      </c>
      <c r="B870" s="11" t="inlineStr">
        <is>
          <t>MA2605</t>
        </is>
      </c>
      <c r="C870" s="11" t="inlineStr">
        <is>
          <t>2026-05</t>
        </is>
      </c>
      <c r="D870" s="12" t="n">
        <v>3170</v>
      </c>
      <c r="E870" s="12" t="n">
        <v>3089</v>
      </c>
      <c r="F870" s="12">
        <f>D870-E870</f>
        <v/>
      </c>
      <c r="G870" s="13">
        <f>IF(D870=0,"",(D870-E870)/D870)</f>
        <v/>
      </c>
      <c r="H870" s="14" t="n">
        <v>542325</v>
      </c>
      <c r="I870" s="15" t="n">
        <v>0.728</v>
      </c>
      <c r="J870" s="15">
        <f>IF(COUNT(G620:G869)&lt;20,"",IF(COUNTIF(G620:G869,"&lt;"&amp;G870)&gt;=COUNT(G620:G869),(COUNT(G620:G869)-0.5)/COUNT(G620:G869),IF(COUNTIF(G620:G869,G870)&gt;0,(COUNTIF(G620:G869,"&lt;"&amp;G870)+0.5*COUNTIF(G620:G869,G870))/COUNT(G620:G869),COUNTIF(G620:G869,"&lt;"&amp;G870)/COUNT(G620:G869))))</f>
        <v/>
      </c>
      <c r="K870" s="11" t="inlineStr">
        <is>
          <t>中间分位</t>
        </is>
      </c>
      <c r="L870" s="11" t="n">
        <v>35</v>
      </c>
      <c r="M870" s="11" t="inlineStr">
        <is>
          <t>Contango(远强)</t>
        </is>
      </c>
      <c r="N870" s="11" t="n">
        <v>0</v>
      </c>
      <c r="O870" s="11" t="n">
        <v>0</v>
      </c>
      <c r="P870" s="12" t="n">
        <v>25</v>
      </c>
      <c r="Q870" s="11" t="inlineStr"/>
    </row>
    <row r="871">
      <c r="A871" s="6" t="inlineStr">
        <is>
          <t>2026-03-26</t>
        </is>
      </c>
      <c r="B871" s="6" t="inlineStr">
        <is>
          <t>MA2605</t>
        </is>
      </c>
      <c r="C871" s="6" t="inlineStr">
        <is>
          <t>2026-05</t>
        </is>
      </c>
      <c r="D871" s="7" t="n">
        <v>3130</v>
      </c>
      <c r="E871" s="7" t="n">
        <v>3202</v>
      </c>
      <c r="F871" s="7">
        <f>D871-E871</f>
        <v/>
      </c>
      <c r="G871" s="8">
        <f>IF(D871=0,"",(D871-E871)/D871)</f>
        <v/>
      </c>
      <c r="H871" s="9" t="n">
        <v>620701</v>
      </c>
      <c r="I871" s="10" t="n">
        <v>0.252</v>
      </c>
      <c r="J871" s="10">
        <f>IF(COUNT(G621:G870)&lt;20,"",IF(COUNTIF(G621:G870,"&lt;"&amp;G871)&gt;=COUNT(G621:G870),(COUNT(G621:G870)-0.5)/COUNT(G621:G870),IF(COUNTIF(G621:G870,G871)&gt;0,(COUNTIF(G621:G870,"&lt;"&amp;G871)+0.5*COUNTIF(G621:G870,G871))/COUNT(G621:G870),COUNTIF(G621:G870,"&lt;"&amp;G871)/COUNT(G621:G870))))</f>
        <v/>
      </c>
      <c r="K871" s="6" t="inlineStr">
        <is>
          <t>中间分位</t>
        </is>
      </c>
      <c r="L871" s="6" t="n">
        <v>34</v>
      </c>
      <c r="M871" s="6" t="inlineStr">
        <is>
          <t>Contango(远强)</t>
        </is>
      </c>
      <c r="N871" s="6" t="n">
        <v>0</v>
      </c>
      <c r="O871" s="6" t="n">
        <v>0</v>
      </c>
      <c r="P871" s="7" t="n">
        <v>-7</v>
      </c>
      <c r="Q871" s="6" t="inlineStr"/>
    </row>
    <row r="872">
      <c r="A872" s="11" t="inlineStr">
        <is>
          <t>2026-03-27</t>
        </is>
      </c>
      <c r="B872" s="11" t="inlineStr">
        <is>
          <t>MA2605</t>
        </is>
      </c>
      <c r="C872" s="11" t="inlineStr">
        <is>
          <t>2026-05</t>
        </is>
      </c>
      <c r="D872" s="12" t="n">
        <v>3286.67</v>
      </c>
      <c r="E872" s="12" t="n">
        <v>3296</v>
      </c>
      <c r="F872" s="12">
        <f>D872-E872</f>
        <v/>
      </c>
      <c r="G872" s="13">
        <f>IF(D872=0,"",(D872-E872)/D872)</f>
        <v/>
      </c>
      <c r="H872" s="14" t="n">
        <v>656917</v>
      </c>
      <c r="I872" s="15" t="n">
        <v>0.468</v>
      </c>
      <c r="J872" s="15">
        <f>IF(COUNT(G622:G871)&lt;20,"",IF(COUNTIF(G622:G871,"&lt;"&amp;G872)&gt;=COUNT(G622:G871),(COUNT(G622:G871)-0.5)/COUNT(G622:G871),IF(COUNTIF(G622:G871,G872)&gt;0,(COUNTIF(G622:G871,"&lt;"&amp;G872)+0.5*COUNTIF(G622:G871,G872))/COUNT(G622:G871),COUNTIF(G622:G871,"&lt;"&amp;G872)/COUNT(G622:G871))))</f>
        <v/>
      </c>
      <c r="K872" s="11" t="inlineStr">
        <is>
          <t>中间分位</t>
        </is>
      </c>
      <c r="L872" s="11" t="n">
        <v>33</v>
      </c>
      <c r="M872" s="11" t="inlineStr">
        <is>
          <t>Contango(远强)</t>
        </is>
      </c>
      <c r="N872" s="11" t="n">
        <v>0</v>
      </c>
      <c r="O872" s="11" t="n">
        <v>0</v>
      </c>
      <c r="P872" s="12" t="n">
        <v>10</v>
      </c>
      <c r="Q872" s="11" t="inlineStr"/>
    </row>
    <row r="873">
      <c r="A873" s="6" t="inlineStr">
        <is>
          <t>2026-03-30</t>
        </is>
      </c>
      <c r="B873" s="6" t="inlineStr">
        <is>
          <t>MA2605</t>
        </is>
      </c>
      <c r="C873" s="6" t="inlineStr">
        <is>
          <t>2026-05</t>
        </is>
      </c>
      <c r="D873" s="7" t="n">
        <v>3420</v>
      </c>
      <c r="E873" s="7" t="n">
        <v>3319</v>
      </c>
      <c r="F873" s="7">
        <f>D873-E873</f>
        <v/>
      </c>
      <c r="G873" s="8">
        <f>IF(D873=0,"",(D873-E873)/D873)</f>
        <v/>
      </c>
      <c r="H873" s="9" t="n">
        <v>647965</v>
      </c>
      <c r="I873" s="10" t="n">
        <v>0.748</v>
      </c>
      <c r="J873" s="10">
        <f>IF(COUNT(G623:G872)&lt;20,"",IF(COUNTIF(G623:G872,"&lt;"&amp;G873)&gt;=COUNT(G623:G872),(COUNT(G623:G872)-0.5)/COUNT(G623:G872),IF(COUNTIF(G623:G872,G873)&gt;0,(COUNTIF(G623:G872,"&lt;"&amp;G873)+0.5*COUNTIF(G623:G872,G873))/COUNT(G623:G872),COUNTIF(G623:G872,"&lt;"&amp;G873)/COUNT(G623:G872))))</f>
        <v/>
      </c>
      <c r="K873" s="6" t="inlineStr">
        <is>
          <t>中间分位</t>
        </is>
      </c>
      <c r="L873" s="6" t="n">
        <v>32</v>
      </c>
      <c r="M873" s="6" t="inlineStr">
        <is>
          <t>Contango(远强)</t>
        </is>
      </c>
      <c r="N873" s="6" t="n">
        <v>0</v>
      </c>
      <c r="O873" s="6" t="n">
        <v>0</v>
      </c>
      <c r="P873" s="7" t="n">
        <v>23</v>
      </c>
      <c r="Q873" s="6" t="inlineStr"/>
    </row>
    <row r="874">
      <c r="A874" s="11" t="inlineStr">
        <is>
          <t>2026-03-31</t>
        </is>
      </c>
      <c r="B874" s="11" t="inlineStr">
        <is>
          <t>MA2605</t>
        </is>
      </c>
      <c r="C874" s="11" t="inlineStr">
        <is>
          <t>2026-05</t>
        </is>
      </c>
      <c r="D874" s="12" t="n">
        <v>3460</v>
      </c>
      <c r="E874" s="12" t="n">
        <v>3229</v>
      </c>
      <c r="F874" s="12">
        <f>D874-E874</f>
        <v/>
      </c>
      <c r="G874" s="13">
        <f>IF(D874=0,"",(D874-E874)/D874)</f>
        <v/>
      </c>
      <c r="H874" s="14" t="n">
        <v>590456</v>
      </c>
      <c r="I874" s="15" t="n">
        <v>0.912</v>
      </c>
      <c r="J874" s="15">
        <f>IF(COUNT(G624:G873)&lt;20,"",IF(COUNTIF(G624:G873,"&lt;"&amp;G874)&gt;=COUNT(G624:G873),(COUNT(G624:G873)-0.5)/COUNT(G624:G873),IF(COUNTIF(G624:G873,G874)&gt;0,(COUNTIF(G624:G873,"&lt;"&amp;G874)+0.5*COUNTIF(G624:G873,G874))/COUNT(G624:G873),COUNTIF(G624:G873,"&lt;"&amp;G874)/COUNT(G624:G873))))</f>
        <v/>
      </c>
      <c r="K874" s="11" t="inlineStr">
        <is>
          <t>高分位</t>
        </is>
      </c>
      <c r="L874" s="11" t="n">
        <v>31</v>
      </c>
      <c r="M874" s="11" t="inlineStr">
        <is>
          <t>Contango(远强)</t>
        </is>
      </c>
      <c r="N874" s="11" t="n">
        <v>0</v>
      </c>
      <c r="O874" s="11" t="n">
        <v>0</v>
      </c>
      <c r="P874" s="12" t="n">
        <v>33</v>
      </c>
      <c r="Q874" s="11" t="inlineStr"/>
    </row>
    <row r="875">
      <c r="A875" s="6" t="inlineStr">
        <is>
          <t>2026-04-01</t>
        </is>
      </c>
      <c r="B875" s="6" t="inlineStr">
        <is>
          <t>MA2605</t>
        </is>
      </c>
      <c r="C875" s="6" t="inlineStr">
        <is>
          <t>2026-05</t>
        </is>
      </c>
      <c r="D875" s="7" t="n">
        <v>3356.67</v>
      </c>
      <c r="E875" s="7" t="n">
        <v>3014</v>
      </c>
      <c r="F875" s="7">
        <f>D875-E875</f>
        <v/>
      </c>
      <c r="G875" s="8">
        <f>IF(D875=0,"",(D875-E875)/D875)</f>
        <v/>
      </c>
      <c r="H875" s="9" t="n">
        <v>555903</v>
      </c>
      <c r="I875" s="10" t="n">
        <v>0.98</v>
      </c>
      <c r="J875" s="10">
        <f>IF(COUNT(G625:G874)&lt;20,"",IF(COUNTIF(G625:G874,"&lt;"&amp;G875)&gt;=COUNT(G625:G874),(COUNT(G625:G874)-0.5)/COUNT(G625:G874),IF(COUNTIF(G625:G874,G875)&gt;0,(COUNTIF(G625:G874,"&lt;"&amp;G875)+0.5*COUNTIF(G625:G874,G875))/COUNT(G625:G874),COUNTIF(G625:G874,"&lt;"&amp;G875)/COUNT(G625:G874))))</f>
        <v/>
      </c>
      <c r="K875" s="6" t="inlineStr">
        <is>
          <t>高分位</t>
        </is>
      </c>
      <c r="L875" s="6" t="n">
        <v>30</v>
      </c>
      <c r="M875" s="6" t="inlineStr">
        <is>
          <t>Contango(远强)</t>
        </is>
      </c>
      <c r="N875" s="6" t="n">
        <v>0</v>
      </c>
      <c r="O875" s="6" t="n">
        <v>0</v>
      </c>
      <c r="P875" s="7" t="n">
        <v>-39</v>
      </c>
      <c r="Q875" s="6" t="inlineStr"/>
    </row>
    <row r="876">
      <c r="A876" s="11" t="inlineStr">
        <is>
          <t>2026-04-02</t>
        </is>
      </c>
      <c r="B876" s="11" t="inlineStr">
        <is>
          <t>MA2605</t>
        </is>
      </c>
      <c r="C876" s="11" t="inlineStr">
        <is>
          <t>2026-05</t>
        </is>
      </c>
      <c r="D876" s="12" t="n">
        <v>3120</v>
      </c>
      <c r="E876" s="12" t="n">
        <v>3246</v>
      </c>
      <c r="F876" s="12">
        <f>D876-E876</f>
        <v/>
      </c>
      <c r="G876" s="13">
        <f>IF(D876=0,"",(D876-E876)/D876)</f>
        <v/>
      </c>
      <c r="H876" s="14" t="n">
        <v>581336</v>
      </c>
      <c r="I876" s="15" t="n">
        <v>0.12</v>
      </c>
      <c r="J876" s="15">
        <f>IF(COUNT(G626:G875)&lt;20,"",IF(COUNTIF(G626:G875,"&lt;"&amp;G876)&gt;=COUNT(G626:G875),(COUNT(G626:G875)-0.5)/COUNT(G626:G875),IF(COUNTIF(G626:G875,G876)&gt;0,(COUNTIF(G626:G875,"&lt;"&amp;G876)+0.5*COUNTIF(G626:G875,G876))/COUNT(G626:G875),COUNTIF(G626:G875,"&lt;"&amp;G876)/COUNT(G626:G875))))</f>
        <v/>
      </c>
      <c r="K876" s="11" t="inlineStr">
        <is>
          <t>中间分位</t>
        </is>
      </c>
      <c r="L876" s="11" t="n">
        <v>29</v>
      </c>
      <c r="M876" s="11" t="inlineStr">
        <is>
          <t>Contango(远强)</t>
        </is>
      </c>
      <c r="N876" s="11" t="n">
        <v>0</v>
      </c>
      <c r="O876" s="11" t="n">
        <v>0</v>
      </c>
      <c r="P876" s="12" t="n">
        <v>-4</v>
      </c>
      <c r="Q876" s="11" t="inlineStr"/>
    </row>
    <row r="877">
      <c r="A877" s="6" t="inlineStr">
        <is>
          <t>2026-04-03</t>
        </is>
      </c>
      <c r="B877" s="6" t="inlineStr">
        <is>
          <t>MA2605</t>
        </is>
      </c>
      <c r="C877" s="6" t="inlineStr">
        <is>
          <t>2026-05</t>
        </is>
      </c>
      <c r="D877" s="7" t="n">
        <v>3346.67</v>
      </c>
      <c r="E877" s="7" t="n">
        <v>3364</v>
      </c>
      <c r="F877" s="7">
        <f>D877-E877</f>
        <v/>
      </c>
      <c r="G877" s="8">
        <f>IF(D877=0,"",(D877-E877)/D877)</f>
        <v/>
      </c>
      <c r="H877" s="9" t="n">
        <v>570224</v>
      </c>
      <c r="I877" s="10" t="n">
        <v>0.436</v>
      </c>
      <c r="J877" s="10">
        <f>IF(COUNT(G627:G876)&lt;20,"",IF(COUNTIF(G627:G876,"&lt;"&amp;G877)&gt;=COUNT(G627:G876),(COUNT(G627:G876)-0.5)/COUNT(G627:G876),IF(COUNTIF(G627:G876,G877)&gt;0,(COUNTIF(G627:G876,"&lt;"&amp;G877)+0.5*COUNTIF(G627:G876,G877))/COUNT(G627:G876),COUNTIF(G627:G876,"&lt;"&amp;G877)/COUNT(G627:G876))))</f>
        <v/>
      </c>
      <c r="K877" s="6" t="inlineStr">
        <is>
          <t>中间分位</t>
        </is>
      </c>
      <c r="L877" s="6" t="n">
        <v>28</v>
      </c>
      <c r="M877" s="6" t="inlineStr">
        <is>
          <t>Back(近强)</t>
        </is>
      </c>
      <c r="N877" s="6" t="n">
        <v>0</v>
      </c>
      <c r="O877" s="6" t="n">
        <v>0</v>
      </c>
      <c r="P877" s="7" t="n">
        <v>88</v>
      </c>
      <c r="Q877" s="6" t="inlineStr"/>
    </row>
    <row r="878">
      <c r="A878" s="11" t="inlineStr">
        <is>
          <t>2026-04-07</t>
        </is>
      </c>
      <c r="B878" s="11" t="inlineStr">
        <is>
          <t>MA2605</t>
        </is>
      </c>
      <c r="C878" s="11" t="inlineStr">
        <is>
          <t>2026-05</t>
        </is>
      </c>
      <c r="D878" s="12" t="n">
        <v>3490</v>
      </c>
      <c r="E878" s="12" t="n">
        <v>3553</v>
      </c>
      <c r="F878" s="12">
        <f>D878-E878</f>
        <v/>
      </c>
      <c r="G878" s="13">
        <f>IF(D878=0,"",(D878-E878)/D878)</f>
        <v/>
      </c>
      <c r="H878" s="14" t="n">
        <v>658064</v>
      </c>
      <c r="I878" s="15" t="n">
        <v>0.3</v>
      </c>
      <c r="J878" s="15">
        <f>IF(COUNT(G628:G877)&lt;20,"",IF(COUNTIF(G628:G877,"&lt;"&amp;G878)&gt;=COUNT(G628:G877),(COUNT(G628:G877)-0.5)/COUNT(G628:G877),IF(COUNTIF(G628:G877,G878)&gt;0,(COUNTIF(G628:G877,"&lt;"&amp;G878)+0.5*COUNTIF(G628:G877,G878))/COUNT(G628:G877),COUNTIF(G628:G877,"&lt;"&amp;G878)/COUNT(G628:G877))))</f>
        <v/>
      </c>
      <c r="K878" s="11" t="inlineStr">
        <is>
          <t>中间分位</t>
        </is>
      </c>
      <c r="L878" s="11" t="n">
        <v>27</v>
      </c>
      <c r="M878" s="11" t="inlineStr">
        <is>
          <t>Back(近强)</t>
        </is>
      </c>
      <c r="N878" s="11" t="n">
        <v>0</v>
      </c>
      <c r="O878" s="11" t="n">
        <v>0</v>
      </c>
      <c r="P878" s="12" t="n">
        <v>111</v>
      </c>
      <c r="Q878" s="11" t="inlineStr"/>
    </row>
    <row r="879">
      <c r="A879" s="6" t="inlineStr">
        <is>
          <t>2026-04-08</t>
        </is>
      </c>
      <c r="B879" s="6" t="inlineStr">
        <is>
          <t>MA2605</t>
        </is>
      </c>
      <c r="C879" s="6" t="inlineStr">
        <is>
          <t>2026-05</t>
        </is>
      </c>
      <c r="D879" s="7" t="n">
        <v>3700</v>
      </c>
      <c r="E879" s="7" t="n">
        <v>3122</v>
      </c>
      <c r="F879" s="7">
        <f>D879-E879</f>
        <v/>
      </c>
      <c r="G879" s="8">
        <f>IF(D879=0,"",(D879-E879)/D879)</f>
        <v/>
      </c>
      <c r="H879" s="9" t="n">
        <v>482989</v>
      </c>
      <c r="I879" s="10" t="n">
        <v>0.998</v>
      </c>
      <c r="J879" s="10">
        <f>IF(COUNT(G629:G878)&lt;20,"",IF(COUNTIF(G629:G878,"&lt;"&amp;G879)&gt;=COUNT(G629:G878),(COUNT(G629:G878)-0.5)/COUNT(G629:G878),IF(COUNTIF(G629:G878,G879)&gt;0,(COUNTIF(G629:G878,"&lt;"&amp;G879)+0.5*COUNTIF(G629:G878,G879))/COUNT(G629:G878),COUNTIF(G629:G878,"&lt;"&amp;G879)/COUNT(G629:G878))))</f>
        <v/>
      </c>
      <c r="K879" s="6" t="inlineStr">
        <is>
          <t>高分位</t>
        </is>
      </c>
      <c r="L879" s="6" t="n">
        <v>26</v>
      </c>
      <c r="M879" s="6" t="inlineStr">
        <is>
          <t>Contango(远强)</t>
        </is>
      </c>
      <c r="N879" s="6" t="n">
        <v>0</v>
      </c>
      <c r="O879" s="6" t="n">
        <v>0</v>
      </c>
      <c r="P879" s="7" t="n">
        <v>-51</v>
      </c>
      <c r="Q879" s="6" t="inlineStr"/>
    </row>
    <row r="880">
      <c r="A880" s="11" t="inlineStr">
        <is>
          <t>2026-04-09</t>
        </is>
      </c>
      <c r="B880" s="11" t="inlineStr">
        <is>
          <t>MA2605</t>
        </is>
      </c>
      <c r="C880" s="11" t="inlineStr">
        <is>
          <t>2026-05</t>
        </is>
      </c>
      <c r="D880" s="12" t="n">
        <v>3313.33</v>
      </c>
      <c r="E880" s="12" t="n">
        <v>3205</v>
      </c>
      <c r="F880" s="12">
        <f>D880-E880</f>
        <v/>
      </c>
      <c r="G880" s="13">
        <f>IF(D880=0,"",(D880-E880)/D880)</f>
        <v/>
      </c>
      <c r="H880" s="14" t="n">
        <v>429230</v>
      </c>
      <c r="I880" s="15" t="n">
        <v>0.772</v>
      </c>
      <c r="J880" s="15">
        <f>IF(COUNT(G630:G879)&lt;20,"",IF(COUNTIF(G630:G879,"&lt;"&amp;G880)&gt;=COUNT(G630:G879),(COUNT(G630:G879)-0.5)/COUNT(G630:G879),IF(COUNTIF(G630:G879,G880)&gt;0,(COUNTIF(G630:G879,"&lt;"&amp;G880)+0.5*COUNTIF(G630:G879,G880))/COUNT(G630:G879),COUNTIF(G630:G879,"&lt;"&amp;G880)/COUNT(G630:G879))))</f>
        <v/>
      </c>
      <c r="K880" s="11" t="inlineStr">
        <is>
          <t>中间分位</t>
        </is>
      </c>
      <c r="L880" s="11" t="n">
        <v>25</v>
      </c>
      <c r="M880" s="11" t="inlineStr">
        <is>
          <t>Back(近强)</t>
        </is>
      </c>
      <c r="N880" s="11" t="n">
        <v>0</v>
      </c>
      <c r="O880" s="11" t="n">
        <v>0</v>
      </c>
      <c r="P880" s="12" t="n">
        <v>55</v>
      </c>
      <c r="Q880" s="11" t="inlineStr"/>
    </row>
    <row r="881">
      <c r="A881" s="6" t="inlineStr">
        <is>
          <t>2026-04-10</t>
        </is>
      </c>
      <c r="B881" s="6" t="inlineStr">
        <is>
          <t>MA2605</t>
        </is>
      </c>
      <c r="C881" s="6" t="inlineStr">
        <is>
          <t>2026-05</t>
        </is>
      </c>
      <c r="D881" s="7" t="n">
        <v>3386.67</v>
      </c>
      <c r="E881" s="7" t="n">
        <v>3114</v>
      </c>
      <c r="F881" s="7">
        <f>D881-E881</f>
        <v/>
      </c>
      <c r="G881" s="8">
        <f>IF(D881=0,"",(D881-E881)/D881)</f>
        <v/>
      </c>
      <c r="H881" s="9" t="n">
        <v>417879</v>
      </c>
      <c r="I881" s="10" t="n">
        <v>0.944</v>
      </c>
      <c r="J881" s="10">
        <f>IF(COUNT(G631:G880)&lt;20,"",IF(COUNTIF(G631:G880,"&lt;"&amp;G881)&gt;=COUNT(G631:G880),(COUNT(G631:G880)-0.5)/COUNT(G631:G880),IF(COUNTIF(G631:G880,G881)&gt;0,(COUNTIF(G631:G880,"&lt;"&amp;G881)+0.5*COUNTIF(G631:G880,G881))/COUNT(G631:G880),COUNTIF(G631:G880,"&lt;"&amp;G881)/COUNT(G631:G880))))</f>
        <v/>
      </c>
      <c r="K881" s="6" t="inlineStr">
        <is>
          <t>高分位</t>
        </is>
      </c>
      <c r="L881" s="6" t="n">
        <v>24</v>
      </c>
      <c r="M881" s="6" t="inlineStr">
        <is>
          <t>Contango(远强)</t>
        </is>
      </c>
      <c r="N881" s="6" t="n">
        <v>0</v>
      </c>
      <c r="O881" s="6" t="n">
        <v>0</v>
      </c>
      <c r="P881" s="7" t="n">
        <v>-186</v>
      </c>
      <c r="Q881" s="6" t="inlineStr"/>
    </row>
    <row r="882">
      <c r="A882" s="11" t="inlineStr">
        <is>
          <t>2026-04-13</t>
        </is>
      </c>
      <c r="B882" s="11" t="inlineStr">
        <is>
          <t>MA2609</t>
        </is>
      </c>
      <c r="C882" s="11" t="inlineStr">
        <is>
          <t>2026-09</t>
        </is>
      </c>
      <c r="D882" s="12" t="n">
        <v>3300</v>
      </c>
      <c r="E882" s="12" t="n">
        <v>2864</v>
      </c>
      <c r="F882" s="12">
        <f>D882-E882</f>
        <v/>
      </c>
      <c r="G882" s="13">
        <f>IF(D882=0,"",(D882-E882)/D882)</f>
        <v/>
      </c>
      <c r="H882" s="14" t="n">
        <v>400315</v>
      </c>
      <c r="I882" s="15" t="n">
        <v>0.988</v>
      </c>
      <c r="J882" s="15">
        <f>IF(COUNT(G632:G881)&lt;20,"",IF(COUNTIF(G632:G881,"&lt;"&amp;G882)&gt;=COUNT(G632:G881),(COUNT(G632:G881)-0.5)/COUNT(G632:G881),IF(COUNTIF(G632:G881,G882)&gt;0,(COUNTIF(G632:G881,"&lt;"&amp;G882)+0.5*COUNTIF(G632:G881,G882))/COUNT(G632:G881),COUNTIF(G632:G881,"&lt;"&amp;G882)/COUNT(G632:G881))))</f>
        <v/>
      </c>
      <c r="K882" s="11" t="inlineStr">
        <is>
          <t>高分位</t>
        </is>
      </c>
      <c r="L882" s="11" t="n">
        <v>104</v>
      </c>
      <c r="M882" s="11" t="inlineStr">
        <is>
          <t>Contango(远强)</t>
        </is>
      </c>
      <c r="N882" s="11" t="n">
        <v>0</v>
      </c>
      <c r="O882" s="11" t="n">
        <v>1</v>
      </c>
      <c r="P882" s="12" t="n">
        <v>-311</v>
      </c>
      <c r="Q882" s="11" t="inlineStr"/>
    </row>
    <row r="883">
      <c r="A883" s="6" t="inlineStr">
        <is>
          <t>2026-04-14</t>
        </is>
      </c>
      <c r="B883" s="6" t="inlineStr">
        <is>
          <t>MA2609</t>
        </is>
      </c>
      <c r="C883" s="6" t="inlineStr">
        <is>
          <t>2026-09</t>
        </is>
      </c>
      <c r="D883" s="7" t="n">
        <v>3360</v>
      </c>
      <c r="E883" s="7" t="n">
        <v>2828</v>
      </c>
      <c r="F883" s="7">
        <f>D883-E883</f>
        <v/>
      </c>
      <c r="G883" s="8">
        <f>IF(D883=0,"",(D883-E883)/D883)</f>
        <v/>
      </c>
      <c r="H883" s="9" t="n">
        <v>425613</v>
      </c>
      <c r="I883" s="10" t="n">
        <v>0.998</v>
      </c>
      <c r="J883" s="10">
        <f>IF(COUNT(G633:G882)&lt;20,"",IF(COUNTIF(G633:G882,"&lt;"&amp;G883)&gt;=COUNT(G633:G882),(COUNT(G633:G882)-0.5)/COUNT(G633:G882),IF(COUNTIF(G633:G882,G883)&gt;0,(COUNTIF(G633:G882,"&lt;"&amp;G883)+0.5*COUNTIF(G633:G882,G883))/COUNT(G633:G882),COUNTIF(G633:G882,"&lt;"&amp;G883)/COUNT(G633:G882))))</f>
        <v/>
      </c>
      <c r="K883" s="6" t="inlineStr">
        <is>
          <t>高分位</t>
        </is>
      </c>
      <c r="L883" s="6" t="n">
        <v>103</v>
      </c>
      <c r="M883" s="6" t="inlineStr">
        <is>
          <t>Contango(远强)</t>
        </is>
      </c>
      <c r="N883" s="6" t="n">
        <v>0</v>
      </c>
      <c r="O883" s="6" t="n">
        <v>0</v>
      </c>
      <c r="P883" s="7" t="n">
        <v>-294</v>
      </c>
      <c r="Q883" s="6" t="inlineStr"/>
    </row>
    <row r="884">
      <c r="A884" s="11" t="inlineStr">
        <is>
          <t>2026-04-15</t>
        </is>
      </c>
      <c r="B884" s="11" t="inlineStr">
        <is>
          <t>MA2609</t>
        </is>
      </c>
      <c r="C884" s="11" t="inlineStr">
        <is>
          <t>2026-09</t>
        </is>
      </c>
      <c r="D884" s="12" t="n">
        <v>3320</v>
      </c>
      <c r="E884" s="12" t="n">
        <v>2844</v>
      </c>
      <c r="F884" s="12">
        <f>D884-E884</f>
        <v/>
      </c>
      <c r="G884" s="13">
        <f>IF(D884=0,"",(D884-E884)/D884)</f>
        <v/>
      </c>
      <c r="H884" s="14" t="n">
        <v>473584</v>
      </c>
      <c r="I884" s="15" t="n">
        <v>0.984</v>
      </c>
      <c r="J884" s="15">
        <f>IF(COUNT(G634:G883)&lt;20,"",IF(COUNTIF(G634:G883,"&lt;"&amp;G884)&gt;=COUNT(G634:G883),(COUNT(G634:G883)-0.5)/COUNT(G634:G883),IF(COUNTIF(G634:G883,G884)&gt;0,(COUNTIF(G634:G883,"&lt;"&amp;G884)+0.5*COUNTIF(G634:G883,G884))/COUNT(G634:G883),COUNTIF(G634:G883,"&lt;"&amp;G884)/COUNT(G634:G883))))</f>
        <v/>
      </c>
      <c r="K884" s="11" t="inlineStr">
        <is>
          <t>高分位</t>
        </is>
      </c>
      <c r="L884" s="11" t="n">
        <v>102</v>
      </c>
      <c r="M884" s="11" t="inlineStr">
        <is>
          <t>Contango(远强)</t>
        </is>
      </c>
      <c r="N884" s="11" t="n">
        <v>0</v>
      </c>
      <c r="O884" s="11" t="n">
        <v>0</v>
      </c>
      <c r="P884" s="12" t="n">
        <v>-311</v>
      </c>
      <c r="Q884" s="11" t="inlineStr"/>
    </row>
    <row r="885">
      <c r="A885" s="6" t="inlineStr">
        <is>
          <t>2026-04-16</t>
        </is>
      </c>
      <c r="B885" s="6" t="inlineStr">
        <is>
          <t>MA2609</t>
        </is>
      </c>
      <c r="C885" s="6" t="inlineStr">
        <is>
          <t>2026-09</t>
        </is>
      </c>
      <c r="D885" s="7" t="n">
        <v>3360</v>
      </c>
      <c r="E885" s="7" t="n">
        <v>2908</v>
      </c>
      <c r="F885" s="7">
        <f>D885-E885</f>
        <v/>
      </c>
      <c r="G885" s="8">
        <f>IF(D885=0,"",(D885-E885)/D885)</f>
        <v/>
      </c>
      <c r="H885" s="9" t="n">
        <v>533512</v>
      </c>
      <c r="I885" s="10" t="n">
        <v>0.98</v>
      </c>
      <c r="J885" s="10">
        <f>IF(COUNT(G635:G884)&lt;20,"",IF(COUNTIF(G635:G884,"&lt;"&amp;G885)&gt;=COUNT(G635:G884),(COUNT(G635:G884)-0.5)/COUNT(G635:G884),IF(COUNTIF(G635:G884,G885)&gt;0,(COUNTIF(G635:G884,"&lt;"&amp;G885)+0.5*COUNTIF(G635:G884,G885))/COUNT(G635:G884),COUNTIF(G635:G884,"&lt;"&amp;G885)/COUNT(G635:G884))))</f>
        <v/>
      </c>
      <c r="K885" s="6" t="inlineStr">
        <is>
          <t>高分位</t>
        </is>
      </c>
      <c r="L885" s="6" t="n">
        <v>101</v>
      </c>
      <c r="M885" s="6" t="inlineStr">
        <is>
          <t>Contango(远强)</t>
        </is>
      </c>
      <c r="N885" s="6" t="n">
        <v>0</v>
      </c>
      <c r="O885" s="6" t="n">
        <v>0</v>
      </c>
      <c r="P885" s="7" t="n">
        <v>-280</v>
      </c>
      <c r="Q885" s="6" t="inlineStr"/>
    </row>
    <row r="886">
      <c r="A886" s="11" t="inlineStr">
        <is>
          <t>2026-04-17</t>
        </is>
      </c>
      <c r="B886" s="11" t="inlineStr">
        <is>
          <t>MA2609</t>
        </is>
      </c>
      <c r="C886" s="11" t="inlineStr">
        <is>
          <t>2026-09</t>
        </is>
      </c>
      <c r="D886" s="12" t="n">
        <v>3393.33</v>
      </c>
      <c r="E886" s="12" t="n">
        <v>2916</v>
      </c>
      <c r="F886" s="12">
        <f>D886-E886</f>
        <v/>
      </c>
      <c r="G886" s="13">
        <f>IF(D886=0,"",(D886-E886)/D886)</f>
        <v/>
      </c>
      <c r="H886" s="14" t="n">
        <v>594382</v>
      </c>
      <c r="I886" s="15" t="n">
        <v>0.98</v>
      </c>
      <c r="J886" s="15">
        <f>IF(COUNT(G636:G885)&lt;20,"",IF(COUNTIF(G636:G885,"&lt;"&amp;G886)&gt;=COUNT(G636:G885),(COUNT(G636:G885)-0.5)/COUNT(G636:G885),IF(COUNTIF(G636:G885,G886)&gt;0,(COUNTIF(G636:G885,"&lt;"&amp;G886)+0.5*COUNTIF(G636:G885,G886))/COUNT(G636:G885),COUNTIF(G636:G885,"&lt;"&amp;G886)/COUNT(G636:G885))))</f>
        <v/>
      </c>
      <c r="K886" s="11" t="inlineStr">
        <is>
          <t>高分位</t>
        </is>
      </c>
      <c r="L886" s="11" t="n">
        <v>100</v>
      </c>
      <c r="M886" s="11" t="inlineStr">
        <is>
          <t>Contango(远强)</t>
        </is>
      </c>
      <c r="N886" s="11" t="n">
        <v>0</v>
      </c>
      <c r="O886" s="11" t="n">
        <v>0</v>
      </c>
      <c r="P886" s="12" t="n">
        <v>-257</v>
      </c>
      <c r="Q886" s="11" t="inlineStr"/>
    </row>
    <row r="887">
      <c r="A887" s="6" t="inlineStr">
        <is>
          <t>2026-04-20</t>
        </is>
      </c>
      <c r="B887" s="6" t="inlineStr">
        <is>
          <t>MA2609</t>
        </is>
      </c>
      <c r="C887" s="6" t="inlineStr">
        <is>
          <t>2026-09</t>
        </is>
      </c>
      <c r="D887" s="7" t="n">
        <v>3390</v>
      </c>
      <c r="E887" s="7" t="n">
        <v>2856</v>
      </c>
      <c r="F887" s="7">
        <f>D887-E887</f>
        <v/>
      </c>
      <c r="G887" s="8">
        <f>IF(D887=0,"",(D887-E887)/D887)</f>
        <v/>
      </c>
      <c r="H887" s="9" t="n">
        <v>627251</v>
      </c>
      <c r="I887" s="10" t="n">
        <v>0.996</v>
      </c>
      <c r="J887" s="10">
        <f>IF(COUNT(G637:G886)&lt;20,"",IF(COUNTIF(G637:G886,"&lt;"&amp;G887)&gt;=COUNT(G637:G886),(COUNT(G637:G886)-0.5)/COUNT(G637:G886),IF(COUNTIF(G637:G886,G887)&gt;0,(COUNTIF(G637:G886,"&lt;"&amp;G887)+0.5*COUNTIF(G637:G886,G887))/COUNT(G637:G886),COUNTIF(G637:G886,"&lt;"&amp;G887)/COUNT(G637:G886))))</f>
        <v/>
      </c>
      <c r="K887" s="6" t="inlineStr">
        <is>
          <t>高分位</t>
        </is>
      </c>
      <c r="L887" s="6" t="n">
        <v>99</v>
      </c>
      <c r="M887" s="6" t="inlineStr">
        <is>
          <t>Contango(远强)</t>
        </is>
      </c>
      <c r="N887" s="6" t="n">
        <v>0</v>
      </c>
      <c r="O887" s="6" t="n">
        <v>0</v>
      </c>
      <c r="P887" s="7" t="n">
        <v>-266</v>
      </c>
      <c r="Q887" s="6" t="inlineStr"/>
    </row>
    <row r="888">
      <c r="A888" s="11" t="inlineStr">
        <is>
          <t>2026-04-21</t>
        </is>
      </c>
      <c r="B888" s="11" t="inlineStr">
        <is>
          <t>MA2609</t>
        </is>
      </c>
      <c r="C888" s="11" t="inlineStr">
        <is>
          <t>2026-09</t>
        </is>
      </c>
      <c r="D888" s="12" t="n">
        <v>3346.67</v>
      </c>
      <c r="E888" s="12" t="n">
        <v>2824</v>
      </c>
      <c r="F888" s="12">
        <f>D888-E888</f>
        <v/>
      </c>
      <c r="G888" s="13">
        <f>IF(D888=0,"",(D888-E888)/D888)</f>
        <v/>
      </c>
      <c r="H888" s="14" t="n">
        <v>617392</v>
      </c>
      <c r="I888" s="15" t="n">
        <v>0.988</v>
      </c>
      <c r="J888" s="15">
        <f>IF(COUNT(G638:G887)&lt;20,"",IF(COUNTIF(G638:G887,"&lt;"&amp;G888)&gt;=COUNT(G638:G887),(COUNT(G638:G887)-0.5)/COUNT(G638:G887),IF(COUNTIF(G638:G887,G888)&gt;0,(COUNTIF(G638:G887,"&lt;"&amp;G888)+0.5*COUNTIF(G638:G887,G888))/COUNT(G638:G887),COUNTIF(G638:G887,"&lt;"&amp;G888)/COUNT(G638:G887))))</f>
        <v/>
      </c>
      <c r="K888" s="11" t="inlineStr">
        <is>
          <t>高分位</t>
        </is>
      </c>
      <c r="L888" s="11" t="n">
        <v>98</v>
      </c>
      <c r="M888" s="11" t="inlineStr">
        <is>
          <t>Contango(远强)</t>
        </is>
      </c>
      <c r="N888" s="11" t="n">
        <v>0</v>
      </c>
      <c r="O888" s="11" t="n">
        <v>0</v>
      </c>
      <c r="P888" s="12" t="n">
        <v>-261</v>
      </c>
      <c r="Q888" s="11" t="inlineStr"/>
    </row>
    <row r="889">
      <c r="A889" s="6" t="inlineStr">
        <is>
          <t>2026-04-22</t>
        </is>
      </c>
      <c r="B889" s="6" t="inlineStr">
        <is>
          <t>MA2609</t>
        </is>
      </c>
      <c r="C889" s="6" t="inlineStr">
        <is>
          <t>2026-09</t>
        </is>
      </c>
      <c r="D889" s="7" t="n">
        <v>3286.67</v>
      </c>
      <c r="E889" s="7" t="n">
        <v>2848</v>
      </c>
      <c r="F889" s="7">
        <f>D889-E889</f>
        <v/>
      </c>
      <c r="G889" s="8">
        <f>IF(D889=0,"",(D889-E889)/D889)</f>
        <v/>
      </c>
      <c r="H889" s="9" t="n">
        <v>609729</v>
      </c>
      <c r="I889" s="10" t="n">
        <v>0.964</v>
      </c>
      <c r="J889" s="10">
        <f>IF(COUNT(G639:G888)&lt;20,"",IF(COUNTIF(G639:G888,"&lt;"&amp;G889)&gt;=COUNT(G639:G888),(COUNT(G639:G888)-0.5)/COUNT(G639:G888),IF(COUNTIF(G639:G888,G889)&gt;0,(COUNTIF(G639:G888,"&lt;"&amp;G889)+0.5*COUNTIF(G639:G888,G889))/COUNT(G639:G888),COUNTIF(G639:G888,"&lt;"&amp;G889)/COUNT(G639:G888))))</f>
        <v/>
      </c>
      <c r="K889" s="6" t="inlineStr">
        <is>
          <t>高分位</t>
        </is>
      </c>
      <c r="L889" s="6" t="n">
        <v>97</v>
      </c>
      <c r="M889" s="6" t="inlineStr">
        <is>
          <t>Contango(远强)</t>
        </is>
      </c>
      <c r="N889" s="6" t="n">
        <v>0</v>
      </c>
      <c r="O889" s="6" t="n">
        <v>0</v>
      </c>
      <c r="P889" s="7" t="n">
        <v>-243</v>
      </c>
      <c r="Q889" s="6" t="inlineStr"/>
    </row>
    <row r="890">
      <c r="A890" s="11" t="inlineStr">
        <is>
          <t>2026-04-23</t>
        </is>
      </c>
      <c r="B890" s="11" t="inlineStr">
        <is>
          <t>MA2609</t>
        </is>
      </c>
      <c r="C890" s="11" t="inlineStr">
        <is>
          <t>2026-09</t>
        </is>
      </c>
      <c r="D890" s="12" t="n">
        <v>3256.67</v>
      </c>
      <c r="E890" s="12" t="n">
        <v>2879</v>
      </c>
      <c r="F890" s="12">
        <f>D890-E890</f>
        <v/>
      </c>
      <c r="G890" s="13">
        <f>IF(D890=0,"",(D890-E890)/D890)</f>
        <v/>
      </c>
      <c r="H890" s="14" t="n">
        <v>615961</v>
      </c>
      <c r="I890" s="15" t="n">
        <v>0.944</v>
      </c>
      <c r="J890" s="15">
        <f>IF(COUNT(G640:G889)&lt;20,"",IF(COUNTIF(G640:G889,"&lt;"&amp;G890)&gt;=COUNT(G640:G889),(COUNT(G640:G889)-0.5)/COUNT(G640:G889),IF(COUNTIF(G640:G889,G890)&gt;0,(COUNTIF(G640:G889,"&lt;"&amp;G890)+0.5*COUNTIF(G640:G889,G890))/COUNT(G640:G889),COUNTIF(G640:G889,"&lt;"&amp;G890)/COUNT(G640:G889))))</f>
        <v/>
      </c>
      <c r="K890" s="11" t="inlineStr">
        <is>
          <t>高分位</t>
        </is>
      </c>
      <c r="L890" s="11" t="n">
        <v>96</v>
      </c>
      <c r="M890" s="11" t="inlineStr">
        <is>
          <t>Contango(远强)</t>
        </is>
      </c>
      <c r="N890" s="11" t="n">
        <v>0</v>
      </c>
      <c r="O890" s="11" t="n">
        <v>0</v>
      </c>
      <c r="P890" s="12" t="n">
        <v>-218</v>
      </c>
      <c r="Q890" s="11" t="inlineStr"/>
    </row>
    <row r="891">
      <c r="A891" s="6" t="inlineStr">
        <is>
          <t>2026-04-24</t>
        </is>
      </c>
      <c r="B891" s="6" t="inlineStr">
        <is>
          <t>MA2609</t>
        </is>
      </c>
      <c r="C891" s="6" t="inlineStr">
        <is>
          <t>2026-09</t>
        </is>
      </c>
      <c r="D891" s="7" t="n">
        <v>3256.67</v>
      </c>
      <c r="E891" s="7" t="n">
        <v>2895</v>
      </c>
      <c r="F891" s="7">
        <f>D891-E891</f>
        <v/>
      </c>
      <c r="G891" s="8">
        <f>IF(D891=0,"",(D891-E891)/D891)</f>
        <v/>
      </c>
      <c r="H891" s="9" t="n">
        <v>631322</v>
      </c>
      <c r="I891" s="10" t="n">
        <v>0.9399999999999999</v>
      </c>
      <c r="J891" s="10">
        <f>IF(COUNT(G641:G890)&lt;20,"",IF(COUNTIF(G641:G890,"&lt;"&amp;G891)&gt;=COUNT(G641:G890),(COUNT(G641:G890)-0.5)/COUNT(G641:G890),IF(COUNTIF(G641:G890,G891)&gt;0,(COUNTIF(G641:G890,"&lt;"&amp;G891)+0.5*COUNTIF(G641:G890,G891))/COUNT(G641:G890),COUNTIF(G641:G890,"&lt;"&amp;G891)/COUNT(G641:G890))))</f>
        <v/>
      </c>
      <c r="K891" s="6" t="inlineStr">
        <is>
          <t>高分位</t>
        </is>
      </c>
      <c r="L891" s="6" t="n">
        <v>95</v>
      </c>
      <c r="M891" s="6" t="inlineStr">
        <is>
          <t>Contango(远强)</t>
        </is>
      </c>
      <c r="N891" s="6" t="n">
        <v>0</v>
      </c>
      <c r="O891" s="6" t="n">
        <v>0</v>
      </c>
      <c r="P891" s="7" t="n">
        <v>-217</v>
      </c>
      <c r="Q891" s="6" t="inlineStr"/>
    </row>
    <row r="892">
      <c r="A892" s="11" t="inlineStr">
        <is>
          <t>2026-04-27</t>
        </is>
      </c>
      <c r="B892" s="11" t="inlineStr">
        <is>
          <t>MA2609</t>
        </is>
      </c>
      <c r="C892" s="11" t="inlineStr">
        <is>
          <t>2026-09</t>
        </is>
      </c>
      <c r="D892" s="12" t="n">
        <v>3270</v>
      </c>
      <c r="E892" s="12" t="n">
        <v>2939</v>
      </c>
      <c r="F892" s="12">
        <f>D892-E892</f>
        <v/>
      </c>
      <c r="G892" s="13">
        <f>IF(D892=0,"",(D892-E892)/D892)</f>
        <v/>
      </c>
      <c r="H892" s="14" t="n">
        <v>648738</v>
      </c>
      <c r="I892" s="15" t="n">
        <v>0.9320000000000001</v>
      </c>
      <c r="J892" s="15">
        <f>IF(COUNT(G642:G891)&lt;20,"",IF(COUNTIF(G642:G891,"&lt;"&amp;G892)&gt;=COUNT(G642:G891),(COUNT(G642:G891)-0.5)/COUNT(G642:G891),IF(COUNTIF(G642:G891,G892)&gt;0,(COUNTIF(G642:G891,"&lt;"&amp;G892)+0.5*COUNTIF(G642:G891,G892))/COUNT(G642:G891),COUNTIF(G642:G891,"&lt;"&amp;G892)/COUNT(G642:G891))))</f>
        <v/>
      </c>
      <c r="K892" s="11" t="inlineStr">
        <is>
          <t>高分位</t>
        </is>
      </c>
      <c r="L892" s="11" t="n">
        <v>94</v>
      </c>
      <c r="M892" s="11" t="inlineStr">
        <is>
          <t>Contango(远强)</t>
        </is>
      </c>
      <c r="N892" s="11" t="n">
        <v>0</v>
      </c>
      <c r="O892" s="11" t="n">
        <v>0</v>
      </c>
      <c r="P892" s="12" t="n">
        <v>-208</v>
      </c>
      <c r="Q892" s="11" t="inlineStr"/>
    </row>
    <row r="893">
      <c r="A893" s="6" t="inlineStr">
        <is>
          <t>2026-04-28</t>
        </is>
      </c>
      <c r="B893" s="6" t="inlineStr">
        <is>
          <t>MA2609</t>
        </is>
      </c>
      <c r="C893" s="6" t="inlineStr">
        <is>
          <t>2026-09</t>
        </is>
      </c>
      <c r="D893" s="7" t="n">
        <v>3300</v>
      </c>
      <c r="E893" s="7" t="n">
        <v>3020</v>
      </c>
      <c r="F893" s="7">
        <f>D893-E893</f>
        <v/>
      </c>
      <c r="G893" s="8">
        <f>IF(D893=0,"",(D893-E893)/D893)</f>
        <v/>
      </c>
      <c r="H893" s="9" t="n">
        <v>676317</v>
      </c>
      <c r="I893" s="10" t="n">
        <v>0.904</v>
      </c>
      <c r="J893" s="10">
        <f>IF(COUNT(G643:G892)&lt;20,"",IF(COUNTIF(G643:G892,"&lt;"&amp;G893)&gt;=COUNT(G643:G892),(COUNT(G643:G892)-0.5)/COUNT(G643:G892),IF(COUNTIF(G643:G892,G893)&gt;0,(COUNTIF(G643:G892,"&lt;"&amp;G893)+0.5*COUNTIF(G643:G892,G893))/COUNT(G643:G892),COUNTIF(G643:G892,"&lt;"&amp;G893)/COUNT(G643:G892))))</f>
        <v/>
      </c>
      <c r="K893" s="6" t="inlineStr">
        <is>
          <t>高分位</t>
        </is>
      </c>
      <c r="L893" s="6" t="n">
        <v>93</v>
      </c>
      <c r="M893" s="6" t="inlineStr">
        <is>
          <t>Contango(远强)</t>
        </is>
      </c>
      <c r="N893" s="6" t="n">
        <v>0</v>
      </c>
      <c r="O893" s="6" t="n">
        <v>0</v>
      </c>
      <c r="P893" s="7" t="n">
        <v>-190</v>
      </c>
      <c r="Q893" s="6" t="inlineStr"/>
    </row>
    <row r="894">
      <c r="A894" s="11" t="inlineStr">
        <is>
          <t>2026-04-29</t>
        </is>
      </c>
      <c r="B894" s="11" t="inlineStr">
        <is>
          <t>MA2609</t>
        </is>
      </c>
      <c r="C894" s="11" t="inlineStr">
        <is>
          <t>2026-09</t>
        </is>
      </c>
      <c r="D894" s="12" t="n">
        <v>3340</v>
      </c>
      <c r="E894" s="12" t="n">
        <v>3007</v>
      </c>
      <c r="F894" s="12">
        <f>D894-E894</f>
        <v/>
      </c>
      <c r="G894" s="13">
        <f>IF(D894=0,"",(D894-E894)/D894)</f>
        <v/>
      </c>
      <c r="H894" s="14" t="n">
        <v>663559</v>
      </c>
      <c r="I894" s="15" t="n">
        <v>0.924</v>
      </c>
      <c r="J894" s="15">
        <f>IF(COUNT(G644:G893)&lt;20,"",IF(COUNTIF(G644:G893,"&lt;"&amp;G894)&gt;=COUNT(G644:G893),(COUNT(G644:G893)-0.5)/COUNT(G644:G893),IF(COUNTIF(G644:G893,G894)&gt;0,(COUNTIF(G644:G893,"&lt;"&amp;G894)+0.5*COUNTIF(G644:G893,G894))/COUNT(G644:G893),COUNTIF(G644:G893,"&lt;"&amp;G894)/COUNT(G644:G893))))</f>
        <v/>
      </c>
      <c r="K894" s="11" t="inlineStr">
        <is>
          <t>高分位</t>
        </is>
      </c>
      <c r="L894" s="11" t="n">
        <v>92</v>
      </c>
      <c r="M894" s="11" t="inlineStr">
        <is>
          <t>Contango(远强)</t>
        </is>
      </c>
      <c r="N894" s="11" t="n">
        <v>0</v>
      </c>
      <c r="O894" s="11" t="n">
        <v>0</v>
      </c>
      <c r="P894" s="12" t="n">
        <v>-182</v>
      </c>
      <c r="Q894" s="11" t="inlineStr"/>
    </row>
    <row r="895">
      <c r="A895" s="6" t="inlineStr">
        <is>
          <t>2026-04-30</t>
        </is>
      </c>
      <c r="B895" s="6" t="inlineStr">
        <is>
          <t>MA2609</t>
        </is>
      </c>
      <c r="C895" s="6" t="inlineStr">
        <is>
          <t>2026-09</t>
        </is>
      </c>
      <c r="D895" s="7" t="n">
        <v>3292.5</v>
      </c>
      <c r="E895" s="7" t="n">
        <v>3009</v>
      </c>
      <c r="F895" s="7">
        <f>D895-E895</f>
        <v/>
      </c>
      <c r="G895" s="8">
        <f>IF(D895=0,"",(D895-E895)/D895)</f>
        <v/>
      </c>
      <c r="H895" s="9" t="n">
        <v>650887</v>
      </c>
      <c r="I895" s="10" t="n">
        <v>0.904</v>
      </c>
      <c r="J895" s="10">
        <f>IF(COUNT(G645:G894)&lt;20,"",IF(COUNTIF(G645:G894,"&lt;"&amp;G895)&gt;=COUNT(G645:G894),(COUNT(G645:G894)-0.5)/COUNT(G645:G894),IF(COUNTIF(G645:G894,G895)&gt;0,(COUNTIF(G645:G894,"&lt;"&amp;G895)+0.5*COUNTIF(G645:G894,G895))/COUNT(G645:G894),COUNTIF(G645:G894,"&lt;"&amp;G895)/COUNT(G645:G894))))</f>
        <v/>
      </c>
      <c r="K895" s="6" t="inlineStr">
        <is>
          <t>高分位</t>
        </is>
      </c>
      <c r="L895" s="6" t="n">
        <v>91</v>
      </c>
      <c r="M895" s="6" t="inlineStr">
        <is>
          <t>Contango(远强)</t>
        </is>
      </c>
      <c r="N895" s="6" t="n">
        <v>0</v>
      </c>
      <c r="O895" s="6" t="n">
        <v>0</v>
      </c>
      <c r="P895" s="7" t="n">
        <v>-197</v>
      </c>
      <c r="Q895" s="6" t="inlineStr"/>
    </row>
    <row r="896">
      <c r="A896" s="11" t="inlineStr">
        <is>
          <t>2026-05-06</t>
        </is>
      </c>
      <c r="B896" s="11" t="inlineStr">
        <is>
          <t>MA2609</t>
        </is>
      </c>
      <c r="C896" s="11" t="inlineStr">
        <is>
          <t>2026-09</t>
        </is>
      </c>
      <c r="D896" s="12" t="n">
        <v>3295.83</v>
      </c>
      <c r="E896" s="12" t="n">
        <v>3045</v>
      </c>
      <c r="F896" s="12">
        <f>D896-E896</f>
        <v/>
      </c>
      <c r="G896" s="13">
        <f>IF(D896=0,"",(D896-E896)/D896)</f>
        <v/>
      </c>
      <c r="H896" s="14" t="n">
        <v>684807</v>
      </c>
      <c r="I896" s="15" t="n">
        <v>0.876</v>
      </c>
      <c r="J896" s="15">
        <f>IF(COUNT(G646:G895)&lt;20,"",IF(COUNTIF(G646:G895,"&lt;"&amp;G896)&gt;=COUNT(G646:G895),(COUNT(G646:G895)-0.5)/COUNT(G646:G895),IF(COUNTIF(G646:G895,G896)&gt;0,(COUNTIF(G646:G895,"&lt;"&amp;G896)+0.5*COUNTIF(G646:G895,G896))/COUNT(G646:G895),COUNTIF(G646:G895,"&lt;"&amp;G896)/COUNT(G646:G895))))</f>
        <v/>
      </c>
      <c r="K896" s="11" t="inlineStr">
        <is>
          <t>中间分位</t>
        </is>
      </c>
      <c r="L896" s="11" t="n">
        <v>90</v>
      </c>
      <c r="M896" s="11" t="inlineStr">
        <is>
          <t>Contango(远强)</t>
        </is>
      </c>
      <c r="N896" s="11" t="n">
        <v>0</v>
      </c>
      <c r="O896" s="11" t="n">
        <v>0</v>
      </c>
      <c r="P896" s="12" t="n">
        <v>-205</v>
      </c>
      <c r="Q896" s="11" t="inlineStr"/>
    </row>
    <row r="897">
      <c r="A897" s="6" t="inlineStr">
        <is>
          <t>2026-05-07</t>
        </is>
      </c>
      <c r="B897" s="6" t="inlineStr">
        <is>
          <t>MA2609</t>
        </is>
      </c>
      <c r="C897" s="6" t="inlineStr">
        <is>
          <t>2026-09</t>
        </is>
      </c>
      <c r="D897" s="7" t="n">
        <v>3339.17</v>
      </c>
      <c r="E897" s="7" t="n">
        <v>2870</v>
      </c>
      <c r="F897" s="7">
        <f>D897-E897</f>
        <v/>
      </c>
      <c r="G897" s="8">
        <f>IF(D897=0,"",(D897-E897)/D897)</f>
        <v/>
      </c>
      <c r="H897" s="9" t="n">
        <v>676324</v>
      </c>
      <c r="I897" s="10" t="n">
        <v>0.968</v>
      </c>
      <c r="J897" s="10">
        <f>IF(COUNT(G647:G896)&lt;20,"",IF(COUNTIF(G647:G896,"&lt;"&amp;G897)&gt;=COUNT(G647:G896),(COUNT(G647:G896)-0.5)/COUNT(G647:G896),IF(COUNTIF(G647:G896,G897)&gt;0,(COUNTIF(G647:G896,"&lt;"&amp;G897)+0.5*COUNTIF(G647:G896,G897))/COUNT(G647:G896),COUNTIF(G647:G896,"&lt;"&amp;G897)/COUNT(G647:G896))))</f>
        <v/>
      </c>
      <c r="K897" s="6" t="inlineStr">
        <is>
          <t>高分位</t>
        </is>
      </c>
      <c r="L897" s="6" t="n">
        <v>89</v>
      </c>
      <c r="M897" s="6" t="inlineStr">
        <is>
          <t>Contango(远强)</t>
        </is>
      </c>
      <c r="N897" s="6" t="n">
        <v>0</v>
      </c>
      <c r="O897" s="6" t="n">
        <v>0</v>
      </c>
      <c r="P897" s="7" t="n">
        <v>-205</v>
      </c>
      <c r="Q897" s="6" t="inlineStr"/>
    </row>
    <row r="898">
      <c r="A898" s="11" t="inlineStr">
        <is>
          <t>2026-05-08</t>
        </is>
      </c>
      <c r="B898" s="11" t="inlineStr">
        <is>
          <t>MA2609</t>
        </is>
      </c>
      <c r="C898" s="11" t="inlineStr">
        <is>
          <t>2026-09</t>
        </is>
      </c>
      <c r="D898" s="12" t="n">
        <v>3170</v>
      </c>
      <c r="E898" s="12" t="n">
        <v>2855</v>
      </c>
      <c r="F898" s="12">
        <f>D898-E898</f>
        <v/>
      </c>
      <c r="G898" s="13">
        <f>IF(D898=0,"",(D898-E898)/D898)</f>
        <v/>
      </c>
      <c r="H898" s="14" t="n">
        <v>664309</v>
      </c>
      <c r="I898" s="15" t="n">
        <v>0.916</v>
      </c>
      <c r="J898" s="15">
        <f>IF(COUNT(G648:G897)&lt;20,"",IF(COUNTIF(G648:G897,"&lt;"&amp;G898)&gt;=COUNT(G648:G897),(COUNT(G648:G897)-0.5)/COUNT(G648:G897),IF(COUNTIF(G648:G897,G898)&gt;0,(COUNTIF(G648:G897,"&lt;"&amp;G898)+0.5*COUNTIF(G648:G897,G898))/COUNT(G648:G897),COUNTIF(G648:G897,"&lt;"&amp;G898)/COUNT(G648:G897))))</f>
        <v/>
      </c>
      <c r="K898" s="11" t="inlineStr">
        <is>
          <t>高分位</t>
        </is>
      </c>
      <c r="L898" s="11" t="n">
        <v>88</v>
      </c>
      <c r="M898" s="11" t="inlineStr">
        <is>
          <t>Contango(远强)</t>
        </is>
      </c>
      <c r="N898" s="11" t="n">
        <v>0</v>
      </c>
      <c r="O898" s="11" t="n">
        <v>0</v>
      </c>
      <c r="P898" s="12" t="n">
        <v>-194</v>
      </c>
      <c r="Q898" s="11" t="inlineStr"/>
    </row>
    <row r="899">
      <c r="A899" s="6" t="inlineStr">
        <is>
          <t>2026-05-11</t>
        </is>
      </c>
      <c r="B899" s="6" t="inlineStr">
        <is>
          <t>MA2609</t>
        </is>
      </c>
      <c r="C899" s="6" t="inlineStr">
        <is>
          <t>2026-09</t>
        </is>
      </c>
      <c r="D899" s="7" t="n">
        <v>3130</v>
      </c>
      <c r="E899" s="7" t="n">
        <v>2882</v>
      </c>
      <c r="F899" s="7">
        <f>D899-E899</f>
        <v/>
      </c>
      <c r="G899" s="8">
        <f>IF(D899=0,"",(D899-E899)/D899)</f>
        <v/>
      </c>
      <c r="H899" s="9" t="n">
        <v>663563</v>
      </c>
      <c r="I899" s="10" t="n">
        <v>0.876</v>
      </c>
      <c r="J899" s="10">
        <f>IF(COUNT(G649:G898)&lt;20,"",IF(COUNTIF(G649:G898,"&lt;"&amp;G899)&gt;=COUNT(G649:G898),(COUNT(G649:G898)-0.5)/COUNT(G649:G898),IF(COUNTIF(G649:G898,G899)&gt;0,(COUNTIF(G649:G898,"&lt;"&amp;G899)+0.5*COUNTIF(G649:G898,G899))/COUNT(G649:G898),COUNTIF(G649:G898,"&lt;"&amp;G899)/COUNT(G649:G898))))</f>
        <v/>
      </c>
      <c r="K899" s="6" t="inlineStr">
        <is>
          <t>中间分位</t>
        </is>
      </c>
      <c r="L899" s="6" t="n">
        <v>87</v>
      </c>
      <c r="M899" s="6" t="inlineStr">
        <is>
          <t>Contango(远强)</t>
        </is>
      </c>
      <c r="N899" s="6" t="n">
        <v>0</v>
      </c>
      <c r="O899" s="6" t="n">
        <v>0</v>
      </c>
      <c r="P899" s="7" t="n">
        <v>-223</v>
      </c>
      <c r="Q899" s="6" t="inlineStr"/>
    </row>
    <row r="900">
      <c r="A900" s="11" t="inlineStr">
        <is>
          <t>2026-05-12</t>
        </is>
      </c>
      <c r="B900" s="11" t="inlineStr">
        <is>
          <t>MA2609</t>
        </is>
      </c>
      <c r="C900" s="11" t="inlineStr">
        <is>
          <t>2026-09</t>
        </is>
      </c>
      <c r="D900" s="12" t="n">
        <v>3121.67</v>
      </c>
      <c r="E900" s="12" t="n">
        <v>2915</v>
      </c>
      <c r="F900" s="12">
        <f>D900-E900</f>
        <v/>
      </c>
      <c r="G900" s="13">
        <f>IF(D900=0,"",(D900-E900)/D900)</f>
        <v/>
      </c>
      <c r="H900" s="14" t="n">
        <v>686252</v>
      </c>
      <c r="I900" s="15" t="n">
        <v>0.848</v>
      </c>
      <c r="J900" s="15">
        <f>IF(COUNT(G650:G899)&lt;20,"",IF(COUNTIF(G650:G899,"&lt;"&amp;G900)&gt;=COUNT(G650:G899),(COUNT(G650:G899)-0.5)/COUNT(G650:G899),IF(COUNTIF(G650:G899,G900)&gt;0,(COUNTIF(G650:G899,"&lt;"&amp;G900)+0.5*COUNTIF(G650:G899,G900))/COUNT(G650:G899),COUNTIF(G650:G899,"&lt;"&amp;G900)/COUNT(G650:G899))))</f>
        <v/>
      </c>
      <c r="K900" s="11" t="inlineStr">
        <is>
          <t>中间分位</t>
        </is>
      </c>
      <c r="L900" s="11" t="n">
        <v>86</v>
      </c>
      <c r="M900" s="11" t="inlineStr">
        <is>
          <t>Contango(远强)</t>
        </is>
      </c>
      <c r="N900" s="11" t="n">
        <v>0</v>
      </c>
      <c r="O900" s="11" t="n">
        <v>0</v>
      </c>
      <c r="P900" s="12" t="n">
        <v>-184</v>
      </c>
      <c r="Q900" s="11" t="inlineStr"/>
    </row>
    <row r="901">
      <c r="A901" s="6" t="inlineStr">
        <is>
          <t>2026-05-13</t>
        </is>
      </c>
      <c r="B901" s="6" t="inlineStr">
        <is>
          <t>MA2609</t>
        </is>
      </c>
      <c r="C901" s="6" t="inlineStr">
        <is>
          <t>2026-09</t>
        </is>
      </c>
      <c r="D901" s="7" t="n">
        <v>3160</v>
      </c>
      <c r="E901" s="7" t="n">
        <v>2906</v>
      </c>
      <c r="F901" s="7">
        <f>D901-E901</f>
        <v/>
      </c>
      <c r="G901" s="8">
        <f>IF(D901=0,"",(D901-E901)/D901)</f>
        <v/>
      </c>
      <c r="H901" s="9" t="n">
        <v>704077</v>
      </c>
      <c r="I901" s="10" t="n">
        <v>0.88</v>
      </c>
      <c r="J901" s="10">
        <f>IF(COUNT(G651:G900)&lt;20,"",IF(COUNTIF(G651:G900,"&lt;"&amp;G901)&gt;=COUNT(G651:G900),(COUNT(G651:G900)-0.5)/COUNT(G651:G900),IF(COUNTIF(G651:G900,G901)&gt;0,(COUNTIF(G651:G900,"&lt;"&amp;G901)+0.5*COUNTIF(G651:G900,G901))/COUNT(G651:G900),COUNTIF(G651:G900,"&lt;"&amp;G901)/COUNT(G651:G900))))</f>
        <v/>
      </c>
      <c r="K901" s="6" t="inlineStr">
        <is>
          <t>中间分位</t>
        </is>
      </c>
      <c r="L901" s="6" t="n">
        <v>85</v>
      </c>
      <c r="M901" s="6" t="inlineStr">
        <is>
          <t>Contango(远强)</t>
        </is>
      </c>
      <c r="N901" s="6" t="n">
        <v>0</v>
      </c>
      <c r="O901" s="6" t="n">
        <v>0</v>
      </c>
      <c r="P901" s="7" t="n">
        <v>-136</v>
      </c>
      <c r="Q901" s="6" t="inlineStr"/>
    </row>
    <row r="902">
      <c r="A902" s="11" t="inlineStr">
        <is>
          <t>2026-05-14</t>
        </is>
      </c>
      <c r="B902" s="11" t="inlineStr">
        <is>
          <t>MA2609</t>
        </is>
      </c>
      <c r="C902" s="11" t="inlineStr">
        <is>
          <t>2026-09</t>
        </is>
      </c>
      <c r="D902" s="12" t="n">
        <v>3141.67</v>
      </c>
      <c r="E902" s="12" t="n">
        <v>2860</v>
      </c>
      <c r="F902" s="12">
        <f>D902-E902</f>
        <v/>
      </c>
      <c r="G902" s="13">
        <f>IF(D902=0,"",(D902-E902)/D902)</f>
        <v/>
      </c>
      <c r="H902" s="14" t="n">
        <v>686614</v>
      </c>
      <c r="I902" s="15" t="n">
        <v>0.908</v>
      </c>
      <c r="J902" s="15">
        <f>IF(COUNT(G652:G901)&lt;20,"",IF(COUNTIF(G652:G901,"&lt;"&amp;G902)&gt;=COUNT(G652:G901),(COUNT(G652:G901)-0.5)/COUNT(G652:G901),IF(COUNTIF(G652:G901,G902)&gt;0,(COUNTIF(G652:G901,"&lt;"&amp;G902)+0.5*COUNTIF(G652:G901,G902))/COUNT(G652:G901),COUNTIF(G652:G901,"&lt;"&amp;G902)/COUNT(G652:G901))))</f>
        <v/>
      </c>
      <c r="K902" s="11" t="inlineStr">
        <is>
          <t>高分位</t>
        </is>
      </c>
      <c r="L902" s="11" t="n">
        <v>84</v>
      </c>
      <c r="M902" s="11" t="inlineStr">
        <is>
          <t>Contango(远强)</t>
        </is>
      </c>
      <c r="N902" s="11" t="n">
        <v>0</v>
      </c>
      <c r="O902" s="11" t="n">
        <v>0</v>
      </c>
      <c r="P902" s="12" t="n">
        <v>-200</v>
      </c>
      <c r="Q902" s="11" t="inlineStr"/>
    </row>
    <row r="903">
      <c r="A903" s="6" t="inlineStr">
        <is>
          <t>2026-05-15</t>
        </is>
      </c>
      <c r="B903" s="6" t="inlineStr">
        <is>
          <t>MA2609</t>
        </is>
      </c>
      <c r="C903" s="6" t="inlineStr">
        <is>
          <t>2026-09</t>
        </is>
      </c>
      <c r="D903" s="7" t="n">
        <v>3100</v>
      </c>
      <c r="E903" s="7" t="n">
        <v>2907</v>
      </c>
      <c r="F903" s="7">
        <f>D903-E903</f>
        <v/>
      </c>
      <c r="G903" s="8">
        <f>IF(D903=0,"",(D903-E903)/D903)</f>
        <v/>
      </c>
      <c r="H903" s="9" t="n">
        <v>693841</v>
      </c>
      <c r="I903" s="10" t="n">
        <v>0.824</v>
      </c>
      <c r="J903" s="10">
        <f>IF(COUNT(G653:G902)&lt;20,"",IF(COUNTIF(G653:G902,"&lt;"&amp;G903)&gt;=COUNT(G653:G902),(COUNT(G653:G902)-0.5)/COUNT(G653:G902),IF(COUNTIF(G653:G902,G903)&gt;0,(COUNTIF(G653:G902,"&lt;"&amp;G903)+0.5*COUNTIF(G653:G902,G903))/COUNT(G653:G902),COUNTIF(G653:G902,"&lt;"&amp;G903)/COUNT(G653:G902))))</f>
        <v/>
      </c>
      <c r="K903" s="6" t="inlineStr">
        <is>
          <t>中间分位</t>
        </is>
      </c>
      <c r="L903" s="6" t="n">
        <v>83</v>
      </c>
      <c r="M903" s="6" t="inlineStr">
        <is>
          <t>Contango(远强)</t>
        </is>
      </c>
      <c r="N903" s="6" t="n">
        <v>0</v>
      </c>
      <c r="O903" s="6" t="n">
        <v>0</v>
      </c>
      <c r="P903" s="7" t="n">
        <v>-153</v>
      </c>
      <c r="Q903" s="6" t="inlineStr"/>
    </row>
    <row r="904">
      <c r="A904" s="11" t="inlineStr">
        <is>
          <t>2026-05-18</t>
        </is>
      </c>
      <c r="B904" s="11" t="inlineStr">
        <is>
          <t>MA2609</t>
        </is>
      </c>
      <c r="C904" s="11" t="inlineStr">
        <is>
          <t>2026-09</t>
        </is>
      </c>
      <c r="D904" s="12" t="n">
        <v>3137.5</v>
      </c>
      <c r="E904" s="12" t="n">
        <v>2979</v>
      </c>
      <c r="F904" s="12">
        <f>D904-E904</f>
        <v/>
      </c>
      <c r="G904" s="13">
        <f>IF(D904=0,"",(D904-E904)/D904)</f>
        <v/>
      </c>
      <c r="H904" s="14" t="n">
        <v>714212</v>
      </c>
      <c r="I904" s="15" t="n">
        <v>0.8120000000000001</v>
      </c>
      <c r="J904" s="15">
        <f>IF(COUNT(G654:G903)&lt;20,"",IF(COUNTIF(G654:G903,"&lt;"&amp;G904)&gt;=COUNT(G654:G903),(COUNT(G654:G903)-0.5)/COUNT(G654:G903),IF(COUNTIF(G654:G903,G904)&gt;0,(COUNTIF(G654:G903,"&lt;"&amp;G904)+0.5*COUNTIF(G654:G903,G904))/COUNT(G654:G903),COUNTIF(G654:G903,"&lt;"&amp;G904)/COUNT(G654:G903))))</f>
        <v/>
      </c>
      <c r="K904" s="11" t="inlineStr">
        <is>
          <t>中间分位</t>
        </is>
      </c>
      <c r="L904" s="11" t="n">
        <v>82</v>
      </c>
      <c r="M904" s="11" t="inlineStr">
        <is>
          <t>Contango(远强)</t>
        </is>
      </c>
      <c r="N904" s="11" t="n">
        <v>0</v>
      </c>
      <c r="O904" s="11" t="n">
        <v>0</v>
      </c>
      <c r="P904" s="12" t="n">
        <v>-91</v>
      </c>
      <c r="Q904" s="11" t="inlineStr"/>
    </row>
    <row r="905">
      <c r="A905" s="6" t="inlineStr">
        <is>
          <t>2026-05-19</t>
        </is>
      </c>
      <c r="B905" s="6" t="inlineStr">
        <is>
          <t>MA2609</t>
        </is>
      </c>
      <c r="C905" s="6" t="inlineStr">
        <is>
          <t>2026-09</t>
        </is>
      </c>
      <c r="D905" s="7" t="n">
        <v>3220</v>
      </c>
      <c r="E905" s="7" t="n">
        <v>2963</v>
      </c>
      <c r="F905" s="7">
        <f>D905-E905</f>
        <v/>
      </c>
      <c r="G905" s="8">
        <f>IF(D905=0,"",(D905-E905)/D905)</f>
        <v/>
      </c>
      <c r="H905" s="9" t="n">
        <v>710052</v>
      </c>
      <c r="I905" s="10" t="n">
        <v>0.868</v>
      </c>
      <c r="J905" s="10">
        <f>IF(COUNT(G655:G904)&lt;20,"",IF(COUNTIF(G655:G904,"&lt;"&amp;G905)&gt;=COUNT(G655:G904),(COUNT(G655:G904)-0.5)/COUNT(G655:G904),IF(COUNTIF(G655:G904,G905)&gt;0,(COUNTIF(G655:G904,"&lt;"&amp;G905)+0.5*COUNTIF(G655:G904,G905))/COUNT(G655:G904),COUNTIF(G655:G904,"&lt;"&amp;G905)/COUNT(G655:G904))))</f>
        <v/>
      </c>
      <c r="K905" s="6" t="inlineStr">
        <is>
          <t>中间分位</t>
        </is>
      </c>
      <c r="L905" s="6" t="n">
        <v>81</v>
      </c>
      <c r="M905" s="6" t="inlineStr">
        <is>
          <t>Back(近强)</t>
        </is>
      </c>
      <c r="N905" s="6" t="n">
        <v>0</v>
      </c>
      <c r="O905" s="6" t="n">
        <v>0</v>
      </c>
      <c r="P905" s="7" t="n">
        <v>113</v>
      </c>
      <c r="Q905" s="6" t="inlineStr"/>
    </row>
    <row r="906">
      <c r="A906" s="11" t="inlineStr">
        <is>
          <t>2026-05-20</t>
        </is>
      </c>
      <c r="B906" s="11" t="inlineStr">
        <is>
          <t>MA2609</t>
        </is>
      </c>
      <c r="C906" s="11" t="inlineStr">
        <is>
          <t>2026-09</t>
        </is>
      </c>
      <c r="D906" s="12" t="n">
        <v>3204.17</v>
      </c>
      <c r="E906" s="12" t="n">
        <v>2968</v>
      </c>
      <c r="F906" s="12">
        <f>D906-E906</f>
        <v/>
      </c>
      <c r="G906" s="13">
        <f>IF(D906=0,"",(D906-E906)/D906)</f>
        <v/>
      </c>
      <c r="H906" s="14" t="n">
        <v>713779</v>
      </c>
      <c r="I906" s="15" t="n">
        <v>0.856</v>
      </c>
      <c r="J906" s="15">
        <f>IF(COUNT(G656:G905)&lt;20,"",IF(COUNTIF(G656:G905,"&lt;"&amp;G906)&gt;=COUNT(G656:G905),(COUNT(G656:G905)-0.5)/COUNT(G656:G905),IF(COUNTIF(G656:G905,G906)&gt;0,(COUNTIF(G656:G905,"&lt;"&amp;G906)+0.5*COUNTIF(G656:G905,G906))/COUNT(G656:G905),COUNTIF(G656:G905,"&lt;"&amp;G906)/COUNT(G656:G905))))</f>
        <v/>
      </c>
      <c r="K906" s="11" t="inlineStr">
        <is>
          <t>中间分位</t>
        </is>
      </c>
      <c r="L906" s="11" t="n">
        <v>80</v>
      </c>
      <c r="M906" s="11" t="inlineStr">
        <is>
          <t>Contango(远强)</t>
        </is>
      </c>
      <c r="N906" s="11" t="n">
        <v>0</v>
      </c>
      <c r="O906" s="11" t="n">
        <v>0</v>
      </c>
      <c r="P906" s="12" t="n">
        <v>-104</v>
      </c>
      <c r="Q906" s="11" t="inlineStr"/>
    </row>
    <row r="907">
      <c r="A907" s="6" t="inlineStr">
        <is>
          <t>2026-05-21</t>
        </is>
      </c>
      <c r="B907" s="6" t="inlineStr">
        <is>
          <t>MA2609</t>
        </is>
      </c>
      <c r="C907" s="6" t="inlineStr">
        <is>
          <t>2026-09</t>
        </is>
      </c>
      <c r="D907" s="7" t="n">
        <v>3211.67</v>
      </c>
      <c r="E907" s="7" t="n">
        <v>2963</v>
      </c>
      <c r="F907" s="7">
        <f>D907-E907</f>
        <v/>
      </c>
      <c r="G907" s="8">
        <f>IF(D907=0,"",(D907-E907)/D907)</f>
        <v/>
      </c>
      <c r="H907" s="9" t="n">
        <v>713541</v>
      </c>
      <c r="I907" s="10" t="n">
        <v>0.864</v>
      </c>
      <c r="J907" s="10">
        <f>IF(COUNT(G657:G906)&lt;20,"",IF(COUNTIF(G657:G906,"&lt;"&amp;G907)&gt;=COUNT(G657:G906),(COUNT(G657:G906)-0.5)/COUNT(G657:G906),IF(COUNTIF(G657:G906,G907)&gt;0,(COUNTIF(G657:G906,"&lt;"&amp;G907)+0.5*COUNTIF(G657:G906,G907))/COUNT(G657:G906),COUNTIF(G657:G906,"&lt;"&amp;G907)/COUNT(G657:G906))))</f>
        <v/>
      </c>
      <c r="K907" s="6" t="inlineStr">
        <is>
          <t>中间分位</t>
        </is>
      </c>
      <c r="L907" s="6" t="n">
        <v>79</v>
      </c>
      <c r="M907" s="6" t="inlineStr">
        <is>
          <t>Contango(远强)</t>
        </is>
      </c>
      <c r="N907" s="6" t="n">
        <v>0</v>
      </c>
      <c r="O907" s="6" t="n">
        <v>0</v>
      </c>
      <c r="P907" s="7" t="n">
        <v>-106</v>
      </c>
      <c r="Q907" s="6" t="inlineStr"/>
    </row>
    <row r="908">
      <c r="A908" s="11" t="inlineStr">
        <is>
          <t>2026-05-22</t>
        </is>
      </c>
      <c r="B908" s="11" t="inlineStr">
        <is>
          <t>MA2609</t>
        </is>
      </c>
      <c r="C908" s="11" t="inlineStr">
        <is>
          <t>2026-09</t>
        </is>
      </c>
      <c r="D908" s="12" t="n">
        <v>3215.83</v>
      </c>
      <c r="E908" s="12" t="n">
        <v>2927</v>
      </c>
      <c r="F908" s="12">
        <f>D908-E908</f>
        <v/>
      </c>
      <c r="G908" s="13">
        <f>IF(D908=0,"",(D908-E908)/D908)</f>
        <v/>
      </c>
      <c r="H908" s="14" t="n">
        <v>690880</v>
      </c>
      <c r="I908" s="15" t="n">
        <v>0.912</v>
      </c>
      <c r="J908" s="15">
        <f>IF(COUNT(G658:G907)&lt;20,"",IF(COUNTIF(G658:G907,"&lt;"&amp;G908)&gt;=COUNT(G658:G907),(COUNT(G658:G907)-0.5)/COUNT(G658:G907),IF(COUNTIF(G658:G907,G908)&gt;0,(COUNTIF(G658:G907,"&lt;"&amp;G908)+0.5*COUNTIF(G658:G907,G908))/COUNT(G658:G907),COUNTIF(G658:G907,"&lt;"&amp;G908)/COUNT(G658:G907))))</f>
        <v/>
      </c>
      <c r="K908" s="11" t="inlineStr">
        <is>
          <t>高分位</t>
        </is>
      </c>
      <c r="L908" s="11" t="n">
        <v>78</v>
      </c>
      <c r="M908" s="11" t="inlineStr">
        <is>
          <t>Contango(远强)</t>
        </is>
      </c>
      <c r="N908" s="11" t="n">
        <v>0</v>
      </c>
      <c r="O908" s="11" t="n">
        <v>0</v>
      </c>
      <c r="P908" s="12" t="n">
        <v>-127</v>
      </c>
      <c r="Q908" s="11" t="inlineStr"/>
    </row>
    <row r="909">
      <c r="A909" s="6" t="inlineStr">
        <is>
          <t>2026-05-25</t>
        </is>
      </c>
      <c r="B909" s="6" t="inlineStr">
        <is>
          <t>MA2609</t>
        </is>
      </c>
      <c r="C909" s="6" t="inlineStr">
        <is>
          <t>2026-09</t>
        </is>
      </c>
      <c r="D909" s="7" t="n">
        <v>3163.33</v>
      </c>
      <c r="E909" s="7" t="n">
        <v>2844</v>
      </c>
      <c r="F909" s="7">
        <f>D909-E909</f>
        <v/>
      </c>
      <c r="G909" s="8">
        <f>IF(D909=0,"",(D909-E909)/D909)</f>
        <v/>
      </c>
      <c r="H909" s="9" t="n">
        <v>724481</v>
      </c>
      <c r="I909" s="10" t="n">
        <v>0.924</v>
      </c>
      <c r="J909" s="10">
        <f>IF(COUNT(G659:G908)&lt;20,"",IF(COUNTIF(G659:G908,"&lt;"&amp;G909)&gt;=COUNT(G659:G908),(COUNT(G659:G908)-0.5)/COUNT(G659:G908),IF(COUNTIF(G659:G908,G909)&gt;0,(COUNTIF(G659:G908,"&lt;"&amp;G909)+0.5*COUNTIF(G659:G908,G909))/COUNT(G659:G908),COUNTIF(G659:G908,"&lt;"&amp;G909)/COUNT(G659:G908))))</f>
        <v/>
      </c>
      <c r="K909" s="6" t="inlineStr">
        <is>
          <t>高分位</t>
        </is>
      </c>
      <c r="L909" s="6" t="n">
        <v>77</v>
      </c>
      <c r="M909" s="6" t="inlineStr">
        <is>
          <t>Contango(远强)</t>
        </is>
      </c>
      <c r="N909" s="6" t="n">
        <v>0</v>
      </c>
      <c r="O909" s="6" t="n">
        <v>0</v>
      </c>
      <c r="P909" s="7" t="n">
        <v>-150</v>
      </c>
      <c r="Q909" s="6" t="inlineStr"/>
    </row>
    <row r="910">
      <c r="A910" s="11" t="inlineStr">
        <is>
          <t>2026-05-26</t>
        </is>
      </c>
      <c r="B910" s="11" t="inlineStr">
        <is>
          <t>MA2609</t>
        </is>
      </c>
      <c r="C910" s="11" t="inlineStr">
        <is>
          <t>2026-09</t>
        </is>
      </c>
      <c r="D910" s="12" t="n">
        <v>3176.67</v>
      </c>
      <c r="E910" s="12" t="n">
        <v>2837</v>
      </c>
      <c r="F910" s="12">
        <f>D910-E910</f>
        <v/>
      </c>
      <c r="G910" s="13">
        <f>IF(D910=0,"",(D910-E910)/D910)</f>
        <v/>
      </c>
      <c r="H910" s="14" t="n">
        <v>709137</v>
      </c>
      <c r="I910" s="15" t="n">
        <v>0.9320000000000001</v>
      </c>
      <c r="J910" s="15">
        <f>IF(COUNT(G660:G909)&lt;20,"",IF(COUNTIF(G660:G909,"&lt;"&amp;G910)&gt;=COUNT(G660:G909),(COUNT(G660:G909)-0.5)/COUNT(G660:G909),IF(COUNTIF(G660:G909,G910)&gt;0,(COUNTIF(G660:G909,"&lt;"&amp;G910)+0.5*COUNTIF(G660:G909,G910))/COUNT(G660:G909),COUNTIF(G660:G909,"&lt;"&amp;G910)/COUNT(G660:G909))))</f>
        <v/>
      </c>
      <c r="K910" s="11" t="inlineStr">
        <is>
          <t>高分位</t>
        </is>
      </c>
      <c r="L910" s="11" t="n">
        <v>76</v>
      </c>
      <c r="M910" s="11" t="inlineStr">
        <is>
          <t>Contango(远强)</t>
        </is>
      </c>
      <c r="N910" s="11" t="n">
        <v>0</v>
      </c>
      <c r="O910" s="11" t="n">
        <v>0</v>
      </c>
      <c r="P910" s="12" t="n">
        <v>-177</v>
      </c>
      <c r="Q910" s="11" t="inlineStr"/>
    </row>
    <row r="911">
      <c r="A911" s="6" t="inlineStr">
        <is>
          <t>2026-05-27</t>
        </is>
      </c>
      <c r="B911" s="6" t="inlineStr">
        <is>
          <t>MA2609</t>
        </is>
      </c>
      <c r="C911" s="6" t="inlineStr">
        <is>
          <t>2026-09</t>
        </is>
      </c>
      <c r="D911" s="7" t="n">
        <v>3156.67</v>
      </c>
      <c r="E911" s="7" t="n">
        <v>2804</v>
      </c>
      <c r="F911" s="7">
        <f>D911-E911</f>
        <v/>
      </c>
      <c r="G911" s="8">
        <f>IF(D911=0,"",(D911-E911)/D911)</f>
        <v/>
      </c>
      <c r="H911" s="9" t="n">
        <v>726267</v>
      </c>
      <c r="I911" s="10" t="n">
        <v>0.9360000000000001</v>
      </c>
      <c r="J911" s="10">
        <f>IF(COUNT(G661:G910)&lt;20,"",IF(COUNTIF(G661:G910,"&lt;"&amp;G911)&gt;=COUNT(G661:G910),(COUNT(G661:G910)-0.5)/COUNT(G661:G910),IF(COUNTIF(G661:G910,G911)&gt;0,(COUNTIF(G661:G910,"&lt;"&amp;G911)+0.5*COUNTIF(G661:G910,G911))/COUNT(G661:G910),COUNTIF(G661:G910,"&lt;"&amp;G911)/COUNT(G661:G910))))</f>
        <v/>
      </c>
      <c r="K911" s="6" t="inlineStr">
        <is>
          <t>高分位</t>
        </is>
      </c>
      <c r="L911" s="6" t="n">
        <v>75</v>
      </c>
      <c r="M911" s="6" t="inlineStr">
        <is>
          <t>Contango(远强)</t>
        </is>
      </c>
      <c r="N911" s="6" t="n">
        <v>0</v>
      </c>
      <c r="O911" s="6" t="n">
        <v>0</v>
      </c>
      <c r="P911" s="7" t="n">
        <v>-198</v>
      </c>
      <c r="Q911" s="6" t="inlineStr"/>
    </row>
    <row r="912">
      <c r="A912" s="11" t="inlineStr">
        <is>
          <t>2026-05-28</t>
        </is>
      </c>
      <c r="B912" s="11" t="inlineStr">
        <is>
          <t>MA2609</t>
        </is>
      </c>
      <c r="C912" s="11" t="inlineStr">
        <is>
          <t>2026-09</t>
        </is>
      </c>
      <c r="D912" s="12" t="n">
        <v>3113.33</v>
      </c>
      <c r="E912" s="12" t="n">
        <v>2825</v>
      </c>
      <c r="F912" s="12">
        <f>D912-E912</f>
        <v/>
      </c>
      <c r="G912" s="13">
        <f>IF(D912=0,"",(D912-E912)/D912)</f>
        <v/>
      </c>
      <c r="H912" s="14" t="n">
        <v>731776</v>
      </c>
      <c r="I912" s="15" t="n">
        <v>0.9</v>
      </c>
      <c r="J912" s="15">
        <f>IF(COUNT(G662:G911)&lt;20,"",IF(COUNTIF(G662:G911,"&lt;"&amp;G912)&gt;=COUNT(G662:G911),(COUNT(G662:G911)-0.5)/COUNT(G662:G911),IF(COUNTIF(G662:G911,G912)&gt;0,(COUNTIF(G662:G911,"&lt;"&amp;G912)+0.5*COUNTIF(G662:G911,G912))/COUNT(G662:G911),COUNTIF(G662:G911,"&lt;"&amp;G912)/COUNT(G662:G911))))</f>
        <v/>
      </c>
      <c r="K912" s="11" t="inlineStr">
        <is>
          <t>高分位</t>
        </is>
      </c>
      <c r="L912" s="11" t="n">
        <v>74</v>
      </c>
      <c r="M912" s="11" t="inlineStr">
        <is>
          <t>Contango(远强)</t>
        </is>
      </c>
      <c r="N912" s="11" t="n">
        <v>0</v>
      </c>
      <c r="O912" s="11" t="n">
        <v>0</v>
      </c>
      <c r="P912" s="12" t="n">
        <v>-214</v>
      </c>
      <c r="Q912" s="11" t="inlineStr"/>
    </row>
    <row r="913">
      <c r="A913" s="6" t="inlineStr">
        <is>
          <t>2026-05-29</t>
        </is>
      </c>
      <c r="B913" s="6" t="inlineStr">
        <is>
          <t>MA2609</t>
        </is>
      </c>
      <c r="C913" s="6" t="inlineStr">
        <is>
          <t>2026-09</t>
        </is>
      </c>
      <c r="D913" s="7" t="n">
        <v>3128.33</v>
      </c>
      <c r="E913" s="7" t="n">
        <v>2793</v>
      </c>
      <c r="F913" s="7">
        <f>D913-E913</f>
        <v/>
      </c>
      <c r="G913" s="8">
        <f>IF(D913=0,"",(D913-E913)/D913)</f>
        <v/>
      </c>
      <c r="H913" s="9" t="n">
        <v>724503</v>
      </c>
      <c r="I913" s="10" t="n">
        <v>0.928</v>
      </c>
      <c r="J913" s="10">
        <f>IF(COUNT(G663:G912)&lt;20,"",IF(COUNTIF(G663:G912,"&lt;"&amp;G913)&gt;=COUNT(G663:G912),(COUNT(G663:G912)-0.5)/COUNT(G663:G912),IF(COUNTIF(G663:G912,G913)&gt;0,(COUNTIF(G663:G912,"&lt;"&amp;G913)+0.5*COUNTIF(G663:G912,G913))/COUNT(G663:G912),COUNTIF(G663:G912,"&lt;"&amp;G913)/COUNT(G663:G912))))</f>
        <v/>
      </c>
      <c r="K913" s="6" t="inlineStr">
        <is>
          <t>高分位</t>
        </is>
      </c>
      <c r="L913" s="6" t="n">
        <v>73</v>
      </c>
      <c r="M913" s="6" t="inlineStr">
        <is>
          <t>Contango(远强)</t>
        </is>
      </c>
      <c r="N913" s="6" t="n">
        <v>0</v>
      </c>
      <c r="O913" s="6" t="n">
        <v>0</v>
      </c>
      <c r="P913" s="7" t="n">
        <v>-226</v>
      </c>
      <c r="Q913" s="6" t="inlineStr"/>
    </row>
    <row r="914">
      <c r="A914" s="11" t="inlineStr">
        <is>
          <t>2026-06-01</t>
        </is>
      </c>
      <c r="B914" s="11" t="inlineStr">
        <is>
          <t>MA2609</t>
        </is>
      </c>
      <c r="C914" s="11" t="inlineStr">
        <is>
          <t>2026-09</t>
        </is>
      </c>
      <c r="D914" s="12" t="n">
        <v>3093.33</v>
      </c>
      <c r="E914" s="12" t="n">
        <v>2864</v>
      </c>
      <c r="F914" s="12">
        <f>D914-E914</f>
        <v/>
      </c>
      <c r="G914" s="13">
        <f>IF(D914=0,"",(D914-E914)/D914)</f>
        <v/>
      </c>
      <c r="H914" s="14" t="n">
        <v>707789</v>
      </c>
      <c r="I914" s="15" t="n">
        <v>0.84</v>
      </c>
      <c r="J914" s="15">
        <f>IF(COUNT(G664:G913)&lt;20,"",IF(COUNTIF(G664:G913,"&lt;"&amp;G914)&gt;=COUNT(G664:G913),(COUNT(G664:G913)-0.5)/COUNT(G664:G913),IF(COUNTIF(G664:G913,G914)&gt;0,(COUNTIF(G664:G913,"&lt;"&amp;G914)+0.5*COUNTIF(G664:G913,G914))/COUNT(G664:G913),COUNTIF(G664:G913,"&lt;"&amp;G914)/COUNT(G664:G913))))</f>
        <v/>
      </c>
      <c r="K914" s="11" t="inlineStr">
        <is>
          <t>中间分位</t>
        </is>
      </c>
      <c r="L914" s="11" t="n">
        <v>72</v>
      </c>
      <c r="M914" s="11" t="inlineStr">
        <is>
          <t>Contango(远强)</t>
        </is>
      </c>
      <c r="N914" s="11" t="n">
        <v>0</v>
      </c>
      <c r="O914" s="11" t="n">
        <v>0</v>
      </c>
      <c r="P914" s="12" t="n">
        <v>-181</v>
      </c>
      <c r="Q914" s="11" t="inlineStr"/>
    </row>
    <row r="915">
      <c r="A915" s="6" t="inlineStr">
        <is>
          <t>2026-06-02</t>
        </is>
      </c>
      <c r="B915" s="6" t="inlineStr">
        <is>
          <t>MA2609</t>
        </is>
      </c>
      <c r="C915" s="6" t="inlineStr">
        <is>
          <t>2026-09</t>
        </is>
      </c>
      <c r="D915" s="7" t="n">
        <v>3160</v>
      </c>
      <c r="E915" s="7" t="n">
        <v>2890</v>
      </c>
      <c r="F915" s="7">
        <f>D915-E915</f>
        <v/>
      </c>
      <c r="G915" s="8">
        <f>IF(D915=0,"",(D915-E915)/D915)</f>
        <v/>
      </c>
      <c r="H915" s="9" t="n">
        <v>716423</v>
      </c>
      <c r="I915" s="10" t="n">
        <v>0.872</v>
      </c>
      <c r="J915" s="10">
        <f>IF(COUNT(G665:G914)&lt;20,"",IF(COUNTIF(G665:G914,"&lt;"&amp;G915)&gt;=COUNT(G665:G914),(COUNT(G665:G914)-0.5)/COUNT(G665:G914),IF(COUNTIF(G665:G914,G915)&gt;0,(COUNTIF(G665:G914,"&lt;"&amp;G915)+0.5*COUNTIF(G665:G914,G915))/COUNT(G665:G914),COUNTIF(G665:G914,"&lt;"&amp;G915)/COUNT(G665:G914))))</f>
        <v/>
      </c>
      <c r="K915" s="6" t="inlineStr">
        <is>
          <t>中间分位</t>
        </is>
      </c>
      <c r="L915" s="6" t="n">
        <v>71</v>
      </c>
      <c r="M915" s="6" t="inlineStr">
        <is>
          <t>Contango(远强)</t>
        </is>
      </c>
      <c r="N915" s="6" t="n">
        <v>0</v>
      </c>
      <c r="O915" s="6" t="n">
        <v>0</v>
      </c>
      <c r="P915" s="7" t="n">
        <v>-123</v>
      </c>
      <c r="Q915" s="6" t="inlineStr"/>
    </row>
    <row r="916">
      <c r="A916" s="11" t="inlineStr">
        <is>
          <t>2026-06-03</t>
        </is>
      </c>
      <c r="B916" s="11" t="inlineStr">
        <is>
          <t>MA2609</t>
        </is>
      </c>
      <c r="C916" s="11" t="inlineStr">
        <is>
          <t>2026-09</t>
        </is>
      </c>
      <c r="D916" s="12" t="n">
        <v>3176.67</v>
      </c>
      <c r="E916" s="12" t="n">
        <v>2926</v>
      </c>
      <c r="F916" s="12">
        <f>D916-E916</f>
        <v/>
      </c>
      <c r="G916" s="13">
        <f>IF(D916=0,"",(D916-E916)/D916)</f>
        <v/>
      </c>
      <c r="H916" s="14" t="n">
        <v>726223</v>
      </c>
      <c r="I916" s="15" t="n">
        <v>0.844</v>
      </c>
      <c r="J916" s="15">
        <f>IF(COUNT(G666:G915)&lt;20,"",IF(COUNTIF(G666:G915,"&lt;"&amp;G916)&gt;=COUNT(G666:G915),(COUNT(G666:G915)-0.5)/COUNT(G666:G915),IF(COUNTIF(G666:G915,G916)&gt;0,(COUNTIF(G666:G915,"&lt;"&amp;G916)+0.5*COUNTIF(G666:G915,G916))/COUNT(G666:G915),COUNTIF(G666:G915,"&lt;"&amp;G916)/COUNT(G666:G915))))</f>
        <v/>
      </c>
      <c r="K916" s="11" t="inlineStr">
        <is>
          <t>中间分位</t>
        </is>
      </c>
      <c r="L916" s="11" t="n">
        <v>70</v>
      </c>
      <c r="M916" s="11" t="inlineStr">
        <is>
          <t>Contango(远强)</t>
        </is>
      </c>
      <c r="N916" s="11" t="n">
        <v>0</v>
      </c>
      <c r="O916" s="11" t="n">
        <v>0</v>
      </c>
      <c r="P916" s="12" t="n">
        <v>-182</v>
      </c>
      <c r="Q916" s="11" t="inlineStr"/>
    </row>
    <row r="917">
      <c r="A917" s="6" t="inlineStr">
        <is>
          <t>2026-06-04</t>
        </is>
      </c>
      <c r="B917" s="6" t="inlineStr">
        <is>
          <t>MA2609</t>
        </is>
      </c>
      <c r="C917" s="6" t="inlineStr">
        <is>
          <t>2026-09</t>
        </is>
      </c>
      <c r="D917" s="7" t="n">
        <v>3213.33</v>
      </c>
      <c r="E917" s="7" t="n">
        <v>2877</v>
      </c>
      <c r="F917" s="7">
        <f>D917-E917</f>
        <v/>
      </c>
      <c r="G917" s="8">
        <f>IF(D917=0,"",(D917-E917)/D917)</f>
        <v/>
      </c>
      <c r="H917" s="9" t="n">
        <v>694911</v>
      </c>
      <c r="I917" s="10" t="n">
        <v>0.92</v>
      </c>
      <c r="J917" s="10">
        <f>IF(COUNT(G667:G916)&lt;20,"",IF(COUNTIF(G667:G916,"&lt;"&amp;G917)&gt;=COUNT(G667:G916),(COUNT(G667:G916)-0.5)/COUNT(G667:G916),IF(COUNTIF(G667:G916,G917)&gt;0,(COUNTIF(G667:G916,"&lt;"&amp;G917)+0.5*COUNTIF(G667:G916,G917))/COUNT(G667:G916),COUNTIF(G667:G916,"&lt;"&amp;G917)/COUNT(G667:G916))))</f>
        <v/>
      </c>
      <c r="K917" s="6" t="inlineStr">
        <is>
          <t>高分位</t>
        </is>
      </c>
      <c r="L917" s="6" t="n">
        <v>69</v>
      </c>
      <c r="M917" s="6" t="inlineStr">
        <is>
          <t>Contango(远强)</t>
        </is>
      </c>
      <c r="N917" s="6" t="n">
        <v>0</v>
      </c>
      <c r="O917" s="6" t="n">
        <v>0</v>
      </c>
      <c r="P917" s="7" t="n">
        <v>-258</v>
      </c>
      <c r="Q917" s="6" t="inlineStr"/>
    </row>
    <row r="918">
      <c r="A918" s="11" t="inlineStr">
        <is>
          <t>2026-06-05</t>
        </is>
      </c>
      <c r="B918" s="11" t="inlineStr">
        <is>
          <t>MA2609</t>
        </is>
      </c>
      <c r="C918" s="11" t="inlineStr">
        <is>
          <t>2026-09</t>
        </is>
      </c>
      <c r="D918" s="12" t="n">
        <v>3186.67</v>
      </c>
      <c r="E918" s="12" t="n">
        <v>2906</v>
      </c>
      <c r="F918" s="12">
        <f>D918-E918</f>
        <v/>
      </c>
      <c r="G918" s="13">
        <f>IF(D918=0,"",(D918-E918)/D918)</f>
        <v/>
      </c>
      <c r="H918" s="14" t="n">
        <v>735338</v>
      </c>
      <c r="I918" s="15" t="n">
        <v>0.876</v>
      </c>
      <c r="J918" s="15">
        <f>IF(COUNT(G668:G917)&lt;20,"",IF(COUNTIF(G668:G917,"&lt;"&amp;G918)&gt;=COUNT(G668:G917),(COUNT(G668:G917)-0.5)/COUNT(G668:G917),IF(COUNTIF(G668:G917,G918)&gt;0,(COUNTIF(G668:G917,"&lt;"&amp;G918)+0.5*COUNTIF(G668:G917,G918))/COUNT(G668:G917),COUNTIF(G668:G917,"&lt;"&amp;G918)/COUNT(G668:G917))))</f>
        <v/>
      </c>
      <c r="K918" s="11" t="inlineStr">
        <is>
          <t>中间分位</t>
        </is>
      </c>
      <c r="L918" s="11" t="n">
        <v>68</v>
      </c>
      <c r="M918" s="11" t="inlineStr">
        <is>
          <t>Contango(远强)</t>
        </is>
      </c>
      <c r="N918" s="11" t="n">
        <v>0</v>
      </c>
      <c r="O918" s="11" t="n">
        <v>0</v>
      </c>
      <c r="P918" s="12" t="n">
        <v>-144</v>
      </c>
      <c r="Q918" s="11" t="inlineStr"/>
    </row>
    <row r="919">
      <c r="A919" s="6" t="inlineStr">
        <is>
          <t>2026-06-08</t>
        </is>
      </c>
      <c r="B919" s="6" t="inlineStr">
        <is>
          <t>MA2609</t>
        </is>
      </c>
      <c r="C919" s="6" t="inlineStr">
        <is>
          <t>2026-09</t>
        </is>
      </c>
      <c r="D919" s="7" t="n">
        <v>3213.33</v>
      </c>
      <c r="E919" s="7" t="n">
        <v>3049</v>
      </c>
      <c r="F919" s="7">
        <f>D919-E919</f>
        <v/>
      </c>
      <c r="G919" s="8">
        <f>IF(D919=0,"",(D919-E919)/D919)</f>
        <v/>
      </c>
      <c r="H919" s="9" t="n">
        <v>816549</v>
      </c>
      <c r="I919" s="10" t="n">
        <v>0.792</v>
      </c>
      <c r="J919" s="10">
        <f>IF(COUNT(G669:G918)&lt;20,"",IF(COUNTIF(G669:G918,"&lt;"&amp;G919)&gt;=COUNT(G669:G918),(COUNT(G669:G918)-0.5)/COUNT(G669:G918),IF(COUNTIF(G669:G918,G919)&gt;0,(COUNTIF(G669:G918,"&lt;"&amp;G919)+0.5*COUNTIF(G669:G918,G919))/COUNT(G669:G918),COUNTIF(G669:G918,"&lt;"&amp;G919)/COUNT(G669:G918))))</f>
        <v/>
      </c>
      <c r="K919" s="6" t="inlineStr">
        <is>
          <t>中间分位</t>
        </is>
      </c>
      <c r="L919" s="6" t="n">
        <v>67</v>
      </c>
      <c r="M919" s="6" t="inlineStr">
        <is>
          <t>Contango(远强)</t>
        </is>
      </c>
      <c r="N919" s="6" t="n">
        <v>0</v>
      </c>
      <c r="O919" s="6" t="n">
        <v>0</v>
      </c>
      <c r="P919" s="7" t="n">
        <v>-91</v>
      </c>
      <c r="Q919" s="6" t="inlineStr"/>
    </row>
    <row r="920">
      <c r="A920" s="11" t="inlineStr">
        <is>
          <t>2026-06-09</t>
        </is>
      </c>
      <c r="B920" s="11" t="inlineStr">
        <is>
          <t>MA2609</t>
        </is>
      </c>
      <c r="C920" s="11" t="inlineStr">
        <is>
          <t>2026-09</t>
        </is>
      </c>
      <c r="D920" s="12" t="n">
        <v>3360</v>
      </c>
      <c r="E920" s="12" t="n">
        <v>2963</v>
      </c>
      <c r="F920" s="12">
        <f>D920-E920</f>
        <v/>
      </c>
      <c r="G920" s="13">
        <f>IF(D920=0,"",(D920-E920)/D920)</f>
        <v/>
      </c>
      <c r="H920" s="14" t="n">
        <v>770774</v>
      </c>
      <c r="I920" s="15" t="n">
        <v>0.9399999999999999</v>
      </c>
      <c r="J920" s="15">
        <f>IF(COUNT(G670:G919)&lt;20,"",IF(COUNTIF(G670:G919,"&lt;"&amp;G920)&gt;=COUNT(G670:G919),(COUNT(G670:G919)-0.5)/COUNT(G670:G919),IF(COUNTIF(G670:G919,G920)&gt;0,(COUNTIF(G670:G919,"&lt;"&amp;G920)+0.5*COUNTIF(G670:G919,G920))/COUNT(G670:G919),COUNTIF(G670:G919,"&lt;"&amp;G920)/COUNT(G670:G919))))</f>
        <v/>
      </c>
      <c r="K920" s="11" t="inlineStr">
        <is>
          <t>高分位</t>
        </is>
      </c>
      <c r="L920" s="11" t="n">
        <v>66</v>
      </c>
      <c r="M920" s="11" t="inlineStr">
        <is>
          <t>Contango(远强)</t>
        </is>
      </c>
      <c r="N920" s="11" t="n">
        <v>0</v>
      </c>
      <c r="O920" s="11" t="n">
        <v>0</v>
      </c>
      <c r="P920" s="12" t="n">
        <v>-237</v>
      </c>
      <c r="Q920" s="11" t="inlineStr"/>
    </row>
    <row r="921">
      <c r="A921" s="6" t="inlineStr">
        <is>
          <t>2026-06-10</t>
        </is>
      </c>
      <c r="B921" s="6" t="inlineStr">
        <is>
          <t>MA2609</t>
        </is>
      </c>
      <c r="C921" s="6" t="inlineStr">
        <is>
          <t>2026-09</t>
        </is>
      </c>
      <c r="D921" s="7" t="n">
        <v>3286.67</v>
      </c>
      <c r="E921" s="7" t="n">
        <v>2972</v>
      </c>
      <c r="F921" s="7">
        <f>D921-E921</f>
        <v/>
      </c>
      <c r="G921" s="8">
        <f>IF(D921=0,"",(D921-E921)/D921)</f>
        <v/>
      </c>
      <c r="H921" s="9" t="n">
        <v>788063</v>
      </c>
      <c r="I921" s="10" t="n">
        <v>0.888</v>
      </c>
      <c r="J921" s="10">
        <f>IF(COUNT(G671:G920)&lt;20,"",IF(COUNTIF(G671:G920,"&lt;"&amp;G921)&gt;=COUNT(G671:G920),(COUNT(G671:G920)-0.5)/COUNT(G671:G920),IF(COUNTIF(G671:G920,G921)&gt;0,(COUNTIF(G671:G920,"&lt;"&amp;G921)+0.5*COUNTIF(G671:G920,G921))/COUNT(G671:G920),COUNTIF(G671:G920,"&lt;"&amp;G921)/COUNT(G671:G920))))</f>
        <v/>
      </c>
      <c r="K921" s="6" t="inlineStr">
        <is>
          <t>中间分位</t>
        </is>
      </c>
      <c r="L921" s="6" t="n">
        <v>65</v>
      </c>
      <c r="M921" s="6" t="inlineStr">
        <is>
          <t>Contango(远强)</t>
        </is>
      </c>
      <c r="N921" s="6" t="n">
        <v>0</v>
      </c>
      <c r="O921" s="6" t="n">
        <v>0</v>
      </c>
      <c r="P921" s="7" t="n">
        <v>-251</v>
      </c>
      <c r="Q921" s="6" t="inlineStr"/>
    </row>
    <row r="922">
      <c r="A922" s="11" t="inlineStr">
        <is>
          <t>2026-06-11</t>
        </is>
      </c>
      <c r="B922" s="11" t="inlineStr">
        <is>
          <t>MA2609</t>
        </is>
      </c>
      <c r="C922" s="11" t="inlineStr">
        <is>
          <t>2026-09</t>
        </is>
      </c>
      <c r="D922" s="12" t="n">
        <v>3356.67</v>
      </c>
      <c r="E922" s="12" t="n">
        <v>3025</v>
      </c>
      <c r="F922" s="12">
        <f>D922-E922</f>
        <v/>
      </c>
      <c r="G922" s="13">
        <f>IF(D922=0,"",(D922-E922)/D922)</f>
        <v/>
      </c>
      <c r="H922" s="14" t="n">
        <v>837630</v>
      </c>
      <c r="I922" s="15" t="n">
        <v>0.888</v>
      </c>
      <c r="J922" s="15">
        <f>IF(COUNT(G672:G921)&lt;20,"",IF(COUNTIF(G672:G921,"&lt;"&amp;G922)&gt;=COUNT(G672:G921),(COUNT(G672:G921)-0.5)/COUNT(G672:G921),IF(COUNTIF(G672:G921,G922)&gt;0,(COUNTIF(G672:G921,"&lt;"&amp;G922)+0.5*COUNTIF(G672:G921,G922))/COUNT(G672:G921),COUNTIF(G672:G921,"&lt;"&amp;G922)/COUNT(G672:G921))))</f>
        <v/>
      </c>
      <c r="K922" s="11" t="inlineStr">
        <is>
          <t>中间分位</t>
        </is>
      </c>
      <c r="L922" s="11" t="n">
        <v>64</v>
      </c>
      <c r="M922" s="11" t="inlineStr">
        <is>
          <t>Contango(远强)</t>
        </is>
      </c>
      <c r="N922" s="11" t="n">
        <v>0</v>
      </c>
      <c r="O922" s="11" t="n">
        <v>0</v>
      </c>
      <c r="P922" s="12" t="n">
        <v>-125</v>
      </c>
      <c r="Q922" s="11" t="inlineStr"/>
    </row>
    <row r="923">
      <c r="A923" s="6" t="inlineStr">
        <is>
          <t>2026-06-12</t>
        </is>
      </c>
      <c r="B923" s="6" t="inlineStr">
        <is>
          <t>MA2609</t>
        </is>
      </c>
      <c r="C923" s="6" t="inlineStr">
        <is>
          <t>2026-09</t>
        </is>
      </c>
      <c r="D923" s="7" t="n">
        <v>3441.67</v>
      </c>
      <c r="E923" s="7" t="n">
        <v>3010</v>
      </c>
      <c r="F923" s="7">
        <f>D923-E923</f>
        <v/>
      </c>
      <c r="G923" s="8">
        <f>IF(D923=0,"",(D923-E923)/D923)</f>
        <v/>
      </c>
      <c r="H923" s="9" t="n">
        <v>848577</v>
      </c>
      <c r="I923" s="10" t="n">
        <v>0.944</v>
      </c>
      <c r="J923" s="10">
        <f>IF(COUNT(G673:G922)&lt;20,"",IF(COUNTIF(G673:G922,"&lt;"&amp;G923)&gt;=COUNT(G673:G922),(COUNT(G673:G922)-0.5)/COUNT(G673:G922),IF(COUNTIF(G673:G922,G923)&gt;0,(COUNTIF(G673:G922,"&lt;"&amp;G923)+0.5*COUNTIF(G673:G922,G923))/COUNT(G673:G922),COUNTIF(G673:G922,"&lt;"&amp;G923)/COUNT(G673:G922))))</f>
        <v/>
      </c>
      <c r="K923" s="6" t="inlineStr">
        <is>
          <t>高分位</t>
        </is>
      </c>
      <c r="L923" s="6" t="n">
        <v>63</v>
      </c>
      <c r="M923" s="6" t="inlineStr">
        <is>
          <t>Contango(远强)</t>
        </is>
      </c>
      <c r="N923" s="6" t="n">
        <v>0</v>
      </c>
      <c r="O923" s="6" t="n">
        <v>0</v>
      </c>
      <c r="P923" s="7" t="n">
        <v>-184</v>
      </c>
      <c r="Q923" s="6" t="inlineStr"/>
    </row>
    <row r="924">
      <c r="A924" s="11" t="inlineStr">
        <is>
          <t>2026-06-15</t>
        </is>
      </c>
      <c r="B924" s="11" t="inlineStr">
        <is>
          <t>MA2609</t>
        </is>
      </c>
      <c r="C924" s="11" t="inlineStr">
        <is>
          <t>2026-09</t>
        </is>
      </c>
      <c r="D924" s="12" t="n">
        <v>3446.67</v>
      </c>
      <c r="E924" s="12" t="n">
        <v>2770</v>
      </c>
      <c r="F924" s="12">
        <f>D924-E924</f>
        <v/>
      </c>
      <c r="G924" s="13">
        <f>IF(D924=0,"",(D924-E924)/D924)</f>
        <v/>
      </c>
      <c r="H924" s="14" t="n">
        <v>794847</v>
      </c>
      <c r="I924" s="15" t="n">
        <v>0.998</v>
      </c>
      <c r="J924" s="15">
        <f>IF(COUNT(G674:G923)&lt;20,"",IF(COUNTIF(G674:G923,"&lt;"&amp;G924)&gt;=COUNT(G674:G923),(COUNT(G674:G923)-0.5)/COUNT(G674:G923),IF(COUNTIF(G674:G923,G924)&gt;0,(COUNTIF(G674:G923,"&lt;"&amp;G924)+0.5*COUNTIF(G674:G923,G924))/COUNT(G674:G923),COUNTIF(G674:G923,"&lt;"&amp;G924)/COUNT(G674:G923))))</f>
        <v/>
      </c>
      <c r="K924" s="11" t="inlineStr">
        <is>
          <t>高分位</t>
        </is>
      </c>
      <c r="L924" s="11" t="n">
        <v>62</v>
      </c>
      <c r="M924" s="11" t="inlineStr">
        <is>
          <t>Contango(远强)</t>
        </is>
      </c>
      <c r="N924" s="11" t="n">
        <v>0</v>
      </c>
      <c r="O924" s="11" t="n">
        <v>0</v>
      </c>
      <c r="P924" s="12" t="n">
        <v>-215</v>
      </c>
      <c r="Q924" s="11" t="inlineStr"/>
    </row>
    <row r="925">
      <c r="A925" s="6" t="inlineStr">
        <is>
          <t>2026-06-16</t>
        </is>
      </c>
      <c r="B925" s="6" t="inlineStr">
        <is>
          <t>MA2609</t>
        </is>
      </c>
      <c r="C925" s="6" t="inlineStr">
        <is>
          <t>2026-09</t>
        </is>
      </c>
      <c r="D925" s="7" t="n">
        <v>3180</v>
      </c>
      <c r="E925" s="7" t="n">
        <v>2684</v>
      </c>
      <c r="F925" s="7">
        <f>D925-E925</f>
        <v/>
      </c>
      <c r="G925" s="8">
        <f>IF(D925=0,"",(D925-E925)/D925)</f>
        <v/>
      </c>
      <c r="H925" s="9" t="n">
        <v>761331</v>
      </c>
      <c r="I925" s="10" t="n">
        <v>0.98</v>
      </c>
      <c r="J925" s="10">
        <f>IF(COUNT(G675:G924)&lt;20,"",IF(COUNTIF(G675:G924,"&lt;"&amp;G925)&gt;=COUNT(G675:G924),(COUNT(G675:G924)-0.5)/COUNT(G675:G924),IF(COUNTIF(G675:G924,G925)&gt;0,(COUNTIF(G675:G924,"&lt;"&amp;G925)+0.5*COUNTIF(G675:G924,G925))/COUNT(G675:G924),COUNTIF(G675:G924,"&lt;"&amp;G925)/COUNT(G675:G924))))</f>
        <v/>
      </c>
      <c r="K925" s="6" t="inlineStr">
        <is>
          <t>高分位</t>
        </is>
      </c>
      <c r="L925" s="6" t="n">
        <v>61</v>
      </c>
      <c r="M925" s="6" t="inlineStr">
        <is>
          <t>Contango(远强)</t>
        </is>
      </c>
      <c r="N925" s="6" t="n">
        <v>0</v>
      </c>
      <c r="O925" s="6" t="n">
        <v>0</v>
      </c>
      <c r="P925" s="7" t="n">
        <v>-246</v>
      </c>
      <c r="Q925" s="6" t="inlineStr"/>
    </row>
    <row r="926">
      <c r="A926" s="11" t="inlineStr">
        <is>
          <t>2026-06-17</t>
        </is>
      </c>
      <c r="B926" s="11" t="inlineStr">
        <is>
          <t>MA2609</t>
        </is>
      </c>
      <c r="C926" s="11" t="inlineStr">
        <is>
          <t>2026-09</t>
        </is>
      </c>
      <c r="D926" s="12" t="n">
        <v>3128.33</v>
      </c>
      <c r="E926" s="12" t="n">
        <v>2614</v>
      </c>
      <c r="F926" s="12">
        <f>D926-E926</f>
        <v/>
      </c>
      <c r="G926" s="13">
        <f>IF(D926=0,"",(D926-E926)/D926)</f>
        <v/>
      </c>
      <c r="H926" s="14" t="n">
        <v>755190</v>
      </c>
      <c r="I926" s="15" t="n">
        <v>0.996</v>
      </c>
      <c r="J926" s="15">
        <f>IF(COUNT(G676:G925)&lt;20,"",IF(COUNTIF(G676:G925,"&lt;"&amp;G926)&gt;=COUNT(G676:G925),(COUNT(G676:G925)-0.5)/COUNT(G676:G925),IF(COUNTIF(G676:G925,G926)&gt;0,(COUNTIF(G676:G925,"&lt;"&amp;G926)+0.5*COUNTIF(G676:G925,G926))/COUNT(G676:G925),COUNTIF(G676:G925,"&lt;"&amp;G926)/COUNT(G676:G925))))</f>
        <v/>
      </c>
      <c r="K926" s="11" t="inlineStr">
        <is>
          <t>高分位</t>
        </is>
      </c>
      <c r="L926" s="11" t="n">
        <v>60</v>
      </c>
      <c r="M926" s="11" t="inlineStr">
        <is>
          <t>Contango(远强)</t>
        </is>
      </c>
      <c r="N926" s="11" t="n">
        <v>0</v>
      </c>
      <c r="O926" s="11" t="n">
        <v>0</v>
      </c>
      <c r="P926" s="12" t="n">
        <v>-263</v>
      </c>
      <c r="Q926" s="11" t="inlineStr"/>
    </row>
    <row r="927">
      <c r="A927" s="6" t="inlineStr">
        <is>
          <t>2026-06-18</t>
        </is>
      </c>
      <c r="B927" s="6" t="inlineStr">
        <is>
          <t>MA2609</t>
        </is>
      </c>
      <c r="C927" s="6" t="inlineStr">
        <is>
          <t>2026-09</t>
        </is>
      </c>
      <c r="D927" s="7" t="n">
        <v>3011.67</v>
      </c>
      <c r="E927" s="7" t="n">
        <v>2566</v>
      </c>
      <c r="F927" s="7">
        <f>D927-E927</f>
        <v/>
      </c>
      <c r="G927" s="8">
        <f>IF(D927=0,"",(D927-E927)/D927)</f>
        <v/>
      </c>
      <c r="H927" s="9" t="n">
        <v>715618</v>
      </c>
      <c r="I927" s="10" t="n">
        <v>0.968</v>
      </c>
      <c r="J927" s="10">
        <f>IF(COUNT(G677:G926)&lt;20,"",IF(COUNTIF(G677:G926,"&lt;"&amp;G927)&gt;=COUNT(G677:G926),(COUNT(G677:G926)-0.5)/COUNT(G677:G926),IF(COUNTIF(G677:G926,G927)&gt;0,(COUNTIF(G677:G926,"&lt;"&amp;G927)+0.5*COUNTIF(G677:G926,G927))/COUNT(G677:G926),COUNTIF(G677:G926,"&lt;"&amp;G927)/COUNT(G677:G926))))</f>
        <v/>
      </c>
      <c r="K927" s="6" t="inlineStr">
        <is>
          <t>高分位</t>
        </is>
      </c>
      <c r="L927" s="6" t="n">
        <v>59</v>
      </c>
      <c r="M927" s="6" t="inlineStr">
        <is>
          <t>Contango(远强)</t>
        </is>
      </c>
      <c r="N927" s="6" t="n">
        <v>0</v>
      </c>
      <c r="O927" s="6" t="n">
        <v>0</v>
      </c>
      <c r="P927" s="7" t="n">
        <v>-204</v>
      </c>
      <c r="Q927" s="6" t="inlineStr"/>
    </row>
    <row r="928">
      <c r="A928" s="11" t="inlineStr">
        <is>
          <t>2026-06-22</t>
        </is>
      </c>
      <c r="B928" s="11" t="inlineStr">
        <is>
          <t>MA2609</t>
        </is>
      </c>
      <c r="C928" s="11" t="inlineStr">
        <is>
          <t>2026-09</t>
        </is>
      </c>
      <c r="D928" s="12" t="n">
        <v>2916.67</v>
      </c>
      <c r="E928" s="12" t="n">
        <v>2528</v>
      </c>
      <c r="F928" s="12">
        <f>D928-E928</f>
        <v/>
      </c>
      <c r="G928" s="13">
        <f>IF(D928=0,"",(D928-E928)/D928)</f>
        <v/>
      </c>
      <c r="H928" s="14" t="n">
        <v>692562</v>
      </c>
      <c r="I928" s="15" t="n">
        <v>0.9399999999999999</v>
      </c>
      <c r="J928" s="15">
        <f>IF(COUNT(G678:G927)&lt;20,"",IF(COUNTIF(G678:G927,"&lt;"&amp;G928)&gt;=COUNT(G678:G927),(COUNT(G678:G927)-0.5)/COUNT(G678:G927),IF(COUNTIF(G678:G927,G928)&gt;0,(COUNTIF(G678:G927,"&lt;"&amp;G928)+0.5*COUNTIF(G678:G927,G928))/COUNT(G678:G927),COUNTIF(G678:G927,"&lt;"&amp;G928)/COUNT(G678:G927))))</f>
        <v/>
      </c>
      <c r="K928" s="11" t="inlineStr">
        <is>
          <t>高分位</t>
        </is>
      </c>
      <c r="L928" s="11" t="n">
        <v>58</v>
      </c>
      <c r="M928" s="11" t="inlineStr">
        <is>
          <t>Contango(远强)</t>
        </is>
      </c>
      <c r="N928" s="11" t="n">
        <v>0</v>
      </c>
      <c r="O928" s="11" t="n">
        <v>0</v>
      </c>
      <c r="P928" s="12" t="n">
        <v>-180</v>
      </c>
      <c r="Q928" s="11" t="inlineStr"/>
    </row>
    <row r="929">
      <c r="A929" s="6" t="inlineStr">
        <is>
          <t>2026-06-23</t>
        </is>
      </c>
      <c r="B929" s="6" t="inlineStr">
        <is>
          <t>MA2609</t>
        </is>
      </c>
      <c r="C929" s="6" t="inlineStr">
        <is>
          <t>2026-09</t>
        </is>
      </c>
      <c r="D929" s="7" t="n">
        <v>2846.67</v>
      </c>
      <c r="E929" s="7" t="n">
        <v>2493</v>
      </c>
      <c r="F929" s="7">
        <f>D929-E929</f>
        <v/>
      </c>
      <c r="G929" s="8">
        <f>IF(D929=0,"",(D929-E929)/D929)</f>
        <v/>
      </c>
      <c r="H929" s="9" t="n">
        <v>682499</v>
      </c>
      <c r="I929" s="10" t="n">
        <v>0.916</v>
      </c>
      <c r="J929" s="10">
        <f>IF(COUNT(G679:G928)&lt;20,"",IF(COUNTIF(G679:G928,"&lt;"&amp;G929)&gt;=COUNT(G679:G928),(COUNT(G679:G928)-0.5)/COUNT(G679:G928),IF(COUNTIF(G679:G928,G929)&gt;0,(COUNTIF(G679:G928,"&lt;"&amp;G929)+0.5*COUNTIF(G679:G928,G929))/COUNT(G679:G928),COUNTIF(G679:G928,"&lt;"&amp;G929)/COUNT(G679:G928))))</f>
        <v/>
      </c>
      <c r="K929" s="6" t="inlineStr">
        <is>
          <t>高分位</t>
        </is>
      </c>
      <c r="L929" s="6" t="n">
        <v>57</v>
      </c>
      <c r="M929" s="6" t="inlineStr">
        <is>
          <t>Contango(远强)</t>
        </is>
      </c>
      <c r="N929" s="6" t="n">
        <v>0</v>
      </c>
      <c r="O929" s="6" t="n">
        <v>0</v>
      </c>
      <c r="P929" s="7" t="n">
        <v>-140</v>
      </c>
      <c r="Q929" s="6" t="inlineStr"/>
    </row>
    <row r="930">
      <c r="A930" s="11" t="inlineStr">
        <is>
          <t>2026-06-24</t>
        </is>
      </c>
      <c r="B930" s="11" t="inlineStr">
        <is>
          <t>MA2609</t>
        </is>
      </c>
      <c r="C930" s="11" t="inlineStr">
        <is>
          <t>2026-09</t>
        </is>
      </c>
      <c r="D930" s="12" t="n">
        <v>2777.5</v>
      </c>
      <c r="E930" s="12" t="n">
        <v>2459</v>
      </c>
      <c r="F930" s="12">
        <f>D930-E930</f>
        <v/>
      </c>
      <c r="G930" s="13">
        <f>IF(D930=0,"",(D930-E930)/D930)</f>
        <v/>
      </c>
      <c r="H930" s="14" t="n">
        <v>679449</v>
      </c>
      <c r="I930" s="15" t="n">
        <v>0.904</v>
      </c>
      <c r="J930" s="15">
        <f>IF(COUNT(G680:G929)&lt;20,"",IF(COUNTIF(G680:G929,"&lt;"&amp;G930)&gt;=COUNT(G680:G929),(COUNT(G680:G929)-0.5)/COUNT(G680:G929),IF(COUNTIF(G680:G929,G930)&gt;0,(COUNTIF(G680:G929,"&lt;"&amp;G930)+0.5*COUNTIF(G680:G929,G930))/COUNT(G680:G929),COUNTIF(G680:G929,"&lt;"&amp;G930)/COUNT(G680:G929))))</f>
        <v/>
      </c>
      <c r="K930" s="11" t="inlineStr">
        <is>
          <t>高分位</t>
        </is>
      </c>
      <c r="L930" s="11" t="n">
        <v>56</v>
      </c>
      <c r="M930" s="11" t="inlineStr">
        <is>
          <t>Contango(远强)</t>
        </is>
      </c>
      <c r="N930" s="11" t="n">
        <v>0</v>
      </c>
      <c r="O930" s="11" t="n">
        <v>0</v>
      </c>
      <c r="P930" s="12" t="n">
        <v>-87</v>
      </c>
      <c r="Q930" s="11" t="inlineStr"/>
    </row>
    <row r="931">
      <c r="A931" s="6" t="inlineStr">
        <is>
          <t>2026-06-25</t>
        </is>
      </c>
      <c r="B931" s="6" t="inlineStr">
        <is>
          <t>MA2609</t>
        </is>
      </c>
      <c r="C931" s="6" t="inlineStr">
        <is>
          <t>2026-09</t>
        </is>
      </c>
      <c r="D931" s="7" t="n">
        <v>2697.5</v>
      </c>
      <c r="E931" s="7" t="n">
        <v>2429</v>
      </c>
      <c r="F931" s="7">
        <f>D931-E931</f>
        <v/>
      </c>
      <c r="G931" s="8">
        <f>IF(D931=0,"",(D931-E931)/D931)</f>
        <v/>
      </c>
      <c r="H931" s="9" t="n">
        <v>716209</v>
      </c>
      <c r="I931" s="10" t="n">
        <v>0.86</v>
      </c>
      <c r="J931" s="10">
        <f>IF(COUNT(G681:G930)&lt;20,"",IF(COUNTIF(G681:G930,"&lt;"&amp;G931)&gt;=COUNT(G681:G930),(COUNT(G681:G930)-0.5)/COUNT(G681:G930),IF(COUNTIF(G681:G930,G931)&gt;0,(COUNTIF(G681:G930,"&lt;"&amp;G931)+0.5*COUNTIF(G681:G930,G931))/COUNT(G681:G930),COUNTIF(G681:G930,"&lt;"&amp;G931)/COUNT(G681:G930))))</f>
        <v/>
      </c>
      <c r="K931" s="6" t="inlineStr">
        <is>
          <t>中间分位</t>
        </is>
      </c>
      <c r="L931" s="6" t="n">
        <v>55</v>
      </c>
      <c r="M931" s="6" t="inlineStr">
        <is>
          <t>结构不明</t>
        </is>
      </c>
      <c r="N931" s="6" t="n">
        <v>0</v>
      </c>
      <c r="O931" s="6" t="n">
        <v>0</v>
      </c>
      <c r="P931" s="7" t="n">
        <v>-72</v>
      </c>
      <c r="Q931" s="6" t="inlineStr"/>
    </row>
    <row r="932">
      <c r="A932" s="11" t="inlineStr">
        <is>
          <t>2026-06-26</t>
        </is>
      </c>
      <c r="B932" s="11" t="inlineStr">
        <is>
          <t>MA2609</t>
        </is>
      </c>
      <c r="C932" s="11" t="inlineStr">
        <is>
          <t>2026-09</t>
        </is>
      </c>
      <c r="D932" s="12" t="n">
        <v>2713.33</v>
      </c>
      <c r="E932" s="12" t="n">
        <v>2430</v>
      </c>
      <c r="F932" s="12">
        <f>D932-E932</f>
        <v/>
      </c>
      <c r="G932" s="13">
        <f>IF(D932=0,"",(D932-E932)/D932)</f>
        <v/>
      </c>
      <c r="H932" s="14" t="n">
        <v>699787</v>
      </c>
      <c r="I932" s="15" t="n">
        <v>0.88</v>
      </c>
      <c r="J932" s="15">
        <f>IF(COUNT(G682:G931)&lt;20,"",IF(COUNTIF(G682:G931,"&lt;"&amp;G932)&gt;=COUNT(G682:G931),(COUNT(G682:G931)-0.5)/COUNT(G682:G931),IF(COUNTIF(G682:G931,G932)&gt;0,(COUNTIF(G682:G931,"&lt;"&amp;G932)+0.5*COUNTIF(G682:G931,G932))/COUNT(G682:G931),COUNTIF(G682:G931,"&lt;"&amp;G932)/COUNT(G682:G931))))</f>
        <v/>
      </c>
      <c r="K932" s="11" t="inlineStr">
        <is>
          <t>中间分位</t>
        </is>
      </c>
      <c r="L932" s="11" t="n">
        <v>54</v>
      </c>
      <c r="M932" s="11" t="inlineStr">
        <is>
          <t>结构不明</t>
        </is>
      </c>
      <c r="N932" s="11" t="n">
        <v>0</v>
      </c>
      <c r="O932" s="11" t="n">
        <v>0</v>
      </c>
      <c r="P932" s="12" t="n">
        <v>-65</v>
      </c>
      <c r="Q932" s="11" t="inlineStr"/>
    </row>
    <row r="933">
      <c r="A933" s="6" t="inlineStr">
        <is>
          <t>2026-06-29</t>
        </is>
      </c>
      <c r="B933" s="6" t="inlineStr">
        <is>
          <t>MA2609</t>
        </is>
      </c>
      <c r="C933" s="6" t="inlineStr">
        <is>
          <t>2026-09</t>
        </is>
      </c>
      <c r="D933" s="7" t="n">
        <v>2771.67</v>
      </c>
      <c r="E933" s="7" t="n">
        <v>2460</v>
      </c>
      <c r="F933" s="7">
        <f>D933-E933</f>
        <v/>
      </c>
      <c r="G933" s="8">
        <f>IF(D933=0,"",(D933-E933)/D933)</f>
        <v/>
      </c>
      <c r="H933" s="9" t="n">
        <v>707950</v>
      </c>
      <c r="I933" s="10" t="n">
        <v>0.9</v>
      </c>
      <c r="J933" s="10">
        <f>IF(COUNT(G683:G932)&lt;20,"",IF(COUNTIF(G683:G932,"&lt;"&amp;G933)&gt;=COUNT(G683:G932),(COUNT(G683:G932)-0.5)/COUNT(G683:G932),IF(COUNTIF(G683:G932,G933)&gt;0,(COUNTIF(G683:G932,"&lt;"&amp;G933)+0.5*COUNTIF(G683:G932,G933))/COUNT(G683:G932),COUNTIF(G683:G932,"&lt;"&amp;G933)/COUNT(G683:G932))))</f>
        <v/>
      </c>
      <c r="K933" s="6" t="inlineStr">
        <is>
          <t>高分位</t>
        </is>
      </c>
      <c r="L933" s="6" t="n">
        <v>53</v>
      </c>
      <c r="M933" s="6" t="inlineStr">
        <is>
          <t>结构不明</t>
        </is>
      </c>
      <c r="N933" s="6" t="n">
        <v>0</v>
      </c>
      <c r="O933" s="6" t="n">
        <v>0</v>
      </c>
      <c r="P933" s="7" t="n">
        <v>-49</v>
      </c>
      <c r="Q933" s="6" t="inlineStr"/>
    </row>
    <row r="934">
      <c r="A934" s="11" t="inlineStr">
        <is>
          <t>2026-06-30</t>
        </is>
      </c>
      <c r="B934" s="11" t="inlineStr">
        <is>
          <t>MA2609</t>
        </is>
      </c>
      <c r="C934" s="11" t="inlineStr">
        <is>
          <t>2026-09</t>
        </is>
      </c>
      <c r="D934" s="12" t="n">
        <v>2813.33</v>
      </c>
      <c r="E934" s="12" t="n">
        <v>2428</v>
      </c>
      <c r="F934" s="12">
        <f>D934-E934</f>
        <v/>
      </c>
      <c r="G934" s="13">
        <f>IF(D934=0,"",(D934-E934)/D934)</f>
        <v/>
      </c>
      <c r="H934" s="14" t="n">
        <v>700024</v>
      </c>
      <c r="I934" s="15" t="n">
        <v>0.948</v>
      </c>
      <c r="J934" s="15">
        <f>IF(COUNT(G684:G933)&lt;20,"",IF(COUNTIF(G684:G933,"&lt;"&amp;G934)&gt;=COUNT(G684:G933),(COUNT(G684:G933)-0.5)/COUNT(G684:G933),IF(COUNTIF(G684:G933,G934)&gt;0,(COUNTIF(G684:G933,"&lt;"&amp;G934)+0.5*COUNTIF(G684:G933,G934))/COUNT(G684:G933),COUNTIF(G684:G933,"&lt;"&amp;G934)/COUNT(G684:G933))))</f>
        <v/>
      </c>
      <c r="K934" s="11" t="inlineStr">
        <is>
          <t>高分位</t>
        </is>
      </c>
      <c r="L934" s="11" t="n">
        <v>52</v>
      </c>
      <c r="M934" s="11" t="inlineStr">
        <is>
          <t>结构不明</t>
        </is>
      </c>
      <c r="N934" s="11" t="n">
        <v>0</v>
      </c>
      <c r="O934" s="11" t="n">
        <v>0</v>
      </c>
      <c r="P934" s="12" t="n">
        <v>-11</v>
      </c>
      <c r="Q934" s="11" t="inlineStr"/>
    </row>
    <row r="935">
      <c r="A935" s="6" t="inlineStr">
        <is>
          <t>2026-07-01</t>
        </is>
      </c>
      <c r="B935" s="6" t="inlineStr">
        <is>
          <t>MA2609</t>
        </is>
      </c>
      <c r="C935" s="6" t="inlineStr">
        <is>
          <t>2026-09</t>
        </is>
      </c>
      <c r="D935" s="7" t="n">
        <v>2771.67</v>
      </c>
      <c r="E935" s="7" t="n">
        <v>2350</v>
      </c>
      <c r="F935" s="7">
        <f>D935-E935</f>
        <v/>
      </c>
      <c r="G935" s="8">
        <f>IF(D935=0,"",(D935-E935)/D935)</f>
        <v/>
      </c>
      <c r="H935" s="9" t="n">
        <v>751100</v>
      </c>
      <c r="I935" s="10" t="n">
        <v>0.972</v>
      </c>
      <c r="J935" s="10">
        <f>IF(COUNT(G685:G934)&lt;20,"",IF(COUNTIF(G685:G934,"&lt;"&amp;G935)&gt;=COUNT(G685:G934),(COUNT(G685:G934)-0.5)/COUNT(G685:G934),IF(COUNTIF(G685:G934,G935)&gt;0,(COUNTIF(G685:G934,"&lt;"&amp;G935)+0.5*COUNTIF(G685:G934,G935))/COUNT(G685:G934),COUNTIF(G685:G934,"&lt;"&amp;G935)/COUNT(G685:G934))))</f>
        <v/>
      </c>
      <c r="K935" s="6" t="inlineStr">
        <is>
          <t>高分位</t>
        </is>
      </c>
      <c r="L935" s="6" t="n">
        <v>51</v>
      </c>
      <c r="M935" s="6" t="inlineStr">
        <is>
          <t>结构不明</t>
        </is>
      </c>
      <c r="N935" s="6" t="n">
        <v>0</v>
      </c>
      <c r="O935" s="6" t="n">
        <v>0</v>
      </c>
      <c r="P935" s="7" t="n">
        <v>-32</v>
      </c>
      <c r="Q935" s="6" t="inlineStr"/>
    </row>
    <row r="936">
      <c r="A936" s="11" t="inlineStr">
        <is>
          <t>2026-07-02</t>
        </is>
      </c>
      <c r="B936" s="11" t="inlineStr">
        <is>
          <t>MA2609</t>
        </is>
      </c>
      <c r="C936" s="11" t="inlineStr">
        <is>
          <t>2026-09</t>
        </is>
      </c>
      <c r="D936" s="12" t="n">
        <v>2593.33</v>
      </c>
      <c r="E936" s="12" t="n">
        <v>2347</v>
      </c>
      <c r="F936" s="12">
        <f>D936-E936</f>
        <v/>
      </c>
      <c r="G936" s="13">
        <f>IF(D936=0,"",(D936-E936)/D936)</f>
        <v/>
      </c>
      <c r="H936" s="14" t="n">
        <v>739481</v>
      </c>
      <c r="I936" s="15" t="n">
        <v>0.828</v>
      </c>
      <c r="J936" s="15">
        <f>IF(COUNT(G686:G935)&lt;20,"",IF(COUNTIF(G686:G935,"&lt;"&amp;G936)&gt;=COUNT(G686:G935),(COUNT(G686:G935)-0.5)/COUNT(G686:G935),IF(COUNTIF(G686:G935,G936)&gt;0,(COUNTIF(G686:G935,"&lt;"&amp;G936)+0.5*COUNTIF(G686:G935,G936))/COUNT(G686:G935),COUNTIF(G686:G935,"&lt;"&amp;G936)/COUNT(G686:G935))))</f>
        <v/>
      </c>
      <c r="K936" s="11" t="inlineStr">
        <is>
          <t>中间分位</t>
        </is>
      </c>
      <c r="L936" s="11" t="n">
        <v>50</v>
      </c>
      <c r="M936" s="11" t="inlineStr">
        <is>
          <t>结构不明</t>
        </is>
      </c>
      <c r="N936" s="11" t="n">
        <v>0</v>
      </c>
      <c r="O936" s="11" t="n">
        <v>0</v>
      </c>
      <c r="P936" s="12" t="n">
        <v>-23</v>
      </c>
      <c r="Q936" s="11" t="inlineStr"/>
    </row>
    <row r="937">
      <c r="A937" s="6" t="inlineStr">
        <is>
          <t>2026-07-03</t>
        </is>
      </c>
      <c r="B937" s="6" t="inlineStr">
        <is>
          <t>MA2609</t>
        </is>
      </c>
      <c r="C937" s="6" t="inlineStr">
        <is>
          <t>2026-09</t>
        </is>
      </c>
      <c r="D937" s="7" t="n">
        <v>2545.83</v>
      </c>
      <c r="E937" s="7" t="n">
        <v>2377</v>
      </c>
      <c r="F937" s="7">
        <f>D937-E937</f>
        <v/>
      </c>
      <c r="G937" s="8">
        <f>IF(D937=0,"",(D937-E937)/D937)</f>
        <v/>
      </c>
      <c r="H937" s="9" t="n">
        <v>691119</v>
      </c>
      <c r="I937" s="10" t="n">
        <v>0.748</v>
      </c>
      <c r="J937" s="10">
        <f>IF(COUNT(G687:G936)&lt;20,"",IF(COUNTIF(G687:G936,"&lt;"&amp;G937)&gt;=COUNT(G687:G936),(COUNT(G687:G936)-0.5)/COUNT(G687:G936),IF(COUNTIF(G687:G936,G937)&gt;0,(COUNTIF(G687:G936,"&lt;"&amp;G937)+0.5*COUNTIF(G687:G936,G937))/COUNT(G687:G936),COUNTIF(G687:G936,"&lt;"&amp;G937)/COUNT(G687:G936))))</f>
        <v/>
      </c>
      <c r="K937" s="6" t="inlineStr">
        <is>
          <t>中间分位</t>
        </is>
      </c>
      <c r="L937" s="6" t="n">
        <v>49</v>
      </c>
      <c r="M937" s="6" t="inlineStr">
        <is>
          <t>结构不明</t>
        </is>
      </c>
      <c r="N937" s="6" t="n">
        <v>0</v>
      </c>
      <c r="O937" s="6" t="n">
        <v>0</v>
      </c>
      <c r="P937" s="7" t="n">
        <v>9</v>
      </c>
      <c r="Q937" s="6" t="inlineStr"/>
    </row>
    <row r="938">
      <c r="A938" s="11" t="inlineStr">
        <is>
          <t>2026-07-06</t>
        </is>
      </c>
      <c r="B938" s="11" t="inlineStr">
        <is>
          <t>MA2609</t>
        </is>
      </c>
      <c r="C938" s="11" t="inlineStr">
        <is>
          <t>2026-09</t>
        </is>
      </c>
      <c r="D938" s="12" t="n">
        <v>2518.33</v>
      </c>
      <c r="E938" s="12" t="n">
        <v>2363</v>
      </c>
      <c r="F938" s="12">
        <f>D938-E938</f>
        <v/>
      </c>
      <c r="G938" s="13">
        <f>IF(D938=0,"",(D938-E938)/D938)</f>
        <v/>
      </c>
      <c r="H938" s="14" t="n">
        <v>678018</v>
      </c>
      <c r="I938" s="15" t="n">
        <v>0.736</v>
      </c>
      <c r="J938" s="15">
        <f>IF(COUNT(G688:G937)&lt;20,"",IF(COUNTIF(G688:G937,"&lt;"&amp;G938)&gt;=COUNT(G688:G937),(COUNT(G688:G937)-0.5)/COUNT(G688:G937),IF(COUNTIF(G688:G937,G938)&gt;0,(COUNTIF(G688:G937,"&lt;"&amp;G938)+0.5*COUNTIF(G688:G937,G938))/COUNT(G688:G937),COUNTIF(G688:G937,"&lt;"&amp;G938)/COUNT(G688:G937))))</f>
        <v/>
      </c>
      <c r="K938" s="11" t="inlineStr">
        <is>
          <t>中间分位</t>
        </is>
      </c>
      <c r="L938" s="11" t="n">
        <v>48</v>
      </c>
      <c r="M938" s="11" t="inlineStr">
        <is>
          <t>结构不明</t>
        </is>
      </c>
      <c r="N938" s="11" t="n">
        <v>0</v>
      </c>
      <c r="O938" s="11" t="n">
        <v>0</v>
      </c>
      <c r="P938" s="12" t="n">
        <v>-5</v>
      </c>
      <c r="Q938" s="11" t="inlineStr"/>
    </row>
    <row r="939">
      <c r="A939" s="6" t="inlineStr">
        <is>
          <t>2026-07-07</t>
        </is>
      </c>
      <c r="B939" s="6" t="inlineStr">
        <is>
          <t>MA2609</t>
        </is>
      </c>
      <c r="C939" s="6" t="inlineStr">
        <is>
          <t>2026-09</t>
        </is>
      </c>
      <c r="D939" s="7" t="n">
        <v>2529.17</v>
      </c>
      <c r="E939" s="7" t="n">
        <v>2404</v>
      </c>
      <c r="F939" s="7">
        <f>D939-E939</f>
        <v/>
      </c>
      <c r="G939" s="8">
        <f>IF(D939=0,"",(D939-E939)/D939)</f>
        <v/>
      </c>
      <c r="H939" s="9" t="n">
        <v>700156</v>
      </c>
      <c r="I939" s="10" t="n">
        <v>0.724</v>
      </c>
      <c r="J939" s="10">
        <f>IF(COUNT(G689:G938)&lt;20,"",IF(COUNTIF(G689:G938,"&lt;"&amp;G939)&gt;=COUNT(G689:G938),(COUNT(G689:G938)-0.5)/COUNT(G689:G938),IF(COUNTIF(G689:G938,G939)&gt;0,(COUNTIF(G689:G938,"&lt;"&amp;G939)+0.5*COUNTIF(G689:G938,G939))/COUNT(G689:G938),COUNTIF(G689:G938,"&lt;"&amp;G939)/COUNT(G689:G938))))</f>
        <v/>
      </c>
      <c r="K939" s="6" t="inlineStr">
        <is>
          <t>中间分位</t>
        </is>
      </c>
      <c r="L939" s="6" t="n">
        <v>47</v>
      </c>
      <c r="M939" s="6" t="inlineStr">
        <is>
          <t>Back(近强)</t>
        </is>
      </c>
      <c r="N939" s="6" t="n">
        <v>0</v>
      </c>
      <c r="O939" s="6" t="n">
        <v>0</v>
      </c>
      <c r="P939" s="7" t="n">
        <v>29</v>
      </c>
      <c r="Q939" s="6" t="inlineStr"/>
    </row>
    <row r="940">
      <c r="A940" s="11" t="inlineStr">
        <is>
          <t>2026-07-08</t>
        </is>
      </c>
      <c r="B940" s="11" t="inlineStr">
        <is>
          <t>MA2609</t>
        </is>
      </c>
      <c r="C940" s="11" t="inlineStr">
        <is>
          <t>2026-09</t>
        </is>
      </c>
      <c r="D940" s="12" t="n">
        <v>2534.17</v>
      </c>
      <c r="E940" s="12" t="n">
        <v>2488</v>
      </c>
      <c r="F940" s="12">
        <f>D940-E940</f>
        <v/>
      </c>
      <c r="G940" s="13">
        <f>IF(D940=0,"",(D940-E940)/D940)</f>
        <v/>
      </c>
      <c r="H940" s="14" t="n">
        <v>697883</v>
      </c>
      <c r="I940" s="15" t="n">
        <v>0.676</v>
      </c>
      <c r="J940" s="15">
        <f>IF(COUNT(G690:G939)&lt;20,"",IF(COUNTIF(G690:G939,"&lt;"&amp;G940)&gt;=COUNT(G690:G939),(COUNT(G690:G939)-0.5)/COUNT(G690:G939),IF(COUNTIF(G690:G939,G940)&gt;0,(COUNTIF(G690:G939,"&lt;"&amp;G940)+0.5*COUNTIF(G690:G939,G940))/COUNT(G690:G939),COUNTIF(G690:G939,"&lt;"&amp;G940)/COUNT(G690:G939))))</f>
        <v/>
      </c>
      <c r="K940" s="11" t="inlineStr">
        <is>
          <t>中间分位</t>
        </is>
      </c>
      <c r="L940" s="11" t="n">
        <v>46</v>
      </c>
      <c r="M940" s="11" t="inlineStr">
        <is>
          <t>Back(近强)</t>
        </is>
      </c>
      <c r="N940" s="11" t="n">
        <v>0</v>
      </c>
      <c r="O940" s="11" t="n">
        <v>0</v>
      </c>
      <c r="P940" s="12" t="n">
        <v>47</v>
      </c>
      <c r="Q940" s="11" t="inlineStr"/>
    </row>
    <row r="941">
      <c r="A941" s="6" t="inlineStr">
        <is>
          <t>2026-07-09</t>
        </is>
      </c>
      <c r="B941" s="6" t="inlineStr">
        <is>
          <t>MA2609</t>
        </is>
      </c>
      <c r="C941" s="6" t="inlineStr">
        <is>
          <t>2026-09</t>
        </is>
      </c>
      <c r="D941" s="7" t="n">
        <v>2620</v>
      </c>
      <c r="E941" s="7" t="n">
        <v>2488</v>
      </c>
      <c r="F941" s="7">
        <f>D941-E941</f>
        <v/>
      </c>
      <c r="G941" s="8">
        <f>IF(D941=0,"",(D941-E941)/D941)</f>
        <v/>
      </c>
      <c r="H941" s="9" t="n">
        <v>649423</v>
      </c>
      <c r="I941" s="10" t="n">
        <v>0.736</v>
      </c>
      <c r="J941" s="10">
        <f>IF(COUNT(G691:G940)&lt;20,"",IF(COUNTIF(G691:G940,"&lt;"&amp;G941)&gt;=COUNT(G691:G940),(COUNT(G691:G940)-0.5)/COUNT(G691:G940),IF(COUNTIF(G691:G940,G941)&gt;0,(COUNTIF(G691:G940,"&lt;"&amp;G941)+0.5*COUNTIF(G691:G940,G941))/COUNT(G691:G940),COUNTIF(G691:G940,"&lt;"&amp;G941)/COUNT(G691:G940))))</f>
        <v/>
      </c>
      <c r="K941" s="6" t="inlineStr">
        <is>
          <t>中间分位</t>
        </is>
      </c>
      <c r="L941" s="6" t="n">
        <v>45</v>
      </c>
      <c r="M941" s="6" t="inlineStr">
        <is>
          <t>结构不明</t>
        </is>
      </c>
      <c r="N941" s="6" t="n">
        <v>0</v>
      </c>
      <c r="O941" s="6" t="n">
        <v>0</v>
      </c>
      <c r="P941" s="7" t="n">
        <v>18</v>
      </c>
      <c r="Q941" s="6" t="inlineStr"/>
    </row>
    <row r="942">
      <c r="A942" s="11" t="inlineStr">
        <is>
          <t>2026-07-10</t>
        </is>
      </c>
      <c r="B942" s="11" t="inlineStr">
        <is>
          <t>MA2609</t>
        </is>
      </c>
      <c r="C942" s="11" t="inlineStr">
        <is>
          <t>2026-09</t>
        </is>
      </c>
      <c r="D942" s="12" t="n">
        <v>2650</v>
      </c>
      <c r="E942" s="12" t="n">
        <v>2480</v>
      </c>
      <c r="F942" s="12">
        <f>D942-E942</f>
        <v/>
      </c>
      <c r="G942" s="13">
        <f>IF(D942=0,"",(D942-E942)/D942)</f>
        <v/>
      </c>
      <c r="H942" s="14" t="n">
        <v>656517</v>
      </c>
      <c r="I942" s="15" t="n">
        <v>0.756</v>
      </c>
      <c r="J942" s="15">
        <f>IF(COUNT(G692:G941)&lt;20,"",IF(COUNTIF(G692:G941,"&lt;"&amp;G942)&gt;=COUNT(G692:G941),(COUNT(G692:G941)-0.5)/COUNT(G692:G941),IF(COUNTIF(G692:G941,G942)&gt;0,(COUNTIF(G692:G941,"&lt;"&amp;G942)+0.5*COUNTIF(G692:G941,G942))/COUNT(G692:G941),COUNTIF(G692:G941,"&lt;"&amp;G942)/COUNT(G692:G941))))</f>
        <v/>
      </c>
      <c r="K942" s="11" t="inlineStr">
        <is>
          <t>中间分位</t>
        </is>
      </c>
      <c r="L942" s="11" t="n">
        <v>44</v>
      </c>
      <c r="M942" s="11" t="inlineStr">
        <is>
          <t>结构不明</t>
        </is>
      </c>
      <c r="N942" s="11" t="n">
        <v>0</v>
      </c>
      <c r="O942" s="11" t="n">
        <v>0</v>
      </c>
      <c r="P942" s="12" t="n">
        <v>10</v>
      </c>
      <c r="Q942" s="11" t="inlineStr"/>
    </row>
    <row r="943">
      <c r="A943" s="6" t="inlineStr">
        <is>
          <t>2026-07-13</t>
        </is>
      </c>
      <c r="B943" s="6" t="inlineStr">
        <is>
          <t>MA2609</t>
        </is>
      </c>
      <c r="C943" s="6" t="inlineStr">
        <is>
          <t>2026-09</t>
        </is>
      </c>
      <c r="D943" s="7" t="n">
        <v>2613.33</v>
      </c>
      <c r="E943" s="7" t="n">
        <v>2516</v>
      </c>
      <c r="F943" s="7">
        <f>D943-E943</f>
        <v/>
      </c>
      <c r="G943" s="8">
        <f>IF(D943=0,"",(D943-E943)/D943)</f>
        <v/>
      </c>
      <c r="H943" s="9" t="n">
        <v>652549</v>
      </c>
      <c r="I943" s="10" t="n">
        <v>0.728</v>
      </c>
      <c r="J943" s="10">
        <f>IF(COUNT(G693:G942)&lt;20,"",IF(COUNTIF(G693:G942,"&lt;"&amp;G943)&gt;=COUNT(G693:G942),(COUNT(G693:G942)-0.5)/COUNT(G693:G942),IF(COUNTIF(G693:G942,G943)&gt;0,(COUNTIF(G693:G942,"&lt;"&amp;G943)+0.5*COUNTIF(G693:G942,G943))/COUNT(G693:G942),COUNTIF(G693:G942,"&lt;"&amp;G943)/COUNT(G693:G942))))</f>
        <v/>
      </c>
      <c r="K943" s="6" t="inlineStr">
        <is>
          <t>中间分位</t>
        </is>
      </c>
      <c r="L943" s="6" t="n">
        <v>43</v>
      </c>
      <c r="M943" s="6" t="inlineStr">
        <is>
          <t>结构不明</t>
        </is>
      </c>
      <c r="N943" s="6" t="n">
        <v>0</v>
      </c>
      <c r="O943" s="6" t="n">
        <v>0</v>
      </c>
      <c r="P943" s="7" t="n">
        <v>11</v>
      </c>
      <c r="Q943" s="6" t="inlineStr"/>
    </row>
    <row r="944">
      <c r="A944" s="11" t="inlineStr">
        <is>
          <t>2026-07-14</t>
        </is>
      </c>
      <c r="B944" s="11" t="inlineStr">
        <is>
          <t>MA2609</t>
        </is>
      </c>
      <c r="C944" s="11" t="inlineStr">
        <is>
          <t>2026-09</t>
        </is>
      </c>
      <c r="D944" s="12" t="n">
        <v>2640</v>
      </c>
      <c r="E944" s="12" t="n">
        <v>2632</v>
      </c>
      <c r="F944" s="12">
        <f>D944-E944</f>
        <v/>
      </c>
      <c r="G944" s="13">
        <f>IF(D944=0,"",(D944-E944)/D944)</f>
        <v/>
      </c>
      <c r="H944" s="14" t="n">
        <v>654749</v>
      </c>
      <c r="I944" s="15" t="n">
        <v>0.576</v>
      </c>
      <c r="J944" s="15">
        <f>IF(COUNT(G694:G943)&lt;20,"",IF(COUNTIF(G694:G943,"&lt;"&amp;G944)&gt;=COUNT(G694:G943),(COUNT(G694:G943)-0.5)/COUNT(G694:G943),IF(COUNTIF(G694:G943,G944)&gt;0,(COUNTIF(G694:G943,"&lt;"&amp;G944)+0.5*COUNTIF(G694:G943,G944))/COUNT(G694:G943),COUNTIF(G694:G943,"&lt;"&amp;G944)/COUNT(G694:G943))))</f>
        <v/>
      </c>
      <c r="K944" s="11" t="inlineStr">
        <is>
          <t>中间分位</t>
        </is>
      </c>
      <c r="L944" s="11" t="n">
        <v>42</v>
      </c>
      <c r="M944" s="11" t="inlineStr">
        <is>
          <t>结构不明</t>
        </is>
      </c>
      <c r="N944" s="11" t="n">
        <v>0</v>
      </c>
      <c r="O944" s="11" t="n">
        <v>0</v>
      </c>
      <c r="P944" s="12" t="n">
        <v>-2</v>
      </c>
      <c r="Q944" s="11" t="inlineStr"/>
    </row>
    <row r="945">
      <c r="A945" s="6" t="inlineStr">
        <is>
          <t>2026-07-15</t>
        </is>
      </c>
      <c r="B945" s="6" t="inlineStr">
        <is>
          <t>MA2609</t>
        </is>
      </c>
      <c r="C945" s="6" t="inlineStr">
        <is>
          <t>2026-09</t>
        </is>
      </c>
      <c r="D945" s="7" t="n">
        <v>2741.67</v>
      </c>
      <c r="E945" s="7" t="n">
        <v>2648</v>
      </c>
      <c r="F945" s="7">
        <f>D945-E945</f>
        <v/>
      </c>
      <c r="G945" s="8">
        <f>IF(D945=0,"",(D945-E945)/D945)</f>
        <v/>
      </c>
      <c r="H945" s="9" t="n">
        <v>661260</v>
      </c>
      <c r="I945" s="10" t="n">
        <v>0.732</v>
      </c>
      <c r="J945" s="10">
        <f>IF(COUNT(G695:G944)&lt;20,"",IF(COUNTIF(G695:G944,"&lt;"&amp;G945)&gt;=COUNT(G695:G944),(COUNT(G695:G944)-0.5)/COUNT(G695:G944),IF(COUNTIF(G695:G944,G945)&gt;0,(COUNTIF(G695:G944,"&lt;"&amp;G945)+0.5*COUNTIF(G695:G944,G945))/COUNT(G695:G944),COUNTIF(G695:G944,"&lt;"&amp;G945)/COUNT(G695:G944))))</f>
        <v/>
      </c>
      <c r="K945" s="6" t="inlineStr">
        <is>
          <t>中间分位</t>
        </is>
      </c>
      <c r="L945" s="6" t="n">
        <v>41</v>
      </c>
      <c r="M945" s="6" t="inlineStr">
        <is>
          <t>结构不明</t>
        </is>
      </c>
      <c r="N945" s="6" t="n">
        <v>0</v>
      </c>
      <c r="O945" s="6" t="n">
        <v>0</v>
      </c>
      <c r="P945" s="7" t="n">
        <v>6</v>
      </c>
      <c r="Q945" s="6" t="inlineStr"/>
    </row>
    <row r="946">
      <c r="A946" s="11" t="inlineStr">
        <is>
          <t>2026-07-16</t>
        </is>
      </c>
      <c r="B946" s="11" t="inlineStr">
        <is>
          <t>MA2609</t>
        </is>
      </c>
      <c r="C946" s="11" t="inlineStr">
        <is>
          <t>2026-09</t>
        </is>
      </c>
      <c r="D946" s="12" t="n">
        <v>2696.67</v>
      </c>
      <c r="E946" s="12" t="n">
        <v>2633</v>
      </c>
      <c r="F946" s="12">
        <f>D946-E946</f>
        <v/>
      </c>
      <c r="G946" s="13">
        <f>IF(D946=0,"",(D946-E946)/D946)</f>
        <v/>
      </c>
      <c r="H946" s="14" t="n">
        <v>665134</v>
      </c>
      <c r="I946" s="15" t="n">
        <v>0.704</v>
      </c>
      <c r="J946" s="15">
        <f>IF(COUNT(G696:G945)&lt;20,"",IF(COUNTIF(G696:G945,"&lt;"&amp;G946)&gt;=COUNT(G696:G945),(COUNT(G696:G945)-0.5)/COUNT(G696:G945),IF(COUNTIF(G696:G945,G946)&gt;0,(COUNTIF(G696:G945,"&lt;"&amp;G946)+0.5*COUNTIF(G696:G945,G946))/COUNT(G696:G945),COUNTIF(G696:G945,"&lt;"&amp;G946)/COUNT(G696:G945))))</f>
        <v/>
      </c>
      <c r="K946" s="11" t="inlineStr">
        <is>
          <t>中间分位</t>
        </is>
      </c>
      <c r="L946" s="11" t="n">
        <v>40</v>
      </c>
      <c r="M946" s="11" t="inlineStr">
        <is>
          <t>结构不明</t>
        </is>
      </c>
      <c r="N946" s="11" t="n">
        <v>0</v>
      </c>
      <c r="O946" s="11" t="n">
        <v>0</v>
      </c>
      <c r="P946" s="12" t="n">
        <v>10</v>
      </c>
      <c r="Q946" s="11" t="inlineStr"/>
    </row>
    <row r="947">
      <c r="A947" s="6" t="inlineStr">
        <is>
          <t>2026-07-17</t>
        </is>
      </c>
      <c r="B947" s="6" t="inlineStr">
        <is>
          <t>MA2609</t>
        </is>
      </c>
      <c r="C947" s="6" t="inlineStr">
        <is>
          <t>2026-09</t>
        </is>
      </c>
      <c r="D947" s="7" t="n">
        <v>2656.67</v>
      </c>
      <c r="E947" s="7" t="n">
        <v>2630</v>
      </c>
      <c r="F947" s="7">
        <f>D947-E947</f>
        <v/>
      </c>
      <c r="G947" s="8">
        <f>IF(D947=0,"",(D947-E947)/D947)</f>
        <v/>
      </c>
      <c r="H947" s="9" t="n">
        <v>654879</v>
      </c>
      <c r="I947" s="10" t="n">
        <v>0.644</v>
      </c>
      <c r="J947" s="10">
        <f>IF(COUNT(G697:G946)&lt;20,"",IF(COUNTIF(G697:G946,"&lt;"&amp;G947)&gt;=COUNT(G697:G946),(COUNT(G697:G946)-0.5)/COUNT(G697:G946),IF(COUNTIF(G697:G946,G947)&gt;0,(COUNTIF(G697:G946,"&lt;"&amp;G947)+0.5*COUNTIF(G697:G946,G947))/COUNT(G697:G946),COUNTIF(G697:G946,"&lt;"&amp;G947)/COUNT(G697:G946))))</f>
        <v/>
      </c>
      <c r="K947" s="6" t="inlineStr">
        <is>
          <t>中间分位</t>
        </is>
      </c>
      <c r="L947" s="6" t="n">
        <v>39</v>
      </c>
      <c r="M947" s="6" t="inlineStr">
        <is>
          <t>Back(近强)</t>
        </is>
      </c>
      <c r="N947" s="6" t="n">
        <v>0</v>
      </c>
      <c r="O947" s="6" t="n">
        <v>0</v>
      </c>
      <c r="P947" s="7" t="n">
        <v>26</v>
      </c>
      <c r="Q947" s="6" t="inlineStr"/>
    </row>
    <row r="948">
      <c r="A948" s="11" t="inlineStr">
        <is>
          <t>2026-07-20</t>
        </is>
      </c>
      <c r="B948" s="11" t="inlineStr">
        <is>
          <t>MA2609</t>
        </is>
      </c>
      <c r="C948" s="11" t="inlineStr">
        <is>
          <t>2026-09</t>
        </is>
      </c>
      <c r="D948" s="12" t="n">
        <v>2638.33</v>
      </c>
      <c r="E948" s="12" t="n">
        <v>2802</v>
      </c>
      <c r="F948" s="12">
        <f>D948-E948</f>
        <v/>
      </c>
      <c r="G948" s="13">
        <f>IF(D948=0,"",(D948-E948)/D948)</f>
        <v/>
      </c>
      <c r="H948" s="14" t="n">
        <v>661579</v>
      </c>
      <c r="I948" s="15" t="n">
        <v>0.032</v>
      </c>
      <c r="J948" s="15">
        <f>IF(COUNT(G698:G947)&lt;20,"",IF(COUNTIF(G698:G947,"&lt;"&amp;G948)&gt;=COUNT(G698:G947),(COUNT(G698:G947)-0.5)/COUNT(G698:G947),IF(COUNTIF(G698:G947,G948)&gt;0,(COUNTIF(G698:G947,"&lt;"&amp;G948)+0.5*COUNTIF(G698:G947,G948))/COUNT(G698:G947),COUNTIF(G698:G947,"&lt;"&amp;G948)/COUNT(G698:G947))))</f>
        <v/>
      </c>
      <c r="K948" s="11" t="inlineStr">
        <is>
          <t>低分位</t>
        </is>
      </c>
      <c r="L948" s="11" t="n">
        <v>38</v>
      </c>
      <c r="M948" s="11" t="inlineStr">
        <is>
          <t>Back(近强)</t>
        </is>
      </c>
      <c r="N948" s="11" t="n">
        <v>0</v>
      </c>
      <c r="O948" s="11" t="n">
        <v>0</v>
      </c>
      <c r="P948" s="12" t="n">
        <v>27</v>
      </c>
      <c r="Q948" s="11" t="inlineStr"/>
    </row>
    <row r="949">
      <c r="A949" s="6" t="inlineStr">
        <is>
          <t>2026-07-21</t>
        </is>
      </c>
      <c r="B949" s="6" t="inlineStr">
        <is>
          <t>MA2609</t>
        </is>
      </c>
      <c r="C949" s="6" t="inlineStr">
        <is>
          <t>2026-09</t>
        </is>
      </c>
      <c r="D949" s="7" t="n">
        <v>2790</v>
      </c>
      <c r="E949" s="7" t="n">
        <v>2707</v>
      </c>
      <c r="F949" s="7">
        <f>D949-E949</f>
        <v/>
      </c>
      <c r="G949" s="8">
        <f>IF(D949=0,"",(D949-E949)/D949)</f>
        <v/>
      </c>
      <c r="H949" s="9" t="n">
        <v>603375</v>
      </c>
      <c r="I949" s="10" t="n">
        <v>0.72</v>
      </c>
      <c r="J949" s="10">
        <f>IF(COUNT(G699:G948)&lt;20,"",IF(COUNTIF(G699:G948,"&lt;"&amp;G949)&gt;=COUNT(G699:G948),(COUNT(G699:G948)-0.5)/COUNT(G699:G948),IF(COUNTIF(G699:G948,G949)&gt;0,(COUNTIF(G699:G948,"&lt;"&amp;G949)+0.5*COUNTIF(G699:G948,G949))/COUNT(G699:G948),COUNTIF(G699:G948,"&lt;"&amp;G949)/COUNT(G699:G948))))</f>
        <v/>
      </c>
      <c r="K949" s="6" t="inlineStr">
        <is>
          <t>中间分位</t>
        </is>
      </c>
      <c r="L949" s="6" t="n">
        <v>37</v>
      </c>
      <c r="M949" s="6" t="inlineStr">
        <is>
          <t>Back(近强)</t>
        </is>
      </c>
      <c r="N949" s="6" t="n">
        <v>0</v>
      </c>
      <c r="O949" s="6" t="n">
        <v>0</v>
      </c>
      <c r="P949" s="7" t="n">
        <v>26</v>
      </c>
      <c r="Q949" s="6" t="inlineStr"/>
    </row>
    <row r="950">
      <c r="A950" s="11" t="inlineStr">
        <is>
          <t>2026-07-22</t>
        </is>
      </c>
      <c r="B950" s="11" t="inlineStr">
        <is>
          <t>MA2609</t>
        </is>
      </c>
      <c r="C950" s="11" t="inlineStr">
        <is>
          <t>2026-09</t>
        </is>
      </c>
      <c r="D950" s="12" t="n">
        <v>2706.67</v>
      </c>
      <c r="E950" s="12" t="n">
        <v>2718</v>
      </c>
      <c r="F950" s="12">
        <f>D950-E950</f>
        <v/>
      </c>
      <c r="G950" s="13">
        <f>IF(D950=0,"",(D950-E950)/D950)</f>
        <v/>
      </c>
      <c r="H950" s="14" t="n">
        <v>638579</v>
      </c>
      <c r="I950" s="15" t="n">
        <v>0.464</v>
      </c>
      <c r="J950" s="15">
        <f>IF(COUNT(G700:G949)&lt;20,"",IF(COUNTIF(G700:G949,"&lt;"&amp;G950)&gt;=COUNT(G700:G949),(COUNT(G700:G949)-0.5)/COUNT(G700:G949),IF(COUNTIF(G700:G949,G950)&gt;0,(COUNTIF(G700:G949,"&lt;"&amp;G950)+0.5*COUNTIF(G700:G949,G950))/COUNT(G700:G949),COUNTIF(G700:G949,"&lt;"&amp;G950)/COUNT(G700:G949))))</f>
        <v/>
      </c>
      <c r="K950" s="11" t="inlineStr">
        <is>
          <t>中间分位</t>
        </is>
      </c>
      <c r="L950" s="11" t="n">
        <v>36</v>
      </c>
      <c r="M950" s="11" t="inlineStr">
        <is>
          <t>Back(近强)</t>
        </is>
      </c>
      <c r="N950" s="11" t="n">
        <v>0</v>
      </c>
      <c r="O950" s="11" t="n">
        <v>0</v>
      </c>
      <c r="P950" s="12" t="n">
        <v>26</v>
      </c>
      <c r="Q950" s="11" t="inlineStr"/>
    </row>
    <row r="951">
      <c r="A951" s="6" t="inlineStr">
        <is>
          <t>2026-07-23</t>
        </is>
      </c>
      <c r="B951" s="6" t="inlineStr">
        <is>
          <t>MA2609</t>
        </is>
      </c>
      <c r="C951" s="6" t="inlineStr">
        <is>
          <t>2026-09</t>
        </is>
      </c>
      <c r="D951" s="7" t="n">
        <v>2718.33</v>
      </c>
      <c r="E951" s="7" t="n">
        <v>2756</v>
      </c>
      <c r="F951" s="7">
        <f>D951-E951</f>
        <v/>
      </c>
      <c r="G951" s="8">
        <f>IF(D951=0,"",(D951-E951)/D951)</f>
        <v/>
      </c>
      <c r="H951" s="9" t="n">
        <v>625617</v>
      </c>
      <c r="I951" s="10" t="n">
        <v>0.34</v>
      </c>
      <c r="J951" s="10">
        <f>IF(COUNT(G701:G950)&lt;20,"",IF(COUNTIF(G701:G950,"&lt;"&amp;G951)&gt;=COUNT(G701:G950),(COUNT(G701:G950)-0.5)/COUNT(G701:G950),IF(COUNTIF(G701:G950,G951)&gt;0,(COUNTIF(G701:G950,"&lt;"&amp;G951)+0.5*COUNTIF(G701:G950,G951))/COUNT(G701:G950),COUNTIF(G701:G950,"&lt;"&amp;G951)/COUNT(G701:G950))))</f>
        <v/>
      </c>
      <c r="K951" s="6" t="inlineStr">
        <is>
          <t>中间分位</t>
        </is>
      </c>
      <c r="L951" s="6" t="n">
        <v>35</v>
      </c>
      <c r="M951" s="6" t="inlineStr">
        <is>
          <t>Back(近强)</t>
        </is>
      </c>
      <c r="N951" s="6" t="n">
        <v>0</v>
      </c>
      <c r="O951" s="6" t="n">
        <v>0</v>
      </c>
      <c r="P951" s="7" t="n">
        <v>22</v>
      </c>
      <c r="Q951" s="6" t="inlineStr"/>
    </row>
    <row r="952">
      <c r="A952" s="11" t="inlineStr">
        <is>
          <t>2026-07-24</t>
        </is>
      </c>
      <c r="B952" s="11" t="inlineStr">
        <is>
          <t>MA2609</t>
        </is>
      </c>
      <c r="C952" s="11" t="inlineStr">
        <is>
          <t>2026-09</t>
        </is>
      </c>
      <c r="D952" s="12" t="n">
        <v>2750</v>
      </c>
      <c r="E952" s="12" t="n">
        <v>2755</v>
      </c>
      <c r="F952" s="12">
        <f>D952-E952</f>
        <v/>
      </c>
      <c r="G952" s="13">
        <f>IF(D952=0,"",(D952-E952)/D952)</f>
        <v/>
      </c>
      <c r="H952" s="14" t="n">
        <v>621986</v>
      </c>
      <c r="I952" s="15" t="n">
        <v>0.508</v>
      </c>
      <c r="J952" s="15">
        <f>IF(COUNT(G702:G951)&lt;20,"",IF(COUNTIF(G702:G951,"&lt;"&amp;G952)&gt;=COUNT(G702:G951),(COUNT(G702:G951)-0.5)/COUNT(G702:G951),IF(COUNTIF(G702:G951,G952)&gt;0,(COUNTIF(G702:G951,"&lt;"&amp;G952)+0.5*COUNTIF(G702:G951,G952))/COUNT(G702:G951),COUNTIF(G702:G951,"&lt;"&amp;G952)/COUNT(G702:G951))))</f>
        <v/>
      </c>
      <c r="K952" s="11" t="inlineStr">
        <is>
          <t>中间分位</t>
        </is>
      </c>
      <c r="L952" s="11" t="n">
        <v>34</v>
      </c>
      <c r="M952" s="11" t="inlineStr">
        <is>
          <t>Back(近强)</t>
        </is>
      </c>
      <c r="N952" s="11" t="n">
        <v>0</v>
      </c>
      <c r="O952" s="11" t="n">
        <v>0</v>
      </c>
      <c r="P952" s="12" t="n">
        <v>23</v>
      </c>
      <c r="Q952" s="11" t="inlineStr"/>
    </row>
    <row r="953">
      <c r="A953" s="6" t="inlineStr">
        <is>
          <t>2026-07-27</t>
        </is>
      </c>
      <c r="B953" s="6" t="inlineStr">
        <is>
          <t>MA2609</t>
        </is>
      </c>
      <c r="C953" s="6" t="inlineStr">
        <is>
          <t>2026-09</t>
        </is>
      </c>
      <c r="D953" s="7" t="n">
        <v>2753.33</v>
      </c>
      <c r="E953" s="7" t="n">
        <v>2610</v>
      </c>
      <c r="F953" s="7">
        <f>D953-E953</f>
        <v/>
      </c>
      <c r="G953" s="8">
        <f>IF(D953=0,"",(D953-E953)/D953)</f>
        <v/>
      </c>
      <c r="H953" s="9" t="n">
        <v>599960</v>
      </c>
      <c r="I953" s="10" t="n">
        <v>0.752</v>
      </c>
      <c r="J953" s="10">
        <f>IF(COUNT(G703:G952)&lt;20,"",IF(COUNTIF(G703:G952,"&lt;"&amp;G953)&gt;=COUNT(G703:G952),(COUNT(G703:G952)-0.5)/COUNT(G703:G952),IF(COUNTIF(G703:G952,G953)&gt;0,(COUNTIF(G703:G952,"&lt;"&amp;G953)+0.5*COUNTIF(G703:G952,G953))/COUNT(G703:G952),COUNTIF(G703:G952,"&lt;"&amp;G953)/COUNT(G703:G952))))</f>
        <v/>
      </c>
      <c r="K953" s="6" t="inlineStr">
        <is>
          <t>中间分位</t>
        </is>
      </c>
      <c r="L953" s="6" t="n">
        <v>33</v>
      </c>
      <c r="M953" s="6" t="inlineStr">
        <is>
          <t>Back(近强)</t>
        </is>
      </c>
      <c r="N953" s="6" t="n">
        <v>0</v>
      </c>
      <c r="O953" s="6" t="n">
        <v>0</v>
      </c>
      <c r="P953" s="7" t="n">
        <v>28</v>
      </c>
      <c r="Q953" s="6" t="inlineStr"/>
    </row>
    <row r="954">
      <c r="A954" s="11" t="inlineStr">
        <is>
          <t>2026-07-28</t>
        </is>
      </c>
      <c r="B954" s="11" t="inlineStr">
        <is>
          <t>MA2609</t>
        </is>
      </c>
      <c r="C954" s="11" t="inlineStr">
        <is>
          <t>2026-09</t>
        </is>
      </c>
      <c r="D954" s="12" t="n">
        <v>2621.67</v>
      </c>
      <c r="E954" s="12" t="n">
        <v>2601</v>
      </c>
      <c r="F954" s="12">
        <f>D954-E954</f>
        <v/>
      </c>
      <c r="G954" s="13">
        <f>IF(D954=0,"",(D954-E954)/D954)</f>
        <v/>
      </c>
      <c r="H954" s="14" t="n">
        <v>581945</v>
      </c>
      <c r="I954" s="15" t="n">
        <v>0.636</v>
      </c>
      <c r="J954" s="15">
        <f>IF(COUNT(G704:G953)&lt;20,"",IF(COUNTIF(G704:G953,"&lt;"&amp;G954)&gt;=COUNT(G704:G953),(COUNT(G704:G953)-0.5)/COUNT(G704:G953),IF(COUNTIF(G704:G953,G954)&gt;0,(COUNTIF(G704:G953,"&lt;"&amp;G954)+0.5*COUNTIF(G704:G953,G954))/COUNT(G704:G953),COUNTIF(G704:G953,"&lt;"&amp;G954)/COUNT(G704:G953))))</f>
        <v/>
      </c>
      <c r="K954" s="11" t="inlineStr">
        <is>
          <t>中间分位</t>
        </is>
      </c>
      <c r="L954" s="11" t="n">
        <v>32</v>
      </c>
      <c r="M954" s="11" t="inlineStr">
        <is>
          <t>Back(近强)</t>
        </is>
      </c>
      <c r="N954" s="11" t="n">
        <v>0</v>
      </c>
      <c r="O954" s="11" t="n">
        <v>0</v>
      </c>
      <c r="P954" s="12" t="n">
        <v>33</v>
      </c>
      <c r="Q954" s="11" t="inlineStr"/>
    </row>
    <row r="955">
      <c r="A955" s="6" t="inlineStr">
        <is>
          <t>2026-07-29</t>
        </is>
      </c>
      <c r="B955" s="6" t="inlineStr">
        <is>
          <t>MA2609</t>
        </is>
      </c>
      <c r="C955" s="6" t="inlineStr">
        <is>
          <t>2026-09</t>
        </is>
      </c>
      <c r="D955" s="7" t="n">
        <v>2613.33</v>
      </c>
      <c r="E955" s="7" t="n">
        <v>2649</v>
      </c>
      <c r="F955" s="7">
        <f>D955-E955</f>
        <v/>
      </c>
      <c r="G955" s="8">
        <f>IF(D955=0,"",(D955-E955)/D955)</f>
        <v/>
      </c>
      <c r="H955" s="9" t="n">
        <v>565908</v>
      </c>
      <c r="I955" s="10" t="n">
        <v>0.344</v>
      </c>
      <c r="J955" s="10">
        <f>IF(COUNT(G705:G954)&lt;20,"",IF(COUNTIF(G705:G954,"&lt;"&amp;G955)&gt;=COUNT(G705:G954),(COUNT(G705:G954)-0.5)/COUNT(G705:G954),IF(COUNTIF(G705:G954,G955)&gt;0,(COUNTIF(G705:G954,"&lt;"&amp;G955)+0.5*COUNTIF(G705:G954,G955))/COUNT(G705:G954),COUNTIF(G705:G954,"&lt;"&amp;G955)/COUNT(G705:G954))))</f>
        <v/>
      </c>
      <c r="K955" s="6" t="inlineStr">
        <is>
          <t>中间分位</t>
        </is>
      </c>
      <c r="L955" s="6" t="n">
        <v>31</v>
      </c>
      <c r="M955" s="6" t="inlineStr">
        <is>
          <t>Back(近强)</t>
        </is>
      </c>
      <c r="N955" s="6" t="n">
        <v>0</v>
      </c>
      <c r="O955" s="6" t="n">
        <v>0</v>
      </c>
      <c r="P955" s="7" t="n">
        <v>29</v>
      </c>
      <c r="Q955" s="6" t="inlineStr"/>
    </row>
    <row r="956">
      <c r="A956" s="11" t="inlineStr">
        <is>
          <t>2026-07-30</t>
        </is>
      </c>
      <c r="B956" s="11" t="inlineStr">
        <is>
          <t>MA2609</t>
        </is>
      </c>
      <c r="C956" s="11" t="inlineStr">
        <is>
          <t>2026-09</t>
        </is>
      </c>
      <c r="D956" s="12" t="n">
        <v>2656.67</v>
      </c>
      <c r="E956" s="12" t="n">
        <v>2657</v>
      </c>
      <c r="F956" s="12">
        <f>D956-E956</f>
        <v/>
      </c>
      <c r="G956" s="13">
        <f>IF(D956=0,"",(D956-E956)/D956)</f>
        <v/>
      </c>
      <c r="H956" s="14" t="n">
        <v>567903</v>
      </c>
      <c r="I956" s="15" t="n">
        <v>0.548</v>
      </c>
      <c r="J956" s="15">
        <f>IF(COUNT(G706:G955)&lt;20,"",IF(COUNTIF(G706:G955,"&lt;"&amp;G956)&gt;=COUNT(G706:G955),(COUNT(G706:G955)-0.5)/COUNT(G706:G955),IF(COUNTIF(G706:G955,G956)&gt;0,(COUNTIF(G706:G955,"&lt;"&amp;G956)+0.5*COUNTIF(G706:G955,G956))/COUNT(G706:G955),COUNTIF(G706:G955,"&lt;"&amp;G956)/COUNT(G706:G955))))</f>
        <v/>
      </c>
      <c r="K956" s="11" t="inlineStr">
        <is>
          <t>中间分位</t>
        </is>
      </c>
      <c r="L956" s="11" t="n">
        <v>30</v>
      </c>
      <c r="M956" s="11" t="inlineStr">
        <is>
          <t>Back(近强)</t>
        </is>
      </c>
      <c r="N956" s="11" t="n">
        <v>0</v>
      </c>
      <c r="O956" s="11" t="n">
        <v>0</v>
      </c>
      <c r="P956" s="12" t="n">
        <v>34</v>
      </c>
      <c r="Q956" s="11" t="inlineStr"/>
    </row>
    <row r="957">
      <c r="A957" s="6" t="inlineStr">
        <is>
          <t>2026-07-31</t>
        </is>
      </c>
      <c r="B957" s="6" t="inlineStr">
        <is>
          <t>MA2609</t>
        </is>
      </c>
      <c r="C957" s="6" t="inlineStr">
        <is>
          <t>2026-09</t>
        </is>
      </c>
      <c r="D957" s="7" t="n">
        <v>2665</v>
      </c>
      <c r="E957" s="7" t="n">
        <v>2618</v>
      </c>
      <c r="F957" s="7">
        <f>D957-E957</f>
        <v/>
      </c>
      <c r="G957" s="8">
        <f>IF(D957=0,"",(D957-E957)/D957)</f>
        <v/>
      </c>
      <c r="H957" s="9" t="n">
        <v>553497</v>
      </c>
      <c r="I957" s="10" t="n">
        <v>0.68</v>
      </c>
      <c r="J957" s="10">
        <f>IF(COUNT(G707:G956)&lt;20,"",IF(COUNTIF(G707:G956,"&lt;"&amp;G957)&gt;=COUNT(G707:G956),(COUNT(G707:G956)-0.5)/COUNT(G707:G956),IF(COUNTIF(G707:G956,G957)&gt;0,(COUNTIF(G707:G956,"&lt;"&amp;G957)+0.5*COUNTIF(G707:G956,G957))/COUNT(G707:G956),COUNTIF(G707:G956,"&lt;"&amp;G957)/COUNT(G707:G956))))</f>
        <v/>
      </c>
      <c r="K957" s="6" t="inlineStr">
        <is>
          <t>中间分位</t>
        </is>
      </c>
      <c r="L957" s="6" t="n">
        <v>29</v>
      </c>
      <c r="M957" s="6" t="inlineStr">
        <is>
          <t>Back(近强)</t>
        </is>
      </c>
      <c r="N957" s="6" t="n">
        <v>0</v>
      </c>
      <c r="O957" s="6" t="n">
        <v>0</v>
      </c>
      <c r="P957" s="7" t="n">
        <v>24</v>
      </c>
      <c r="Q957" s="6" t="inlineStr"/>
    </row>
    <row r="958">
      <c r="A958" s="11" t="inlineStr">
        <is>
          <t>2026-08-03</t>
        </is>
      </c>
      <c r="B958" s="11" t="inlineStr">
        <is>
          <t>MA2609</t>
        </is>
      </c>
      <c r="C958" s="11" t="inlineStr">
        <is>
          <t>2026-09</t>
        </is>
      </c>
      <c r="D958" s="12" t="n">
        <v>2628.33</v>
      </c>
      <c r="E958" s="12" t="n">
        <v>2594</v>
      </c>
      <c r="F958" s="12">
        <f>D958-E958</f>
        <v/>
      </c>
      <c r="G958" s="13">
        <f>IF(D958=0,"",(D958-E958)/D958)</f>
        <v/>
      </c>
      <c r="H958" s="14" t="n">
        <v>573082</v>
      </c>
      <c r="I958" s="15" t="n">
        <v>0.668</v>
      </c>
      <c r="J958" s="15">
        <f>IF(COUNT(G708:G957)&lt;20,"",IF(COUNTIF(G708:G957,"&lt;"&amp;G958)&gt;=COUNT(G708:G957),(COUNT(G708:G957)-0.5)/COUNT(G708:G957),IF(COUNTIF(G708:G957,G958)&gt;0,(COUNTIF(G708:G957,"&lt;"&amp;G958)+0.5*COUNTIF(G708:G957,G958))/COUNT(G708:G957),COUNTIF(G708:G957,"&lt;"&amp;G958)/COUNT(G708:G957))))</f>
        <v/>
      </c>
      <c r="K958" s="11" t="inlineStr">
        <is>
          <t>中间分位</t>
        </is>
      </c>
      <c r="L958" s="11" t="n">
        <v>28</v>
      </c>
      <c r="M958" s="11" t="inlineStr">
        <is>
          <t>Back(近强)</t>
        </is>
      </c>
      <c r="N958" s="11" t="n">
        <v>0</v>
      </c>
      <c r="O958" s="11" t="n">
        <v>0</v>
      </c>
      <c r="P958" s="12" t="n">
        <v>28</v>
      </c>
      <c r="Q958" s="11" t="inlineStr"/>
    </row>
    <row r="959">
      <c r="A959" s="6" t="inlineStr">
        <is>
          <t>2026-08-04</t>
        </is>
      </c>
      <c r="B959" s="6" t="inlineStr">
        <is>
          <t>MA2609</t>
        </is>
      </c>
      <c r="C959" s="6" t="inlineStr">
        <is>
          <t>2026-09</t>
        </is>
      </c>
      <c r="D959" s="7" t="n">
        <v>2620</v>
      </c>
      <c r="E959" s="7" t="n">
        <v>2586</v>
      </c>
      <c r="F959" s="7">
        <f>D959-E959</f>
        <v/>
      </c>
      <c r="G959" s="8">
        <f>IF(D959=0,"",(D959-E959)/D959)</f>
        <v/>
      </c>
      <c r="H959" s="9" t="n">
        <v>546513</v>
      </c>
      <c r="I959" s="10" t="n">
        <v>0.664</v>
      </c>
      <c r="J959" s="10">
        <f>IF(COUNT(G709:G958)&lt;20,"",IF(COUNTIF(G709:G958,"&lt;"&amp;G959)&gt;=COUNT(G709:G958),(COUNT(G709:G958)-0.5)/COUNT(G709:G958),IF(COUNTIF(G709:G958,G959)&gt;0,(COUNTIF(G709:G958,"&lt;"&amp;G959)+0.5*COUNTIF(G709:G958,G959))/COUNT(G709:G958),COUNTIF(G709:G958,"&lt;"&amp;G959)/COUNT(G709:G958))))</f>
        <v/>
      </c>
      <c r="K959" s="6" t="inlineStr">
        <is>
          <t>中间分位</t>
        </is>
      </c>
      <c r="L959" s="6" t="n">
        <v>27</v>
      </c>
      <c r="M959" s="6" t="inlineStr">
        <is>
          <t>结构不明</t>
        </is>
      </c>
      <c r="N959" s="6" t="n">
        <v>0</v>
      </c>
      <c r="O959" s="6" t="n">
        <v>0</v>
      </c>
      <c r="P959" s="7" t="n">
        <v>6</v>
      </c>
      <c r="Q959" s="6" t="inlineStr"/>
    </row>
    <row r="960">
      <c r="A960" s="11" t="inlineStr">
        <is>
          <t>2026-08-05</t>
        </is>
      </c>
      <c r="B960" s="11" t="inlineStr">
        <is>
          <t>MA2609</t>
        </is>
      </c>
      <c r="C960" s="11" t="inlineStr">
        <is>
          <t>2026-09</t>
        </is>
      </c>
      <c r="D960" s="12" t="n">
        <v>2616.67</v>
      </c>
      <c r="E960" s="12" t="n">
        <v>2517</v>
      </c>
      <c r="F960" s="12">
        <f>D960-E960</f>
        <v/>
      </c>
      <c r="G960" s="13">
        <f>IF(D960=0,"",(D960-E960)/D960)</f>
        <v/>
      </c>
      <c r="H960" s="14" t="n">
        <v>511771</v>
      </c>
      <c r="I960" s="15" t="n">
        <v>0.732</v>
      </c>
      <c r="J960" s="15">
        <f>IF(COUNT(G710:G959)&lt;20,"",IF(COUNTIF(G710:G959,"&lt;"&amp;G960)&gt;=COUNT(G710:G959),(COUNT(G710:G959)-0.5)/COUNT(G710:G959),IF(COUNTIF(G710:G959,G960)&gt;0,(COUNTIF(G710:G959,"&lt;"&amp;G960)+0.5*COUNTIF(G710:G959,G960))/COUNT(G710:G959),COUNTIF(G710:G959,"&lt;"&amp;G960)/COUNT(G710:G959))))</f>
        <v/>
      </c>
      <c r="K960" s="11" t="inlineStr">
        <is>
          <t>中间分位</t>
        </is>
      </c>
      <c r="L960" s="11" t="n">
        <v>26</v>
      </c>
      <c r="M960" s="11" t="inlineStr">
        <is>
          <t>Back(近强)</t>
        </is>
      </c>
      <c r="N960" s="11" t="n">
        <v>0</v>
      </c>
      <c r="O960" s="11" t="n">
        <v>0</v>
      </c>
      <c r="P960" s="12" t="n">
        <v>17</v>
      </c>
      <c r="Q960" s="11" t="inlineStr"/>
    </row>
    <row r="961">
      <c r="A961" s="6" t="inlineStr">
        <is>
          <t>2026-08-06</t>
        </is>
      </c>
      <c r="B961" s="6" t="inlineStr">
        <is>
          <t>MA2610</t>
        </is>
      </c>
      <c r="C961" s="6" t="inlineStr">
        <is>
          <t>2026-10</t>
        </is>
      </c>
      <c r="D961" s="7" t="n">
        <v>2565</v>
      </c>
      <c r="E961" s="7" t="n">
        <v>2478</v>
      </c>
      <c r="F961" s="7">
        <f>D961-E961</f>
        <v/>
      </c>
      <c r="G961" s="8">
        <f>IF(D961=0,"",(D961-E961)/D961)</f>
        <v/>
      </c>
      <c r="H961" s="9" t="n">
        <v>546872</v>
      </c>
      <c r="I961" s="10" t="n">
        <v>0.72</v>
      </c>
      <c r="J961" s="10">
        <f>IF(COUNT(G711:G960)&lt;20,"",IF(COUNTIF(G711:G960,"&lt;"&amp;G961)&gt;=COUNT(G711:G960),(COUNT(G711:G960)-0.5)/COUNT(G711:G960),IF(COUNTIF(G711:G960,G961)&gt;0,(COUNTIF(G711:G960,"&lt;"&amp;G961)+0.5*COUNTIF(G711:G960,G961))/COUNT(G711:G960),COUNTIF(G711:G960,"&lt;"&amp;G961)/COUNT(G711:G960))))</f>
        <v/>
      </c>
      <c r="K961" s="6" t="inlineStr">
        <is>
          <t>中间分位</t>
        </is>
      </c>
      <c r="L961" s="6" t="n">
        <v>45</v>
      </c>
      <c r="M961" s="6" t="inlineStr">
        <is>
          <t>Back(近强)</t>
        </is>
      </c>
      <c r="N961" s="6" t="n">
        <v>0</v>
      </c>
      <c r="O961" s="6" t="n">
        <v>1</v>
      </c>
      <c r="P961" s="7" t="n">
        <v>17</v>
      </c>
      <c r="Q961" s="6" t="inlineStr"/>
    </row>
    <row r="962">
      <c r="A962" s="11" t="inlineStr">
        <is>
          <t>2026-08-07</t>
        </is>
      </c>
      <c r="B962" s="11" t="inlineStr">
        <is>
          <t>MA2610</t>
        </is>
      </c>
      <c r="C962" s="11" t="inlineStr">
        <is>
          <t>2026-10</t>
        </is>
      </c>
      <c r="D962" s="12" t="n">
        <v>2531.67</v>
      </c>
      <c r="E962" s="12" t="n">
        <v>2500</v>
      </c>
      <c r="F962" s="12">
        <f>D962-E962</f>
        <v/>
      </c>
      <c r="G962" s="13">
        <f>IF(D962=0,"",(D962-E962)/D962)</f>
        <v/>
      </c>
      <c r="H962" s="14" t="n">
        <v>572847</v>
      </c>
      <c r="I962" s="15" t="n">
        <v>0.652</v>
      </c>
      <c r="J962" s="15">
        <f>IF(COUNT(G712:G961)&lt;20,"",IF(COUNTIF(G712:G961,"&lt;"&amp;G962)&gt;=COUNT(G712:G961),(COUNT(G712:G961)-0.5)/COUNT(G712:G961),IF(COUNTIF(G712:G961,G962)&gt;0,(COUNTIF(G712:G961,"&lt;"&amp;G962)+0.5*COUNTIF(G712:G961,G962))/COUNT(G712:G961),COUNTIF(G712:G961,"&lt;"&amp;G962)/COUNT(G712:G961))))</f>
        <v/>
      </c>
      <c r="K962" s="11" t="inlineStr">
        <is>
          <t>中间分位</t>
        </is>
      </c>
      <c r="L962" s="11" t="n">
        <v>44</v>
      </c>
      <c r="M962" s="11" t="inlineStr">
        <is>
          <t>结构不明</t>
        </is>
      </c>
      <c r="N962" s="11" t="n">
        <v>0</v>
      </c>
      <c r="O962" s="11" t="n">
        <v>0</v>
      </c>
      <c r="P962" s="12" t="n">
        <v>3</v>
      </c>
      <c r="Q962" s="11" t="inlineStr"/>
    </row>
    <row r="963">
      <c r="A963" s="6" t="inlineStr">
        <is>
          <t>2026-08-10</t>
        </is>
      </c>
      <c r="B963" s="6" t="inlineStr">
        <is>
          <t>MA2610</t>
        </is>
      </c>
      <c r="C963" s="6" t="inlineStr">
        <is>
          <t>2026-10</t>
        </is>
      </c>
      <c r="D963" s="7" t="n">
        <v>2560</v>
      </c>
      <c r="E963" s="7" t="n">
        <v>2531</v>
      </c>
      <c r="F963" s="7">
        <f>D963-E963</f>
        <v/>
      </c>
      <c r="G963" s="8">
        <f>IF(D963=0,"",(D963-E963)/D963)</f>
        <v/>
      </c>
      <c r="H963" s="9" t="n">
        <v>582553</v>
      </c>
      <c r="I963" s="10" t="n">
        <v>0.644</v>
      </c>
      <c r="J963" s="10">
        <f>IF(COUNT(G713:G962)&lt;20,"",IF(COUNTIF(G713:G962,"&lt;"&amp;G963)&gt;=COUNT(G713:G962),(COUNT(G713:G962)-0.5)/COUNT(G713:G962),IF(COUNTIF(G713:G962,G963)&gt;0,(COUNTIF(G713:G962,"&lt;"&amp;G963)+0.5*COUNTIF(G713:G962,G963))/COUNT(G713:G962),COUNTIF(G713:G962,"&lt;"&amp;G963)/COUNT(G713:G962))))</f>
        <v/>
      </c>
      <c r="K963" s="6" t="inlineStr">
        <is>
          <t>中间分位</t>
        </is>
      </c>
      <c r="L963" s="6" t="n">
        <v>43</v>
      </c>
      <c r="M963" s="6" t="inlineStr">
        <is>
          <t>结构不明</t>
        </is>
      </c>
      <c r="N963" s="6" t="n">
        <v>0</v>
      </c>
      <c r="O963" s="6" t="n">
        <v>0</v>
      </c>
      <c r="P963" s="7" t="n">
        <v>3</v>
      </c>
      <c r="Q963" s="6" t="inlineStr"/>
    </row>
    <row r="964">
      <c r="A964" s="11" t="inlineStr">
        <is>
          <t>2026-08-11</t>
        </is>
      </c>
      <c r="B964" s="11" t="inlineStr">
        <is>
          <t>MA2610</t>
        </is>
      </c>
      <c r="C964" s="11" t="inlineStr">
        <is>
          <t>2026-10</t>
        </is>
      </c>
      <c r="D964" s="12" t="n">
        <v>2580</v>
      </c>
      <c r="E964" s="12" t="n">
        <v>2633</v>
      </c>
      <c r="F964" s="12">
        <f>D964-E964</f>
        <v/>
      </c>
      <c r="G964" s="13">
        <f>IF(D964=0,"",(D964-E964)/D964)</f>
        <v/>
      </c>
      <c r="H964" s="14" t="n">
        <v>622247</v>
      </c>
      <c r="I964" s="15" t="n">
        <v>0.26</v>
      </c>
      <c r="J964" s="15">
        <f>IF(COUNT(G714:G963)&lt;20,"",IF(COUNTIF(G714:G963,"&lt;"&amp;G964)&gt;=COUNT(G714:G963),(COUNT(G714:G963)-0.5)/COUNT(G714:G963),IF(COUNTIF(G714:G963,G964)&gt;0,(COUNTIF(G714:G963,"&lt;"&amp;G964)+0.5*COUNTIF(G714:G963,G964))/COUNT(G714:G963),COUNTIF(G714:G963,"&lt;"&amp;G964)/COUNT(G714:G963))))</f>
        <v/>
      </c>
      <c r="K964" s="11" t="inlineStr">
        <is>
          <t>中间分位</t>
        </is>
      </c>
      <c r="L964" s="11" t="n">
        <v>42</v>
      </c>
      <c r="M964" s="11" t="inlineStr">
        <is>
          <t>Back(近强)</t>
        </is>
      </c>
      <c r="N964" s="11" t="n">
        <v>0</v>
      </c>
      <c r="O964" s="11" t="n">
        <v>0</v>
      </c>
      <c r="P964" s="12" t="n">
        <v>9</v>
      </c>
      <c r="Q964" s="11" t="inlineStr"/>
    </row>
    <row r="965">
      <c r="A965" s="6" t="inlineStr">
        <is>
          <t>2026-08-12</t>
        </is>
      </c>
      <c r="B965" s="6" t="inlineStr">
        <is>
          <t>MA2610</t>
        </is>
      </c>
      <c r="C965" s="6" t="inlineStr">
        <is>
          <t>2026-10</t>
        </is>
      </c>
      <c r="D965" s="7" t="n">
        <v>2660</v>
      </c>
      <c r="E965" s="7" t="n">
        <v>2607</v>
      </c>
      <c r="F965" s="7">
        <f>D965-E965</f>
        <v/>
      </c>
      <c r="G965" s="8">
        <f>IF(D965=0,"",(D965-E965)/D965)</f>
        <v/>
      </c>
      <c r="H965" s="9" t="n">
        <v>649060</v>
      </c>
      <c r="I965" s="10" t="n">
        <v>0.6840000000000001</v>
      </c>
      <c r="J965" s="10">
        <f>IF(COUNT(G715:G964)&lt;20,"",IF(COUNTIF(G715:G964,"&lt;"&amp;G965)&gt;=COUNT(G715:G964),(COUNT(G715:G964)-0.5)/COUNT(G715:G964),IF(COUNTIF(G715:G964,G965)&gt;0,(COUNTIF(G715:G964,"&lt;"&amp;G965)+0.5*COUNTIF(G715:G964,G965))/COUNT(G715:G964),COUNTIF(G715:G964,"&lt;"&amp;G965)/COUNT(G715:G964))))</f>
        <v/>
      </c>
      <c r="K965" s="6" t="inlineStr">
        <is>
          <t>中间分位</t>
        </is>
      </c>
      <c r="L965" s="6" t="n">
        <v>41</v>
      </c>
      <c r="M965" s="6" t="inlineStr">
        <is>
          <t>结构不明</t>
        </is>
      </c>
      <c r="N965" s="6" t="n">
        <v>0</v>
      </c>
      <c r="O965" s="6" t="n">
        <v>0</v>
      </c>
      <c r="P965" s="7" t="n">
        <v>1</v>
      </c>
      <c r="Q965" s="6" t="inlineStr"/>
    </row>
    <row r="966">
      <c r="A966" s="11" t="inlineStr">
        <is>
          <t>2026-08-13</t>
        </is>
      </c>
      <c r="B966" s="11" t="inlineStr">
        <is>
          <t>MA2610</t>
        </is>
      </c>
      <c r="C966" s="11" t="inlineStr">
        <is>
          <t>2026-10</t>
        </is>
      </c>
      <c r="D966" s="12" t="n">
        <v>2645</v>
      </c>
      <c r="E966" s="12" t="n">
        <v>2645</v>
      </c>
      <c r="F966" s="12">
        <f>D966-E966</f>
        <v/>
      </c>
      <c r="G966" s="13">
        <f>IF(D966=0,"",(D966-E966)/D966)</f>
        <v/>
      </c>
      <c r="H966" s="14" t="n">
        <v>698962</v>
      </c>
      <c r="I966" s="15" t="n">
        <v>0.532</v>
      </c>
      <c r="J966" s="15">
        <f>IF(COUNT(G716:G965)&lt;20,"",IF(COUNTIF(G716:G965,"&lt;"&amp;G966)&gt;=COUNT(G716:G965),(COUNT(G716:G965)-0.5)/COUNT(G716:G965),IF(COUNTIF(G716:G965,G966)&gt;0,(COUNTIF(G716:G965,"&lt;"&amp;G966)+0.5*COUNTIF(G716:G965,G966))/COUNT(G716:G965),COUNTIF(G716:G965,"&lt;"&amp;G966)/COUNT(G716:G965))))</f>
        <v/>
      </c>
      <c r="K966" s="11" t="inlineStr">
        <is>
          <t>中间分位</t>
        </is>
      </c>
      <c r="L966" s="11" t="n">
        <v>40</v>
      </c>
      <c r="M966" s="11" t="inlineStr">
        <is>
          <t>Back(近强)</t>
        </is>
      </c>
      <c r="N966" s="11" t="n">
        <v>0</v>
      </c>
      <c r="O966" s="11" t="n">
        <v>0</v>
      </c>
      <c r="P966" s="12" t="n">
        <v>9</v>
      </c>
      <c r="Q966" s="11" t="inlineStr"/>
    </row>
    <row r="967">
      <c r="A967" s="6" t="inlineStr">
        <is>
          <t>2026-08-14</t>
        </is>
      </c>
      <c r="B967" s="6" t="inlineStr">
        <is>
          <t>MA2610</t>
        </is>
      </c>
      <c r="C967" s="6" t="inlineStr">
        <is>
          <t>2026-10</t>
        </is>
      </c>
      <c r="D967" s="7" t="n">
        <v>2668.33</v>
      </c>
      <c r="E967" s="7" t="n">
        <v>2687</v>
      </c>
      <c r="F967" s="7">
        <f>D967-E967</f>
        <v/>
      </c>
      <c r="G967" s="8">
        <f>IF(D967=0,"",(D967-E967)/D967)</f>
        <v/>
      </c>
      <c r="H967" s="9" t="n">
        <v>743462</v>
      </c>
      <c r="I967" s="10" t="n">
        <v>0.404</v>
      </c>
      <c r="J967" s="10">
        <f>IF(COUNT(G717:G966)&lt;20,"",IF(COUNTIF(G717:G966,"&lt;"&amp;G967)&gt;=COUNT(G717:G966),(COUNT(G717:G966)-0.5)/COUNT(G717:G966),IF(COUNTIF(G717:G966,G967)&gt;0,(COUNTIF(G717:G966,"&lt;"&amp;G967)+0.5*COUNTIF(G717:G966,G967))/COUNT(G717:G966),COUNTIF(G717:G966,"&lt;"&amp;G967)/COUNT(G717:G966))))</f>
        <v/>
      </c>
      <c r="K967" s="6" t="inlineStr">
        <is>
          <t>中间分位</t>
        </is>
      </c>
      <c r="L967" s="6" t="n">
        <v>39</v>
      </c>
      <c r="M967" s="6" t="inlineStr">
        <is>
          <t>结构不明</t>
        </is>
      </c>
      <c r="N967" s="6" t="n">
        <v>0</v>
      </c>
      <c r="O967" s="6" t="n">
        <v>0</v>
      </c>
      <c r="P967" s="7" t="n">
        <v>-18</v>
      </c>
      <c r="Q967" s="6" t="inlineStr"/>
    </row>
    <row r="968">
      <c r="A968" s="11" t="inlineStr">
        <is>
          <t>2026-08-17</t>
        </is>
      </c>
      <c r="B968" s="11" t="inlineStr">
        <is>
          <t>MA2610</t>
        </is>
      </c>
      <c r="C968" s="11" t="inlineStr">
        <is>
          <t>2026-10</t>
        </is>
      </c>
      <c r="D968" s="12" t="n">
        <v>2712.5</v>
      </c>
      <c r="E968" s="12" t="n">
        <v>2735</v>
      </c>
      <c r="F968" s="12">
        <f>D968-E968</f>
        <v/>
      </c>
      <c r="G968" s="13">
        <f>IF(D968=0,"",(D968-E968)/D968)</f>
        <v/>
      </c>
      <c r="H968" s="14" t="n">
        <v>776665</v>
      </c>
      <c r="I968" s="15" t="n">
        <v>0.376</v>
      </c>
      <c r="J968" s="15">
        <f>IF(COUNT(G718:G967)&lt;20,"",IF(COUNTIF(G718:G967,"&lt;"&amp;G968)&gt;=COUNT(G718:G967),(COUNT(G718:G967)-0.5)/COUNT(G718:G967),IF(COUNTIF(G718:G967,G968)&gt;0,(COUNTIF(G718:G967,"&lt;"&amp;G968)+0.5*COUNTIF(G718:G967,G968))/COUNT(G718:G967),COUNTIF(G718:G967,"&lt;"&amp;G968)/COUNT(G718:G967))))</f>
        <v/>
      </c>
      <c r="K968" s="11" t="inlineStr">
        <is>
          <t>中间分位</t>
        </is>
      </c>
      <c r="L968" s="11" t="n">
        <v>38</v>
      </c>
      <c r="M968" s="11" t="inlineStr">
        <is>
          <t>结构不明</t>
        </is>
      </c>
      <c r="N968" s="11" t="n">
        <v>0</v>
      </c>
      <c r="O968" s="11" t="n">
        <v>0</v>
      </c>
      <c r="P968" s="12" t="n">
        <v>6</v>
      </c>
      <c r="Q968" s="11" t="inlineStr"/>
    </row>
    <row r="969">
      <c r="A969" s="6" t="inlineStr">
        <is>
          <t>2026-08-18</t>
        </is>
      </c>
      <c r="B969" s="6" t="inlineStr">
        <is>
          <t>MA2610</t>
        </is>
      </c>
      <c r="C969" s="6" t="inlineStr">
        <is>
          <t>2026-10</t>
        </is>
      </c>
      <c r="D969" s="7" t="n">
        <v>2761.67</v>
      </c>
      <c r="E969" s="7" t="n">
        <v>2776</v>
      </c>
      <c r="F969" s="7">
        <f>D969-E969</f>
        <v/>
      </c>
      <c r="G969" s="8">
        <f>IF(D969=0,"",(D969-E969)/D969)</f>
        <v/>
      </c>
      <c r="H969" s="9" t="n">
        <v>801166</v>
      </c>
      <c r="I969" s="10" t="n">
        <v>0.428</v>
      </c>
      <c r="J969" s="10">
        <f>IF(COUNT(G719:G968)&lt;20,"",IF(COUNTIF(G719:G968,"&lt;"&amp;G969)&gt;=COUNT(G719:G968),(COUNT(G719:G968)-0.5)/COUNT(G719:G968),IF(COUNTIF(G719:G968,G969)&gt;0,(COUNTIF(G719:G968,"&lt;"&amp;G969)+0.5*COUNTIF(G719:G968,G969))/COUNT(G719:G968),COUNTIF(G719:G968,"&lt;"&amp;G969)/COUNT(G719:G968))))</f>
        <v/>
      </c>
      <c r="K969" s="6" t="inlineStr">
        <is>
          <t>中间分位</t>
        </is>
      </c>
      <c r="L969" s="6" t="n">
        <v>37</v>
      </c>
      <c r="M969" s="6" t="inlineStr">
        <is>
          <t>结构不明</t>
        </is>
      </c>
      <c r="N969" s="6" t="n">
        <v>0</v>
      </c>
      <c r="O969" s="6" t="n">
        <v>0</v>
      </c>
      <c r="P969" s="7" t="n">
        <v>-5</v>
      </c>
      <c r="Q969" s="6" t="inlineStr"/>
    </row>
    <row r="970">
      <c r="A970" s="11" t="inlineStr">
        <is>
          <t>2026-08-19</t>
        </is>
      </c>
      <c r="B970" s="11" t="inlineStr">
        <is>
          <t>MA2610</t>
        </is>
      </c>
      <c r="C970" s="11" t="inlineStr">
        <is>
          <t>2026-10</t>
        </is>
      </c>
      <c r="D970" s="12" t="n">
        <v>2810</v>
      </c>
      <c r="E970" s="12" t="n">
        <v>2843</v>
      </c>
      <c r="F970" s="12">
        <f>D970-E970</f>
        <v/>
      </c>
      <c r="G970" s="13">
        <f>IF(D970=0,"",(D970-E970)/D970)</f>
        <v/>
      </c>
      <c r="H970" s="14" t="n">
        <v>863462</v>
      </c>
      <c r="I970" s="15" t="n">
        <v>0.352</v>
      </c>
      <c r="J970" s="15">
        <f>IF(COUNT(G720:G969)&lt;20,"",IF(COUNTIF(G720:G969,"&lt;"&amp;G970)&gt;=COUNT(G720:G969),(COUNT(G720:G969)-0.5)/COUNT(G720:G969),IF(COUNTIF(G720:G969,G970)&gt;0,(COUNTIF(G720:G969,"&lt;"&amp;G970)+0.5*COUNTIF(G720:G969,G970))/COUNT(G720:G969),COUNTIF(G720:G969,"&lt;"&amp;G970)/COUNT(G720:G969))))</f>
        <v/>
      </c>
      <c r="K970" s="11" t="inlineStr">
        <is>
          <t>中间分位</t>
        </is>
      </c>
      <c r="L970" s="11" t="n">
        <v>36</v>
      </c>
      <c r="M970" s="11" t="inlineStr">
        <is>
          <t>结构不明</t>
        </is>
      </c>
      <c r="N970" s="11" t="n">
        <v>0</v>
      </c>
      <c r="O970" s="11" t="n">
        <v>0</v>
      </c>
      <c r="P970" s="12" t="n">
        <v>-7</v>
      </c>
      <c r="Q970" s="11" t="inlineStr"/>
    </row>
    <row r="971">
      <c r="A971" s="6" t="inlineStr">
        <is>
          <t>2026-08-20</t>
        </is>
      </c>
      <c r="B971" s="6" t="inlineStr">
        <is>
          <t>MA2610</t>
        </is>
      </c>
      <c r="C971" s="6" t="inlineStr">
        <is>
          <t>2026-10</t>
        </is>
      </c>
      <c r="D971" s="7" t="n">
        <v>2880</v>
      </c>
      <c r="E971" s="7" t="n">
        <v>2837</v>
      </c>
      <c r="F971" s="7">
        <f>D971-E971</f>
        <v/>
      </c>
      <c r="G971" s="8">
        <f>IF(D971=0,"",(D971-E971)/D971)</f>
        <v/>
      </c>
      <c r="H971" s="9" t="n">
        <v>867734</v>
      </c>
      <c r="I971" s="10" t="n">
        <v>0.664</v>
      </c>
      <c r="J971" s="10">
        <f>IF(COUNT(G721:G970)&lt;20,"",IF(COUNTIF(G721:G970,"&lt;"&amp;G971)&gt;=COUNT(G721:G970),(COUNT(G721:G970)-0.5)/COUNT(G721:G970),IF(COUNTIF(G721:G970,G971)&gt;0,(COUNTIF(G721:G970,"&lt;"&amp;G971)+0.5*COUNTIF(G721:G970,G971))/COUNT(G721:G970),COUNTIF(G721:G970,"&lt;"&amp;G971)/COUNT(G721:G970))))</f>
        <v/>
      </c>
      <c r="K971" s="6" t="inlineStr">
        <is>
          <t>中间分位</t>
        </is>
      </c>
      <c r="L971" s="6" t="n">
        <v>35</v>
      </c>
      <c r="M971" s="6" t="inlineStr">
        <is>
          <t>结构不明</t>
        </is>
      </c>
      <c r="N971" s="6" t="n">
        <v>0</v>
      </c>
      <c r="O971" s="6" t="n">
        <v>0</v>
      </c>
      <c r="P971" s="7" t="n">
        <v>-6</v>
      </c>
      <c r="Q971" s="6" t="inlineStr"/>
    </row>
    <row r="972">
      <c r="A972" s="11" t="inlineStr">
        <is>
          <t>2026-08-21</t>
        </is>
      </c>
      <c r="B972" s="11" t="inlineStr">
        <is>
          <t>MA2610</t>
        </is>
      </c>
      <c r="C972" s="11" t="inlineStr">
        <is>
          <t>2026-10</t>
        </is>
      </c>
      <c r="D972" s="12" t="n">
        <v>2875.83</v>
      </c>
      <c r="E972" s="12" t="n">
        <v>2909</v>
      </c>
      <c r="F972" s="12">
        <f>D972-E972</f>
        <v/>
      </c>
      <c r="G972" s="13">
        <f>IF(D972=0,"",(D972-E972)/D972)</f>
        <v/>
      </c>
      <c r="H972" s="14" t="n">
        <v>873688</v>
      </c>
      <c r="I972" s="15" t="n">
        <v>0.356</v>
      </c>
      <c r="J972" s="15">
        <f>IF(COUNT(G722:G971)&lt;20,"",IF(COUNTIF(G722:G971,"&lt;"&amp;G972)&gt;=COUNT(G722:G971),(COUNT(G722:G971)-0.5)/COUNT(G722:G971),IF(COUNTIF(G722:G971,G972)&gt;0,(COUNTIF(G722:G971,"&lt;"&amp;G972)+0.5*COUNTIF(G722:G971,G972))/COUNT(G722:G971),COUNTIF(G722:G971,"&lt;"&amp;G972)/COUNT(G722:G971))))</f>
        <v/>
      </c>
      <c r="K972" s="11" t="inlineStr">
        <is>
          <t>中间分位</t>
        </is>
      </c>
      <c r="L972" s="11" t="n">
        <v>34</v>
      </c>
      <c r="M972" s="11" t="inlineStr">
        <is>
          <t>结构不明</t>
        </is>
      </c>
      <c r="N972" s="11" t="n">
        <v>0</v>
      </c>
      <c r="O972" s="11" t="n">
        <v>0</v>
      </c>
      <c r="P972" s="12" t="n">
        <v>-13</v>
      </c>
      <c r="Q972" s="11" t="inlineStr"/>
    </row>
    <row r="973">
      <c r="A973" s="6" t="inlineStr">
        <is>
          <t>2026-08-24</t>
        </is>
      </c>
      <c r="B973" s="6" t="inlineStr">
        <is>
          <t>MA2610</t>
        </is>
      </c>
      <c r="C973" s="6" t="inlineStr">
        <is>
          <t>2026-10</t>
        </is>
      </c>
      <c r="D973" s="7" t="n">
        <v>2956.67</v>
      </c>
      <c r="E973" s="7" t="n">
        <v>2914</v>
      </c>
      <c r="F973" s="7">
        <f>D973-E973</f>
        <v/>
      </c>
      <c r="G973" s="8">
        <f>IF(D973=0,"",(D973-E973)/D973)</f>
        <v/>
      </c>
      <c r="H973" s="9" t="n">
        <v>858225</v>
      </c>
      <c r="I973" s="10" t="n">
        <v>0.66</v>
      </c>
      <c r="J973" s="10">
        <f>IF(COUNT(G723:G972)&lt;20,"",IF(COUNTIF(G723:G972,"&lt;"&amp;G973)&gt;=COUNT(G723:G972),(COUNT(G723:G972)-0.5)/COUNT(G723:G972),IF(COUNTIF(G723:G972,G973)&gt;0,(COUNTIF(G723:G972,"&lt;"&amp;G973)+0.5*COUNTIF(G723:G972,G973))/COUNT(G723:G972),COUNTIF(G723:G972,"&lt;"&amp;G973)/COUNT(G723:G972))))</f>
        <v/>
      </c>
      <c r="K973" s="6" t="inlineStr">
        <is>
          <t>中间分位</t>
        </is>
      </c>
      <c r="L973" s="6" t="n">
        <v>33</v>
      </c>
      <c r="M973" s="6" t="inlineStr">
        <is>
          <t>结构不明</t>
        </is>
      </c>
      <c r="N973" s="6" t="n">
        <v>0</v>
      </c>
      <c r="O973" s="6" t="n">
        <v>0</v>
      </c>
      <c r="P973" s="7" t="n">
        <v>-25</v>
      </c>
      <c r="Q973" s="6" t="inlineStr"/>
    </row>
    <row r="974">
      <c r="A974" s="11" t="inlineStr">
        <is>
          <t>2026-08-25</t>
        </is>
      </c>
      <c r="B974" s="11" t="inlineStr">
        <is>
          <t>MA2610</t>
        </is>
      </c>
      <c r="C974" s="11" t="inlineStr">
        <is>
          <t>2026-10</t>
        </is>
      </c>
      <c r="D974" s="12" t="n">
        <v>2983.33</v>
      </c>
      <c r="E974" s="12" t="n">
        <v>2925</v>
      </c>
      <c r="F974" s="12">
        <f>D974-E974</f>
        <v/>
      </c>
      <c r="G974" s="13">
        <f>IF(D974=0,"",(D974-E974)/D974)</f>
        <v/>
      </c>
      <c r="H974" s="14" t="n">
        <v>839343</v>
      </c>
      <c r="I974" s="15" t="n">
        <v>0.676</v>
      </c>
      <c r="J974" s="15">
        <f>IF(COUNT(G724:G973)&lt;20,"",IF(COUNTIF(G724:G973,"&lt;"&amp;G974)&gt;=COUNT(G724:G973),(COUNT(G724:G973)-0.5)/COUNT(G724:G973),IF(COUNTIF(G724:G973,G974)&gt;0,(COUNTIF(G724:G973,"&lt;"&amp;G974)+0.5*COUNTIF(G724:G973,G974))/COUNT(G724:G973),COUNTIF(G724:G973,"&lt;"&amp;G974)/COUNT(G724:G973))))</f>
        <v/>
      </c>
      <c r="K974" s="11" t="inlineStr">
        <is>
          <t>中间分位</t>
        </is>
      </c>
      <c r="L974" s="11" t="n">
        <v>32</v>
      </c>
      <c r="M974" s="11" t="inlineStr">
        <is>
          <t>结构不明</t>
        </is>
      </c>
      <c r="N974" s="11" t="n">
        <v>0</v>
      </c>
      <c r="O974" s="11" t="n">
        <v>0</v>
      </c>
      <c r="P974" s="12" t="n">
        <v>-34</v>
      </c>
      <c r="Q974" s="11" t="inlineStr"/>
    </row>
    <row r="975">
      <c r="A975" s="6" t="inlineStr">
        <is>
          <t>2026-08-26</t>
        </is>
      </c>
      <c r="B975" s="6" t="inlineStr">
        <is>
          <t>MA2610</t>
        </is>
      </c>
      <c r="C975" s="6" t="inlineStr">
        <is>
          <t>2026-10</t>
        </is>
      </c>
      <c r="D975" s="7" t="n">
        <v>2990</v>
      </c>
      <c r="E975" s="7" t="n">
        <v>2769</v>
      </c>
      <c r="F975" s="7">
        <f>D975-E975</f>
        <v/>
      </c>
      <c r="G975" s="8">
        <f>IF(D975=0,"",(D975-E975)/D975)</f>
        <v/>
      </c>
      <c r="H975" s="9" t="n">
        <v>823696</v>
      </c>
      <c r="I975" s="10" t="n">
        <v>0.784</v>
      </c>
      <c r="J975" s="10">
        <f>IF(COUNT(G725:G974)&lt;20,"",IF(COUNTIF(G725:G974,"&lt;"&amp;G975)&gt;=COUNT(G725:G974),(COUNT(G725:G974)-0.5)/COUNT(G725:G974),IF(COUNTIF(G725:G974,G975)&gt;0,(COUNTIF(G725:G974,"&lt;"&amp;G975)+0.5*COUNTIF(G725:G974,G975))/COUNT(G725:G974),COUNTIF(G725:G974,"&lt;"&amp;G975)/COUNT(G725:G974))))</f>
        <v/>
      </c>
      <c r="K975" s="6" t="inlineStr">
        <is>
          <t>中间分位</t>
        </is>
      </c>
      <c r="L975" s="6" t="n">
        <v>31</v>
      </c>
      <c r="M975" s="6" t="inlineStr">
        <is>
          <t>Back(近强)</t>
        </is>
      </c>
      <c r="N975" s="6" t="n">
        <v>0</v>
      </c>
      <c r="O975" s="6" t="n">
        <v>0</v>
      </c>
      <c r="P975" s="7" t="n">
        <v>13</v>
      </c>
      <c r="Q975" s="6" t="inlineStr"/>
    </row>
    <row r="976">
      <c r="A976" s="11" t="inlineStr">
        <is>
          <t>2026-08-27</t>
        </is>
      </c>
      <c r="B976" s="11" t="inlineStr">
        <is>
          <t>MA2610</t>
        </is>
      </c>
      <c r="C976" s="11" t="inlineStr">
        <is>
          <t>2026-10</t>
        </is>
      </c>
      <c r="D976" s="12" t="n">
        <v>2846.67</v>
      </c>
      <c r="E976" s="12" t="n">
        <v>2778</v>
      </c>
      <c r="F976" s="12">
        <f>D976-E976</f>
        <v/>
      </c>
      <c r="G976" s="13">
        <f>IF(D976=0,"",(D976-E976)/D976)</f>
        <v/>
      </c>
      <c r="H976" s="14" t="n">
        <v>726057</v>
      </c>
      <c r="I976" s="15" t="n">
        <v>0.6919999999999999</v>
      </c>
      <c r="J976" s="15">
        <f>IF(COUNT(G726:G975)&lt;20,"",IF(COUNTIF(G726:G975,"&lt;"&amp;G976)&gt;=COUNT(G726:G975),(COUNT(G726:G975)-0.5)/COUNT(G726:G975),IF(COUNTIF(G726:G975,G976)&gt;0,(COUNTIF(G726:G975,"&lt;"&amp;G976)+0.5*COUNTIF(G726:G975,G976))/COUNT(G726:G975),COUNTIF(G726:G975,"&lt;"&amp;G976)/COUNT(G726:G975))))</f>
        <v/>
      </c>
      <c r="K976" s="11" t="inlineStr">
        <is>
          <t>中间分位</t>
        </is>
      </c>
      <c r="L976" s="11" t="n">
        <v>30</v>
      </c>
      <c r="M976" s="11" t="inlineStr">
        <is>
          <t>结构不明</t>
        </is>
      </c>
      <c r="N976" s="11" t="n">
        <v>0</v>
      </c>
      <c r="O976" s="11" t="n">
        <v>0</v>
      </c>
      <c r="P976" s="12" t="n">
        <v>-34</v>
      </c>
      <c r="Q976" s="11" t="inlineStr"/>
    </row>
    <row r="977">
      <c r="A977" s="6" t="inlineStr">
        <is>
          <t>2026-08-28</t>
        </is>
      </c>
      <c r="B977" s="6" t="inlineStr">
        <is>
          <t>MA2610</t>
        </is>
      </c>
      <c r="C977" s="6" t="inlineStr">
        <is>
          <t>2026-10</t>
        </is>
      </c>
      <c r="D977" s="7" t="n">
        <v>2850.83</v>
      </c>
      <c r="E977" s="7" t="n">
        <v>2840</v>
      </c>
      <c r="F977" s="7">
        <f>D977-E977</f>
        <v/>
      </c>
      <c r="G977" s="8">
        <f>IF(D977=0,"",(D977-E977)/D977)</f>
        <v/>
      </c>
      <c r="H977" s="9" t="n">
        <v>739677</v>
      </c>
      <c r="I977" s="10" t="n">
        <v>0.5600000000000001</v>
      </c>
      <c r="J977" s="10">
        <f>IF(COUNT(G727:G976)&lt;20,"",IF(COUNTIF(G727:G976,"&lt;"&amp;G977)&gt;=COUNT(G727:G976),(COUNT(G727:G976)-0.5)/COUNT(G727:G976),IF(COUNTIF(G727:G976,G977)&gt;0,(COUNTIF(G727:G976,"&lt;"&amp;G977)+0.5*COUNTIF(G727:G976,G977))/COUNT(G727:G976),COUNTIF(G727:G976,"&lt;"&amp;G977)/COUNT(G727:G976))))</f>
        <v/>
      </c>
      <c r="K977" s="6" t="inlineStr">
        <is>
          <t>中间分位</t>
        </is>
      </c>
      <c r="L977" s="6" t="n">
        <v>29</v>
      </c>
      <c r="M977" s="6" t="inlineStr">
        <is>
          <t>结构不明</t>
        </is>
      </c>
      <c r="N977" s="6" t="n">
        <v>0</v>
      </c>
      <c r="O977" s="6" t="n">
        <v>0</v>
      </c>
      <c r="P977" s="7" t="n">
        <v>-57</v>
      </c>
      <c r="Q977" s="6" t="inlineStr"/>
    </row>
    <row r="978">
      <c r="A978" s="11" t="inlineStr">
        <is>
          <t>2026-08-31</t>
        </is>
      </c>
      <c r="B978" s="11" t="inlineStr">
        <is>
          <t>MA2610</t>
        </is>
      </c>
      <c r="C978" s="11" t="inlineStr">
        <is>
          <t>2026-10</t>
        </is>
      </c>
      <c r="D978" s="12" t="n">
        <v>2921.67</v>
      </c>
      <c r="E978" s="12" t="n">
        <v>2983</v>
      </c>
      <c r="F978" s="12">
        <f>D978-E978</f>
        <v/>
      </c>
      <c r="G978" s="13">
        <f>IF(D978=0,"",(D978-E978)/D978)</f>
        <v/>
      </c>
      <c r="H978" s="14" t="n">
        <v>712863</v>
      </c>
      <c r="I978" s="15" t="n">
        <v>0.236</v>
      </c>
      <c r="J978" s="15">
        <f>IF(COUNT(G728:G977)&lt;20,"",IF(COUNTIF(G728:G977,"&lt;"&amp;G978)&gt;=COUNT(G728:G977),(COUNT(G728:G977)-0.5)/COUNT(G728:G977),IF(COUNTIF(G728:G977,G978)&gt;0,(COUNTIF(G728:G977,"&lt;"&amp;G978)+0.5*COUNTIF(G728:G977,G978))/COUNT(G728:G977),COUNTIF(G728:G977,"&lt;"&amp;G978)/COUNT(G728:G977))))</f>
        <v/>
      </c>
      <c r="K978" s="11" t="inlineStr">
        <is>
          <t>中间分位</t>
        </is>
      </c>
      <c r="L978" s="11" t="n">
        <v>28</v>
      </c>
      <c r="M978" s="11" t="inlineStr">
        <is>
          <t>Contango(远强)</t>
        </is>
      </c>
      <c r="N978" s="11" t="n">
        <v>0</v>
      </c>
      <c r="O978" s="11" t="n">
        <v>0</v>
      </c>
      <c r="P978" s="12" t="n">
        <v>-131</v>
      </c>
      <c r="Q978" s="11" t="inlineStr"/>
    </row>
    <row r="979">
      <c r="A979" s="6" t="inlineStr">
        <is>
          <t>2026-09-01</t>
        </is>
      </c>
      <c r="B979" s="6" t="inlineStr">
        <is>
          <t>MA2610</t>
        </is>
      </c>
      <c r="C979" s="6" t="inlineStr">
        <is>
          <t>2026-10</t>
        </is>
      </c>
      <c r="D979" s="7" t="n">
        <v>3096.67</v>
      </c>
      <c r="E979" s="7" t="n">
        <v>3069</v>
      </c>
      <c r="F979" s="7">
        <f>D979-E979</f>
        <v/>
      </c>
      <c r="G979" s="8">
        <f>IF(D979=0,"",(D979-E979)/D979)</f>
        <v/>
      </c>
      <c r="H979" s="9" t="n">
        <v>664795</v>
      </c>
      <c r="I979" s="10" t="n">
        <v>0.6</v>
      </c>
      <c r="J979" s="10">
        <f>IF(COUNT(G729:G978)&lt;20,"",IF(COUNTIF(G729:G978,"&lt;"&amp;G979)&gt;=COUNT(G729:G978),(COUNT(G729:G978)-0.5)/COUNT(G729:G978),IF(COUNTIF(G729:G978,G979)&gt;0,(COUNTIF(G729:G978,"&lt;"&amp;G979)+0.5*COUNTIF(G729:G978,G979))/COUNT(G729:G978),COUNTIF(G729:G978,"&lt;"&amp;G979)/COUNT(G729:G978))))</f>
        <v/>
      </c>
      <c r="K979" s="6" t="inlineStr">
        <is>
          <t>中间分位</t>
        </is>
      </c>
      <c r="L979" s="6" t="n">
        <v>27</v>
      </c>
      <c r="M979" s="6" t="inlineStr">
        <is>
          <t>Contango(远强)</t>
        </is>
      </c>
      <c r="N979" s="6" t="n">
        <v>0</v>
      </c>
      <c r="O979" s="6" t="n">
        <v>0</v>
      </c>
      <c r="P979" s="7" t="n">
        <v>-94</v>
      </c>
      <c r="Q979" s="6" t="inlineStr"/>
    </row>
    <row r="980">
      <c r="A980" s="11" t="inlineStr">
        <is>
          <t>2026-09-02</t>
        </is>
      </c>
      <c r="B980" s="11" t="inlineStr">
        <is>
          <t>MA2610</t>
        </is>
      </c>
      <c r="C980" s="11" t="inlineStr">
        <is>
          <t>2026-10</t>
        </is>
      </c>
      <c r="D980" s="12" t="n">
        <v>3250</v>
      </c>
      <c r="E980" s="12" t="n">
        <v>3183</v>
      </c>
      <c r="F980" s="12">
        <f>D980-E980</f>
        <v/>
      </c>
      <c r="G980" s="13">
        <f>IF(D980=0,"",(D980-E980)/D980)</f>
        <v/>
      </c>
      <c r="H980" s="14" t="n">
        <v>625478</v>
      </c>
      <c r="I980" s="15" t="n">
        <v>0.68</v>
      </c>
      <c r="J980" s="15">
        <f>IF(COUNT(G730:G979)&lt;20,"",IF(COUNTIF(G730:G979,"&lt;"&amp;G980)&gt;=COUNT(G730:G979),(COUNT(G730:G979)-0.5)/COUNT(G730:G979),IF(COUNTIF(G730:G979,G980)&gt;0,(COUNTIF(G730:G979,"&lt;"&amp;G980)+0.5*COUNTIF(G730:G979,G980))/COUNT(G730:G979),COUNTIF(G730:G979,"&lt;"&amp;G980)/COUNT(G730:G979))))</f>
        <v/>
      </c>
      <c r="K980" s="11" t="inlineStr">
        <is>
          <t>中间分位</t>
        </is>
      </c>
      <c r="L980" s="11" t="n">
        <v>26</v>
      </c>
      <c r="M980" s="11" t="inlineStr">
        <is>
          <t>Contango(远强)</t>
        </is>
      </c>
      <c r="N980" s="11" t="n">
        <v>0</v>
      </c>
      <c r="O980" s="11" t="n">
        <v>0</v>
      </c>
      <c r="P980" s="12" t="n">
        <v>-116</v>
      </c>
      <c r="Q980" s="11" t="inlineStr"/>
    </row>
    <row r="981">
      <c r="A981" s="6" t="inlineStr">
        <is>
          <t>2026-09-03</t>
        </is>
      </c>
      <c r="B981" s="6" t="inlineStr">
        <is>
          <t>MA2610</t>
        </is>
      </c>
      <c r="C981" s="6" t="inlineStr">
        <is>
          <t>2026-10</t>
        </is>
      </c>
      <c r="D981" s="7" t="n">
        <v>3376.67</v>
      </c>
      <c r="E981" s="7" t="n">
        <v>3158</v>
      </c>
      <c r="F981" s="7">
        <f>D981-E981</f>
        <v/>
      </c>
      <c r="G981" s="8">
        <f>IF(D981=0,"",(D981-E981)/D981)</f>
        <v/>
      </c>
      <c r="H981" s="9" t="n">
        <v>613186</v>
      </c>
      <c r="I981" s="10" t="n">
        <v>0.76</v>
      </c>
      <c r="J981" s="10">
        <f>IF(COUNT(G731:G980)&lt;20,"",IF(COUNTIF(G731:G980,"&lt;"&amp;G981)&gt;=COUNT(G731:G980),(COUNT(G731:G980)-0.5)/COUNT(G731:G980),IF(COUNTIF(G731:G980,G981)&gt;0,(COUNTIF(G731:G980,"&lt;"&amp;G981)+0.5*COUNTIF(G731:G980,G981))/COUNT(G731:G980),COUNTIF(G731:G980,"&lt;"&amp;G981)/COUNT(G731:G980))))</f>
        <v/>
      </c>
      <c r="K981" s="6" t="inlineStr">
        <is>
          <t>中间分位</t>
        </is>
      </c>
      <c r="L981" s="6" t="n">
        <v>25</v>
      </c>
      <c r="M981" s="6" t="inlineStr">
        <is>
          <t>Contango(远强)</t>
        </is>
      </c>
      <c r="N981" s="6" t="n">
        <v>0</v>
      </c>
      <c r="O981" s="6" t="n">
        <v>0</v>
      </c>
      <c r="P981" s="7" t="n">
        <v>-107</v>
      </c>
      <c r="Q981" s="6" t="inlineStr"/>
    </row>
    <row r="982">
      <c r="A982" s="11" t="inlineStr">
        <is>
          <t>2026-09-04</t>
        </is>
      </c>
      <c r="B982" s="11" t="inlineStr">
        <is>
          <t>MA2610</t>
        </is>
      </c>
      <c r="C982" s="11" t="inlineStr">
        <is>
          <t>2026-10</t>
        </is>
      </c>
      <c r="D982" s="12" t="n">
        <v>3349.17</v>
      </c>
      <c r="E982" s="12" t="n">
        <v>3175</v>
      </c>
      <c r="F982" s="12">
        <f>D982-E982</f>
        <v/>
      </c>
      <c r="G982" s="13">
        <f>IF(D982=0,"",(D982-E982)/D982)</f>
        <v/>
      </c>
      <c r="H982" s="14" t="n">
        <v>606495</v>
      </c>
      <c r="I982" s="15" t="n">
        <v>0.74</v>
      </c>
      <c r="J982" s="15">
        <f>IF(COUNT(G732:G981)&lt;20,"",IF(COUNTIF(G732:G981,"&lt;"&amp;G982)&gt;=COUNT(G732:G981),(COUNT(G732:G981)-0.5)/COUNT(G732:G981),IF(COUNTIF(G732:G981,G982)&gt;0,(COUNTIF(G732:G981,"&lt;"&amp;G982)+0.5*COUNTIF(G732:G981,G982))/COUNT(G732:G981),COUNTIF(G732:G981,"&lt;"&amp;G982)/COUNT(G732:G981))))</f>
        <v/>
      </c>
      <c r="K982" s="11" t="inlineStr">
        <is>
          <t>中间分位</t>
        </is>
      </c>
      <c r="L982" s="11" t="n">
        <v>24</v>
      </c>
      <c r="M982" s="11" t="inlineStr">
        <is>
          <t>Contango(远强)</t>
        </is>
      </c>
      <c r="N982" s="11" t="n">
        <v>0</v>
      </c>
      <c r="O982" s="11" t="n">
        <v>0</v>
      </c>
      <c r="P982" s="12" t="n">
        <v>-118</v>
      </c>
      <c r="Q982" s="11" t="inlineStr"/>
    </row>
    <row r="983">
      <c r="A983" s="6" t="inlineStr">
        <is>
          <t>2026-09-07</t>
        </is>
      </c>
      <c r="B983" s="6" t="inlineStr">
        <is>
          <t>MA2610</t>
        </is>
      </c>
      <c r="C983" s="6" t="inlineStr">
        <is>
          <t>2026-10</t>
        </is>
      </c>
      <c r="D983" s="7" t="n">
        <v>3355.83</v>
      </c>
      <c r="E983" s="7" t="n">
        <v>3212</v>
      </c>
      <c r="F983" s="7">
        <f>D983-E983</f>
        <v/>
      </c>
      <c r="G983" s="8">
        <f>IF(D983=0,"",(D983-E983)/D983)</f>
        <v/>
      </c>
      <c r="H983" s="9" t="n">
        <v>620729</v>
      </c>
      <c r="I983" s="10" t="n">
        <v>0.72</v>
      </c>
      <c r="J983" s="10">
        <f>IF(COUNT(G733:G982)&lt;20,"",IF(COUNTIF(G733:G982,"&lt;"&amp;G983)&gt;=COUNT(G733:G982),(COUNT(G733:G982)-0.5)/COUNT(G733:G982),IF(COUNTIF(G733:G982,G983)&gt;0,(COUNTIF(G733:G982,"&lt;"&amp;G983)+0.5*COUNTIF(G733:G982,G983))/COUNT(G733:G982),COUNTIF(G733:G982,"&lt;"&amp;G983)/COUNT(G733:G982))))</f>
        <v/>
      </c>
      <c r="K983" s="6" t="inlineStr">
        <is>
          <t>中间分位</t>
        </is>
      </c>
      <c r="L983" s="6" t="n">
        <v>23</v>
      </c>
      <c r="M983" s="6" t="inlineStr">
        <is>
          <t>结构不明</t>
        </is>
      </c>
      <c r="N983" s="6" t="n">
        <v>0</v>
      </c>
      <c r="O983" s="6" t="n">
        <v>0</v>
      </c>
      <c r="P983" s="7" t="n">
        <v>-88</v>
      </c>
      <c r="Q983" s="6" t="inlineStr"/>
    </row>
    <row r="984">
      <c r="A984" s="11" t="inlineStr">
        <is>
          <t>2026-09-08</t>
        </is>
      </c>
      <c r="B984" s="11" t="inlineStr">
        <is>
          <t>MA2610</t>
        </is>
      </c>
      <c r="C984" s="11" t="inlineStr">
        <is>
          <t>2026-10</t>
        </is>
      </c>
      <c r="D984" s="12" t="n">
        <v>3390.83</v>
      </c>
      <c r="E984" s="12" t="n">
        <v>3359</v>
      </c>
      <c r="F984" s="12">
        <f>D984-E984</f>
        <v/>
      </c>
      <c r="G984" s="13">
        <f>IF(D984=0,"",(D984-E984)/D984)</f>
        <v/>
      </c>
      <c r="H984" s="14" t="n">
        <v>727098</v>
      </c>
      <c r="I984" s="15" t="n">
        <v>0.584</v>
      </c>
      <c r="J984" s="15">
        <f>IF(COUNT(G734:G983)&lt;20,"",IF(COUNTIF(G734:G983,"&lt;"&amp;G984)&gt;=COUNT(G734:G983),(COUNT(G734:G983)-0.5)/COUNT(G734:G983),IF(COUNTIF(G734:G983,G984)&gt;0,(COUNTIF(G734:G983,"&lt;"&amp;G984)+0.5*COUNTIF(G734:G983,G984))/COUNT(G734:G983),COUNTIF(G734:G983,"&lt;"&amp;G984)/COUNT(G734:G983))))</f>
        <v/>
      </c>
      <c r="K984" s="11" t="inlineStr">
        <is>
          <t>中间分位</t>
        </is>
      </c>
      <c r="L984" s="11" t="n">
        <v>22</v>
      </c>
      <c r="M984" s="11" t="inlineStr">
        <is>
          <t>结构不明</t>
        </is>
      </c>
      <c r="N984" s="11" t="n">
        <v>0</v>
      </c>
      <c r="O984" s="11" t="n">
        <v>0</v>
      </c>
      <c r="P984" s="12" t="n">
        <v>-106</v>
      </c>
      <c r="Q984" s="11" t="inlineStr"/>
    </row>
    <row r="985">
      <c r="A985" s="6" t="inlineStr">
        <is>
          <t>2026-09-09</t>
        </is>
      </c>
      <c r="B985" s="6" t="inlineStr">
        <is>
          <t>MA2610</t>
        </is>
      </c>
      <c r="C985" s="6" t="inlineStr">
        <is>
          <t>2026-10</t>
        </is>
      </c>
      <c r="D985" s="7" t="n">
        <v>3596.67</v>
      </c>
      <c r="E985" s="7" t="n">
        <v>3411</v>
      </c>
      <c r="F985" s="7">
        <f>D985-E985</f>
        <v/>
      </c>
      <c r="G985" s="8">
        <f>IF(D985=0,"",(D985-E985)/D985)</f>
        <v/>
      </c>
      <c r="H985" s="9" t="n">
        <v>578655</v>
      </c>
      <c r="I985" s="10" t="n">
        <v>0.736</v>
      </c>
      <c r="J985" s="10">
        <f>IF(COUNT(G735:G984)&lt;20,"",IF(COUNTIF(G735:G984,"&lt;"&amp;G985)&gt;=COUNT(G735:G984),(COUNT(G735:G984)-0.5)/COUNT(G735:G984),IF(COUNTIF(G735:G984,G985)&gt;0,(COUNTIF(G735:G984,"&lt;"&amp;G985)+0.5*COUNTIF(G735:G984,G985))/COUNT(G735:G984),COUNTIF(G735:G984,"&lt;"&amp;G985)/COUNT(G735:G984))))</f>
        <v/>
      </c>
      <c r="K985" s="6" t="inlineStr">
        <is>
          <t>中间分位</t>
        </is>
      </c>
      <c r="L985" s="6" t="n">
        <v>21</v>
      </c>
      <c r="M985" s="6" t="inlineStr">
        <is>
          <t>Back(近强)</t>
        </is>
      </c>
      <c r="N985" s="6" t="n">
        <v>0</v>
      </c>
      <c r="O985" s="6" t="n">
        <v>0</v>
      </c>
      <c r="P985" s="7" t="n">
        <v>196</v>
      </c>
      <c r="Q985" s="6" t="inlineStr"/>
    </row>
    <row r="986">
      <c r="A986" s="11" t="inlineStr">
        <is>
          <t>2026-09-10</t>
        </is>
      </c>
      <c r="B986" s="11" t="inlineStr">
        <is>
          <t>MA2701</t>
        </is>
      </c>
      <c r="C986" s="11" t="inlineStr">
        <is>
          <t>2027-01</t>
        </is>
      </c>
      <c r="D986" s="12" t="n">
        <v>3706.67</v>
      </c>
      <c r="E986" s="12" t="n">
        <v>3043</v>
      </c>
      <c r="F986" s="12">
        <f>D986-E986</f>
        <v/>
      </c>
      <c r="G986" s="13">
        <f>IF(D986=0,"",(D986-E986)/D986)</f>
        <v/>
      </c>
      <c r="H986" s="14" t="n">
        <v>556634</v>
      </c>
      <c r="I986" s="15" t="n">
        <v>0.996</v>
      </c>
      <c r="J986" s="15">
        <f>IF(COUNT(G736:G985)&lt;20,"",IF(COUNTIF(G736:G985,"&lt;"&amp;G986)&gt;=COUNT(G736:G985),(COUNT(G736:G985)-0.5)/COUNT(G736:G985),IF(COUNTIF(G736:G985,G986)&gt;0,(COUNTIF(G736:G985,"&lt;"&amp;G986)+0.5*COUNTIF(G736:G985,G986))/COUNT(G736:G985),COUNTIF(G736:G985,"&lt;"&amp;G986)/COUNT(G736:G985))))</f>
        <v/>
      </c>
      <c r="K986" s="11" t="inlineStr">
        <is>
          <t>高分位</t>
        </is>
      </c>
      <c r="L986" s="11" t="n">
        <v>22</v>
      </c>
      <c r="M986" s="11" t="inlineStr">
        <is>
          <t>Contango(远强)</t>
        </is>
      </c>
      <c r="N986" s="11" t="n">
        <v>0</v>
      </c>
      <c r="O986" s="11" t="n">
        <v>1</v>
      </c>
      <c r="P986" s="12" t="n">
        <v>-829</v>
      </c>
      <c r="Q986" s="11" t="inlineStr"/>
    </row>
    <row r="987">
      <c r="A987" s="6" t="inlineStr">
        <is>
          <t>2026-09-11</t>
        </is>
      </c>
      <c r="B987" s="6" t="inlineStr">
        <is>
          <t>MA2701</t>
        </is>
      </c>
      <c r="C987" s="6" t="inlineStr">
        <is>
          <t>2027-01</t>
        </is>
      </c>
      <c r="D987" s="7" t="n">
        <v>3726.67</v>
      </c>
      <c r="E987" s="7" t="n">
        <v>3016</v>
      </c>
      <c r="F987" s="7">
        <f>D987-E987</f>
        <v/>
      </c>
      <c r="G987" s="8">
        <f>IF(D987=0,"",(D987-E987)/D987)</f>
        <v/>
      </c>
      <c r="H987" s="9" t="n">
        <v>564760</v>
      </c>
      <c r="I987" s="10" t="n">
        <v>0.996</v>
      </c>
      <c r="J987" s="10">
        <f>IF(COUNT(G737:G986)&lt;20,"",IF(COUNTIF(G737:G986,"&lt;"&amp;G987)&gt;=COUNT(G737:G986),(COUNT(G737:G986)-0.5)/COUNT(G737:G986),IF(COUNTIF(G737:G986,G987)&gt;0,(COUNTIF(G737:G986,"&lt;"&amp;G987)+0.5*COUNTIF(G737:G986,G987))/COUNT(G737:G986),COUNTIF(G737:G986,"&lt;"&amp;G987)/COUNT(G737:G986))))</f>
        <v/>
      </c>
      <c r="K987" s="6" t="inlineStr">
        <is>
          <t>高分位</t>
        </is>
      </c>
      <c r="L987" s="6" t="n">
        <v>21</v>
      </c>
      <c r="M987" s="6" t="inlineStr">
        <is>
          <t>Contango(远强)</t>
        </is>
      </c>
      <c r="N987" s="6" t="n">
        <v>0</v>
      </c>
      <c r="O987" s="6" t="n">
        <v>0</v>
      </c>
      <c r="P987" s="7" t="n">
        <v>-1165</v>
      </c>
      <c r="Q987" s="6" t="inlineStr"/>
    </row>
    <row r="988">
      <c r="A988" s="11" t="inlineStr">
        <is>
          <t>2026-09-14</t>
        </is>
      </c>
      <c r="B988" s="11" t="inlineStr">
        <is>
          <t>MA2701</t>
        </is>
      </c>
      <c r="C988" s="11" t="inlineStr">
        <is>
          <t>2027-01</t>
        </is>
      </c>
      <c r="D988" s="12" t="n">
        <v>3686.67</v>
      </c>
      <c r="E988" s="12" t="n">
        <v>3016</v>
      </c>
      <c r="F988" s="12">
        <f>D988-E988</f>
        <v/>
      </c>
      <c r="G988" s="13">
        <f>IF(D988=0,"",(D988-E988)/D988)</f>
        <v/>
      </c>
      <c r="H988" s="14" t="n">
        <v>610426</v>
      </c>
      <c r="I988" s="15" t="n">
        <v>0.992</v>
      </c>
      <c r="J988" s="15">
        <f>IF(COUNT(G738:G987)&lt;20,"",IF(COUNTIF(G738:G987,"&lt;"&amp;G988)&gt;=COUNT(G738:G987),(COUNT(G738:G987)-0.5)/COUNT(G738:G987),IF(COUNTIF(G738:G987,G988)&gt;0,(COUNTIF(G738:G987,"&lt;"&amp;G988)+0.5*COUNTIF(G738:G987,G988))/COUNT(G738:G987),COUNTIF(G738:G987,"&lt;"&amp;G988)/COUNT(G738:G987))))</f>
        <v/>
      </c>
      <c r="K988" s="11" t="inlineStr">
        <is>
          <t>高分位</t>
        </is>
      </c>
      <c r="L988" s="11" t="n">
        <v>20</v>
      </c>
      <c r="M988" s="11" t="inlineStr">
        <is>
          <t>Contango(远强)</t>
        </is>
      </c>
      <c r="N988" s="11" t="n">
        <v>0</v>
      </c>
      <c r="O988" s="11" t="n">
        <v>0</v>
      </c>
      <c r="P988" s="12" t="n">
        <v>-415</v>
      </c>
      <c r="Q988" s="11" t="inlineStr"/>
    </row>
    <row r="989">
      <c r="A989" s="6" t="inlineStr">
        <is>
          <t>2026-09-15</t>
        </is>
      </c>
      <c r="B989" s="6" t="inlineStr">
        <is>
          <t>MA2701</t>
        </is>
      </c>
      <c r="C989" s="6" t="inlineStr">
        <is>
          <t>2027-01</t>
        </is>
      </c>
      <c r="D989" s="7" t="n">
        <v>3781.67</v>
      </c>
      <c r="E989" s="7" t="n">
        <v>3016</v>
      </c>
      <c r="F989" s="7">
        <f>D989-E989</f>
        <v/>
      </c>
      <c r="G989" s="8">
        <f>IF(D989=0,"",(D989-E989)/D989)</f>
        <v/>
      </c>
      <c r="H989" s="9" t="n">
        <v>623567</v>
      </c>
      <c r="I989" s="10" t="n">
        <v>0.998</v>
      </c>
      <c r="J989" s="10">
        <f>IF(COUNT(G739:G988)&lt;20,"",IF(COUNTIF(G739:G988,"&lt;"&amp;G989)&gt;=COUNT(G739:G988),(COUNT(G739:G988)-0.5)/COUNT(G739:G988),IF(COUNTIF(G739:G988,G989)&gt;0,(COUNTIF(G739:G988,"&lt;"&amp;G989)+0.5*COUNTIF(G739:G988,G989))/COUNT(G739:G988),COUNTIF(G739:G988,"&lt;"&amp;G989)/COUNT(G739:G988))))</f>
        <v/>
      </c>
      <c r="K989" s="6" t="inlineStr">
        <is>
          <t>高分位</t>
        </is>
      </c>
      <c r="L989" s="6" t="n">
        <v>19</v>
      </c>
      <c r="M989" s="6" t="inlineStr">
        <is>
          <t>Contango(远强)</t>
        </is>
      </c>
      <c r="N989" s="6" t="n">
        <v>0</v>
      </c>
      <c r="O989" s="6" t="n">
        <v>0</v>
      </c>
      <c r="P989" s="7" t="n">
        <v>-413</v>
      </c>
      <c r="Q989" s="6" t="inlineStr"/>
    </row>
    <row r="990">
      <c r="A990" s="11" t="inlineStr">
        <is>
          <t>2026-09-16</t>
        </is>
      </c>
      <c r="B990" s="11" t="inlineStr">
        <is>
          <t>MA2701</t>
        </is>
      </c>
      <c r="C990" s="11" t="inlineStr">
        <is>
          <t>2027-01</t>
        </is>
      </c>
      <c r="D990" s="12" t="n">
        <v>3820</v>
      </c>
      <c r="E990" s="12" t="n">
        <v>3052</v>
      </c>
      <c r="F990" s="12">
        <f>D990-E990</f>
        <v/>
      </c>
      <c r="G990" s="13">
        <f>IF(D990=0,"",(D990-E990)/D990)</f>
        <v/>
      </c>
      <c r="H990" s="14" t="n">
        <v>664087</v>
      </c>
      <c r="I990" s="15" t="n">
        <v>0.996</v>
      </c>
      <c r="J990" s="15">
        <f>IF(COUNT(G740:G989)&lt;20,"",IF(COUNTIF(G740:G989,"&lt;"&amp;G990)&gt;=COUNT(G740:G989),(COUNT(G740:G989)-0.5)/COUNT(G740:G989),IF(COUNTIF(G740:G989,G990)&gt;0,(COUNTIF(G740:G989,"&lt;"&amp;G990)+0.5*COUNTIF(G740:G989,G990))/COUNT(G740:G989),COUNTIF(G740:G989,"&lt;"&amp;G990)/COUNT(G740:G989))))</f>
        <v/>
      </c>
      <c r="K990" s="11" t="inlineStr">
        <is>
          <t>高分位</t>
        </is>
      </c>
      <c r="L990" s="11" t="n">
        <v>18</v>
      </c>
      <c r="M990" s="11" t="inlineStr">
        <is>
          <t>Contango(远强)</t>
        </is>
      </c>
      <c r="N990" s="11" t="n">
        <v>0</v>
      </c>
      <c r="O990" s="11" t="n">
        <v>0</v>
      </c>
      <c r="P990" s="12" t="n">
        <v>-493</v>
      </c>
      <c r="Q990" s="11" t="inlineStr"/>
    </row>
    <row r="991">
      <c r="A991" s="6" t="inlineStr">
        <is>
          <t>2026-09-17</t>
        </is>
      </c>
      <c r="B991" s="6" t="inlineStr">
        <is>
          <t>MA2701</t>
        </is>
      </c>
      <c r="C991" s="6" t="inlineStr">
        <is>
          <t>2027-01</t>
        </is>
      </c>
      <c r="D991" s="7" t="n">
        <v>4000</v>
      </c>
      <c r="E991" s="7" t="n">
        <v>2995</v>
      </c>
      <c r="F991" s="7">
        <f>D991-E991</f>
        <v/>
      </c>
      <c r="G991" s="8">
        <f>IF(D991=0,"",(D991-E991)/D991)</f>
        <v/>
      </c>
      <c r="H991" s="9" t="n">
        <v>662873</v>
      </c>
      <c r="I991" s="10" t="n">
        <v>0.998</v>
      </c>
      <c r="J991" s="10">
        <f>IF(COUNT(G741:G990)&lt;20,"",IF(COUNTIF(G741:G990,"&lt;"&amp;G991)&gt;=COUNT(G741:G990),(COUNT(G741:G990)-0.5)/COUNT(G741:G990),IF(COUNTIF(G741:G990,G991)&gt;0,(COUNTIF(G741:G990,"&lt;"&amp;G991)+0.5*COUNTIF(G741:G990,G991))/COUNT(G741:G990),COUNTIF(G741:G990,"&lt;"&amp;G991)/COUNT(G741:G990))))</f>
        <v/>
      </c>
      <c r="K991" s="6" t="inlineStr">
        <is>
          <t>高分位</t>
        </is>
      </c>
      <c r="L991" s="6" t="n">
        <v>17</v>
      </c>
      <c r="M991" s="6" t="inlineStr">
        <is>
          <t>Contango(远强)</t>
        </is>
      </c>
      <c r="N991" s="6" t="n">
        <v>0</v>
      </c>
      <c r="O991" s="6" t="n">
        <v>0</v>
      </c>
      <c r="P991" s="7" t="n">
        <v>-481</v>
      </c>
      <c r="Q991" s="6" t="inlineStr"/>
    </row>
    <row r="992">
      <c r="A992" s="11" t="inlineStr">
        <is>
          <t>2026-09-18</t>
        </is>
      </c>
      <c r="B992" s="11" t="inlineStr">
        <is>
          <t>MA2701</t>
        </is>
      </c>
      <c r="C992" s="11" t="inlineStr">
        <is>
          <t>2027-01</t>
        </is>
      </c>
      <c r="D992" s="12" t="n">
        <v>4030</v>
      </c>
      <c r="E992" s="12" t="n">
        <v>2952</v>
      </c>
      <c r="F992" s="12">
        <f>D992-E992</f>
        <v/>
      </c>
      <c r="G992" s="13">
        <f>IF(D992=0,"",(D992-E992)/D992)</f>
        <v/>
      </c>
      <c r="H992" s="14" t="n">
        <v>674984</v>
      </c>
      <c r="I992" s="15" t="n">
        <v>0.998</v>
      </c>
      <c r="J992" s="15">
        <f>IF(COUNT(G742:G991)&lt;20,"",IF(COUNTIF(G742:G991,"&lt;"&amp;G992)&gt;=COUNT(G742:G991),(COUNT(G742:G991)-0.5)/COUNT(G742:G991),IF(COUNTIF(G742:G991,G992)&gt;0,(COUNTIF(G742:G991,"&lt;"&amp;G992)+0.5*COUNTIF(G742:G991,G992))/COUNT(G742:G991),COUNTIF(G742:G991,"&lt;"&amp;G992)/COUNT(G742:G991))))</f>
        <v/>
      </c>
      <c r="K992" s="11" t="inlineStr">
        <is>
          <t>高分位</t>
        </is>
      </c>
      <c r="L992" s="11" t="n">
        <v>16</v>
      </c>
      <c r="M992" s="11" t="inlineStr">
        <is>
          <t>Contango(远强)</t>
        </is>
      </c>
      <c r="N992" s="11" t="n">
        <v>0</v>
      </c>
      <c r="O992" s="11" t="n">
        <v>0</v>
      </c>
      <c r="P992" s="12" t="n">
        <v>-481</v>
      </c>
      <c r="Q992" s="11" t="inlineStr"/>
    </row>
    <row r="993">
      <c r="A993" s="6" t="inlineStr">
        <is>
          <t>2026-09-21</t>
        </is>
      </c>
      <c r="B993" s="6" t="inlineStr">
        <is>
          <t>MA2701</t>
        </is>
      </c>
      <c r="C993" s="6" t="inlineStr">
        <is>
          <t>2027-01</t>
        </is>
      </c>
      <c r="D993" s="7" t="n">
        <v>4083.33</v>
      </c>
      <c r="E993" s="7" t="n">
        <v>2942</v>
      </c>
      <c r="F993" s="7">
        <f>D993-E993</f>
        <v/>
      </c>
      <c r="G993" s="8">
        <f>IF(D993=0,"",(D993-E993)/D993)</f>
        <v/>
      </c>
      <c r="H993" s="9" t="n">
        <v>712457</v>
      </c>
      <c r="I993" s="10" t="n">
        <v>0.998</v>
      </c>
      <c r="J993" s="10">
        <f>IF(COUNT(G743:G992)&lt;20,"",IF(COUNTIF(G743:G992,"&lt;"&amp;G993)&gt;=COUNT(G743:G992),(COUNT(G743:G992)-0.5)/COUNT(G743:G992),IF(COUNTIF(G743:G992,G993)&gt;0,(COUNTIF(G743:G992,"&lt;"&amp;G993)+0.5*COUNTIF(G743:G992,G993))/COUNT(G743:G992),COUNTIF(G743:G992,"&lt;"&amp;G993)/COUNT(G743:G992))))</f>
        <v/>
      </c>
      <c r="K993" s="6" t="inlineStr">
        <is>
          <t>高分位</t>
        </is>
      </c>
      <c r="L993" s="6" t="n">
        <v>15</v>
      </c>
      <c r="M993" s="6" t="inlineStr">
        <is>
          <t>Contango(远强)</t>
        </is>
      </c>
      <c r="N993" s="6" t="n">
        <v>0</v>
      </c>
      <c r="O993" s="6" t="n">
        <v>0</v>
      </c>
      <c r="P993" s="7" t="n">
        <v>-546</v>
      </c>
      <c r="Q993" s="6" t="inlineStr"/>
    </row>
    <row r="994">
      <c r="A994" s="11" t="inlineStr">
        <is>
          <t>2026-09-22</t>
        </is>
      </c>
      <c r="B994" s="11" t="inlineStr">
        <is>
          <t>MA2701</t>
        </is>
      </c>
      <c r="C994" s="11" t="inlineStr">
        <is>
          <t>2027-01</t>
        </is>
      </c>
      <c r="D994" s="12" t="n">
        <v>4053.33</v>
      </c>
      <c r="E994" s="12" t="n">
        <v>2944</v>
      </c>
      <c r="F994" s="12">
        <f>D994-E994</f>
        <v/>
      </c>
      <c r="G994" s="13">
        <f>IF(D994=0,"",(D994-E994)/D994)</f>
        <v/>
      </c>
      <c r="H994" s="14" t="n">
        <v>736173</v>
      </c>
      <c r="I994" s="15" t="n">
        <v>0.996</v>
      </c>
      <c r="J994" s="15">
        <f>IF(COUNT(G744:G993)&lt;20,"",IF(COUNTIF(G744:G993,"&lt;"&amp;G994)&gt;=COUNT(G744:G993),(COUNT(G744:G993)-0.5)/COUNT(G744:G993),IF(COUNTIF(G744:G993,G994)&gt;0,(COUNTIF(G744:G993,"&lt;"&amp;G994)+0.5*COUNTIF(G744:G993,G994))/COUNT(G744:G993),COUNTIF(G744:G993,"&lt;"&amp;G994)/COUNT(G744:G993))))</f>
        <v/>
      </c>
      <c r="K994" s="11" t="inlineStr">
        <is>
          <t>高分位</t>
        </is>
      </c>
      <c r="L994" s="11" t="n">
        <v>14</v>
      </c>
      <c r="M994" s="11" t="inlineStr">
        <is>
          <t>Contango(远强)</t>
        </is>
      </c>
      <c r="N994" s="11" t="n">
        <v>0</v>
      </c>
      <c r="O994" s="11" t="n">
        <v>0</v>
      </c>
      <c r="P994" s="12" t="n">
        <v>-561</v>
      </c>
      <c r="Q994" s="11" t="inlineStr"/>
    </row>
    <row r="995">
      <c r="A995" s="6" t="inlineStr">
        <is>
          <t>2026-09-23</t>
        </is>
      </c>
      <c r="B995" s="6" t="inlineStr">
        <is>
          <t>MA2701</t>
        </is>
      </c>
      <c r="C995" s="6" t="inlineStr">
        <is>
          <t>2027-01</t>
        </is>
      </c>
      <c r="D995" s="7" t="n">
        <v>4065</v>
      </c>
      <c r="E995" s="7" t="n">
        <v>2833</v>
      </c>
      <c r="F995" s="7">
        <f>D995-E995</f>
        <v/>
      </c>
      <c r="G995" s="8">
        <f>IF(D995=0,"",(D995-E995)/D995)</f>
        <v/>
      </c>
      <c r="H995" s="9" t="n">
        <v>714634</v>
      </c>
      <c r="I995" s="10" t="n">
        <v>0.998</v>
      </c>
      <c r="J995" s="10">
        <f>IF(COUNT(G745:G994)&lt;20,"",IF(COUNTIF(G745:G994,"&lt;"&amp;G995)&gt;=COUNT(G745:G994),(COUNT(G745:G994)-0.5)/COUNT(G745:G994),IF(COUNTIF(G745:G994,G995)&gt;0,(COUNTIF(G745:G994,"&lt;"&amp;G995)+0.5*COUNTIF(G745:G994,G995))/COUNT(G745:G994),COUNTIF(G745:G994,"&lt;"&amp;G995)/COUNT(G745:G994))))</f>
        <v/>
      </c>
      <c r="K995" s="6" t="inlineStr">
        <is>
          <t>高分位</t>
        </is>
      </c>
      <c r="L995" s="6" t="n">
        <v>13</v>
      </c>
      <c r="M995" s="6" t="inlineStr">
        <is>
          <t>Contango(远强)</t>
        </is>
      </c>
      <c r="N995" s="6" t="n">
        <v>0</v>
      </c>
      <c r="O995" s="6" t="n">
        <v>0</v>
      </c>
      <c r="P995" s="7" t="n">
        <v>-516</v>
      </c>
      <c r="Q995" s="6" t="inlineStr"/>
    </row>
    <row r="996">
      <c r="A996" s="11" t="inlineStr">
        <is>
          <t>2026-09-24</t>
        </is>
      </c>
      <c r="B996" s="11" t="inlineStr">
        <is>
          <t>MA2701</t>
        </is>
      </c>
      <c r="C996" s="11" t="inlineStr">
        <is>
          <t>2027-01</t>
        </is>
      </c>
      <c r="D996" s="12" t="n">
        <v>4016.67</v>
      </c>
      <c r="E996" s="12" t="n">
        <v>2960</v>
      </c>
      <c r="F996" s="12">
        <f>D996-E996</f>
        <v/>
      </c>
      <c r="G996" s="13">
        <f>IF(D996=0,"",(D996-E996)/D996)</f>
        <v/>
      </c>
      <c r="H996" s="14" t="n">
        <v>706693</v>
      </c>
      <c r="I996" s="15" t="n">
        <v>0.984</v>
      </c>
      <c r="J996" s="15">
        <f>IF(COUNT(G746:G995)&lt;20,"",IF(COUNTIF(G746:G995,"&lt;"&amp;G996)&gt;=COUNT(G746:G995),(COUNT(G746:G995)-0.5)/COUNT(G746:G995),IF(COUNTIF(G746:G995,G996)&gt;0,(COUNTIF(G746:G995,"&lt;"&amp;G996)+0.5*COUNTIF(G746:G995,G996))/COUNT(G746:G995),COUNTIF(G746:G995,"&lt;"&amp;G996)/COUNT(G746:G995))))</f>
        <v/>
      </c>
      <c r="K996" s="11" t="inlineStr">
        <is>
          <t>高分位</t>
        </is>
      </c>
      <c r="L996" s="11" t="n">
        <v>12</v>
      </c>
      <c r="M996" s="11" t="inlineStr">
        <is>
          <t>Contango(远强)</t>
        </is>
      </c>
      <c r="N996" s="11" t="n">
        <v>0</v>
      </c>
      <c r="O996" s="11" t="n">
        <v>0</v>
      </c>
      <c r="P996" s="12" t="n">
        <v>-553</v>
      </c>
      <c r="Q996" s="11" t="inlineStr"/>
    </row>
    <row r="997">
      <c r="A997" s="6" t="inlineStr">
        <is>
          <t>2026-09-28</t>
        </is>
      </c>
      <c r="B997" s="6" t="inlineStr">
        <is>
          <t>MA2701</t>
        </is>
      </c>
      <c r="C997" s="6" t="inlineStr">
        <is>
          <t>2027-01</t>
        </is>
      </c>
      <c r="D997" s="7" t="n">
        <v>4443.33</v>
      </c>
      <c r="E997" s="7" t="n">
        <v>2941</v>
      </c>
      <c r="F997" s="7">
        <f>D997-E997</f>
        <v/>
      </c>
      <c r="G997" s="8">
        <f>IF(D997=0,"",(D997-E997)/D997)</f>
        <v/>
      </c>
      <c r="H997" s="9" t="n">
        <v>695123</v>
      </c>
      <c r="I997" s="10" t="n">
        <v>0.998</v>
      </c>
      <c r="J997" s="10">
        <f>IF(COUNT(G747:G996)&lt;20,"",IF(COUNTIF(G747:G996,"&lt;"&amp;G997)&gt;=COUNT(G747:G996),(COUNT(G747:G996)-0.5)/COUNT(G747:G996),IF(COUNTIF(G747:G996,G997)&gt;0,(COUNTIF(G747:G996,"&lt;"&amp;G997)+0.5*COUNTIF(G747:G996,G997))/COUNT(G747:G996),COUNTIF(G747:G996,"&lt;"&amp;G997)/COUNT(G747:G996))))</f>
        <v/>
      </c>
      <c r="K997" s="6" t="inlineStr">
        <is>
          <t>高分位</t>
        </is>
      </c>
      <c r="L997" s="6" t="n">
        <v>11</v>
      </c>
      <c r="M997" s="6" t="inlineStr">
        <is>
          <t>Contango(远强)</t>
        </is>
      </c>
      <c r="N997" s="6" t="n">
        <v>0</v>
      </c>
      <c r="O997" s="6" t="n">
        <v>0</v>
      </c>
      <c r="P997" s="7" t="n">
        <v>-604</v>
      </c>
      <c r="Q997" s="6" t="inlineStr"/>
    </row>
    <row r="998">
      <c r="A998" s="11" t="inlineStr">
        <is>
          <t>2026-09-29</t>
        </is>
      </c>
      <c r="B998" s="11" t="inlineStr">
        <is>
          <t>MA2701</t>
        </is>
      </c>
      <c r="C998" s="11" t="inlineStr">
        <is>
          <t>2027-01</t>
        </is>
      </c>
      <c r="D998" s="12" t="n">
        <v>4600</v>
      </c>
      <c r="E998" s="12" t="n">
        <v>2953</v>
      </c>
      <c r="F998" s="12">
        <f>D998-E998</f>
        <v/>
      </c>
      <c r="G998" s="13">
        <f>IF(D998=0,"",(D998-E998)/D998)</f>
        <v/>
      </c>
      <c r="H998" s="14" t="n">
        <v>684554</v>
      </c>
      <c r="I998" s="15" t="n">
        <v>0.998</v>
      </c>
      <c r="J998" s="15">
        <f>IF(COUNT(G748:G997)&lt;20,"",IF(COUNTIF(G748:G997,"&lt;"&amp;G998)&gt;=COUNT(G748:G997),(COUNT(G748:G997)-0.5)/COUNT(G748:G997),IF(COUNTIF(G748:G997,G998)&gt;0,(COUNTIF(G748:G997,"&lt;"&amp;G998)+0.5*COUNTIF(G748:G997,G998))/COUNT(G748:G997),COUNTIF(G748:G997,"&lt;"&amp;G998)/COUNT(G748:G997))))</f>
        <v/>
      </c>
      <c r="K998" s="11" t="inlineStr">
        <is>
          <t>高分位</t>
        </is>
      </c>
      <c r="L998" s="11" t="n">
        <v>10</v>
      </c>
      <c r="M998" s="11" t="inlineStr">
        <is>
          <t>Contango(远强)</t>
        </is>
      </c>
      <c r="N998" s="11" t="n">
        <v>0</v>
      </c>
      <c r="O998" s="11" t="n">
        <v>0</v>
      </c>
      <c r="P998" s="12" t="n">
        <v>-745</v>
      </c>
      <c r="Q998" s="11" t="inlineStr"/>
    </row>
    <row r="999">
      <c r="A999" s="6" t="inlineStr">
        <is>
          <t>2026-09-30</t>
        </is>
      </c>
      <c r="B999" s="6" t="inlineStr">
        <is>
          <t>MA2701</t>
        </is>
      </c>
      <c r="C999" s="6" t="inlineStr">
        <is>
          <t>2027-01</t>
        </is>
      </c>
      <c r="D999" s="7" t="n">
        <v>4585</v>
      </c>
      <c r="E999" s="7" t="n">
        <v>2972</v>
      </c>
      <c r="F999" s="7">
        <f>D999-E999</f>
        <v/>
      </c>
      <c r="G999" s="8">
        <f>IF(D999=0,"",(D999-E999)/D999)</f>
        <v/>
      </c>
      <c r="H999" s="9" t="n">
        <v>660568</v>
      </c>
      <c r="I999" s="10" t="n">
        <v>0.996</v>
      </c>
      <c r="J999" s="10">
        <f>IF(COUNT(G749:G998)&lt;20,"",IF(COUNTIF(G749:G998,"&lt;"&amp;G999)&gt;=COUNT(G749:G998),(COUNT(G749:G998)-0.5)/COUNT(G749:G998),IF(COUNTIF(G749:G998,G999)&gt;0,(COUNTIF(G749:G998,"&lt;"&amp;G999)+0.5*COUNTIF(G749:G998,G999))/COUNT(G749:G998),COUNTIF(G749:G998,"&lt;"&amp;G999)/COUNT(G749:G998))))</f>
        <v/>
      </c>
      <c r="K999" s="6" t="inlineStr">
        <is>
          <t>高分位</t>
        </is>
      </c>
      <c r="L999" s="6" t="n">
        <v>9</v>
      </c>
      <c r="M999" s="6" t="inlineStr">
        <is>
          <t>Contango(远强)</t>
        </is>
      </c>
      <c r="N999" s="6" t="n">
        <v>0</v>
      </c>
      <c r="O999" s="6" t="n">
        <v>0</v>
      </c>
      <c r="P999" s="7" t="n">
        <v>-878</v>
      </c>
      <c r="Q999" s="6" t="inlineStr"/>
    </row>
    <row r="1000">
      <c r="A1000" s="11" t="inlineStr">
        <is>
          <t>2026-10-08</t>
        </is>
      </c>
      <c r="B1000" s="11" t="inlineStr">
        <is>
          <t>MA2701</t>
        </is>
      </c>
      <c r="C1000" s="11" t="inlineStr">
        <is>
          <t>2027-01</t>
        </is>
      </c>
      <c r="D1000" s="12" t="n">
        <v>4493.33</v>
      </c>
      <c r="E1000" s="12" t="n">
        <v>3200</v>
      </c>
      <c r="F1000" s="12">
        <f>D1000-E1000</f>
        <v/>
      </c>
      <c r="G1000" s="13">
        <f>IF(D1000=0,"",(D1000-E1000)/D1000)</f>
        <v/>
      </c>
      <c r="H1000" s="14" t="n">
        <v>690748</v>
      </c>
      <c r="I1000" s="15" t="n">
        <v>0.984</v>
      </c>
      <c r="J1000" s="15">
        <f>IF(COUNT(G750:G999)&lt;20,"",IF(COUNTIF(G750:G999,"&lt;"&amp;G1000)&gt;=COUNT(G750:G999),(COUNT(G750:G999)-0.5)/COUNT(G750:G999),IF(COUNTIF(G750:G999,G1000)&gt;0,(COUNTIF(G750:G999,"&lt;"&amp;G1000)+0.5*COUNTIF(G750:G999,G1000))/COUNT(G750:G999),COUNTIF(G750:G999,"&lt;"&amp;G1000)/COUNT(G750:G999))))</f>
        <v/>
      </c>
      <c r="K1000" s="11" t="inlineStr">
        <is>
          <t>高分位</t>
        </is>
      </c>
      <c r="L1000" s="11" t="n">
        <v>8</v>
      </c>
      <c r="M1000" s="11" t="inlineStr">
        <is>
          <t>Contango(远强)</t>
        </is>
      </c>
      <c r="N1000" s="11" t="n">
        <v>0</v>
      </c>
      <c r="O1000" s="11" t="n">
        <v>0</v>
      </c>
      <c r="P1000" s="12" t="n">
        <v>-902</v>
      </c>
      <c r="Q1000" s="11" t="inlineStr"/>
    </row>
    <row r="1001">
      <c r="A1001" s="6" t="inlineStr">
        <is>
          <t>2026-10-09</t>
        </is>
      </c>
      <c r="B1001" s="6" t="inlineStr">
        <is>
          <t>MA2701</t>
        </is>
      </c>
      <c r="C1001" s="6" t="inlineStr">
        <is>
          <t>2027-01</t>
        </is>
      </c>
      <c r="D1001" s="7" t="n">
        <v>4733.33</v>
      </c>
      <c r="E1001" s="7" t="n">
        <v>3338</v>
      </c>
      <c r="F1001" s="7">
        <f>D1001-E1001</f>
        <v/>
      </c>
      <c r="G1001" s="8">
        <f>IF(D1001=0,"",(D1001-E1001)/D1001)</f>
        <v/>
      </c>
      <c r="H1001" s="9" t="n">
        <v>761175</v>
      </c>
      <c r="I1001" s="10" t="n">
        <v>0.984</v>
      </c>
      <c r="J1001" s="10">
        <f>IF(COUNT(G751:G1000)&lt;20,"",IF(COUNTIF(G751:G1000,"&lt;"&amp;G1001)&gt;=COUNT(G751:G1000),(COUNT(G751:G1000)-0.5)/COUNT(G751:G1000),IF(COUNTIF(G751:G1000,G1001)&gt;0,(COUNTIF(G751:G1000,"&lt;"&amp;G1001)+0.5*COUNTIF(G751:G1000,G1001))/COUNT(G751:G1000),COUNTIF(G751:G1000,"&lt;"&amp;G1001)/COUNT(G751:G1000))))</f>
        <v/>
      </c>
      <c r="K1001" s="6" t="inlineStr">
        <is>
          <t>高分位</t>
        </is>
      </c>
      <c r="L1001" s="6" t="n">
        <v>7</v>
      </c>
      <c r="M1001" s="6" t="inlineStr">
        <is>
          <t>Contango(远强)</t>
        </is>
      </c>
      <c r="N1001" s="6" t="n">
        <v>0</v>
      </c>
      <c r="O1001" s="6" t="n">
        <v>0</v>
      </c>
      <c r="P1001" s="7" t="n">
        <v>-1007</v>
      </c>
      <c r="Q1001" s="6" t="inlineStr"/>
    </row>
    <row r="1002">
      <c r="A1002" s="11" t="inlineStr">
        <is>
          <t>2026-10-12</t>
        </is>
      </c>
      <c r="B1002" s="11" t="inlineStr">
        <is>
          <t>MA2701</t>
        </is>
      </c>
      <c r="C1002" s="11" t="inlineStr">
        <is>
          <t>2027-01</t>
        </is>
      </c>
      <c r="D1002" s="12" t="n">
        <v>4643.33</v>
      </c>
      <c r="E1002" s="12" t="n">
        <v>3229</v>
      </c>
      <c r="F1002" s="12">
        <f>D1002-E1002</f>
        <v/>
      </c>
      <c r="G1002" s="13">
        <f>IF(D1002=0,"",(D1002-E1002)/D1002)</f>
        <v/>
      </c>
      <c r="H1002" s="14" t="n">
        <v>773423</v>
      </c>
      <c r="I1002" s="15" t="n">
        <v>0.988</v>
      </c>
      <c r="J1002" s="15">
        <f>IF(COUNT(G752:G1001)&lt;20,"",IF(COUNTIF(G752:G1001,"&lt;"&amp;G1002)&gt;=COUNT(G752:G1001),(COUNT(G752:G1001)-0.5)/COUNT(G752:G1001),IF(COUNTIF(G752:G1001,G1002)&gt;0,(COUNTIF(G752:G1001,"&lt;"&amp;G1002)+0.5*COUNTIF(G752:G1001,G1002))/COUNT(G752:G1001),COUNTIF(G752:G1001,"&lt;"&amp;G1002)/COUNT(G752:G1001))))</f>
        <v/>
      </c>
      <c r="K1002" s="11" t="inlineStr">
        <is>
          <t>高分位</t>
        </is>
      </c>
      <c r="L1002" s="11" t="n">
        <v>6</v>
      </c>
      <c r="M1002" s="11" t="inlineStr">
        <is>
          <t>Contango(远强)</t>
        </is>
      </c>
      <c r="N1002" s="11" t="n">
        <v>0</v>
      </c>
      <c r="O1002" s="11" t="n">
        <v>0</v>
      </c>
      <c r="P1002" s="12" t="n">
        <v>-805</v>
      </c>
      <c r="Q1002" s="11" t="inlineStr"/>
    </row>
    <row r="1003">
      <c r="A1003" s="6" t="inlineStr">
        <is>
          <t>2026-10-13</t>
        </is>
      </c>
      <c r="B1003" s="6" t="inlineStr">
        <is>
          <t>MA2701</t>
        </is>
      </c>
      <c r="C1003" s="6" t="inlineStr">
        <is>
          <t>2027-01</t>
        </is>
      </c>
      <c r="D1003" s="7" t="n">
        <v>4050</v>
      </c>
      <c r="E1003" s="7" t="n">
        <v>3235</v>
      </c>
      <c r="F1003" s="7">
        <f>D1003-E1003</f>
        <v/>
      </c>
      <c r="G1003" s="8">
        <f>IF(D1003=0,"",(D1003-E1003)/D1003)</f>
        <v/>
      </c>
      <c r="H1003" s="9" t="n">
        <v>766220</v>
      </c>
      <c r="I1003" s="10" t="n">
        <v>0.948</v>
      </c>
      <c r="J1003" s="10">
        <f>IF(COUNT(G753:G1002)&lt;20,"",IF(COUNTIF(G753:G1002,"&lt;"&amp;G1003)&gt;=COUNT(G753:G1002),(COUNT(G753:G1002)-0.5)/COUNT(G753:G1002),IF(COUNTIF(G753:G1002,G1003)&gt;0,(COUNTIF(G753:G1002,"&lt;"&amp;G1003)+0.5*COUNTIF(G753:G1002,G1003))/COUNT(G753:G1002),COUNTIF(G753:G1002,"&lt;"&amp;G1003)/COUNT(G753:G1002))))</f>
        <v/>
      </c>
      <c r="K1003" s="6" t="inlineStr">
        <is>
          <t>高分位</t>
        </is>
      </c>
      <c r="L1003" s="6" t="n">
        <v>5</v>
      </c>
      <c r="M1003" s="6" t="inlineStr">
        <is>
          <t>Contango(远强)</t>
        </is>
      </c>
      <c r="N1003" s="6" t="n">
        <v>0</v>
      </c>
      <c r="O1003" s="6" t="n">
        <v>0</v>
      </c>
      <c r="P1003" s="7" t="n">
        <v>-485</v>
      </c>
      <c r="Q1003" s="6" t="inlineStr">
        <is>
          <t>交割临近</t>
        </is>
      </c>
    </row>
    <row r="1004">
      <c r="A1004" s="11" t="inlineStr">
        <is>
          <t>2026-10-14</t>
        </is>
      </c>
      <c r="B1004" s="11" t="inlineStr">
        <is>
          <t>MA2701</t>
        </is>
      </c>
      <c r="C1004" s="11" t="inlineStr">
        <is>
          <t>2027-01</t>
        </is>
      </c>
      <c r="D1004" s="12" t="n">
        <v>3883.33</v>
      </c>
      <c r="E1004" s="12" t="n">
        <v>3262</v>
      </c>
      <c r="F1004" s="12">
        <f>D1004-E1004</f>
        <v/>
      </c>
      <c r="G1004" s="13">
        <f>IF(D1004=0,"",(D1004-E1004)/D1004)</f>
        <v/>
      </c>
      <c r="H1004" s="14" t="n">
        <v>804320</v>
      </c>
      <c r="I1004" s="15" t="n">
        <v>0.92</v>
      </c>
      <c r="J1004" s="15">
        <f>IF(COUNT(G754:G1003)&lt;20,"",IF(COUNTIF(G754:G1003,"&lt;"&amp;G1004)&gt;=COUNT(G754:G1003),(COUNT(G754:G1003)-0.5)/COUNT(G754:G1003),IF(COUNTIF(G754:G1003,G1004)&gt;0,(COUNTIF(G754:G1003,"&lt;"&amp;G1004)+0.5*COUNTIF(G754:G1003,G1004))/COUNT(G754:G1003),COUNTIF(G754:G1003,"&lt;"&amp;G1004)/COUNT(G754:G1003))))</f>
        <v/>
      </c>
      <c r="K1004" s="11" t="inlineStr">
        <is>
          <t>高分位</t>
        </is>
      </c>
      <c r="L1004" s="11" t="n">
        <v>4</v>
      </c>
      <c r="M1004" s="11" t="inlineStr">
        <is>
          <t>Contango(远强)</t>
        </is>
      </c>
      <c r="N1004" s="11" t="n">
        <v>0</v>
      </c>
      <c r="O1004" s="11" t="n">
        <v>0</v>
      </c>
      <c r="P1004" s="12" t="n">
        <v>-371</v>
      </c>
      <c r="Q1004" s="11" t="inlineStr">
        <is>
          <t>交割临近</t>
        </is>
      </c>
    </row>
    <row r="1005">
      <c r="A1005" s="6" t="inlineStr">
        <is>
          <t>2026-10-15</t>
        </is>
      </c>
      <c r="B1005" s="6" t="inlineStr">
        <is>
          <t>MA2701</t>
        </is>
      </c>
      <c r="C1005" s="6" t="inlineStr">
        <is>
          <t>2027-01</t>
        </is>
      </c>
      <c r="D1005" s="7" t="n">
        <v>4000</v>
      </c>
      <c r="E1005" s="7" t="n">
        <v>3170</v>
      </c>
      <c r="F1005" s="7">
        <f>D1005-E1005</f>
        <v/>
      </c>
      <c r="G1005" s="8">
        <f>IF(D1005=0,"",(D1005-E1005)/D1005)</f>
        <v/>
      </c>
      <c r="H1005" s="9" t="n">
        <v>781032</v>
      </c>
      <c r="I1005" s="10" t="n">
        <v>0.952</v>
      </c>
      <c r="J1005" s="10">
        <f>IF(COUNT(G755:G1004)&lt;20,"",IF(COUNTIF(G755:G1004,"&lt;"&amp;G1005)&gt;=COUNT(G755:G1004),(COUNT(G755:G1004)-0.5)/COUNT(G755:G1004),IF(COUNTIF(G755:G1004,G1005)&gt;0,(COUNTIF(G755:G1004,"&lt;"&amp;G1005)+0.5*COUNTIF(G755:G1004,G1005))/COUNT(G755:G1004),COUNTIF(G755:G1004,"&lt;"&amp;G1005)/COUNT(G755:G1004))))</f>
        <v/>
      </c>
      <c r="K1005" s="6" t="inlineStr">
        <is>
          <t>高分位</t>
        </is>
      </c>
      <c r="L1005" s="6" t="n">
        <v>3</v>
      </c>
      <c r="M1005" s="6" t="inlineStr">
        <is>
          <t>Contango(远强)</t>
        </is>
      </c>
      <c r="N1005" s="6" t="n">
        <v>0</v>
      </c>
      <c r="O1005" s="6" t="n">
        <v>0</v>
      </c>
      <c r="P1005" s="7" t="n">
        <v>-184</v>
      </c>
      <c r="Q1005" s="6" t="inlineStr">
        <is>
          <t>交割临近</t>
        </is>
      </c>
    </row>
    <row r="1006">
      <c r="A1006" s="11" t="inlineStr">
        <is>
          <t>2026-10-16</t>
        </is>
      </c>
      <c r="B1006" s="11" t="inlineStr">
        <is>
          <t>MA2701</t>
        </is>
      </c>
      <c r="C1006" s="11" t="inlineStr">
        <is>
          <t>2027-01</t>
        </is>
      </c>
      <c r="D1006" s="12" t="n">
        <v>3990</v>
      </c>
      <c r="E1006" s="12" t="n">
        <v>3192</v>
      </c>
      <c r="F1006" s="12">
        <f>D1006-E1006</f>
        <v/>
      </c>
      <c r="G1006" s="13">
        <f>IF(D1006=0,"",(D1006-E1006)/D1006)</f>
        <v/>
      </c>
      <c r="H1006" s="14" t="n">
        <v>812542</v>
      </c>
      <c r="I1006" s="15" t="n">
        <v>0.9360000000000001</v>
      </c>
      <c r="J1006" s="15">
        <f>IF(COUNT(G756:G1005)&lt;20,"",IF(COUNTIF(G756:G1005,"&lt;"&amp;G1006)&gt;=COUNT(G756:G1005),(COUNT(G756:G1005)-0.5)/COUNT(G756:G1005),IF(COUNTIF(G756:G1005,G1006)&gt;0,(COUNTIF(G756:G1005,"&lt;"&amp;G1006)+0.5*COUNTIF(G756:G1005,G1006))/COUNT(G756:G1005),COUNTIF(G756:G1005,"&lt;"&amp;G1006)/COUNT(G756:G1005))))</f>
        <v/>
      </c>
      <c r="K1006" s="11" t="inlineStr">
        <is>
          <t>高分位</t>
        </is>
      </c>
      <c r="L1006" s="11" t="n">
        <v>2</v>
      </c>
      <c r="M1006" s="11" t="inlineStr">
        <is>
          <t>结构不明</t>
        </is>
      </c>
      <c r="N1006" s="11" t="n">
        <v>0</v>
      </c>
      <c r="O1006" s="11" t="n">
        <v>0</v>
      </c>
      <c r="P1006" s="12" t="n">
        <v>-162</v>
      </c>
      <c r="Q1006" s="11" t="inlineStr">
        <is>
          <t>交割临近</t>
        </is>
      </c>
    </row>
    <row r="1007">
      <c r="A1007" s="6" t="inlineStr">
        <is>
          <t>2026-10-19</t>
        </is>
      </c>
      <c r="B1007" s="6" t="inlineStr">
        <is>
          <t>MA2701</t>
        </is>
      </c>
      <c r="C1007" s="6" t="inlineStr">
        <is>
          <t>2027-01</t>
        </is>
      </c>
      <c r="D1007" s="7" t="n">
        <v>3966.67</v>
      </c>
      <c r="E1007" s="7" t="n">
        <v>3143</v>
      </c>
      <c r="F1007" s="7">
        <f>D1007-E1007</f>
        <v/>
      </c>
      <c r="G1007" s="8">
        <f>IF(D1007=0,"",(D1007-E1007)/D1007)</f>
        <v/>
      </c>
      <c r="H1007" s="9" t="n">
        <v>839680</v>
      </c>
      <c r="I1007" s="10" t="n">
        <v>0.952</v>
      </c>
      <c r="J1007" s="10">
        <f>IF(COUNT(G757:G1006)&lt;20,"",IF(COUNTIF(G757:G1006,"&lt;"&amp;G1007)&gt;=COUNT(G757:G1006),(COUNT(G757:G1006)-0.5)/COUNT(G757:G1006),IF(COUNTIF(G757:G1006,G1007)&gt;0,(COUNTIF(G757:G1006,"&lt;"&amp;G1007)+0.5*COUNTIF(G757:G1006,G1007))/COUNT(G757:G1006),COUNTIF(G757:G1006,"&lt;"&amp;G1007)/COUNT(G757:G1006))))</f>
        <v/>
      </c>
      <c r="K1007" s="6" t="inlineStr">
        <is>
          <t>高分位</t>
        </is>
      </c>
      <c r="L1007" s="6" t="n">
        <v>1</v>
      </c>
      <c r="M1007" s="6" t="inlineStr">
        <is>
          <t>Contango(远强)</t>
        </is>
      </c>
      <c r="N1007" s="6" t="n">
        <v>0</v>
      </c>
      <c r="O1007" s="6" t="n">
        <v>0</v>
      </c>
      <c r="P1007" s="7" t="n">
        <v>-237</v>
      </c>
      <c r="Q1007" s="6" t="inlineStr">
        <is>
          <t>交割临近</t>
        </is>
      </c>
    </row>
    <row r="1008">
      <c r="A1008" s="11" t="inlineStr">
        <is>
          <t>2026-10-20</t>
        </is>
      </c>
      <c r="B1008" s="11" t="inlineStr">
        <is>
          <t>MA2701</t>
        </is>
      </c>
      <c r="C1008" s="11" t="inlineStr">
        <is>
          <t>2027-01</t>
        </is>
      </c>
      <c r="D1008" s="12" t="n">
        <v>3966.67</v>
      </c>
      <c r="E1008" s="12" t="n">
        <v>3157</v>
      </c>
      <c r="F1008" s="12">
        <f>D1008-E1008</f>
        <v/>
      </c>
      <c r="G1008" s="13">
        <f>IF(D1008=0,"",(D1008-E1008)/D1008)</f>
        <v/>
      </c>
      <c r="H1008" s="14" t="n">
        <v>860774</v>
      </c>
      <c r="I1008" s="15" t="n">
        <v>0.944</v>
      </c>
      <c r="J1008" s="15">
        <f>IF(COUNT(G758:G1007)&lt;20,"",IF(COUNTIF(G758:G1007,"&lt;"&amp;G1008)&gt;=COUNT(G758:G1007),(COUNT(G758:G1007)-0.5)/COUNT(G758:G1007),IF(COUNTIF(G758:G1007,G1008)&gt;0,(COUNTIF(G758:G1007,"&lt;"&amp;G1008)+0.5*COUNTIF(G758:G1007,G1008))/COUNT(G758:G1007),COUNTIF(G758:G1007,"&lt;"&amp;G1008)/COUNT(G758:G1007))))</f>
        <v/>
      </c>
      <c r="K1008" s="11" t="inlineStr">
        <is>
          <t>高分位</t>
        </is>
      </c>
      <c r="L1008" s="11" t="n">
        <v>0</v>
      </c>
      <c r="M1008" s="11" t="inlineStr">
        <is>
          <t>Contango(远强)</t>
        </is>
      </c>
      <c r="N1008" s="11" t="n">
        <v>0</v>
      </c>
      <c r="O1008" s="11" t="n">
        <v>0</v>
      </c>
      <c r="P1008" s="12" t="n">
        <v>-227</v>
      </c>
      <c r="Q1008" s="11" t="inlineStr"/>
    </row>
  </sheetData>
  <autoFilter ref="A4:Q1008"/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1" customWidth="1" min="5" max="5"/>
    <col width="15" customWidth="1" min="6" max="6"/>
    <col width="15" customWidth="1" min="7" max="7"/>
    <col width="11" customWidth="1" min="8" max="8"/>
    <col width="11" customWidth="1" min="9" max="9"/>
    <col width="42" customWidth="1" min="10" max="10"/>
  </cols>
  <sheetData>
    <row r="1" ht="24" customHeight="1">
      <c r="A1" s="1" t="inlineStr">
        <is>
          <t>02 滚动分位计算过程（逐步展开）</t>
        </is>
      </c>
    </row>
    <row r="2">
      <c r="A2" s="2" t="inlineStr">
        <is>
          <t>以 W=250 为例：窗口取 t−W..t−1 共 W 个基差率，统计小于/等于当日值的个数，得到百分位秩。</t>
        </is>
      </c>
    </row>
    <row r="4" ht="30" customHeight="1">
      <c r="A4" s="3" t="inlineStr">
        <is>
          <t>日期</t>
        </is>
      </c>
      <c r="B4" s="3" t="inlineStr">
        <is>
          <t>当日基差率</t>
        </is>
      </c>
      <c r="C4" s="3" t="inlineStr">
        <is>
          <t>窗口起始日</t>
        </is>
      </c>
      <c r="D4" s="3" t="inlineStr">
        <is>
          <t>窗口结束日</t>
        </is>
      </c>
      <c r="E4" s="3" t="inlineStr">
        <is>
          <t>窗口样本数</t>
        </is>
      </c>
      <c r="F4" s="3" t="inlineStr">
        <is>
          <t>小于当日值个数</t>
        </is>
      </c>
      <c r="G4" s="3" t="inlineStr">
        <is>
          <t>等于当日值个数</t>
        </is>
      </c>
      <c r="H4" s="3" t="inlineStr">
        <is>
          <t>百分位秩</t>
        </is>
      </c>
      <c r="I4" s="3" t="inlineStr">
        <is>
          <t>分组</t>
        </is>
      </c>
      <c r="J4" s="3" t="inlineStr">
        <is>
          <t>说明</t>
        </is>
      </c>
    </row>
    <row r="5">
      <c r="A5" s="6" t="inlineStr">
        <is>
          <t>2022-09-16</t>
        </is>
      </c>
      <c r="B5" s="16" t="n">
        <v>0.007581227436823105</v>
      </c>
      <c r="C5" s="6" t="inlineStr">
        <is>
          <t>2022-08-17</t>
        </is>
      </c>
      <c r="D5" s="6" t="inlineStr">
        <is>
          <t>2022-09-15</t>
        </is>
      </c>
      <c r="E5" s="6" t="n">
        <v>20</v>
      </c>
      <c r="F5" s="6" t="n">
        <v>20</v>
      </c>
      <c r="G5" s="6" t="n">
        <v>0</v>
      </c>
      <c r="H5" s="10">
        <f>IF(F5&gt;=E5,(E5-0.5)/E5,IF(G5&gt;0,(F5+0.5*G5)/E5,F5/E5))</f>
        <v/>
      </c>
      <c r="I5" s="6" t="inlineStr">
        <is>
          <t>高分位</t>
        </is>
      </c>
      <c r="J5" s="6" t="inlineStr">
        <is>
          <t>窗口不含当日（严格滞后）；分位只用 t 之前信息。秩公式：有并列 (小于+0.5×等于)/N；无并列 小于/N；</t>
        </is>
      </c>
    </row>
    <row r="6">
      <c r="A6" s="11" t="inlineStr">
        <is>
          <t>2022-09-19</t>
        </is>
      </c>
      <c r="B6" s="17" t="n">
        <v>0.03275011215791835</v>
      </c>
      <c r="C6" s="11" t="inlineStr">
        <is>
          <t>2022-08-17</t>
        </is>
      </c>
      <c r="D6" s="11" t="inlineStr">
        <is>
          <t>2022-09-16</t>
        </is>
      </c>
      <c r="E6" s="11" t="n">
        <v>21</v>
      </c>
      <c r="F6" s="11" t="n">
        <v>21</v>
      </c>
      <c r="G6" s="11" t="n">
        <v>0</v>
      </c>
      <c r="H6" s="15">
        <f>IF(F6&gt;=E6,(E6-0.5)/E6,IF(G6&gt;0,(F6+0.5*G6)/E6,F6/E6))</f>
        <v/>
      </c>
      <c r="I6" s="11" t="inlineStr">
        <is>
          <t>高分位</t>
        </is>
      </c>
      <c r="J6" s="11" t="inlineStr"/>
    </row>
    <row r="7">
      <c r="A7" s="6" t="inlineStr">
        <is>
          <t>2022-09-20</t>
        </is>
      </c>
      <c r="B7" s="16" t="n">
        <v>0.01845018450184502</v>
      </c>
      <c r="C7" s="6" t="inlineStr">
        <is>
          <t>2022-08-17</t>
        </is>
      </c>
      <c r="D7" s="6" t="inlineStr">
        <is>
          <t>2022-09-19</t>
        </is>
      </c>
      <c r="E7" s="6" t="n">
        <v>22</v>
      </c>
      <c r="F7" s="6" t="n">
        <v>21</v>
      </c>
      <c r="G7" s="6" t="n">
        <v>0</v>
      </c>
      <c r="H7" s="10">
        <f>IF(F7&gt;=E7,(E7-0.5)/E7,IF(G7&gt;0,(F7+0.5*G7)/E7,F7/E7))</f>
        <v/>
      </c>
      <c r="I7" s="6" t="inlineStr">
        <is>
          <t>高分位</t>
        </is>
      </c>
      <c r="J7" s="6" t="inlineStr"/>
    </row>
    <row r="8">
      <c r="A8" s="11" t="inlineStr">
        <is>
          <t>2022-09-21</t>
        </is>
      </c>
      <c r="B8" s="17" t="n">
        <v>0.02389572773352643</v>
      </c>
      <c r="C8" s="11" t="inlineStr">
        <is>
          <t>2022-08-17</t>
        </is>
      </c>
      <c r="D8" s="11" t="inlineStr">
        <is>
          <t>2022-09-20</t>
        </is>
      </c>
      <c r="E8" s="11" t="n">
        <v>23</v>
      </c>
      <c r="F8" s="11" t="n">
        <v>22</v>
      </c>
      <c r="G8" s="11" t="n">
        <v>0</v>
      </c>
      <c r="H8" s="15">
        <f>IF(F8&gt;=E8,(E8-0.5)/E8,IF(G8&gt;0,(F8+0.5*G8)/E8,F8/E8))</f>
        <v/>
      </c>
      <c r="I8" s="11" t="inlineStr">
        <is>
          <t>高分位</t>
        </is>
      </c>
      <c r="J8" s="11" t="inlineStr"/>
    </row>
    <row r="9">
      <c r="A9" s="6" t="inlineStr">
        <is>
          <t>2022-09-22</t>
        </is>
      </c>
      <c r="B9" s="16" t="n">
        <v>0.03426294820717132</v>
      </c>
      <c r="C9" s="6" t="inlineStr">
        <is>
          <t>2022-08-17</t>
        </is>
      </c>
      <c r="D9" s="6" t="inlineStr">
        <is>
          <t>2022-09-21</t>
        </is>
      </c>
      <c r="E9" s="6" t="n">
        <v>24</v>
      </c>
      <c r="F9" s="6" t="n">
        <v>24</v>
      </c>
      <c r="G9" s="6" t="n">
        <v>0</v>
      </c>
      <c r="H9" s="10">
        <f>IF(F9&gt;=E9,(E9-0.5)/E9,IF(G9&gt;0,(F9+0.5*G9)/E9,F9/E9))</f>
        <v/>
      </c>
      <c r="I9" s="6" t="inlineStr">
        <is>
          <t>高分位</t>
        </is>
      </c>
      <c r="J9" s="6" t="inlineStr"/>
    </row>
    <row r="10">
      <c r="A10" s="11" t="inlineStr">
        <is>
          <t>2022-09-23</t>
        </is>
      </c>
      <c r="B10" s="17" t="n">
        <v>0.04591467823571945</v>
      </c>
      <c r="C10" s="11" t="inlineStr">
        <is>
          <t>2022-08-17</t>
        </is>
      </c>
      <c r="D10" s="11" t="inlineStr">
        <is>
          <t>2022-09-22</t>
        </is>
      </c>
      <c r="E10" s="11" t="n">
        <v>25</v>
      </c>
      <c r="F10" s="11" t="n">
        <v>25</v>
      </c>
      <c r="G10" s="11" t="n">
        <v>0</v>
      </c>
      <c r="H10" s="15">
        <f>IF(F10&gt;=E10,(E10-0.5)/E10,IF(G10&gt;0,(F10+0.5*G10)/E10,F10/E10))</f>
        <v/>
      </c>
      <c r="I10" s="11" t="inlineStr">
        <is>
          <t>高分位</t>
        </is>
      </c>
      <c r="J10" s="11" t="inlineStr"/>
    </row>
    <row r="11">
      <c r="A11" s="6" t="inlineStr">
        <is>
          <t>2022-09-26</t>
        </is>
      </c>
      <c r="B11" s="16" t="n">
        <v>0.03394160583941606</v>
      </c>
      <c r="C11" s="6" t="inlineStr">
        <is>
          <t>2022-08-17</t>
        </is>
      </c>
      <c r="D11" s="6" t="inlineStr">
        <is>
          <t>2022-09-23</t>
        </is>
      </c>
      <c r="E11" s="6" t="n">
        <v>26</v>
      </c>
      <c r="F11" s="6" t="n">
        <v>24</v>
      </c>
      <c r="G11" s="6" t="n">
        <v>0</v>
      </c>
      <c r="H11" s="10">
        <f>IF(F11&gt;=E11,(E11-0.5)/E11,IF(G11&gt;0,(F11+0.5*G11)/E11,F11/E11))</f>
        <v/>
      </c>
      <c r="I11" s="6" t="inlineStr">
        <is>
          <t>高分位</t>
        </is>
      </c>
      <c r="J11" s="6" t="inlineStr"/>
    </row>
    <row r="12">
      <c r="A12" s="11" t="inlineStr">
        <is>
          <t>2022-09-27</t>
        </is>
      </c>
      <c r="B12" s="17" t="n">
        <v>0.03556338028169014</v>
      </c>
      <c r="C12" s="11" t="inlineStr">
        <is>
          <t>2022-08-17</t>
        </is>
      </c>
      <c r="D12" s="11" t="inlineStr">
        <is>
          <t>2022-09-26</t>
        </is>
      </c>
      <c r="E12" s="11" t="n">
        <v>27</v>
      </c>
      <c r="F12" s="11" t="n">
        <v>26</v>
      </c>
      <c r="G12" s="11" t="n">
        <v>0</v>
      </c>
      <c r="H12" s="15">
        <f>IF(F12&gt;=E12,(E12-0.5)/E12,IF(G12&gt;0,(F12+0.5*G12)/E12,F12/E12))</f>
        <v/>
      </c>
      <c r="I12" s="11" t="inlineStr">
        <is>
          <t>高分位</t>
        </is>
      </c>
      <c r="J12" s="11" t="inlineStr"/>
    </row>
    <row r="13">
      <c r="A13" s="6" t="inlineStr">
        <is>
          <t>2022-09-28</t>
        </is>
      </c>
      <c r="B13" s="16" t="n">
        <v>0.04070175438596491</v>
      </c>
      <c r="C13" s="6" t="inlineStr">
        <is>
          <t>2022-08-17</t>
        </is>
      </c>
      <c r="D13" s="6" t="inlineStr">
        <is>
          <t>2022-09-27</t>
        </is>
      </c>
      <c r="E13" s="6" t="n">
        <v>28</v>
      </c>
      <c r="F13" s="6" t="n">
        <v>27</v>
      </c>
      <c r="G13" s="6" t="n">
        <v>0</v>
      </c>
      <c r="H13" s="10">
        <f>IF(F13&gt;=E13,(E13-0.5)/E13,IF(G13&gt;0,(F13+0.5*G13)/E13,F13/E13))</f>
        <v/>
      </c>
      <c r="I13" s="6" t="inlineStr">
        <is>
          <t>高分位</t>
        </is>
      </c>
      <c r="J13" s="6" t="inlineStr"/>
    </row>
    <row r="14">
      <c r="A14" s="11" t="inlineStr">
        <is>
          <t>2022-09-29</t>
        </is>
      </c>
      <c r="B14" s="17" t="n">
        <v>0.07477403451109285</v>
      </c>
      <c r="C14" s="11" t="inlineStr">
        <is>
          <t>2022-08-17</t>
        </is>
      </c>
      <c r="D14" s="11" t="inlineStr">
        <is>
          <t>2022-09-28</t>
        </is>
      </c>
      <c r="E14" s="11" t="n">
        <v>29</v>
      </c>
      <c r="F14" s="11" t="n">
        <v>29</v>
      </c>
      <c r="G14" s="11" t="n">
        <v>0</v>
      </c>
      <c r="H14" s="15">
        <f>IF(F14&gt;=E14,(E14-0.5)/E14,IF(G14&gt;0,(F14+0.5*G14)/E14,F14/E14))</f>
        <v/>
      </c>
      <c r="I14" s="11" t="inlineStr">
        <is>
          <t>高分位</t>
        </is>
      </c>
      <c r="J14" s="11" t="inlineStr"/>
    </row>
    <row r="15">
      <c r="A15" s="6" t="inlineStr">
        <is>
          <t>2022-09-30</t>
        </is>
      </c>
      <c r="B15" s="16" t="n">
        <v>0.06489626556016598</v>
      </c>
      <c r="C15" s="6" t="inlineStr">
        <is>
          <t>2022-08-17</t>
        </is>
      </c>
      <c r="D15" s="6" t="inlineStr">
        <is>
          <t>2022-09-29</t>
        </is>
      </c>
      <c r="E15" s="6" t="n">
        <v>30</v>
      </c>
      <c r="F15" s="6" t="n">
        <v>29</v>
      </c>
      <c r="G15" s="6" t="n">
        <v>0</v>
      </c>
      <c r="H15" s="10">
        <f>IF(F15&gt;=E15,(E15-0.5)/E15,IF(G15&gt;0,(F15+0.5*G15)/E15,F15/E15))</f>
        <v/>
      </c>
      <c r="I15" s="6" t="inlineStr">
        <is>
          <t>高分位</t>
        </is>
      </c>
      <c r="J15" s="6" t="inlineStr"/>
    </row>
    <row r="16">
      <c r="A16" s="11" t="inlineStr">
        <is>
          <t>2022-10-11</t>
        </is>
      </c>
      <c r="B16" s="17" t="n">
        <v>0.04850042844901457</v>
      </c>
      <c r="C16" s="11" t="inlineStr">
        <is>
          <t>2022-08-17</t>
        </is>
      </c>
      <c r="D16" s="11" t="inlineStr">
        <is>
          <t>2022-09-30</t>
        </is>
      </c>
      <c r="E16" s="11" t="n">
        <v>31</v>
      </c>
      <c r="F16" s="11" t="n">
        <v>29</v>
      </c>
      <c r="G16" s="11" t="n">
        <v>0</v>
      </c>
      <c r="H16" s="15">
        <f>IF(F16&gt;=E16,(E16-0.5)/E16,IF(G16&gt;0,(F16+0.5*G16)/E16,F16/E16))</f>
        <v/>
      </c>
      <c r="I16" s="11" t="inlineStr">
        <is>
          <t>高分位</t>
        </is>
      </c>
      <c r="J16" s="11" t="inlineStr"/>
    </row>
    <row r="17">
      <c r="A17" s="6" t="inlineStr">
        <is>
          <t>2022-10-12</t>
        </is>
      </c>
      <c r="B17" s="16" t="n">
        <v>0.03728222996515679</v>
      </c>
      <c r="C17" s="6" t="inlineStr">
        <is>
          <t>2022-08-17</t>
        </is>
      </c>
      <c r="D17" s="6" t="inlineStr">
        <is>
          <t>2022-10-11</t>
        </is>
      </c>
      <c r="E17" s="6" t="n">
        <v>32</v>
      </c>
      <c r="F17" s="6" t="n">
        <v>27</v>
      </c>
      <c r="G17" s="6" t="n">
        <v>0</v>
      </c>
      <c r="H17" s="10">
        <f>IF(F17&gt;=E17,(E17-0.5)/E17,IF(G17&gt;0,(F17+0.5*G17)/E17,F17/E17))</f>
        <v/>
      </c>
      <c r="I17" s="6" t="inlineStr">
        <is>
          <t>中间分位</t>
        </is>
      </c>
      <c r="J17" s="6" t="inlineStr"/>
    </row>
    <row r="18">
      <c r="A18" s="11" t="inlineStr">
        <is>
          <t>2022-10-13</t>
        </is>
      </c>
      <c r="B18" s="17" t="n">
        <v>0.04491228070175438</v>
      </c>
      <c r="C18" s="11" t="inlineStr">
        <is>
          <t>2022-08-17</t>
        </is>
      </c>
      <c r="D18" s="11" t="inlineStr">
        <is>
          <t>2022-10-12</t>
        </is>
      </c>
      <c r="E18" s="11" t="n">
        <v>33</v>
      </c>
      <c r="F18" s="11" t="n">
        <v>29</v>
      </c>
      <c r="G18" s="11" t="n">
        <v>0</v>
      </c>
      <c r="H18" s="15">
        <f>IF(F18&gt;=E18,(E18-0.5)/E18,IF(G18&gt;0,(F18+0.5*G18)/E18,F18/E18))</f>
        <v/>
      </c>
      <c r="I18" s="11" t="inlineStr">
        <is>
          <t>中间分位</t>
        </is>
      </c>
      <c r="J18" s="11" t="inlineStr"/>
    </row>
    <row r="19">
      <c r="A19" s="6" t="inlineStr">
        <is>
          <t>2022-10-14</t>
        </is>
      </c>
      <c r="B19" s="16" t="n">
        <v>0.04489082969432314</v>
      </c>
      <c r="C19" s="6" t="inlineStr">
        <is>
          <t>2022-08-17</t>
        </is>
      </c>
      <c r="D19" s="6" t="inlineStr">
        <is>
          <t>2022-10-13</t>
        </is>
      </c>
      <c r="E19" s="6" t="n">
        <v>34</v>
      </c>
      <c r="F19" s="6" t="n">
        <v>29</v>
      </c>
      <c r="G19" s="6" t="n">
        <v>0</v>
      </c>
      <c r="H19" s="10">
        <f>IF(F19&gt;=E19,(E19-0.5)/E19,IF(G19&gt;0,(F19+0.5*G19)/E19,F19/E19))</f>
        <v/>
      </c>
      <c r="I19" s="6" t="inlineStr">
        <is>
          <t>中间分位</t>
        </is>
      </c>
      <c r="J19" s="6" t="inlineStr"/>
    </row>
    <row r="20">
      <c r="A20" s="11" t="inlineStr">
        <is>
          <t>2022-10-17</t>
        </is>
      </c>
      <c r="B20" s="17" t="n">
        <v>0.05173333333333333</v>
      </c>
      <c r="C20" s="11" t="inlineStr">
        <is>
          <t>2022-08-17</t>
        </is>
      </c>
      <c r="D20" s="11" t="inlineStr">
        <is>
          <t>2022-10-14</t>
        </is>
      </c>
      <c r="E20" s="11" t="n">
        <v>35</v>
      </c>
      <c r="F20" s="11" t="n">
        <v>33</v>
      </c>
      <c r="G20" s="11" t="n">
        <v>0</v>
      </c>
      <c r="H20" s="15">
        <f>IF(F20&gt;=E20,(E20-0.5)/E20,IF(G20&gt;0,(F20+0.5*G20)/E20,F20/E20))</f>
        <v/>
      </c>
      <c r="I20" s="11" t="inlineStr">
        <is>
          <t>高分位</t>
        </is>
      </c>
      <c r="J20" s="11" t="inlineStr"/>
    </row>
    <row r="21">
      <c r="A21" s="6" t="inlineStr">
        <is>
          <t>2022-10-18</t>
        </is>
      </c>
      <c r="B21" s="16" t="n">
        <v>0.0475</v>
      </c>
      <c r="C21" s="6" t="inlineStr">
        <is>
          <t>2022-08-17</t>
        </is>
      </c>
      <c r="D21" s="6" t="inlineStr">
        <is>
          <t>2022-10-17</t>
        </is>
      </c>
      <c r="E21" s="6" t="n">
        <v>36</v>
      </c>
      <c r="F21" s="6" t="n">
        <v>32</v>
      </c>
      <c r="G21" s="6" t="n">
        <v>0</v>
      </c>
      <c r="H21" s="10">
        <f>IF(F21&gt;=E21,(E21-0.5)/E21,IF(G21&gt;0,(F21+0.5*G21)/E21,F21/E21))</f>
        <v/>
      </c>
      <c r="I21" s="6" t="inlineStr">
        <is>
          <t>中间分位</t>
        </is>
      </c>
      <c r="J21" s="6" t="inlineStr"/>
    </row>
    <row r="22">
      <c r="A22" s="11" t="inlineStr">
        <is>
          <t>2022-10-19</t>
        </is>
      </c>
      <c r="B22" s="17" t="n">
        <v>0.07345807345807345</v>
      </c>
      <c r="C22" s="11" t="inlineStr">
        <is>
          <t>2022-08-17</t>
        </is>
      </c>
      <c r="D22" s="11" t="inlineStr">
        <is>
          <t>2022-10-18</t>
        </is>
      </c>
      <c r="E22" s="11" t="n">
        <v>37</v>
      </c>
      <c r="F22" s="11" t="n">
        <v>36</v>
      </c>
      <c r="G22" s="11" t="n">
        <v>0</v>
      </c>
      <c r="H22" s="15">
        <f>IF(F22&gt;=E22,(E22-0.5)/E22,IF(G22&gt;0,(F22+0.5*G22)/E22,F22/E22))</f>
        <v/>
      </c>
      <c r="I22" s="11" t="inlineStr">
        <is>
          <t>高分位</t>
        </is>
      </c>
      <c r="J22" s="11" t="inlineStr"/>
    </row>
    <row r="23">
      <c r="A23" s="6" t="inlineStr">
        <is>
          <t>2022-10-20</t>
        </is>
      </c>
      <c r="B23" s="16" t="n">
        <v>0.0686680469289165</v>
      </c>
      <c r="C23" s="6" t="inlineStr">
        <is>
          <t>2022-08-17</t>
        </is>
      </c>
      <c r="D23" s="6" t="inlineStr">
        <is>
          <t>2022-10-19</t>
        </is>
      </c>
      <c r="E23" s="6" t="n">
        <v>38</v>
      </c>
      <c r="F23" s="6" t="n">
        <v>36</v>
      </c>
      <c r="G23" s="6" t="n">
        <v>0</v>
      </c>
      <c r="H23" s="10">
        <f>IF(F23&gt;=E23,(E23-0.5)/E23,IF(G23&gt;0,(F23+0.5*G23)/E23,F23/E23))</f>
        <v/>
      </c>
      <c r="I23" s="6" t="inlineStr">
        <is>
          <t>高分位</t>
        </is>
      </c>
      <c r="J23" s="6" t="inlineStr"/>
    </row>
    <row r="24">
      <c r="A24" s="11" t="inlineStr">
        <is>
          <t>2022-10-21</t>
        </is>
      </c>
      <c r="B24" s="17" t="n">
        <v>0.09053213545266067</v>
      </c>
      <c r="C24" s="11" t="inlineStr">
        <is>
          <t>2022-08-17</t>
        </is>
      </c>
      <c r="D24" s="11" t="inlineStr">
        <is>
          <t>2022-10-20</t>
        </is>
      </c>
      <c r="E24" s="11" t="n">
        <v>39</v>
      </c>
      <c r="F24" s="11" t="n">
        <v>39</v>
      </c>
      <c r="G24" s="11" t="n">
        <v>0</v>
      </c>
      <c r="H24" s="15">
        <f>IF(F24&gt;=E24,(E24-0.5)/E24,IF(G24&gt;0,(F24+0.5*G24)/E24,F24/E24))</f>
        <v/>
      </c>
      <c r="I24" s="11" t="inlineStr">
        <is>
          <t>高分位</t>
        </is>
      </c>
      <c r="J24" s="11" t="inlineStr"/>
    </row>
    <row r="25">
      <c r="A25" s="6" t="inlineStr">
        <is>
          <t>2022-10-24</t>
        </is>
      </c>
      <c r="B25" s="16" t="n">
        <v>0.1093539703903096</v>
      </c>
      <c r="C25" s="6" t="inlineStr">
        <is>
          <t>2022-08-17</t>
        </is>
      </c>
      <c r="D25" s="6" t="inlineStr">
        <is>
          <t>2022-10-21</t>
        </is>
      </c>
      <c r="E25" s="6" t="n">
        <v>40</v>
      </c>
      <c r="F25" s="6" t="n">
        <v>40</v>
      </c>
      <c r="G25" s="6" t="n">
        <v>0</v>
      </c>
      <c r="H25" s="10">
        <f>IF(F25&gt;=E25,(E25-0.5)/E25,IF(G25&gt;0,(F25+0.5*G25)/E25,F25/E25))</f>
        <v/>
      </c>
      <c r="I25" s="6" t="inlineStr">
        <is>
          <t>高分位</t>
        </is>
      </c>
      <c r="J25" s="6" t="inlineStr"/>
    </row>
    <row r="26">
      <c r="A26" s="11" t="inlineStr">
        <is>
          <t>2022-10-25</t>
        </is>
      </c>
      <c r="B26" s="17" t="n">
        <v>0.1149110807113543</v>
      </c>
      <c r="C26" s="11" t="inlineStr">
        <is>
          <t>2022-08-17</t>
        </is>
      </c>
      <c r="D26" s="11" t="inlineStr">
        <is>
          <t>2022-10-24</t>
        </is>
      </c>
      <c r="E26" s="11" t="n">
        <v>41</v>
      </c>
      <c r="F26" s="11" t="n">
        <v>41</v>
      </c>
      <c r="G26" s="11" t="n">
        <v>0</v>
      </c>
      <c r="H26" s="15">
        <f>IF(F26&gt;=E26,(E26-0.5)/E26,IF(G26&gt;0,(F26+0.5*G26)/E26,F26/E26))</f>
        <v/>
      </c>
      <c r="I26" s="11" t="inlineStr">
        <is>
          <t>高分位</t>
        </is>
      </c>
      <c r="J26" s="11" t="inlineStr"/>
    </row>
    <row r="27">
      <c r="A27" s="6" t="inlineStr">
        <is>
          <t>2022-10-26</t>
        </is>
      </c>
      <c r="B27" s="16" t="n">
        <v>0.09845288326300984</v>
      </c>
      <c r="C27" s="6" t="inlineStr">
        <is>
          <t>2022-08-17</t>
        </is>
      </c>
      <c r="D27" s="6" t="inlineStr">
        <is>
          <t>2022-10-25</t>
        </is>
      </c>
      <c r="E27" s="6" t="n">
        <v>42</v>
      </c>
      <c r="F27" s="6" t="n">
        <v>40</v>
      </c>
      <c r="G27" s="6" t="n">
        <v>0</v>
      </c>
      <c r="H27" s="10">
        <f>IF(F27&gt;=E27,(E27-0.5)/E27,IF(G27&gt;0,(F27+0.5*G27)/E27,F27/E27))</f>
        <v/>
      </c>
      <c r="I27" s="6" t="inlineStr">
        <is>
          <t>高分位</t>
        </is>
      </c>
      <c r="J27" s="6" t="inlineStr"/>
    </row>
    <row r="28">
      <c r="A28" s="11" t="inlineStr">
        <is>
          <t>2022-10-27</t>
        </is>
      </c>
      <c r="B28" s="17" t="n">
        <v>0.09686609686609686</v>
      </c>
      <c r="C28" s="11" t="inlineStr">
        <is>
          <t>2022-08-17</t>
        </is>
      </c>
      <c r="D28" s="11" t="inlineStr">
        <is>
          <t>2022-10-26</t>
        </is>
      </c>
      <c r="E28" s="11" t="n">
        <v>43</v>
      </c>
      <c r="F28" s="11" t="n">
        <v>40</v>
      </c>
      <c r="G28" s="11" t="n">
        <v>0</v>
      </c>
      <c r="H28" s="15">
        <f>IF(F28&gt;=E28,(E28-0.5)/E28,IF(G28&gt;0,(F28+0.5*G28)/E28,F28/E28))</f>
        <v/>
      </c>
      <c r="I28" s="11" t="inlineStr">
        <is>
          <t>高分位</t>
        </is>
      </c>
      <c r="J28" s="11" t="inlineStr"/>
    </row>
    <row r="29">
      <c r="A29" s="6" t="inlineStr">
        <is>
          <t>2022-10-28</t>
        </is>
      </c>
      <c r="B29" s="16" t="n">
        <v>0.095</v>
      </c>
      <c r="C29" s="6" t="inlineStr">
        <is>
          <t>2022-08-17</t>
        </is>
      </c>
      <c r="D29" s="6" t="inlineStr">
        <is>
          <t>2022-10-27</t>
        </is>
      </c>
      <c r="E29" s="6" t="n">
        <v>44</v>
      </c>
      <c r="F29" s="6" t="n">
        <v>40</v>
      </c>
      <c r="G29" s="6" t="n">
        <v>0</v>
      </c>
      <c r="H29" s="10">
        <f>IF(F29&gt;=E29,(E29-0.5)/E29,IF(G29&gt;0,(F29+0.5*G29)/E29,F29/E29))</f>
        <v/>
      </c>
      <c r="I29" s="6" t="inlineStr">
        <is>
          <t>高分位</t>
        </is>
      </c>
      <c r="J29" s="6" t="inlineStr"/>
    </row>
    <row r="30">
      <c r="A30" s="11" t="inlineStr">
        <is>
          <t>2022-10-31</t>
        </is>
      </c>
      <c r="B30" s="17" t="n">
        <v>0.1157142857142857</v>
      </c>
      <c r="C30" s="11" t="inlineStr">
        <is>
          <t>2022-08-17</t>
        </is>
      </c>
      <c r="D30" s="11" t="inlineStr">
        <is>
          <t>2022-10-28</t>
        </is>
      </c>
      <c r="E30" s="11" t="n">
        <v>45</v>
      </c>
      <c r="F30" s="11" t="n">
        <v>45</v>
      </c>
      <c r="G30" s="11" t="n">
        <v>0</v>
      </c>
      <c r="H30" s="15">
        <f>IF(F30&gt;=E30,(E30-0.5)/E30,IF(G30&gt;0,(F30+0.5*G30)/E30,F30/E30))</f>
        <v/>
      </c>
      <c r="I30" s="11" t="inlineStr">
        <is>
          <t>高分位</t>
        </is>
      </c>
      <c r="J30" s="11" t="inlineStr"/>
    </row>
    <row r="31">
      <c r="A31" s="6" t="inlineStr">
        <is>
          <t>2022-11-01</t>
        </is>
      </c>
      <c r="B31" s="16" t="n">
        <v>0.08458781362007169</v>
      </c>
      <c r="C31" s="6" t="inlineStr">
        <is>
          <t>2022-08-17</t>
        </is>
      </c>
      <c r="D31" s="6" t="inlineStr">
        <is>
          <t>2022-10-31</t>
        </is>
      </c>
      <c r="E31" s="6" t="n">
        <v>46</v>
      </c>
      <c r="F31" s="6" t="n">
        <v>39</v>
      </c>
      <c r="G31" s="6" t="n">
        <v>0</v>
      </c>
      <c r="H31" s="10">
        <f>IF(F31&gt;=E31,(E31-0.5)/E31,IF(G31&gt;0,(F31+0.5*G31)/E31,F31/E31))</f>
        <v/>
      </c>
      <c r="I31" s="6" t="inlineStr">
        <is>
          <t>中间分位</t>
        </is>
      </c>
      <c r="J31" s="6" t="inlineStr"/>
    </row>
    <row r="32">
      <c r="A32" s="11" t="inlineStr">
        <is>
          <t>2022-11-02</t>
        </is>
      </c>
      <c r="B32" s="17" t="n">
        <v>0.096262341325811</v>
      </c>
      <c r="C32" s="11" t="inlineStr">
        <is>
          <t>2022-08-17</t>
        </is>
      </c>
      <c r="D32" s="11" t="inlineStr">
        <is>
          <t>2022-11-01</t>
        </is>
      </c>
      <c r="E32" s="11" t="n">
        <v>47</v>
      </c>
      <c r="F32" s="11" t="n">
        <v>42</v>
      </c>
      <c r="G32" s="11" t="n">
        <v>0</v>
      </c>
      <c r="H32" s="15">
        <f>IF(F32&gt;=E32,(E32-0.5)/E32,IF(G32&gt;0,(F32+0.5*G32)/E32,F32/E32))</f>
        <v/>
      </c>
      <c r="I32" s="11" t="inlineStr">
        <is>
          <t>中间分位</t>
        </is>
      </c>
      <c r="J32" s="11" t="inlineStr"/>
    </row>
    <row r="33">
      <c r="A33" s="6" t="inlineStr">
        <is>
          <t>2022-11-03</t>
        </is>
      </c>
      <c r="B33" s="16" t="n">
        <v>0.101495162708883</v>
      </c>
      <c r="C33" s="6" t="inlineStr">
        <is>
          <t>2022-08-17</t>
        </is>
      </c>
      <c r="D33" s="6" t="inlineStr">
        <is>
          <t>2022-11-02</t>
        </is>
      </c>
      <c r="E33" s="6" t="n">
        <v>48</v>
      </c>
      <c r="F33" s="6" t="n">
        <v>45</v>
      </c>
      <c r="G33" s="6" t="n">
        <v>0</v>
      </c>
      <c r="H33" s="10">
        <f>IF(F33&gt;=E33,(E33-0.5)/E33,IF(G33&gt;0,(F33+0.5*G33)/E33,F33/E33))</f>
        <v/>
      </c>
      <c r="I33" s="6" t="inlineStr">
        <is>
          <t>高分位</t>
        </is>
      </c>
      <c r="J33" s="6" t="inlineStr"/>
    </row>
    <row r="34">
      <c r="A34" s="11" t="inlineStr">
        <is>
          <t>2022-11-04</t>
        </is>
      </c>
      <c r="B34" s="17" t="n">
        <v>0.08347948088390039</v>
      </c>
      <c r="C34" s="11" t="inlineStr">
        <is>
          <t>2022-08-17</t>
        </is>
      </c>
      <c r="D34" s="11" t="inlineStr">
        <is>
          <t>2022-11-03</t>
        </is>
      </c>
      <c r="E34" s="11" t="n">
        <v>49</v>
      </c>
      <c r="F34" s="11" t="n">
        <v>39</v>
      </c>
      <c r="G34" s="11" t="n">
        <v>0</v>
      </c>
      <c r="H34" s="15">
        <f>IF(F34&gt;=E34,(E34-0.5)/E34,IF(G34&gt;0,(F34+0.5*G34)/E34,F34/E34))</f>
        <v/>
      </c>
      <c r="I34" s="11" t="inlineStr">
        <is>
          <t>中间分位</t>
        </is>
      </c>
      <c r="J34" s="11" t="inlineStr"/>
    </row>
    <row r="35">
      <c r="A35" s="6" t="inlineStr">
        <is>
          <t>2022-11-07</t>
        </is>
      </c>
      <c r="B35" s="16" t="n">
        <v>0.09741620111731844</v>
      </c>
      <c r="C35" s="6" t="inlineStr">
        <is>
          <t>2022-08-17</t>
        </is>
      </c>
      <c r="D35" s="6" t="inlineStr">
        <is>
          <t>2022-11-04</t>
        </is>
      </c>
      <c r="E35" s="6" t="n">
        <v>50</v>
      </c>
      <c r="F35" s="6" t="n">
        <v>45</v>
      </c>
      <c r="G35" s="6" t="n">
        <v>0</v>
      </c>
      <c r="H35" s="10">
        <f>IF(F35&gt;=E35,(E35-0.5)/E35,IF(G35&gt;0,(F35+0.5*G35)/E35,F35/E35))</f>
        <v/>
      </c>
      <c r="I35" s="6" t="inlineStr">
        <is>
          <t>高分位</t>
        </is>
      </c>
      <c r="J35" s="6" t="inlineStr"/>
    </row>
    <row r="36">
      <c r="A36" s="11" t="inlineStr">
        <is>
          <t>2022-11-08</t>
        </is>
      </c>
      <c r="B36" s="17" t="n">
        <v>0.08521923620933522</v>
      </c>
      <c r="C36" s="11" t="inlineStr">
        <is>
          <t>2022-08-17</t>
        </is>
      </c>
      <c r="D36" s="11" t="inlineStr">
        <is>
          <t>2022-11-07</t>
        </is>
      </c>
      <c r="E36" s="11" t="n">
        <v>51</v>
      </c>
      <c r="F36" s="11" t="n">
        <v>41</v>
      </c>
      <c r="G36" s="11" t="n">
        <v>0</v>
      </c>
      <c r="H36" s="15">
        <f>IF(F36&gt;=E36,(E36-0.5)/E36,IF(G36&gt;0,(F36+0.5*G36)/E36,F36/E36))</f>
        <v/>
      </c>
      <c r="I36" s="11" t="inlineStr">
        <is>
          <t>中间分位</t>
        </is>
      </c>
      <c r="J36" s="11" t="inlineStr"/>
    </row>
    <row r="37">
      <c r="A37" s="6" t="inlineStr">
        <is>
          <t>2022-11-09</t>
        </is>
      </c>
      <c r="B37" s="16" t="n">
        <v>0.101628895184136</v>
      </c>
      <c r="C37" s="6" t="inlineStr">
        <is>
          <t>2022-08-17</t>
        </is>
      </c>
      <c r="D37" s="6" t="inlineStr">
        <is>
          <t>2022-11-08</t>
        </is>
      </c>
      <c r="E37" s="6" t="n">
        <v>52</v>
      </c>
      <c r="F37" s="6" t="n">
        <v>49</v>
      </c>
      <c r="G37" s="6" t="n">
        <v>0</v>
      </c>
      <c r="H37" s="10">
        <f>IF(F37&gt;=E37,(E37-0.5)/E37,IF(G37&gt;0,(F37+0.5*G37)/E37,F37/E37))</f>
        <v/>
      </c>
      <c r="I37" s="6" t="inlineStr">
        <is>
          <t>高分位</t>
        </is>
      </c>
      <c r="J37" s="6" t="inlineStr"/>
    </row>
    <row r="38">
      <c r="A38" s="11" t="inlineStr">
        <is>
          <t>2022-11-10</t>
        </is>
      </c>
      <c r="B38" s="17" t="n">
        <v>0.1002729754322111</v>
      </c>
      <c r="C38" s="11" t="inlineStr">
        <is>
          <t>2022-08-17</t>
        </is>
      </c>
      <c r="D38" s="11" t="inlineStr">
        <is>
          <t>2022-11-09</t>
        </is>
      </c>
      <c r="E38" s="11" t="n">
        <v>53</v>
      </c>
      <c r="F38" s="11" t="n">
        <v>48</v>
      </c>
      <c r="G38" s="11" t="n">
        <v>0</v>
      </c>
      <c r="H38" s="15">
        <f>IF(F38&gt;=E38,(E38-0.5)/E38,IF(G38&gt;0,(F38+0.5*G38)/E38,F38/E38))</f>
        <v/>
      </c>
      <c r="I38" s="11" t="inlineStr">
        <is>
          <t>高分位</t>
        </is>
      </c>
      <c r="J38" s="11" t="inlineStr"/>
    </row>
    <row r="39">
      <c r="A39" s="6" t="inlineStr">
        <is>
          <t>2022-11-11</t>
        </is>
      </c>
      <c r="B39" s="16" t="n">
        <v>0.05040365275089442</v>
      </c>
      <c r="C39" s="6" t="inlineStr">
        <is>
          <t>2022-08-17</t>
        </is>
      </c>
      <c r="D39" s="6" t="inlineStr">
        <is>
          <t>2022-11-10</t>
        </is>
      </c>
      <c r="E39" s="6" t="n">
        <v>54</v>
      </c>
      <c r="F39" s="6" t="n">
        <v>34</v>
      </c>
      <c r="G39" s="6" t="n">
        <v>0</v>
      </c>
      <c r="H39" s="10">
        <f>IF(F39&gt;=E39,(E39-0.5)/E39,IF(G39&gt;0,(F39+0.5*G39)/E39,F39/E39))</f>
        <v/>
      </c>
      <c r="I39" s="6" t="inlineStr">
        <is>
          <t>中间分位</t>
        </is>
      </c>
      <c r="J39" s="6" t="inlineStr"/>
    </row>
    <row r="40">
      <c r="A40" s="11" t="inlineStr">
        <is>
          <t>2022-11-14</t>
        </is>
      </c>
      <c r="B40" s="17" t="n">
        <v>0.07470747074707471</v>
      </c>
      <c r="C40" s="11" t="inlineStr">
        <is>
          <t>2022-08-17</t>
        </is>
      </c>
      <c r="D40" s="11" t="inlineStr">
        <is>
          <t>2022-11-11</t>
        </is>
      </c>
      <c r="E40" s="11" t="n">
        <v>55</v>
      </c>
      <c r="F40" s="11" t="n">
        <v>39</v>
      </c>
      <c r="G40" s="11" t="n">
        <v>0</v>
      </c>
      <c r="H40" s="15">
        <f>IF(F40&gt;=E40,(E40-0.5)/E40,IF(G40&gt;0,(F40+0.5*G40)/E40,F40/E40))</f>
        <v/>
      </c>
      <c r="I40" s="11" t="inlineStr">
        <is>
          <t>中间分位</t>
        </is>
      </c>
      <c r="J40" s="11" t="inlineStr"/>
    </row>
    <row r="41">
      <c r="A41" s="6" t="inlineStr">
        <is>
          <t>2022-11-15</t>
        </is>
      </c>
      <c r="B41" s="16" t="n">
        <v>0.07329672724414736</v>
      </c>
      <c r="C41" s="6" t="inlineStr">
        <is>
          <t>2022-08-17</t>
        </is>
      </c>
      <c r="D41" s="6" t="inlineStr">
        <is>
          <t>2022-11-14</t>
        </is>
      </c>
      <c r="E41" s="6" t="n">
        <v>56</v>
      </c>
      <c r="F41" s="6" t="n">
        <v>38</v>
      </c>
      <c r="G41" s="6" t="n">
        <v>0</v>
      </c>
      <c r="H41" s="10">
        <f>IF(F41&gt;=E41,(E41-0.5)/E41,IF(G41&gt;0,(F41+0.5*G41)/E41,F41/E41))</f>
        <v/>
      </c>
      <c r="I41" s="6" t="inlineStr">
        <is>
          <t>中间分位</t>
        </is>
      </c>
      <c r="J41" s="6" t="inlineStr"/>
    </row>
    <row r="42">
      <c r="A42" s="11" t="inlineStr">
        <is>
          <t>2022-11-16</t>
        </is>
      </c>
      <c r="B42" s="17" t="n">
        <v>0.06758074715004804</v>
      </c>
      <c r="C42" s="11" t="inlineStr">
        <is>
          <t>2022-08-17</t>
        </is>
      </c>
      <c r="D42" s="11" t="inlineStr">
        <is>
          <t>2022-11-15</t>
        </is>
      </c>
      <c r="E42" s="11" t="n">
        <v>57</v>
      </c>
      <c r="F42" s="11" t="n">
        <v>37</v>
      </c>
      <c r="G42" s="11" t="n">
        <v>0</v>
      </c>
      <c r="H42" s="15">
        <f>IF(F42&gt;=E42,(E42-0.5)/E42,IF(G42&gt;0,(F42+0.5*G42)/E42,F42/E42))</f>
        <v/>
      </c>
      <c r="I42" s="11" t="inlineStr">
        <is>
          <t>中间分位</t>
        </is>
      </c>
      <c r="J42" s="11" t="inlineStr"/>
    </row>
    <row r="43">
      <c r="A43" s="6" t="inlineStr">
        <is>
          <t>2022-11-17</t>
        </is>
      </c>
      <c r="B43" s="16" t="n">
        <v>0.1013262599469496</v>
      </c>
      <c r="C43" s="6" t="inlineStr">
        <is>
          <t>2022-08-17</t>
        </is>
      </c>
      <c r="D43" s="6" t="inlineStr">
        <is>
          <t>2022-11-16</t>
        </is>
      </c>
      <c r="E43" s="6" t="n">
        <v>58</v>
      </c>
      <c r="F43" s="6" t="n">
        <v>53</v>
      </c>
      <c r="G43" s="6" t="n">
        <v>0</v>
      </c>
      <c r="H43" s="10">
        <f>IF(F43&gt;=E43,(E43-0.5)/E43,IF(G43&gt;0,(F43+0.5*G43)/E43,F43/E43))</f>
        <v/>
      </c>
      <c r="I43" s="6" t="inlineStr">
        <is>
          <t>高分位</t>
        </is>
      </c>
      <c r="J43" s="6" t="inlineStr"/>
    </row>
    <row r="44">
      <c r="A44" s="11" t="inlineStr">
        <is>
          <t>2022-11-18</t>
        </is>
      </c>
      <c r="B44" s="17" t="n">
        <v>0.07214285714285715</v>
      </c>
      <c r="C44" s="11" t="inlineStr">
        <is>
          <t>2022-08-17</t>
        </is>
      </c>
      <c r="D44" s="11" t="inlineStr">
        <is>
          <t>2022-11-17</t>
        </is>
      </c>
      <c r="E44" s="11" t="n">
        <v>59</v>
      </c>
      <c r="F44" s="11" t="n">
        <v>39</v>
      </c>
      <c r="G44" s="11" t="n">
        <v>0</v>
      </c>
      <c r="H44" s="15">
        <f>IF(F44&gt;=E44,(E44-0.5)/E44,IF(G44&gt;0,(F44+0.5*G44)/E44,F44/E44))</f>
        <v/>
      </c>
      <c r="I44" s="11" t="inlineStr">
        <is>
          <t>中间分位</t>
        </is>
      </c>
      <c r="J44" s="11" t="inlineStr"/>
    </row>
    <row r="45">
      <c r="A45" s="6" t="inlineStr">
        <is>
          <t>2022-11-21</t>
        </is>
      </c>
      <c r="B45" s="16" t="n">
        <v>0.107926139666635</v>
      </c>
      <c r="C45" s="6" t="inlineStr">
        <is>
          <t>2022-08-17</t>
        </is>
      </c>
      <c r="D45" s="6" t="inlineStr">
        <is>
          <t>2022-11-18</t>
        </is>
      </c>
      <c r="E45" s="6" t="n">
        <v>60</v>
      </c>
      <c r="F45" s="6" t="n">
        <v>57</v>
      </c>
      <c r="G45" s="6" t="n">
        <v>0</v>
      </c>
      <c r="H45" s="10">
        <f>IF(F45&gt;=E45,(E45-0.5)/E45,IF(G45&gt;0,(F45+0.5*G45)/E45,F45/E45))</f>
        <v/>
      </c>
      <c r="I45" s="6" t="inlineStr">
        <is>
          <t>高分位</t>
        </is>
      </c>
      <c r="J45" s="6" t="inlineStr"/>
    </row>
    <row r="46">
      <c r="A46" s="11" t="inlineStr">
        <is>
          <t>2022-11-22</t>
        </is>
      </c>
      <c r="B46" s="17" t="n">
        <v>0.08997504770292089</v>
      </c>
      <c r="C46" s="11" t="inlineStr">
        <is>
          <t>2022-08-17</t>
        </is>
      </c>
      <c r="D46" s="11" t="inlineStr">
        <is>
          <t>2022-11-21</t>
        </is>
      </c>
      <c r="E46" s="11" t="n">
        <v>61</v>
      </c>
      <c r="F46" s="11" t="n">
        <v>47</v>
      </c>
      <c r="G46" s="11" t="n">
        <v>0</v>
      </c>
      <c r="H46" s="15">
        <f>IF(F46&gt;=E46,(E46-0.5)/E46,IF(G46&gt;0,(F46+0.5*G46)/E46,F46/E46))</f>
        <v/>
      </c>
      <c r="I46" s="11" t="inlineStr">
        <is>
          <t>中间分位</t>
        </is>
      </c>
      <c r="J46" s="11" t="inlineStr"/>
    </row>
    <row r="47">
      <c r="A47" s="6" t="inlineStr">
        <is>
          <t>2022-11-23</t>
        </is>
      </c>
      <c r="B47" s="16" t="n">
        <v>0.09133154602323502</v>
      </c>
      <c r="C47" s="6" t="inlineStr">
        <is>
          <t>2022-08-17</t>
        </is>
      </c>
      <c r="D47" s="6" t="inlineStr">
        <is>
          <t>2022-11-22</t>
        </is>
      </c>
      <c r="E47" s="6" t="n">
        <v>62</v>
      </c>
      <c r="F47" s="6" t="n">
        <v>49</v>
      </c>
      <c r="G47" s="6" t="n">
        <v>0</v>
      </c>
      <c r="H47" s="10">
        <f>IF(F47&gt;=E47,(E47-0.5)/E47,IF(G47&gt;0,(F47+0.5*G47)/E47,F47/E47))</f>
        <v/>
      </c>
      <c r="I47" s="6" t="inlineStr">
        <is>
          <t>中间分位</t>
        </is>
      </c>
      <c r="J47" s="6" t="inlineStr"/>
    </row>
    <row r="48">
      <c r="A48" s="11" t="inlineStr">
        <is>
          <t>2022-11-24</t>
        </is>
      </c>
      <c r="B48" s="17" t="n">
        <v>0.07205750224618149</v>
      </c>
      <c r="C48" s="11" t="inlineStr">
        <is>
          <t>2022-08-17</t>
        </is>
      </c>
      <c r="D48" s="11" t="inlineStr">
        <is>
          <t>2022-11-23</t>
        </is>
      </c>
      <c r="E48" s="11" t="n">
        <v>63</v>
      </c>
      <c r="F48" s="11" t="n">
        <v>39</v>
      </c>
      <c r="G48" s="11" t="n">
        <v>0</v>
      </c>
      <c r="H48" s="15">
        <f>IF(F48&gt;=E48,(E48-0.5)/E48,IF(G48&gt;0,(F48+0.5*G48)/E48,F48/E48))</f>
        <v/>
      </c>
      <c r="I48" s="11" t="inlineStr">
        <is>
          <t>中间分位</t>
        </is>
      </c>
      <c r="J48" s="11" t="inlineStr"/>
    </row>
    <row r="49">
      <c r="A49" s="6" t="inlineStr">
        <is>
          <t>2022-11-25</t>
        </is>
      </c>
      <c r="B49" s="16" t="n">
        <v>0.05342393469809716</v>
      </c>
      <c r="C49" s="6" t="inlineStr">
        <is>
          <t>2022-08-17</t>
        </is>
      </c>
      <c r="D49" s="6" t="inlineStr">
        <is>
          <t>2022-11-24</t>
        </is>
      </c>
      <c r="E49" s="6" t="n">
        <v>64</v>
      </c>
      <c r="F49" s="6" t="n">
        <v>36</v>
      </c>
      <c r="G49" s="6" t="n">
        <v>0</v>
      </c>
      <c r="H49" s="10">
        <f>IF(F49&gt;=E49,(E49-0.5)/E49,IF(G49&gt;0,(F49+0.5*G49)/E49,F49/E49))</f>
        <v/>
      </c>
      <c r="I49" s="6" t="inlineStr">
        <is>
          <t>中间分位</t>
        </is>
      </c>
      <c r="J49" s="6" t="inlineStr"/>
    </row>
    <row r="50">
      <c r="A50" s="11" t="inlineStr">
        <is>
          <t>2022-11-28</t>
        </is>
      </c>
      <c r="B50" s="17" t="n">
        <v>0.08950908179124861</v>
      </c>
      <c r="C50" s="11" t="inlineStr">
        <is>
          <t>2022-08-17</t>
        </is>
      </c>
      <c r="D50" s="11" t="inlineStr">
        <is>
          <t>2022-11-25</t>
        </is>
      </c>
      <c r="E50" s="11" t="n">
        <v>65</v>
      </c>
      <c r="F50" s="11" t="n">
        <v>49</v>
      </c>
      <c r="G50" s="11" t="n">
        <v>0</v>
      </c>
      <c r="H50" s="15">
        <f>IF(F50&gt;=E50,(E50-0.5)/E50,IF(G50&gt;0,(F50+0.5*G50)/E50,F50/E50))</f>
        <v/>
      </c>
      <c r="I50" s="11" t="inlineStr">
        <is>
          <t>中间分位</t>
        </is>
      </c>
      <c r="J50" s="11" t="inlineStr"/>
    </row>
    <row r="51">
      <c r="A51" s="6" t="inlineStr">
        <is>
          <t>2022-11-29</t>
        </is>
      </c>
      <c r="B51" s="16" t="n">
        <v>0.04930460411313856</v>
      </c>
      <c r="C51" s="6" t="inlineStr">
        <is>
          <t>2022-08-17</t>
        </is>
      </c>
      <c r="D51" s="6" t="inlineStr">
        <is>
          <t>2022-11-28</t>
        </is>
      </c>
      <c r="E51" s="6" t="n">
        <v>66</v>
      </c>
      <c r="F51" s="6" t="n">
        <v>34</v>
      </c>
      <c r="G51" s="6" t="n">
        <v>0</v>
      </c>
      <c r="H51" s="10">
        <f>IF(F51&gt;=E51,(E51-0.5)/E51,IF(G51&gt;0,(F51+0.5*G51)/E51,F51/E51))</f>
        <v/>
      </c>
      <c r="I51" s="6" t="inlineStr">
        <is>
          <t>中间分位</t>
        </is>
      </c>
      <c r="J51" s="6" t="inlineStr"/>
    </row>
    <row r="52">
      <c r="A52" s="11" t="inlineStr">
        <is>
          <t>2022-11-30</t>
        </is>
      </c>
      <c r="B52" s="17" t="n">
        <v>0.06921815042554644</v>
      </c>
      <c r="C52" s="11" t="inlineStr">
        <is>
          <t>2022-08-17</t>
        </is>
      </c>
      <c r="D52" s="11" t="inlineStr">
        <is>
          <t>2022-11-29</t>
        </is>
      </c>
      <c r="E52" s="11" t="n">
        <v>67</v>
      </c>
      <c r="F52" s="11" t="n">
        <v>41</v>
      </c>
      <c r="G52" s="11" t="n">
        <v>0</v>
      </c>
      <c r="H52" s="15">
        <f>IF(F52&gt;=E52,(E52-0.5)/E52,IF(G52&gt;0,(F52+0.5*G52)/E52,F52/E52))</f>
        <v/>
      </c>
      <c r="I52" s="11" t="inlineStr">
        <is>
          <t>中间分位</t>
        </is>
      </c>
      <c r="J52" s="11" t="inlineStr"/>
    </row>
    <row r="53">
      <c r="A53" s="6" t="inlineStr">
        <is>
          <t>2022-12-01</t>
        </is>
      </c>
      <c r="B53" s="16" t="n">
        <v>0.05845142348819586</v>
      </c>
      <c r="C53" s="6" t="inlineStr">
        <is>
          <t>2022-08-17</t>
        </is>
      </c>
      <c r="D53" s="6" t="inlineStr">
        <is>
          <t>2022-11-30</t>
        </is>
      </c>
      <c r="E53" s="6" t="n">
        <v>68</v>
      </c>
      <c r="F53" s="6" t="n">
        <v>38</v>
      </c>
      <c r="G53" s="6" t="n">
        <v>0</v>
      </c>
      <c r="H53" s="10">
        <f>IF(F53&gt;=E53,(E53-0.5)/E53,IF(G53&gt;0,(F53+0.5*G53)/E53,F53/E53))</f>
        <v/>
      </c>
      <c r="I53" s="6" t="inlineStr">
        <is>
          <t>中间分位</t>
        </is>
      </c>
      <c r="J53" s="6" t="inlineStr"/>
    </row>
    <row r="54">
      <c r="A54" s="11" t="inlineStr">
        <is>
          <t>2022-12-02</t>
        </is>
      </c>
      <c r="B54" s="17" t="n">
        <v>0.03269231486349924</v>
      </c>
      <c r="C54" s="11" t="inlineStr">
        <is>
          <t>2022-08-17</t>
        </is>
      </c>
      <c r="D54" s="11" t="inlineStr">
        <is>
          <t>2022-12-01</t>
        </is>
      </c>
      <c r="E54" s="11" t="n">
        <v>69</v>
      </c>
      <c r="F54" s="11" t="n">
        <v>23</v>
      </c>
      <c r="G54" s="11" t="n">
        <v>0</v>
      </c>
      <c r="H54" s="15">
        <f>IF(F54&gt;=E54,(E54-0.5)/E54,IF(G54&gt;0,(F54+0.5*G54)/E54,F54/E54))</f>
        <v/>
      </c>
      <c r="I54" s="11" t="inlineStr">
        <is>
          <t>中间分位</t>
        </is>
      </c>
      <c r="J54" s="11" t="inlineStr"/>
    </row>
    <row r="55">
      <c r="A55" s="6" t="inlineStr">
        <is>
          <t>2022-12-05</t>
        </is>
      </c>
      <c r="B55" s="16" t="n">
        <v>0.05093632958801498</v>
      </c>
      <c r="C55" s="6" t="inlineStr">
        <is>
          <t>2022-08-17</t>
        </is>
      </c>
      <c r="D55" s="6" t="inlineStr">
        <is>
          <t>2022-12-02</t>
        </is>
      </c>
      <c r="E55" s="6" t="n">
        <v>70</v>
      </c>
      <c r="F55" s="6" t="n">
        <v>37</v>
      </c>
      <c r="G55" s="6" t="n">
        <v>0</v>
      </c>
      <c r="H55" s="10">
        <f>IF(F55&gt;=E55,(E55-0.5)/E55,IF(G55&gt;0,(F55+0.5*G55)/E55,F55/E55))</f>
        <v/>
      </c>
      <c r="I55" s="6" t="inlineStr">
        <is>
          <t>中间分位</t>
        </is>
      </c>
      <c r="J55" s="6" t="inlineStr"/>
    </row>
    <row r="56">
      <c r="A56" s="11" t="inlineStr">
        <is>
          <t>2022-12-06</t>
        </is>
      </c>
      <c r="B56" s="17" t="n">
        <v>0.06292134831460675</v>
      </c>
      <c r="C56" s="11" t="inlineStr">
        <is>
          <t>2022-08-17</t>
        </is>
      </c>
      <c r="D56" s="11" t="inlineStr">
        <is>
          <t>2022-12-05</t>
        </is>
      </c>
      <c r="E56" s="11" t="n">
        <v>71</v>
      </c>
      <c r="F56" s="11" t="n">
        <v>41</v>
      </c>
      <c r="G56" s="11" t="n">
        <v>0</v>
      </c>
      <c r="H56" s="15">
        <f>IF(F56&gt;=E56,(E56-0.5)/E56,IF(G56&gt;0,(F56+0.5*G56)/E56,F56/E56))</f>
        <v/>
      </c>
      <c r="I56" s="11" t="inlineStr">
        <is>
          <t>中间分位</t>
        </is>
      </c>
      <c r="J56" s="11" t="inlineStr"/>
    </row>
    <row r="57">
      <c r="A57" s="6" t="inlineStr">
        <is>
          <t>2022-12-07</t>
        </is>
      </c>
      <c r="B57" s="16" t="n">
        <v>0.08259627873202903</v>
      </c>
      <c r="C57" s="6" t="inlineStr">
        <is>
          <t>2022-08-17</t>
        </is>
      </c>
      <c r="D57" s="6" t="inlineStr">
        <is>
          <t>2022-12-06</t>
        </is>
      </c>
      <c r="E57" s="6" t="n">
        <v>72</v>
      </c>
      <c r="F57" s="6" t="n">
        <v>52</v>
      </c>
      <c r="G57" s="6" t="n">
        <v>0</v>
      </c>
      <c r="H57" s="10">
        <f>IF(F57&gt;=E57,(E57-0.5)/E57,IF(G57&gt;0,(F57+0.5*G57)/E57,F57/E57))</f>
        <v/>
      </c>
      <c r="I57" s="6" t="inlineStr">
        <is>
          <t>中间分位</t>
        </is>
      </c>
      <c r="J57" s="6" t="inlineStr"/>
    </row>
    <row r="58">
      <c r="A58" s="11" t="inlineStr">
        <is>
          <t>2022-12-08</t>
        </is>
      </c>
      <c r="B58" s="17" t="n">
        <v>0.05632669252804509</v>
      </c>
      <c r="C58" s="11" t="inlineStr">
        <is>
          <t>2022-08-17</t>
        </is>
      </c>
      <c r="D58" s="11" t="inlineStr">
        <is>
          <t>2022-12-07</t>
        </is>
      </c>
      <c r="E58" s="11" t="n">
        <v>73</v>
      </c>
      <c r="F58" s="11" t="n">
        <v>40</v>
      </c>
      <c r="G58" s="11" t="n">
        <v>0</v>
      </c>
      <c r="H58" s="15">
        <f>IF(F58&gt;=E58,(E58-0.5)/E58,IF(G58&gt;0,(F58+0.5*G58)/E58,F58/E58))</f>
        <v/>
      </c>
      <c r="I58" s="11" t="inlineStr">
        <is>
          <t>中间分位</t>
        </is>
      </c>
      <c r="J58" s="11" t="inlineStr"/>
    </row>
    <row r="59">
      <c r="A59" s="6" t="inlineStr">
        <is>
          <t>2022-12-09</t>
        </is>
      </c>
      <c r="B59" s="16" t="n">
        <v>0.05231278997746677</v>
      </c>
      <c r="C59" s="6" t="inlineStr">
        <is>
          <t>2022-08-17</t>
        </is>
      </c>
      <c r="D59" s="6" t="inlineStr">
        <is>
          <t>2022-12-08</t>
        </is>
      </c>
      <c r="E59" s="6" t="n">
        <v>74</v>
      </c>
      <c r="F59" s="6" t="n">
        <v>39</v>
      </c>
      <c r="G59" s="6" t="n">
        <v>0</v>
      </c>
      <c r="H59" s="10">
        <f>IF(F59&gt;=E59,(E59-0.5)/E59,IF(G59&gt;0,(F59+0.5*G59)/E59,F59/E59))</f>
        <v/>
      </c>
      <c r="I59" s="6" t="inlineStr">
        <is>
          <t>中间分位</t>
        </is>
      </c>
      <c r="J59" s="6" t="inlineStr"/>
    </row>
    <row r="60">
      <c r="A60" s="11" t="inlineStr">
        <is>
          <t>2022-12-12</t>
        </is>
      </c>
      <c r="B60" s="17" t="n">
        <v>0.05708955223880597</v>
      </c>
      <c r="C60" s="11" t="inlineStr">
        <is>
          <t>2022-08-17</t>
        </is>
      </c>
      <c r="D60" s="11" t="inlineStr">
        <is>
          <t>2022-12-09</t>
        </is>
      </c>
      <c r="E60" s="11" t="n">
        <v>75</v>
      </c>
      <c r="F60" s="11" t="n">
        <v>42</v>
      </c>
      <c r="G60" s="11" t="n">
        <v>0</v>
      </c>
      <c r="H60" s="15">
        <f>IF(F60&gt;=E60,(E60-0.5)/E60,IF(G60&gt;0,(F60+0.5*G60)/E60,F60/E60))</f>
        <v/>
      </c>
      <c r="I60" s="11" t="inlineStr">
        <is>
          <t>中间分位</t>
        </is>
      </c>
      <c r="J60" s="11" t="inlineStr"/>
    </row>
    <row r="61">
      <c r="A61" s="6" t="inlineStr">
        <is>
          <t>2022-12-13</t>
        </is>
      </c>
      <c r="B61" s="16" t="n">
        <v>0.0550185873605948</v>
      </c>
      <c r="C61" s="6" t="inlineStr">
        <is>
          <t>2022-08-17</t>
        </is>
      </c>
      <c r="D61" s="6" t="inlineStr">
        <is>
          <t>2022-12-12</t>
        </is>
      </c>
      <c r="E61" s="6" t="n">
        <v>76</v>
      </c>
      <c r="F61" s="6" t="n">
        <v>41</v>
      </c>
      <c r="G61" s="6" t="n">
        <v>0</v>
      </c>
      <c r="H61" s="10">
        <f>IF(F61&gt;=E61,(E61-0.5)/E61,IF(G61&gt;0,(F61+0.5*G61)/E61,F61/E61))</f>
        <v/>
      </c>
      <c r="I61" s="6" t="inlineStr">
        <is>
          <t>中间分位</t>
        </is>
      </c>
      <c r="J61" s="6" t="inlineStr"/>
    </row>
    <row r="62">
      <c r="A62" s="11" t="inlineStr">
        <is>
          <t>2022-12-14</t>
        </is>
      </c>
      <c r="B62" s="17" t="n">
        <v>0.03865844077994512</v>
      </c>
      <c r="C62" s="11" t="inlineStr">
        <is>
          <t>2022-08-17</t>
        </is>
      </c>
      <c r="D62" s="11" t="inlineStr">
        <is>
          <t>2022-12-13</t>
        </is>
      </c>
      <c r="E62" s="11" t="n">
        <v>77</v>
      </c>
      <c r="F62" s="11" t="n">
        <v>29</v>
      </c>
      <c r="G62" s="11" t="n">
        <v>0</v>
      </c>
      <c r="H62" s="15">
        <f>IF(F62&gt;=E62,(E62-0.5)/E62,IF(G62&gt;0,(F62+0.5*G62)/E62,F62/E62))</f>
        <v/>
      </c>
      <c r="I62" s="11" t="inlineStr">
        <is>
          <t>中间分位</t>
        </is>
      </c>
      <c r="J62" s="11" t="inlineStr"/>
    </row>
    <row r="63">
      <c r="A63" s="6" t="inlineStr">
        <is>
          <t>2022-12-15</t>
        </is>
      </c>
      <c r="B63" s="16" t="n">
        <v>0.02227616788851119</v>
      </c>
      <c r="C63" s="6" t="inlineStr">
        <is>
          <t>2022-08-17</t>
        </is>
      </c>
      <c r="D63" s="6" t="inlineStr">
        <is>
          <t>2022-12-14</t>
        </is>
      </c>
      <c r="E63" s="6" t="n">
        <v>78</v>
      </c>
      <c r="F63" s="6" t="n">
        <v>22</v>
      </c>
      <c r="G63" s="6" t="n">
        <v>0</v>
      </c>
      <c r="H63" s="10">
        <f>IF(F63&gt;=E63,(E63-0.5)/E63,IF(G63&gt;0,(F63+0.5*G63)/E63,F63/E63))</f>
        <v/>
      </c>
      <c r="I63" s="6" t="inlineStr">
        <is>
          <t>中间分位</t>
        </is>
      </c>
      <c r="J63" s="6" t="inlineStr"/>
    </row>
    <row r="64">
      <c r="A64" s="11" t="inlineStr">
        <is>
          <t>2022-12-16</t>
        </is>
      </c>
      <c r="B64" s="17" t="n">
        <v>0.02327196424637741</v>
      </c>
      <c r="C64" s="11" t="inlineStr">
        <is>
          <t>2022-08-17</t>
        </is>
      </c>
      <c r="D64" s="11" t="inlineStr">
        <is>
          <t>2022-12-15</t>
        </is>
      </c>
      <c r="E64" s="11" t="n">
        <v>79</v>
      </c>
      <c r="F64" s="11" t="n">
        <v>23</v>
      </c>
      <c r="G64" s="11" t="n">
        <v>0</v>
      </c>
      <c r="H64" s="15">
        <f>IF(F64&gt;=E64,(E64-0.5)/E64,IF(G64&gt;0,(F64+0.5*G64)/E64,F64/E64))</f>
        <v/>
      </c>
      <c r="I64" s="11" t="inlineStr">
        <is>
          <t>中间分位</t>
        </is>
      </c>
      <c r="J64" s="11" t="inlineStr"/>
    </row>
    <row r="65">
      <c r="A65" s="6" t="inlineStr">
        <is>
          <t>2022-12-19</t>
        </is>
      </c>
      <c r="B65" s="16" t="n">
        <v>0.03194105044374075</v>
      </c>
      <c r="C65" s="6" t="inlineStr">
        <is>
          <t>2022-08-17</t>
        </is>
      </c>
      <c r="D65" s="6" t="inlineStr">
        <is>
          <t>2022-12-16</t>
        </is>
      </c>
      <c r="E65" s="6" t="n">
        <v>80</v>
      </c>
      <c r="F65" s="6" t="n">
        <v>25</v>
      </c>
      <c r="G65" s="6" t="n">
        <v>0</v>
      </c>
      <c r="H65" s="10">
        <f>IF(F65&gt;=E65,(E65-0.5)/E65,IF(G65&gt;0,(F65+0.5*G65)/E65,F65/E65))</f>
        <v/>
      </c>
      <c r="I65" s="6" t="inlineStr">
        <is>
          <t>中间分位</t>
        </is>
      </c>
      <c r="J65" s="6" t="inlineStr"/>
    </row>
    <row r="66">
      <c r="A66" s="11" t="inlineStr">
        <is>
          <t>2022-12-20</t>
        </is>
      </c>
      <c r="B66" s="17" t="n">
        <v>0.03202409116973566</v>
      </c>
      <c r="C66" s="11" t="inlineStr">
        <is>
          <t>2022-08-17</t>
        </is>
      </c>
      <c r="D66" s="11" t="inlineStr">
        <is>
          <t>2022-12-19</t>
        </is>
      </c>
      <c r="E66" s="11" t="n">
        <v>81</v>
      </c>
      <c r="F66" s="11" t="n">
        <v>26</v>
      </c>
      <c r="G66" s="11" t="n">
        <v>0</v>
      </c>
      <c r="H66" s="15">
        <f>IF(F66&gt;=E66,(E66-0.5)/E66,IF(G66&gt;0,(F66+0.5*G66)/E66,F66/E66))</f>
        <v/>
      </c>
      <c r="I66" s="11" t="inlineStr">
        <is>
          <t>中间分位</t>
        </is>
      </c>
      <c r="J66" s="11" t="inlineStr"/>
    </row>
    <row r="67">
      <c r="A67" s="6" t="inlineStr">
        <is>
          <t>2022-12-21</t>
        </is>
      </c>
      <c r="B67" s="16" t="n">
        <v>0.02651515151515152</v>
      </c>
      <c r="C67" s="6" t="inlineStr">
        <is>
          <t>2022-08-17</t>
        </is>
      </c>
      <c r="D67" s="6" t="inlineStr">
        <is>
          <t>2022-12-20</t>
        </is>
      </c>
      <c r="E67" s="6" t="n">
        <v>82</v>
      </c>
      <c r="F67" s="6" t="n">
        <v>25</v>
      </c>
      <c r="G67" s="6" t="n">
        <v>0</v>
      </c>
      <c r="H67" s="10">
        <f>IF(F67&gt;=E67,(E67-0.5)/E67,IF(G67&gt;0,(F67+0.5*G67)/E67,F67/E67))</f>
        <v/>
      </c>
      <c r="I67" s="6" t="inlineStr">
        <is>
          <t>中间分位</t>
        </is>
      </c>
      <c r="J67" s="6" t="inlineStr"/>
    </row>
    <row r="68">
      <c r="A68" s="11" t="inlineStr">
        <is>
          <t>2022-12-22</t>
        </is>
      </c>
      <c r="B68" s="17" t="n">
        <v>0.0308882822102333</v>
      </c>
      <c r="C68" s="11" t="inlineStr">
        <is>
          <t>2022-08-17</t>
        </is>
      </c>
      <c r="D68" s="11" t="inlineStr">
        <is>
          <t>2022-12-21</t>
        </is>
      </c>
      <c r="E68" s="11" t="n">
        <v>83</v>
      </c>
      <c r="F68" s="11" t="n">
        <v>26</v>
      </c>
      <c r="G68" s="11" t="n">
        <v>0</v>
      </c>
      <c r="H68" s="15">
        <f>IF(F68&gt;=E68,(E68-0.5)/E68,IF(G68&gt;0,(F68+0.5*G68)/E68,F68/E68))</f>
        <v/>
      </c>
      <c r="I68" s="11" t="inlineStr">
        <is>
          <t>中间分位</t>
        </is>
      </c>
      <c r="J68" s="11" t="inlineStr"/>
    </row>
    <row r="69">
      <c r="A69" s="6" t="inlineStr">
        <is>
          <t>2022-12-23</t>
        </is>
      </c>
      <c r="B69" s="16" t="n">
        <v>0.04038461538461539</v>
      </c>
      <c r="C69" s="6" t="inlineStr">
        <is>
          <t>2022-08-17</t>
        </is>
      </c>
      <c r="D69" s="6" t="inlineStr">
        <is>
          <t>2022-12-22</t>
        </is>
      </c>
      <c r="E69" s="6" t="n">
        <v>84</v>
      </c>
      <c r="F69" s="6" t="n">
        <v>36</v>
      </c>
      <c r="G69" s="6" t="n">
        <v>0</v>
      </c>
      <c r="H69" s="10">
        <f>IF(F69&gt;=E69,(E69-0.5)/E69,IF(G69&gt;0,(F69+0.5*G69)/E69,F69/E69))</f>
        <v/>
      </c>
      <c r="I69" s="6" t="inlineStr">
        <is>
          <t>中间分位</t>
        </is>
      </c>
      <c r="J69" s="6" t="inlineStr"/>
    </row>
    <row r="70">
      <c r="A70" s="11" t="inlineStr">
        <is>
          <t>2022-12-26</t>
        </is>
      </c>
      <c r="B70" s="17" t="n">
        <v>0.02675451070842765</v>
      </c>
      <c r="C70" s="11" t="inlineStr">
        <is>
          <t>2022-08-17</t>
        </is>
      </c>
      <c r="D70" s="11" t="inlineStr">
        <is>
          <t>2022-12-23</t>
        </is>
      </c>
      <c r="E70" s="11" t="n">
        <v>85</v>
      </c>
      <c r="F70" s="11" t="n">
        <v>26</v>
      </c>
      <c r="G70" s="11" t="n">
        <v>0</v>
      </c>
      <c r="H70" s="15">
        <f>IF(F70&gt;=E70,(E70-0.5)/E70,IF(G70&gt;0,(F70+0.5*G70)/E70,F70/E70))</f>
        <v/>
      </c>
      <c r="I70" s="11" t="inlineStr">
        <is>
          <t>中间分位</t>
        </is>
      </c>
      <c r="J70" s="11" t="inlineStr"/>
    </row>
    <row r="71">
      <c r="A71" s="6" t="inlineStr">
        <is>
          <t>2022-12-27</t>
        </is>
      </c>
      <c r="B71" s="16" t="n">
        <v>0.003256030301016679</v>
      </c>
      <c r="C71" s="6" t="inlineStr">
        <is>
          <t>2022-08-17</t>
        </is>
      </c>
      <c r="D71" s="6" t="inlineStr">
        <is>
          <t>2022-12-26</t>
        </is>
      </c>
      <c r="E71" s="6" t="n">
        <v>86</v>
      </c>
      <c r="F71" s="6" t="n">
        <v>18</v>
      </c>
      <c r="G71" s="6" t="n">
        <v>0</v>
      </c>
      <c r="H71" s="10">
        <f>IF(F71&gt;=E71,(E71-0.5)/E71,IF(G71&gt;0,(F71+0.5*G71)/E71,F71/E71))</f>
        <v/>
      </c>
      <c r="I71" s="6" t="inlineStr">
        <is>
          <t>中间分位</t>
        </is>
      </c>
      <c r="J71" s="6" t="inlineStr"/>
    </row>
    <row r="72">
      <c r="A72" s="11" t="inlineStr">
        <is>
          <t>2022-12-28</t>
        </is>
      </c>
      <c r="B72" s="17" t="n">
        <v>0.02123455659941945</v>
      </c>
      <c r="C72" s="11" t="inlineStr">
        <is>
          <t>2022-08-17</t>
        </is>
      </c>
      <c r="D72" s="11" t="inlineStr">
        <is>
          <t>2022-12-27</t>
        </is>
      </c>
      <c r="E72" s="11" t="n">
        <v>87</v>
      </c>
      <c r="F72" s="11" t="n">
        <v>23</v>
      </c>
      <c r="G72" s="11" t="n">
        <v>0</v>
      </c>
      <c r="H72" s="15">
        <f>IF(F72&gt;=E72,(E72-0.5)/E72,IF(G72&gt;0,(F72+0.5*G72)/E72,F72/E72))</f>
        <v/>
      </c>
      <c r="I72" s="11" t="inlineStr">
        <is>
          <t>中间分位</t>
        </is>
      </c>
      <c r="J72" s="11" t="inlineStr"/>
    </row>
    <row r="73">
      <c r="A73" s="6" t="inlineStr">
        <is>
          <t>2022-12-29</t>
        </is>
      </c>
      <c r="B73" s="16" t="n">
        <v>0.02357414448669201</v>
      </c>
      <c r="C73" s="6" t="inlineStr">
        <is>
          <t>2022-08-17</t>
        </is>
      </c>
      <c r="D73" s="6" t="inlineStr">
        <is>
          <t>2022-12-28</t>
        </is>
      </c>
      <c r="E73" s="6" t="n">
        <v>88</v>
      </c>
      <c r="F73" s="6" t="n">
        <v>26</v>
      </c>
      <c r="G73" s="6" t="n">
        <v>0</v>
      </c>
      <c r="H73" s="10">
        <f>IF(F73&gt;=E73,(E73-0.5)/E73,IF(G73&gt;0,(F73+0.5*G73)/E73,F73/E73))</f>
        <v/>
      </c>
      <c r="I73" s="6" t="inlineStr">
        <is>
          <t>中间分位</t>
        </is>
      </c>
      <c r="J73" s="6" t="inlineStr"/>
    </row>
    <row r="74">
      <c r="A74" s="11" t="inlineStr">
        <is>
          <t>2022-12-30</t>
        </is>
      </c>
      <c r="B74" s="17" t="n">
        <v>-0.008105119562863123</v>
      </c>
      <c r="C74" s="11" t="inlineStr">
        <is>
          <t>2022-08-17</t>
        </is>
      </c>
      <c r="D74" s="11" t="inlineStr">
        <is>
          <t>2022-12-29</t>
        </is>
      </c>
      <c r="E74" s="11" t="n">
        <v>89</v>
      </c>
      <c r="F74" s="11" t="n">
        <v>15</v>
      </c>
      <c r="G74" s="11" t="n">
        <v>0</v>
      </c>
      <c r="H74" s="15">
        <f>IF(F74&gt;=E74,(E74-0.5)/E74,IF(G74&gt;0,(F74+0.5*G74)/E74,F74/E74))</f>
        <v/>
      </c>
      <c r="I74" s="11" t="inlineStr">
        <is>
          <t>中间分位</t>
        </is>
      </c>
      <c r="J74" s="11" t="inlineStr"/>
    </row>
    <row r="75">
      <c r="A75" s="6" t="inlineStr">
        <is>
          <t>2023-01-03</t>
        </is>
      </c>
      <c r="B75" s="16" t="n">
        <v>0.0108696860650847</v>
      </c>
      <c r="C75" s="6" t="inlineStr">
        <is>
          <t>2022-08-17</t>
        </is>
      </c>
      <c r="D75" s="6" t="inlineStr">
        <is>
          <t>2022-12-30</t>
        </is>
      </c>
      <c r="E75" s="6" t="n">
        <v>90</v>
      </c>
      <c r="F75" s="6" t="n">
        <v>23</v>
      </c>
      <c r="G75" s="6" t="n">
        <v>0</v>
      </c>
      <c r="H75" s="10">
        <f>IF(F75&gt;=E75,(E75-0.5)/E75,IF(G75&gt;0,(F75+0.5*G75)/E75,F75/E75))</f>
        <v/>
      </c>
      <c r="I75" s="6" t="inlineStr">
        <is>
          <t>中间分位</t>
        </is>
      </c>
      <c r="J75" s="6" t="inlineStr"/>
    </row>
    <row r="76">
      <c r="A76" s="11" t="inlineStr">
        <is>
          <t>2023-01-04</t>
        </is>
      </c>
      <c r="B76" s="17" t="n">
        <v>0.02596803196065472</v>
      </c>
      <c r="C76" s="11" t="inlineStr">
        <is>
          <t>2022-08-17</t>
        </is>
      </c>
      <c r="D76" s="11" t="inlineStr">
        <is>
          <t>2023-01-03</t>
        </is>
      </c>
      <c r="E76" s="11" t="n">
        <v>91</v>
      </c>
      <c r="F76" s="11" t="n">
        <v>30</v>
      </c>
      <c r="G76" s="11" t="n">
        <v>0</v>
      </c>
      <c r="H76" s="15">
        <f>IF(F76&gt;=E76,(E76-0.5)/E76,IF(G76&gt;0,(F76+0.5*G76)/E76,F76/E76))</f>
        <v/>
      </c>
      <c r="I76" s="11" t="inlineStr">
        <is>
          <t>中间分位</t>
        </is>
      </c>
      <c r="J76" s="11" t="inlineStr"/>
    </row>
    <row r="77">
      <c r="A77" s="6" t="inlineStr">
        <is>
          <t>2023-01-05</t>
        </is>
      </c>
      <c r="B77" s="16" t="n">
        <v>0.02018128508999057</v>
      </c>
      <c r="C77" s="6" t="inlineStr">
        <is>
          <t>2022-08-17</t>
        </is>
      </c>
      <c r="D77" s="6" t="inlineStr">
        <is>
          <t>2023-01-04</t>
        </is>
      </c>
      <c r="E77" s="6" t="n">
        <v>92</v>
      </c>
      <c r="F77" s="6" t="n">
        <v>25</v>
      </c>
      <c r="G77" s="6" t="n">
        <v>0</v>
      </c>
      <c r="H77" s="10">
        <f>IF(F77&gt;=E77,(E77-0.5)/E77,IF(G77&gt;0,(F77+0.5*G77)/E77,F77/E77))</f>
        <v/>
      </c>
      <c r="I77" s="6" t="inlineStr">
        <is>
          <t>中间分位</t>
        </is>
      </c>
      <c r="J77" s="6" t="inlineStr"/>
    </row>
    <row r="78">
      <c r="A78" s="11" t="inlineStr">
        <is>
          <t>2023-01-06</t>
        </is>
      </c>
      <c r="B78" s="17" t="n">
        <v>0.01484839070693611</v>
      </c>
      <c r="C78" s="11" t="inlineStr">
        <is>
          <t>2022-08-17</t>
        </is>
      </c>
      <c r="D78" s="11" t="inlineStr">
        <is>
          <t>2023-01-05</t>
        </is>
      </c>
      <c r="E78" s="11" t="n">
        <v>93</v>
      </c>
      <c r="F78" s="11" t="n">
        <v>24</v>
      </c>
      <c r="G78" s="11" t="n">
        <v>0</v>
      </c>
      <c r="H78" s="15">
        <f>IF(F78&gt;=E78,(E78-0.5)/E78,IF(G78&gt;0,(F78+0.5*G78)/E78,F78/E78))</f>
        <v/>
      </c>
      <c r="I78" s="11" t="inlineStr">
        <is>
          <t>中间分位</t>
        </is>
      </c>
      <c r="J78" s="11" t="inlineStr"/>
    </row>
    <row r="79">
      <c r="A79" s="6" t="inlineStr">
        <is>
          <t>2023-01-09</t>
        </is>
      </c>
      <c r="B79" s="16" t="n">
        <v>0.03097014925373134</v>
      </c>
      <c r="C79" s="6" t="inlineStr">
        <is>
          <t>2022-08-17</t>
        </is>
      </c>
      <c r="D79" s="6" t="inlineStr">
        <is>
          <t>2023-01-06</t>
        </is>
      </c>
      <c r="E79" s="6" t="n">
        <v>94</v>
      </c>
      <c r="F79" s="6" t="n">
        <v>36</v>
      </c>
      <c r="G79" s="6" t="n">
        <v>0</v>
      </c>
      <c r="H79" s="10">
        <f>IF(F79&gt;=E79,(E79-0.5)/E79,IF(G79&gt;0,(F79+0.5*G79)/E79,F79/E79))</f>
        <v/>
      </c>
      <c r="I79" s="6" t="inlineStr">
        <is>
          <t>中间分位</t>
        </is>
      </c>
      <c r="J79" s="6" t="inlineStr"/>
    </row>
    <row r="80">
      <c r="A80" s="11" t="inlineStr">
        <is>
          <t>2023-01-10</t>
        </is>
      </c>
      <c r="B80" s="17" t="n">
        <v>0.008565480396120408</v>
      </c>
      <c r="C80" s="11" t="inlineStr">
        <is>
          <t>2022-08-17</t>
        </is>
      </c>
      <c r="D80" s="11" t="inlineStr">
        <is>
          <t>2023-01-09</t>
        </is>
      </c>
      <c r="E80" s="11" t="n">
        <v>95</v>
      </c>
      <c r="F80" s="11" t="n">
        <v>23</v>
      </c>
      <c r="G80" s="11" t="n">
        <v>0</v>
      </c>
      <c r="H80" s="15">
        <f>IF(F80&gt;=E80,(E80-0.5)/E80,IF(G80&gt;0,(F80+0.5*G80)/E80,F80/E80))</f>
        <v/>
      </c>
      <c r="I80" s="11" t="inlineStr">
        <is>
          <t>中间分位</t>
        </is>
      </c>
      <c r="J80" s="11" t="inlineStr"/>
    </row>
    <row r="81">
      <c r="A81" s="6" t="inlineStr">
        <is>
          <t>2023-01-11</t>
        </is>
      </c>
      <c r="B81" s="16" t="n">
        <v>0.009774436090225564</v>
      </c>
      <c r="C81" s="6" t="inlineStr">
        <is>
          <t>2022-08-17</t>
        </is>
      </c>
      <c r="D81" s="6" t="inlineStr">
        <is>
          <t>2023-01-10</t>
        </is>
      </c>
      <c r="E81" s="6" t="n">
        <v>96</v>
      </c>
      <c r="F81" s="6" t="n">
        <v>24</v>
      </c>
      <c r="G81" s="6" t="n">
        <v>0</v>
      </c>
      <c r="H81" s="10">
        <f>IF(F81&gt;=E81,(E81-0.5)/E81,IF(G81&gt;0,(F81+0.5*G81)/E81,F81/E81))</f>
        <v/>
      </c>
      <c r="I81" s="6" t="inlineStr">
        <is>
          <t>中间分位</t>
        </is>
      </c>
      <c r="J81" s="6" t="inlineStr"/>
    </row>
    <row r="82">
      <c r="A82" s="11" t="inlineStr">
        <is>
          <t>2023-01-12</t>
        </is>
      </c>
      <c r="B82" s="17" t="n">
        <v>0.01180780377864796</v>
      </c>
      <c r="C82" s="11" t="inlineStr">
        <is>
          <t>2022-08-17</t>
        </is>
      </c>
      <c r="D82" s="11" t="inlineStr">
        <is>
          <t>2023-01-11</t>
        </is>
      </c>
      <c r="E82" s="11" t="n">
        <v>97</v>
      </c>
      <c r="F82" s="11" t="n">
        <v>26</v>
      </c>
      <c r="G82" s="11" t="n">
        <v>0</v>
      </c>
      <c r="H82" s="15">
        <f>IF(F82&gt;=E82,(E82-0.5)/E82,IF(G82&gt;0,(F82+0.5*G82)/E82,F82/E82))</f>
        <v/>
      </c>
      <c r="I82" s="11" t="inlineStr">
        <is>
          <t>中间分位</t>
        </is>
      </c>
      <c r="J82" s="11" t="inlineStr"/>
    </row>
    <row r="83">
      <c r="A83" s="6" t="inlineStr">
        <is>
          <t>2023-01-13</t>
        </is>
      </c>
      <c r="B83" s="16" t="n">
        <v>-0.006514077159756131</v>
      </c>
      <c r="C83" s="6" t="inlineStr">
        <is>
          <t>2022-08-17</t>
        </is>
      </c>
      <c r="D83" s="6" t="inlineStr">
        <is>
          <t>2023-01-12</t>
        </is>
      </c>
      <c r="E83" s="6" t="n">
        <v>98</v>
      </c>
      <c r="F83" s="6" t="n">
        <v>16</v>
      </c>
      <c r="G83" s="6" t="n">
        <v>0</v>
      </c>
      <c r="H83" s="10">
        <f>IF(F83&gt;=E83,(E83-0.5)/E83,IF(G83&gt;0,(F83+0.5*G83)/E83,F83/E83))</f>
        <v/>
      </c>
      <c r="I83" s="6" t="inlineStr">
        <is>
          <t>中间分位</t>
        </is>
      </c>
      <c r="J83" s="6" t="inlineStr"/>
    </row>
    <row r="84">
      <c r="A84" s="11" t="inlineStr">
        <is>
          <t>2023-01-16</t>
        </is>
      </c>
      <c r="B84" s="17" t="n">
        <v>0.01005781262374277</v>
      </c>
      <c r="C84" s="11" t="inlineStr">
        <is>
          <t>2022-08-17</t>
        </is>
      </c>
      <c r="D84" s="11" t="inlineStr">
        <is>
          <t>2023-01-13</t>
        </is>
      </c>
      <c r="E84" s="11" t="n">
        <v>99</v>
      </c>
      <c r="F84" s="11" t="n">
        <v>26</v>
      </c>
      <c r="G84" s="11" t="n">
        <v>0</v>
      </c>
      <c r="H84" s="15">
        <f>IF(F84&gt;=E84,(E84-0.5)/E84,IF(G84&gt;0,(F84+0.5*G84)/E84,F84/E84))</f>
        <v/>
      </c>
      <c r="I84" s="11" t="inlineStr">
        <is>
          <t>中间分位</t>
        </is>
      </c>
      <c r="J84" s="11" t="inlineStr"/>
    </row>
    <row r="85">
      <c r="A85" s="6" t="inlineStr">
        <is>
          <t>2023-01-17</t>
        </is>
      </c>
      <c r="B85" s="16" t="n">
        <v>-0.02062966757177731</v>
      </c>
      <c r="C85" s="6" t="inlineStr">
        <is>
          <t>2022-08-17</t>
        </is>
      </c>
      <c r="D85" s="6" t="inlineStr">
        <is>
          <t>2023-01-16</t>
        </is>
      </c>
      <c r="E85" s="6" t="n">
        <v>100</v>
      </c>
      <c r="F85" s="6" t="n">
        <v>0</v>
      </c>
      <c r="G85" s="6" t="n">
        <v>0</v>
      </c>
      <c r="H85" s="10">
        <f>IF(F85&gt;=E85,(E85-0.5)/E85,IF(G85&gt;0,(F85+0.5*G85)/E85,F85/E85))</f>
        <v/>
      </c>
      <c r="I85" s="6" t="inlineStr">
        <is>
          <t>低分位</t>
        </is>
      </c>
      <c r="J85" s="6" t="inlineStr"/>
    </row>
    <row r="86">
      <c r="A86" s="11" t="inlineStr">
        <is>
          <t>2023-01-18</t>
        </is>
      </c>
      <c r="B86" s="17" t="n">
        <v>-0.007983770450691888</v>
      </c>
      <c r="C86" s="11" t="inlineStr">
        <is>
          <t>2022-08-17</t>
        </is>
      </c>
      <c r="D86" s="11" t="inlineStr">
        <is>
          <t>2023-01-17</t>
        </is>
      </c>
      <c r="E86" s="11" t="n">
        <v>101</v>
      </c>
      <c r="F86" s="11" t="n">
        <v>17</v>
      </c>
      <c r="G86" s="11" t="n">
        <v>0</v>
      </c>
      <c r="H86" s="15">
        <f>IF(F86&gt;=E86,(E86-0.5)/E86,IF(G86&gt;0,(F86+0.5*G86)/E86,F86/E86))</f>
        <v/>
      </c>
      <c r="I86" s="11" t="inlineStr">
        <is>
          <t>中间分位</t>
        </is>
      </c>
      <c r="J86" s="11" t="inlineStr"/>
    </row>
    <row r="87">
      <c r="A87" s="6" t="inlineStr">
        <is>
          <t>2023-01-19</t>
        </is>
      </c>
      <c r="B87" s="16" t="n">
        <v>-0.01598513011152417</v>
      </c>
      <c r="C87" s="6" t="inlineStr">
        <is>
          <t>2022-08-17</t>
        </is>
      </c>
      <c r="D87" s="6" t="inlineStr">
        <is>
          <t>2023-01-18</t>
        </is>
      </c>
      <c r="E87" s="6" t="n">
        <v>102</v>
      </c>
      <c r="F87" s="6" t="n">
        <v>6</v>
      </c>
      <c r="G87" s="6" t="n">
        <v>0</v>
      </c>
      <c r="H87" s="10">
        <f>IF(F87&gt;=E87,(E87-0.5)/E87,IF(G87&gt;0,(F87+0.5*G87)/E87,F87/E87))</f>
        <v/>
      </c>
      <c r="I87" s="6" t="inlineStr">
        <is>
          <t>低分位</t>
        </is>
      </c>
      <c r="J87" s="6" t="inlineStr"/>
    </row>
    <row r="88">
      <c r="A88" s="11" t="inlineStr">
        <is>
          <t>2023-01-20</t>
        </is>
      </c>
      <c r="B88" s="17" t="n">
        <v>-0.03159851301115241</v>
      </c>
      <c r="C88" s="11" t="inlineStr">
        <is>
          <t>2022-08-17</t>
        </is>
      </c>
      <c r="D88" s="11" t="inlineStr">
        <is>
          <t>2023-01-19</t>
        </is>
      </c>
      <c r="E88" s="11" t="n">
        <v>103</v>
      </c>
      <c r="F88" s="11" t="n">
        <v>0</v>
      </c>
      <c r="G88" s="11" t="n">
        <v>0</v>
      </c>
      <c r="H88" s="15">
        <f>IF(F88&gt;=E88,(E88-0.5)/E88,IF(G88&gt;0,(F88+0.5*G88)/E88,F88/E88))</f>
        <v/>
      </c>
      <c r="I88" s="11" t="inlineStr">
        <is>
          <t>低分位</t>
        </is>
      </c>
      <c r="J88" s="11" t="inlineStr"/>
    </row>
    <row r="89">
      <c r="A89" s="6" t="inlineStr">
        <is>
          <t>2023-01-30</t>
        </is>
      </c>
      <c r="B89" s="16" t="n">
        <v>0.01840971685306787</v>
      </c>
      <c r="C89" s="6" t="inlineStr">
        <is>
          <t>2022-08-17</t>
        </is>
      </c>
      <c r="D89" s="6" t="inlineStr">
        <is>
          <t>2023-01-20</t>
        </is>
      </c>
      <c r="E89" s="6" t="n">
        <v>104</v>
      </c>
      <c r="F89" s="6" t="n">
        <v>34</v>
      </c>
      <c r="G89" s="6" t="n">
        <v>0</v>
      </c>
      <c r="H89" s="10">
        <f>IF(F89&gt;=E89,(E89-0.5)/E89,IF(G89&gt;0,(F89+0.5*G89)/E89,F89/E89))</f>
        <v/>
      </c>
      <c r="I89" s="6" t="inlineStr">
        <is>
          <t>中间分位</t>
        </is>
      </c>
      <c r="J89" s="6" t="inlineStr"/>
    </row>
    <row r="90">
      <c r="A90" s="11" t="inlineStr">
        <is>
          <t>2023-01-31</t>
        </is>
      </c>
      <c r="B90" s="17" t="n">
        <v>0.005688487584650113</v>
      </c>
      <c r="C90" s="11" t="inlineStr">
        <is>
          <t>2022-08-17</t>
        </is>
      </c>
      <c r="D90" s="11" t="inlineStr">
        <is>
          <t>2023-01-30</t>
        </is>
      </c>
      <c r="E90" s="11" t="n">
        <v>105</v>
      </c>
      <c r="F90" s="11" t="n">
        <v>27</v>
      </c>
      <c r="G90" s="11" t="n">
        <v>0</v>
      </c>
      <c r="H90" s="15">
        <f>IF(F90&gt;=E90,(E90-0.5)/E90,IF(G90&gt;0,(F90+0.5*G90)/E90,F90/E90))</f>
        <v/>
      </c>
      <c r="I90" s="11" t="inlineStr">
        <is>
          <t>中间分位</t>
        </is>
      </c>
      <c r="J90" s="11" t="inlineStr"/>
    </row>
    <row r="91">
      <c r="A91" s="6" t="inlineStr">
        <is>
          <t>2023-02-01</t>
        </is>
      </c>
      <c r="B91" s="16" t="n">
        <v>0.0007246376811594203</v>
      </c>
      <c r="C91" s="6" t="inlineStr">
        <is>
          <t>2022-08-17</t>
        </is>
      </c>
      <c r="D91" s="6" t="inlineStr">
        <is>
          <t>2023-01-31</t>
        </is>
      </c>
      <c r="E91" s="6" t="n">
        <v>106</v>
      </c>
      <c r="F91" s="6" t="n">
        <v>23</v>
      </c>
      <c r="G91" s="6" t="n">
        <v>0</v>
      </c>
      <c r="H91" s="10">
        <f>IF(F91&gt;=E91,(E91-0.5)/E91,IF(G91&gt;0,(F91+0.5*G91)/E91,F91/E91))</f>
        <v/>
      </c>
      <c r="I91" s="6" t="inlineStr">
        <is>
          <t>中间分位</t>
        </is>
      </c>
      <c r="J91" s="6" t="inlineStr"/>
    </row>
    <row r="92">
      <c r="A92" s="11" t="inlineStr">
        <is>
          <t>2023-02-02</t>
        </is>
      </c>
      <c r="B92" s="17" t="n">
        <v>0.03237410071942446</v>
      </c>
      <c r="C92" s="11" t="inlineStr">
        <is>
          <t>2022-08-17</t>
        </is>
      </c>
      <c r="D92" s="11" t="inlineStr">
        <is>
          <t>2023-02-01</t>
        </is>
      </c>
      <c r="E92" s="11" t="n">
        <v>107</v>
      </c>
      <c r="F92" s="11" t="n">
        <v>51</v>
      </c>
      <c r="G92" s="11" t="n">
        <v>0</v>
      </c>
      <c r="H92" s="15">
        <f>IF(F92&gt;=E92,(E92-0.5)/E92,IF(G92&gt;0,(F92+0.5*G92)/E92,F92/E92))</f>
        <v/>
      </c>
      <c r="I92" s="11" t="inlineStr">
        <is>
          <t>中间分位</t>
        </is>
      </c>
      <c r="J92" s="11" t="inlineStr"/>
    </row>
    <row r="93">
      <c r="A93" s="6" t="inlineStr">
        <is>
          <t>2023-02-03</t>
        </is>
      </c>
      <c r="B93" s="16" t="n">
        <v>0.01774665574866065</v>
      </c>
      <c r="C93" s="6" t="inlineStr">
        <is>
          <t>2022-08-17</t>
        </is>
      </c>
      <c r="D93" s="6" t="inlineStr">
        <is>
          <t>2023-02-02</t>
        </is>
      </c>
      <c r="E93" s="6" t="n">
        <v>108</v>
      </c>
      <c r="F93" s="6" t="n">
        <v>36</v>
      </c>
      <c r="G93" s="6" t="n">
        <v>0</v>
      </c>
      <c r="H93" s="10">
        <f>IF(F93&gt;=E93,(E93-0.5)/E93,IF(G93&gt;0,(F93+0.5*G93)/E93,F93/E93))</f>
        <v/>
      </c>
      <c r="I93" s="6" t="inlineStr">
        <is>
          <t>中间分位</t>
        </is>
      </c>
      <c r="J93" s="6" t="inlineStr"/>
    </row>
    <row r="94">
      <c r="A94" s="11" t="inlineStr">
        <is>
          <t>2023-02-06</t>
        </is>
      </c>
      <c r="B94" s="17" t="n">
        <v>0.01009137333643951</v>
      </c>
      <c r="C94" s="11" t="inlineStr">
        <is>
          <t>2022-08-17</t>
        </is>
      </c>
      <c r="D94" s="11" t="inlineStr">
        <is>
          <t>2023-02-03</t>
        </is>
      </c>
      <c r="E94" s="11" t="n">
        <v>109</v>
      </c>
      <c r="F94" s="11" t="n">
        <v>33</v>
      </c>
      <c r="G94" s="11" t="n">
        <v>0</v>
      </c>
      <c r="H94" s="15">
        <f>IF(F94&gt;=E94,(E94-0.5)/E94,IF(G94&gt;0,(F94+0.5*G94)/E94,F94/E94))</f>
        <v/>
      </c>
      <c r="I94" s="11" t="inlineStr">
        <is>
          <t>中间分位</t>
        </is>
      </c>
      <c r="J94" s="11" t="inlineStr"/>
    </row>
    <row r="95">
      <c r="A95" s="6" t="inlineStr">
        <is>
          <t>2023-02-07</t>
        </is>
      </c>
      <c r="B95" s="16" t="n">
        <v>0.01808519251860412</v>
      </c>
      <c r="C95" s="6" t="inlineStr">
        <is>
          <t>2022-08-17</t>
        </is>
      </c>
      <c r="D95" s="6" t="inlineStr">
        <is>
          <t>2023-02-06</t>
        </is>
      </c>
      <c r="E95" s="6" t="n">
        <v>110</v>
      </c>
      <c r="F95" s="6" t="n">
        <v>38</v>
      </c>
      <c r="G95" s="6" t="n">
        <v>0</v>
      </c>
      <c r="H95" s="10">
        <f>IF(F95&gt;=E95,(E95-0.5)/E95,IF(G95&gt;0,(F95+0.5*G95)/E95,F95/E95))</f>
        <v/>
      </c>
      <c r="I95" s="6" t="inlineStr">
        <is>
          <t>中间分位</t>
        </is>
      </c>
      <c r="J95" s="6" t="inlineStr"/>
    </row>
    <row r="96">
      <c r="A96" s="11" t="inlineStr">
        <is>
          <t>2023-02-08</t>
        </is>
      </c>
      <c r="B96" s="17" t="n">
        <v>0.02501419166488503</v>
      </c>
      <c r="C96" s="11" t="inlineStr">
        <is>
          <t>2022-08-17</t>
        </is>
      </c>
      <c r="D96" s="11" t="inlineStr">
        <is>
          <t>2023-02-07</t>
        </is>
      </c>
      <c r="E96" s="11" t="n">
        <v>111</v>
      </c>
      <c r="F96" s="11" t="n">
        <v>47</v>
      </c>
      <c r="G96" s="11" t="n">
        <v>0</v>
      </c>
      <c r="H96" s="15">
        <f>IF(F96&gt;=E96,(E96-0.5)/E96,IF(G96&gt;0,(F96+0.5*G96)/E96,F96/E96))</f>
        <v/>
      </c>
      <c r="I96" s="11" t="inlineStr">
        <is>
          <t>中间分位</t>
        </is>
      </c>
      <c r="J96" s="11" t="inlineStr"/>
    </row>
    <row r="97">
      <c r="A97" s="6" t="inlineStr">
        <is>
          <t>2023-02-09</t>
        </is>
      </c>
      <c r="B97" s="16" t="n">
        <v>0.01591616348417667</v>
      </c>
      <c r="C97" s="6" t="inlineStr">
        <is>
          <t>2022-08-17</t>
        </is>
      </c>
      <c r="D97" s="6" t="inlineStr">
        <is>
          <t>2023-02-08</t>
        </is>
      </c>
      <c r="E97" s="6" t="n">
        <v>112</v>
      </c>
      <c r="F97" s="6" t="n">
        <v>37</v>
      </c>
      <c r="G97" s="6" t="n">
        <v>0</v>
      </c>
      <c r="H97" s="10">
        <f>IF(F97&gt;=E97,(E97-0.5)/E97,IF(G97&gt;0,(F97+0.5*G97)/E97,F97/E97))</f>
        <v/>
      </c>
      <c r="I97" s="6" t="inlineStr">
        <is>
          <t>中间分位</t>
        </is>
      </c>
      <c r="J97" s="6" t="inlineStr"/>
    </row>
    <row r="98">
      <c r="A98" s="11" t="inlineStr">
        <is>
          <t>2023-02-10</t>
        </is>
      </c>
      <c r="B98" s="17" t="n">
        <v>0.04183401378608336</v>
      </c>
      <c r="C98" s="11" t="inlineStr">
        <is>
          <t>2022-08-17</t>
        </is>
      </c>
      <c r="D98" s="11" t="inlineStr">
        <is>
          <t>2023-02-09</t>
        </is>
      </c>
      <c r="E98" s="11" t="n">
        <v>113</v>
      </c>
      <c r="F98" s="11" t="n">
        <v>66</v>
      </c>
      <c r="G98" s="11" t="n">
        <v>0</v>
      </c>
      <c r="H98" s="15">
        <f>IF(F98&gt;=E98,(E98-0.5)/E98,IF(G98&gt;0,(F98+0.5*G98)/E98,F98/E98))</f>
        <v/>
      </c>
      <c r="I98" s="11" t="inlineStr">
        <is>
          <t>中间分位</t>
        </is>
      </c>
      <c r="J98" s="11" t="inlineStr"/>
    </row>
    <row r="99">
      <c r="A99" s="6" t="inlineStr">
        <is>
          <t>2023-02-13</t>
        </is>
      </c>
      <c r="B99" s="16" t="n">
        <v>0.05067880369911761</v>
      </c>
      <c r="C99" s="6" t="inlineStr">
        <is>
          <t>2022-08-17</t>
        </is>
      </c>
      <c r="D99" s="6" t="inlineStr">
        <is>
          <t>2023-02-10</t>
        </is>
      </c>
      <c r="E99" s="6" t="n">
        <v>114</v>
      </c>
      <c r="F99" s="6" t="n">
        <v>74</v>
      </c>
      <c r="G99" s="6" t="n">
        <v>0</v>
      </c>
      <c r="H99" s="10">
        <f>IF(F99&gt;=E99,(E99-0.5)/E99,IF(G99&gt;0,(F99+0.5*G99)/E99,F99/E99))</f>
        <v/>
      </c>
      <c r="I99" s="6" t="inlineStr">
        <is>
          <t>中间分位</t>
        </is>
      </c>
      <c r="J99" s="6" t="inlineStr"/>
    </row>
    <row r="100">
      <c r="A100" s="11" t="inlineStr">
        <is>
          <t>2023-02-14</t>
        </is>
      </c>
      <c r="B100" s="17" t="n">
        <v>0.04596123589863756</v>
      </c>
      <c r="C100" s="11" t="inlineStr">
        <is>
          <t>2022-08-17</t>
        </is>
      </c>
      <c r="D100" s="11" t="inlineStr">
        <is>
          <t>2023-02-13</t>
        </is>
      </c>
      <c r="E100" s="11" t="n">
        <v>115</v>
      </c>
      <c r="F100" s="11" t="n">
        <v>70</v>
      </c>
      <c r="G100" s="11" t="n">
        <v>0</v>
      </c>
      <c r="H100" s="15">
        <f>IF(F100&gt;=E100,(E100-0.5)/E100,IF(G100&gt;0,(F100+0.5*G100)/E100,F100/E100))</f>
        <v/>
      </c>
      <c r="I100" s="11" t="inlineStr">
        <is>
          <t>中间分位</t>
        </is>
      </c>
      <c r="J100" s="11" t="inlineStr"/>
    </row>
    <row r="101">
      <c r="A101" s="6" t="inlineStr">
        <is>
          <t>2023-02-15</t>
        </is>
      </c>
      <c r="B101" s="16" t="n">
        <v>0.05106207480781592</v>
      </c>
      <c r="C101" s="6" t="inlineStr">
        <is>
          <t>2022-08-17</t>
        </is>
      </c>
      <c r="D101" s="6" t="inlineStr">
        <is>
          <t>2023-02-14</t>
        </is>
      </c>
      <c r="E101" s="6" t="n">
        <v>116</v>
      </c>
      <c r="F101" s="6" t="n">
        <v>77</v>
      </c>
      <c r="G101" s="6" t="n">
        <v>0</v>
      </c>
      <c r="H101" s="10">
        <f>IF(F101&gt;=E101,(E101-0.5)/E101,IF(G101&gt;0,(F101+0.5*G101)/E101,F101/E101))</f>
        <v/>
      </c>
      <c r="I101" s="6" t="inlineStr">
        <is>
          <t>中间分位</t>
        </is>
      </c>
      <c r="J101" s="6" t="inlineStr"/>
    </row>
    <row r="102">
      <c r="A102" s="11" t="inlineStr">
        <is>
          <t>2023-02-16</t>
        </is>
      </c>
      <c r="B102" s="17" t="n">
        <v>0.04700431426229082</v>
      </c>
      <c r="C102" s="11" t="inlineStr">
        <is>
          <t>2022-08-17</t>
        </is>
      </c>
      <c r="D102" s="11" t="inlineStr">
        <is>
          <t>2023-02-15</t>
        </is>
      </c>
      <c r="E102" s="11" t="n">
        <v>117</v>
      </c>
      <c r="F102" s="11" t="n">
        <v>71</v>
      </c>
      <c r="G102" s="11" t="n">
        <v>0</v>
      </c>
      <c r="H102" s="15">
        <f>IF(F102&gt;=E102,(E102-0.5)/E102,IF(G102&gt;0,(F102+0.5*G102)/E102,F102/E102))</f>
        <v/>
      </c>
      <c r="I102" s="11" t="inlineStr">
        <is>
          <t>中间分位</t>
        </is>
      </c>
      <c r="J102" s="11" t="inlineStr"/>
    </row>
    <row r="103">
      <c r="A103" s="6" t="inlineStr">
        <is>
          <t>2023-02-17</t>
        </is>
      </c>
      <c r="B103" s="16" t="n">
        <v>0.05584875877304597</v>
      </c>
      <c r="C103" s="6" t="inlineStr">
        <is>
          <t>2022-08-17</t>
        </is>
      </c>
      <c r="D103" s="6" t="inlineStr">
        <is>
          <t>2023-02-16</t>
        </is>
      </c>
      <c r="E103" s="6" t="n">
        <v>118</v>
      </c>
      <c r="F103" s="6" t="n">
        <v>83</v>
      </c>
      <c r="G103" s="6" t="n">
        <v>0</v>
      </c>
      <c r="H103" s="10">
        <f>IF(F103&gt;=E103,(E103-0.5)/E103,IF(G103&gt;0,(F103+0.5*G103)/E103,F103/E103))</f>
        <v/>
      </c>
      <c r="I103" s="6" t="inlineStr">
        <is>
          <t>中间分位</t>
        </is>
      </c>
      <c r="J103" s="6" t="inlineStr"/>
    </row>
    <row r="104">
      <c r="A104" s="11" t="inlineStr">
        <is>
          <t>2023-02-20</t>
        </is>
      </c>
      <c r="B104" s="17" t="n">
        <v>0.05202952029520296</v>
      </c>
      <c r="C104" s="11" t="inlineStr">
        <is>
          <t>2022-08-17</t>
        </is>
      </c>
      <c r="D104" s="11" t="inlineStr">
        <is>
          <t>2023-02-17</t>
        </is>
      </c>
      <c r="E104" s="11" t="n">
        <v>119</v>
      </c>
      <c r="F104" s="11" t="n">
        <v>80</v>
      </c>
      <c r="G104" s="11" t="n">
        <v>0</v>
      </c>
      <c r="H104" s="15">
        <f>IF(F104&gt;=E104,(E104-0.5)/E104,IF(G104&gt;0,(F104+0.5*G104)/E104,F104/E104))</f>
        <v/>
      </c>
      <c r="I104" s="11" t="inlineStr">
        <is>
          <t>中间分位</t>
        </is>
      </c>
      <c r="J104" s="11" t="inlineStr"/>
    </row>
    <row r="105">
      <c r="A105" s="6" t="inlineStr">
        <is>
          <t>2023-02-21</t>
        </is>
      </c>
      <c r="B105" s="16" t="n">
        <v>0.03197026022304833</v>
      </c>
      <c r="C105" s="6" t="inlineStr">
        <is>
          <t>2022-08-17</t>
        </is>
      </c>
      <c r="D105" s="6" t="inlineStr">
        <is>
          <t>2023-02-20</t>
        </is>
      </c>
      <c r="E105" s="6" t="n">
        <v>120</v>
      </c>
      <c r="F105" s="6" t="n">
        <v>55</v>
      </c>
      <c r="G105" s="6" t="n">
        <v>0</v>
      </c>
      <c r="H105" s="10">
        <f>IF(F105&gt;=E105,(E105-0.5)/E105,IF(G105&gt;0,(F105+0.5*G105)/E105,F105/E105))</f>
        <v/>
      </c>
      <c r="I105" s="6" t="inlineStr">
        <is>
          <t>中间分位</t>
        </is>
      </c>
      <c r="J105" s="6" t="inlineStr"/>
    </row>
    <row r="106">
      <c r="A106" s="11" t="inlineStr">
        <is>
          <t>2023-02-22</t>
        </is>
      </c>
      <c r="B106" s="17" t="n">
        <v>0.03621204808623987</v>
      </c>
      <c r="C106" s="11" t="inlineStr">
        <is>
          <t>2022-08-17</t>
        </is>
      </c>
      <c r="D106" s="11" t="inlineStr">
        <is>
          <t>2023-02-21</t>
        </is>
      </c>
      <c r="E106" s="11" t="n">
        <v>121</v>
      </c>
      <c r="F106" s="11" t="n">
        <v>63</v>
      </c>
      <c r="G106" s="11" t="n">
        <v>0</v>
      </c>
      <c r="H106" s="15">
        <f>IF(F106&gt;=E106,(E106-0.5)/E106,IF(G106&gt;0,(F106+0.5*G106)/E106,F106/E106))</f>
        <v/>
      </c>
      <c r="I106" s="11" t="inlineStr">
        <is>
          <t>中间分位</t>
        </is>
      </c>
      <c r="J106" s="11" t="inlineStr"/>
    </row>
    <row r="107">
      <c r="A107" s="6" t="inlineStr">
        <is>
          <t>2023-02-23</t>
        </is>
      </c>
      <c r="B107" s="16" t="n">
        <v>0.02139749884069279</v>
      </c>
      <c r="C107" s="6" t="inlineStr">
        <is>
          <t>2022-08-17</t>
        </is>
      </c>
      <c r="D107" s="6" t="inlineStr">
        <is>
          <t>2023-02-22</t>
        </is>
      </c>
      <c r="E107" s="6" t="n">
        <v>122</v>
      </c>
      <c r="F107" s="6" t="n">
        <v>44</v>
      </c>
      <c r="G107" s="6" t="n">
        <v>0</v>
      </c>
      <c r="H107" s="10">
        <f>IF(F107&gt;=E107,(E107-0.5)/E107,IF(G107&gt;0,(F107+0.5*G107)/E107,F107/E107))</f>
        <v/>
      </c>
      <c r="I107" s="6" t="inlineStr">
        <is>
          <t>中间分位</t>
        </is>
      </c>
      <c r="J107" s="6" t="inlineStr"/>
    </row>
    <row r="108">
      <c r="A108" s="11" t="inlineStr">
        <is>
          <t>2023-02-24</t>
        </is>
      </c>
      <c r="B108" s="17" t="n">
        <v>0.03312217194570136</v>
      </c>
      <c r="C108" s="11" t="inlineStr">
        <is>
          <t>2022-08-17</t>
        </is>
      </c>
      <c r="D108" s="11" t="inlineStr">
        <is>
          <t>2023-02-23</t>
        </is>
      </c>
      <c r="E108" s="11" t="n">
        <v>123</v>
      </c>
      <c r="F108" s="11" t="n">
        <v>61</v>
      </c>
      <c r="G108" s="11" t="n">
        <v>0</v>
      </c>
      <c r="H108" s="15">
        <f>IF(F108&gt;=E108,(E108-0.5)/E108,IF(G108&gt;0,(F108+0.5*G108)/E108,F108/E108))</f>
        <v/>
      </c>
      <c r="I108" s="11" t="inlineStr">
        <is>
          <t>中间分位</t>
        </is>
      </c>
      <c r="J108" s="11" t="inlineStr"/>
    </row>
    <row r="109">
      <c r="A109" s="6" t="inlineStr">
        <is>
          <t>2023-02-27</t>
        </is>
      </c>
      <c r="B109" s="16" t="n">
        <v>0.04946236559139785</v>
      </c>
      <c r="C109" s="6" t="inlineStr">
        <is>
          <t>2022-08-17</t>
        </is>
      </c>
      <c r="D109" s="6" t="inlineStr">
        <is>
          <t>2023-02-24</t>
        </is>
      </c>
      <c r="E109" s="6" t="n">
        <v>124</v>
      </c>
      <c r="F109" s="6" t="n">
        <v>79</v>
      </c>
      <c r="G109" s="6" t="n">
        <v>0</v>
      </c>
      <c r="H109" s="10">
        <f>IF(F109&gt;=E109,(E109-0.5)/E109,IF(G109&gt;0,(F109+0.5*G109)/E109,F109/E109))</f>
        <v/>
      </c>
      <c r="I109" s="6" t="inlineStr">
        <is>
          <t>中间分位</t>
        </is>
      </c>
      <c r="J109" s="6" t="inlineStr"/>
    </row>
    <row r="110">
      <c r="A110" s="11" t="inlineStr">
        <is>
          <t>2023-02-28</t>
        </is>
      </c>
      <c r="B110" s="17" t="n">
        <v>0.05531801656340014</v>
      </c>
      <c r="C110" s="11" t="inlineStr">
        <is>
          <t>2022-08-17</t>
        </is>
      </c>
      <c r="D110" s="11" t="inlineStr">
        <is>
          <t>2023-02-27</t>
        </is>
      </c>
      <c r="E110" s="11" t="n">
        <v>125</v>
      </c>
      <c r="F110" s="11" t="n">
        <v>89</v>
      </c>
      <c r="G110" s="11" t="n">
        <v>0</v>
      </c>
      <c r="H110" s="15">
        <f>IF(F110&gt;=E110,(E110-0.5)/E110,IF(G110&gt;0,(F110+0.5*G110)/E110,F110/E110))</f>
        <v/>
      </c>
      <c r="I110" s="11" t="inlineStr">
        <is>
          <t>中间分位</t>
        </is>
      </c>
      <c r="J110" s="11" t="inlineStr"/>
    </row>
    <row r="111">
      <c r="A111" s="6" t="inlineStr">
        <is>
          <t>2023-03-01</t>
        </is>
      </c>
      <c r="B111" s="16" t="n">
        <v>0.03985302533781936</v>
      </c>
      <c r="C111" s="6" t="inlineStr">
        <is>
          <t>2022-08-17</t>
        </is>
      </c>
      <c r="D111" s="6" t="inlineStr">
        <is>
          <t>2023-02-28</t>
        </is>
      </c>
      <c r="E111" s="6" t="n">
        <v>126</v>
      </c>
      <c r="F111" s="6" t="n">
        <v>68</v>
      </c>
      <c r="G111" s="6" t="n">
        <v>0</v>
      </c>
      <c r="H111" s="10">
        <f>IF(F111&gt;=E111,(E111-0.5)/E111,IF(G111&gt;0,(F111+0.5*G111)/E111,F111/E111))</f>
        <v/>
      </c>
      <c r="I111" s="6" t="inlineStr">
        <is>
          <t>中间分位</t>
        </is>
      </c>
      <c r="J111" s="6" t="inlineStr"/>
    </row>
    <row r="112">
      <c r="A112" s="11" t="inlineStr">
        <is>
          <t>2023-03-02</t>
        </is>
      </c>
      <c r="B112" s="17" t="n">
        <v>0.04599335485026482</v>
      </c>
      <c r="C112" s="11" t="inlineStr">
        <is>
          <t>2022-08-17</t>
        </is>
      </c>
      <c r="D112" s="11" t="inlineStr">
        <is>
          <t>2023-03-01</t>
        </is>
      </c>
      <c r="E112" s="11" t="n">
        <v>127</v>
      </c>
      <c r="F112" s="11" t="n">
        <v>76</v>
      </c>
      <c r="G112" s="11" t="n">
        <v>0</v>
      </c>
      <c r="H112" s="15">
        <f>IF(F112&gt;=E112,(E112-0.5)/E112,IF(G112&gt;0,(F112+0.5*G112)/E112,F112/E112))</f>
        <v/>
      </c>
      <c r="I112" s="11" t="inlineStr">
        <is>
          <t>中间分位</t>
        </is>
      </c>
      <c r="J112" s="11" t="inlineStr"/>
    </row>
    <row r="113">
      <c r="A113" s="6" t="inlineStr">
        <is>
          <t>2023-03-03</t>
        </is>
      </c>
      <c r="B113" s="16" t="n">
        <v>0.0346711478455918</v>
      </c>
      <c r="C113" s="6" t="inlineStr">
        <is>
          <t>2022-08-17</t>
        </is>
      </c>
      <c r="D113" s="6" t="inlineStr">
        <is>
          <t>2023-03-02</t>
        </is>
      </c>
      <c r="E113" s="6" t="n">
        <v>128</v>
      </c>
      <c r="F113" s="6" t="n">
        <v>64</v>
      </c>
      <c r="G113" s="6" t="n">
        <v>0</v>
      </c>
      <c r="H113" s="10">
        <f>IF(F113&gt;=E113,(E113-0.5)/E113,IF(G113&gt;0,(F113+0.5*G113)/E113,F113/E113))</f>
        <v/>
      </c>
      <c r="I113" s="6" t="inlineStr">
        <is>
          <t>中间分位</t>
        </is>
      </c>
      <c r="J113" s="6" t="inlineStr"/>
    </row>
    <row r="114">
      <c r="A114" s="11" t="inlineStr">
        <is>
          <t>2023-03-06</t>
        </is>
      </c>
      <c r="B114" s="17" t="n">
        <v>0.03390969543279138</v>
      </c>
      <c r="C114" s="11" t="inlineStr">
        <is>
          <t>2022-08-17</t>
        </is>
      </c>
      <c r="D114" s="11" t="inlineStr">
        <is>
          <t>2023-03-03</t>
        </is>
      </c>
      <c r="E114" s="11" t="n">
        <v>129</v>
      </c>
      <c r="F114" s="11" t="n">
        <v>62</v>
      </c>
      <c r="G114" s="11" t="n">
        <v>0</v>
      </c>
      <c r="H114" s="15">
        <f>IF(F114&gt;=E114,(E114-0.5)/E114,IF(G114&gt;0,(F114+0.5*G114)/E114,F114/E114))</f>
        <v/>
      </c>
      <c r="I114" s="11" t="inlineStr">
        <is>
          <t>中间分位</t>
        </is>
      </c>
      <c r="J114" s="11" t="inlineStr"/>
    </row>
    <row r="115">
      <c r="A115" s="6" t="inlineStr">
        <is>
          <t>2023-03-07</t>
        </is>
      </c>
      <c r="B115" s="16" t="n">
        <v>0.02303982186821685</v>
      </c>
      <c r="C115" s="6" t="inlineStr">
        <is>
          <t>2022-08-17</t>
        </is>
      </c>
      <c r="D115" s="6" t="inlineStr">
        <is>
          <t>2023-03-06</t>
        </is>
      </c>
      <c r="E115" s="6" t="n">
        <v>130</v>
      </c>
      <c r="F115" s="6" t="n">
        <v>46</v>
      </c>
      <c r="G115" s="6" t="n">
        <v>0</v>
      </c>
      <c r="H115" s="10">
        <f>IF(F115&gt;=E115,(E115-0.5)/E115,IF(G115&gt;0,(F115+0.5*G115)/E115,F115/E115))</f>
        <v/>
      </c>
      <c r="I115" s="6" t="inlineStr">
        <is>
          <t>中间分位</t>
        </is>
      </c>
      <c r="J115" s="6" t="inlineStr"/>
    </row>
    <row r="116">
      <c r="A116" s="11" t="inlineStr">
        <is>
          <t>2023-03-08</t>
        </is>
      </c>
      <c r="B116" s="17" t="n">
        <v>0.03910356121052062</v>
      </c>
      <c r="C116" s="11" t="inlineStr">
        <is>
          <t>2022-08-17</t>
        </is>
      </c>
      <c r="D116" s="11" t="inlineStr">
        <is>
          <t>2023-03-07</t>
        </is>
      </c>
      <c r="E116" s="11" t="n">
        <v>131</v>
      </c>
      <c r="F116" s="11" t="n">
        <v>71</v>
      </c>
      <c r="G116" s="11" t="n">
        <v>0</v>
      </c>
      <c r="H116" s="15">
        <f>IF(F116&gt;=E116,(E116-0.5)/E116,IF(G116&gt;0,(F116+0.5*G116)/E116,F116/E116))</f>
        <v/>
      </c>
      <c r="I116" s="11" t="inlineStr">
        <is>
          <t>中间分位</t>
        </is>
      </c>
      <c r="J116" s="11" t="inlineStr"/>
    </row>
    <row r="117">
      <c r="A117" s="6" t="inlineStr">
        <is>
          <t>2023-03-09</t>
        </is>
      </c>
      <c r="B117" s="16" t="n">
        <v>0.02677042742731015</v>
      </c>
      <c r="C117" s="6" t="inlineStr">
        <is>
          <t>2022-08-17</t>
        </is>
      </c>
      <c r="D117" s="6" t="inlineStr">
        <is>
          <t>2023-03-08</t>
        </is>
      </c>
      <c r="E117" s="6" t="n">
        <v>132</v>
      </c>
      <c r="F117" s="6" t="n">
        <v>54</v>
      </c>
      <c r="G117" s="6" t="n">
        <v>0</v>
      </c>
      <c r="H117" s="10">
        <f>IF(F117&gt;=E117,(E117-0.5)/E117,IF(G117&gt;0,(F117+0.5*G117)/E117,F117/E117))</f>
        <v/>
      </c>
      <c r="I117" s="6" t="inlineStr">
        <is>
          <t>中间分位</t>
        </is>
      </c>
      <c r="J117" s="6" t="inlineStr"/>
    </row>
    <row r="118">
      <c r="A118" s="11" t="inlineStr">
        <is>
          <t>2023-03-10</t>
        </is>
      </c>
      <c r="B118" s="17" t="n">
        <v>0.03689076044315912</v>
      </c>
      <c r="C118" s="11" t="inlineStr">
        <is>
          <t>2022-08-17</t>
        </is>
      </c>
      <c r="D118" s="11" t="inlineStr">
        <is>
          <t>2023-03-09</t>
        </is>
      </c>
      <c r="E118" s="11" t="n">
        <v>133</v>
      </c>
      <c r="F118" s="11" t="n">
        <v>70</v>
      </c>
      <c r="G118" s="11" t="n">
        <v>0</v>
      </c>
      <c r="H118" s="15">
        <f>IF(F118&gt;=E118,(E118-0.5)/E118,IF(G118&gt;0,(F118+0.5*G118)/E118,F118/E118))</f>
        <v/>
      </c>
      <c r="I118" s="11" t="inlineStr">
        <is>
          <t>中间分位</t>
        </is>
      </c>
      <c r="J118" s="11" t="inlineStr"/>
    </row>
    <row r="119">
      <c r="A119" s="6" t="inlineStr">
        <is>
          <t>2023-03-13</t>
        </is>
      </c>
      <c r="B119" s="16" t="n">
        <v>0.0155790341227779</v>
      </c>
      <c r="C119" s="6" t="inlineStr">
        <is>
          <t>2022-08-17</t>
        </is>
      </c>
      <c r="D119" s="6" t="inlineStr">
        <is>
          <t>2023-03-10</t>
        </is>
      </c>
      <c r="E119" s="6" t="n">
        <v>134</v>
      </c>
      <c r="F119" s="6" t="n">
        <v>37</v>
      </c>
      <c r="G119" s="6" t="n">
        <v>0</v>
      </c>
      <c r="H119" s="10">
        <f>IF(F119&gt;=E119,(E119-0.5)/E119,IF(G119&gt;0,(F119+0.5*G119)/E119,F119/E119))</f>
        <v/>
      </c>
      <c r="I119" s="6" t="inlineStr">
        <is>
          <t>中间分位</t>
        </is>
      </c>
      <c r="J119" s="6" t="inlineStr"/>
    </row>
    <row r="120">
      <c r="A120" s="11" t="inlineStr">
        <is>
          <t>2023-03-14</t>
        </is>
      </c>
      <c r="B120" s="17" t="n">
        <v>0.02700661000944287</v>
      </c>
      <c r="C120" s="11" t="inlineStr">
        <is>
          <t>2022-08-17</t>
        </is>
      </c>
      <c r="D120" s="11" t="inlineStr">
        <is>
          <t>2023-03-13</t>
        </is>
      </c>
      <c r="E120" s="11" t="n">
        <v>135</v>
      </c>
      <c r="F120" s="11" t="n">
        <v>56</v>
      </c>
      <c r="G120" s="11" t="n">
        <v>0</v>
      </c>
      <c r="H120" s="15">
        <f>IF(F120&gt;=E120,(E120-0.5)/E120,IF(G120&gt;0,(F120+0.5*G120)/E120,F120/E120))</f>
        <v/>
      </c>
      <c r="I120" s="11" t="inlineStr">
        <is>
          <t>中间分位</t>
        </is>
      </c>
      <c r="J120" s="11" t="inlineStr"/>
    </row>
    <row r="121">
      <c r="A121" s="6" t="inlineStr">
        <is>
          <t>2023-03-15</t>
        </is>
      </c>
      <c r="B121" s="16" t="n">
        <v>0.03257575757575758</v>
      </c>
      <c r="C121" s="6" t="inlineStr">
        <is>
          <t>2022-08-17</t>
        </is>
      </c>
      <c r="D121" s="6" t="inlineStr">
        <is>
          <t>2023-03-14</t>
        </is>
      </c>
      <c r="E121" s="6" t="n">
        <v>136</v>
      </c>
      <c r="F121" s="6" t="n">
        <v>63</v>
      </c>
      <c r="G121" s="6" t="n">
        <v>0</v>
      </c>
      <c r="H121" s="10">
        <f>IF(F121&gt;=E121,(E121-0.5)/E121,IF(G121&gt;0,(F121+0.5*G121)/E121,F121/E121))</f>
        <v/>
      </c>
      <c r="I121" s="6" t="inlineStr">
        <is>
          <t>中间分位</t>
        </is>
      </c>
      <c r="J121" s="6" t="inlineStr"/>
    </row>
    <row r="122">
      <c r="A122" s="11" t="inlineStr">
        <is>
          <t>2023-03-16</t>
        </is>
      </c>
      <c r="B122" s="17" t="n">
        <v>0.06015967016206635</v>
      </c>
      <c r="C122" s="11" t="inlineStr">
        <is>
          <t>2022-08-17</t>
        </is>
      </c>
      <c r="D122" s="11" t="inlineStr">
        <is>
          <t>2023-03-15</t>
        </is>
      </c>
      <c r="E122" s="11" t="n">
        <v>137</v>
      </c>
      <c r="F122" s="11" t="n">
        <v>105</v>
      </c>
      <c r="G122" s="11" t="n">
        <v>0</v>
      </c>
      <c r="H122" s="15">
        <f>IF(F122&gt;=E122,(E122-0.5)/E122,IF(G122&gt;0,(F122+0.5*G122)/E122,F122/E122))</f>
        <v/>
      </c>
      <c r="I122" s="11" t="inlineStr">
        <is>
          <t>中间分位</t>
        </is>
      </c>
      <c r="J122" s="11" t="inlineStr"/>
    </row>
    <row r="123">
      <c r="A123" s="6" t="inlineStr">
        <is>
          <t>2023-03-17</t>
        </is>
      </c>
      <c r="B123" s="16" t="n">
        <v>0.02672148394886309</v>
      </c>
      <c r="C123" s="6" t="inlineStr">
        <is>
          <t>2022-08-17</t>
        </is>
      </c>
      <c r="D123" s="6" t="inlineStr">
        <is>
          <t>2023-03-16</t>
        </is>
      </c>
      <c r="E123" s="6" t="n">
        <v>138</v>
      </c>
      <c r="F123" s="6" t="n">
        <v>54</v>
      </c>
      <c r="G123" s="6" t="n">
        <v>0</v>
      </c>
      <c r="H123" s="10">
        <f>IF(F123&gt;=E123,(E123-0.5)/E123,IF(G123&gt;0,(F123+0.5*G123)/E123,F123/E123))</f>
        <v/>
      </c>
      <c r="I123" s="6" t="inlineStr">
        <is>
          <t>中间分位</t>
        </is>
      </c>
      <c r="J123" s="6" t="inlineStr"/>
    </row>
    <row r="124">
      <c r="A124" s="11" t="inlineStr">
        <is>
          <t>2023-03-20</t>
        </is>
      </c>
      <c r="B124" s="17" t="n">
        <v>0.03510014664946184</v>
      </c>
      <c r="C124" s="11" t="inlineStr">
        <is>
          <t>2022-08-17</t>
        </is>
      </c>
      <c r="D124" s="11" t="inlineStr">
        <is>
          <t>2023-03-17</t>
        </is>
      </c>
      <c r="E124" s="11" t="n">
        <v>139</v>
      </c>
      <c r="F124" s="11" t="n">
        <v>72</v>
      </c>
      <c r="G124" s="11" t="n">
        <v>0</v>
      </c>
      <c r="H124" s="15">
        <f>IF(F124&gt;=E124,(E124-0.5)/E124,IF(G124&gt;0,(F124+0.5*G124)/E124,F124/E124))</f>
        <v/>
      </c>
      <c r="I124" s="11" t="inlineStr">
        <is>
          <t>中间分位</t>
        </is>
      </c>
      <c r="J124" s="11" t="inlineStr"/>
    </row>
    <row r="125">
      <c r="A125" s="6" t="inlineStr">
        <is>
          <t>2023-03-21</t>
        </is>
      </c>
      <c r="B125" s="16" t="n">
        <v>0.04672061963159724</v>
      </c>
      <c r="C125" s="6" t="inlineStr">
        <is>
          <t>2022-08-17</t>
        </is>
      </c>
      <c r="D125" s="6" t="inlineStr">
        <is>
          <t>2023-03-20</t>
        </is>
      </c>
      <c r="E125" s="6" t="n">
        <v>140</v>
      </c>
      <c r="F125" s="6" t="n">
        <v>88</v>
      </c>
      <c r="G125" s="6" t="n">
        <v>0</v>
      </c>
      <c r="H125" s="10">
        <f>IF(F125&gt;=E125,(E125-0.5)/E125,IF(G125&gt;0,(F125+0.5*G125)/E125,F125/E125))</f>
        <v/>
      </c>
      <c r="I125" s="6" t="inlineStr">
        <is>
          <t>中间分位</t>
        </is>
      </c>
      <c r="J125" s="6" t="inlineStr"/>
    </row>
    <row r="126">
      <c r="A126" s="11" t="inlineStr">
        <is>
          <t>2023-03-22</t>
        </is>
      </c>
      <c r="B126" s="17" t="n">
        <v>0.02842568691229979</v>
      </c>
      <c r="C126" s="11" t="inlineStr">
        <is>
          <t>2022-08-17</t>
        </is>
      </c>
      <c r="D126" s="11" t="inlineStr">
        <is>
          <t>2023-03-21</t>
        </is>
      </c>
      <c r="E126" s="11" t="n">
        <v>141</v>
      </c>
      <c r="F126" s="11" t="n">
        <v>58</v>
      </c>
      <c r="G126" s="11" t="n">
        <v>0</v>
      </c>
      <c r="H126" s="15">
        <f>IF(F126&gt;=E126,(E126-0.5)/E126,IF(G126&gt;0,(F126+0.5*G126)/E126,F126/E126))</f>
        <v/>
      </c>
      <c r="I126" s="11" t="inlineStr">
        <is>
          <t>中间分位</t>
        </is>
      </c>
      <c r="J126" s="11" t="inlineStr"/>
    </row>
    <row r="127">
      <c r="A127" s="6" t="inlineStr">
        <is>
          <t>2023-03-23</t>
        </is>
      </c>
      <c r="B127" s="16" t="n">
        <v>0.03747609942638623</v>
      </c>
      <c r="C127" s="6" t="inlineStr">
        <is>
          <t>2022-08-17</t>
        </is>
      </c>
      <c r="D127" s="6" t="inlineStr">
        <is>
          <t>2023-03-22</t>
        </is>
      </c>
      <c r="E127" s="6" t="n">
        <v>142</v>
      </c>
      <c r="F127" s="6" t="n">
        <v>78</v>
      </c>
      <c r="G127" s="6" t="n">
        <v>0</v>
      </c>
      <c r="H127" s="10">
        <f>IF(F127&gt;=E127,(E127-0.5)/E127,IF(G127&gt;0,(F127+0.5*G127)/E127,F127/E127))</f>
        <v/>
      </c>
      <c r="I127" s="6" t="inlineStr">
        <is>
          <t>中间分位</t>
        </is>
      </c>
      <c r="J127" s="6" t="inlineStr"/>
    </row>
    <row r="128">
      <c r="A128" s="11" t="inlineStr">
        <is>
          <t>2023-03-24</t>
        </is>
      </c>
      <c r="B128" s="17" t="n">
        <v>0.04022988505747126</v>
      </c>
      <c r="C128" s="11" t="inlineStr">
        <is>
          <t>2022-08-17</t>
        </is>
      </c>
      <c r="D128" s="11" t="inlineStr">
        <is>
          <t>2023-03-23</t>
        </is>
      </c>
      <c r="E128" s="11" t="n">
        <v>143</v>
      </c>
      <c r="F128" s="11" t="n">
        <v>82</v>
      </c>
      <c r="G128" s="11" t="n">
        <v>0</v>
      </c>
      <c r="H128" s="15">
        <f>IF(F128&gt;=E128,(E128-0.5)/E128,IF(G128&gt;0,(F128+0.5*G128)/E128,F128/E128))</f>
        <v/>
      </c>
      <c r="I128" s="11" t="inlineStr">
        <is>
          <t>中间分位</t>
        </is>
      </c>
      <c r="J128" s="11" t="inlineStr"/>
    </row>
    <row r="129">
      <c r="A129" s="6" t="inlineStr">
        <is>
          <t>2023-03-27</t>
        </is>
      </c>
      <c r="B129" s="16" t="n">
        <v>0.03598847813429066</v>
      </c>
      <c r="C129" s="6" t="inlineStr">
        <is>
          <t>2022-08-17</t>
        </is>
      </c>
      <c r="D129" s="6" t="inlineStr">
        <is>
          <t>2023-03-24</t>
        </is>
      </c>
      <c r="E129" s="6" t="n">
        <v>144</v>
      </c>
      <c r="F129" s="6" t="n">
        <v>75</v>
      </c>
      <c r="G129" s="6" t="n">
        <v>0</v>
      </c>
      <c r="H129" s="10">
        <f>IF(F129&gt;=E129,(E129-0.5)/E129,IF(G129&gt;0,(F129+0.5*G129)/E129,F129/E129))</f>
        <v/>
      </c>
      <c r="I129" s="6" t="inlineStr">
        <is>
          <t>中间分位</t>
        </is>
      </c>
      <c r="J129" s="6" t="inlineStr"/>
    </row>
    <row r="130">
      <c r="A130" s="11" t="inlineStr">
        <is>
          <t>2023-03-28</t>
        </is>
      </c>
      <c r="B130" s="17" t="n">
        <v>0.04093087032812094</v>
      </c>
      <c r="C130" s="11" t="inlineStr">
        <is>
          <t>2022-08-17</t>
        </is>
      </c>
      <c r="D130" s="11" t="inlineStr">
        <is>
          <t>2023-03-27</t>
        </is>
      </c>
      <c r="E130" s="11" t="n">
        <v>145</v>
      </c>
      <c r="F130" s="11" t="n">
        <v>86</v>
      </c>
      <c r="G130" s="11" t="n">
        <v>0</v>
      </c>
      <c r="H130" s="15">
        <f>IF(F130&gt;=E130,(E130-0.5)/E130,IF(G130&gt;0,(F130+0.5*G130)/E130,F130/E130))</f>
        <v/>
      </c>
      <c r="I130" s="11" t="inlineStr">
        <is>
          <t>中间分位</t>
        </is>
      </c>
      <c r="J130" s="11" t="inlineStr"/>
    </row>
    <row r="131">
      <c r="A131" s="6" t="inlineStr">
        <is>
          <t>2023-03-29</t>
        </is>
      </c>
      <c r="B131" s="16" t="n">
        <v>0.02480314960629921</v>
      </c>
      <c r="C131" s="6" t="inlineStr">
        <is>
          <t>2022-08-17</t>
        </is>
      </c>
      <c r="D131" s="6" t="inlineStr">
        <is>
          <t>2023-03-28</t>
        </is>
      </c>
      <c r="E131" s="6" t="n">
        <v>146</v>
      </c>
      <c r="F131" s="6" t="n">
        <v>51</v>
      </c>
      <c r="G131" s="6" t="n">
        <v>0</v>
      </c>
      <c r="H131" s="10">
        <f>IF(F131&gt;=E131,(E131-0.5)/E131,IF(G131&gt;0,(F131+0.5*G131)/E131,F131/E131))</f>
        <v/>
      </c>
      <c r="I131" s="6" t="inlineStr">
        <is>
          <t>中间分位</t>
        </is>
      </c>
      <c r="J131" s="6" t="inlineStr"/>
    </row>
    <row r="132">
      <c r="A132" s="11" t="inlineStr">
        <is>
          <t>2023-03-30</t>
        </is>
      </c>
      <c r="B132" s="17" t="n">
        <v>0.01814595660749507</v>
      </c>
      <c r="C132" s="11" t="inlineStr">
        <is>
          <t>2022-08-17</t>
        </is>
      </c>
      <c r="D132" s="11" t="inlineStr">
        <is>
          <t>2023-03-29</t>
        </is>
      </c>
      <c r="E132" s="11" t="n">
        <v>147</v>
      </c>
      <c r="F132" s="11" t="n">
        <v>41</v>
      </c>
      <c r="G132" s="11" t="n">
        <v>0</v>
      </c>
      <c r="H132" s="15">
        <f>IF(F132&gt;=E132,(E132-0.5)/E132,IF(G132&gt;0,(F132+0.5*G132)/E132,F132/E132))</f>
        <v/>
      </c>
      <c r="I132" s="11" t="inlineStr">
        <is>
          <t>中间分位</t>
        </is>
      </c>
      <c r="J132" s="11" t="inlineStr"/>
    </row>
    <row r="133">
      <c r="A133" s="6" t="inlineStr">
        <is>
          <t>2023-03-31</t>
        </is>
      </c>
      <c r="B133" s="16" t="n">
        <v>0.009959383957252892</v>
      </c>
      <c r="C133" s="6" t="inlineStr">
        <is>
          <t>2022-08-17</t>
        </is>
      </c>
      <c r="D133" s="6" t="inlineStr">
        <is>
          <t>2023-03-30</t>
        </is>
      </c>
      <c r="E133" s="6" t="n">
        <v>148</v>
      </c>
      <c r="F133" s="6" t="n">
        <v>32</v>
      </c>
      <c r="G133" s="6" t="n">
        <v>0</v>
      </c>
      <c r="H133" s="10">
        <f>IF(F133&gt;=E133,(E133-0.5)/E133,IF(G133&gt;0,(F133+0.5*G133)/E133,F133/E133))</f>
        <v/>
      </c>
      <c r="I133" s="6" t="inlineStr">
        <is>
          <t>中间分位</t>
        </is>
      </c>
      <c r="J133" s="6" t="inlineStr"/>
    </row>
    <row r="134">
      <c r="A134" s="11" t="inlineStr">
        <is>
          <t>2023-04-03</t>
        </is>
      </c>
      <c r="B134" s="17" t="n">
        <v>0.03149117567836607</v>
      </c>
      <c r="C134" s="11" t="inlineStr">
        <is>
          <t>2022-08-17</t>
        </is>
      </c>
      <c r="D134" s="11" t="inlineStr">
        <is>
          <t>2023-03-31</t>
        </is>
      </c>
      <c r="E134" s="11" t="n">
        <v>149</v>
      </c>
      <c r="F134" s="11" t="n">
        <v>64</v>
      </c>
      <c r="G134" s="11" t="n">
        <v>0</v>
      </c>
      <c r="H134" s="15">
        <f>IF(F134&gt;=E134,(E134-0.5)/E134,IF(G134&gt;0,(F134+0.5*G134)/E134,F134/E134))</f>
        <v/>
      </c>
      <c r="I134" s="11" t="inlineStr">
        <is>
          <t>中间分位</t>
        </is>
      </c>
      <c r="J134" s="11" t="inlineStr"/>
    </row>
    <row r="135">
      <c r="A135" s="6" t="inlineStr">
        <is>
          <t>2023-04-04</t>
        </is>
      </c>
      <c r="B135" s="16" t="n">
        <v>0.02398820110180887</v>
      </c>
      <c r="C135" s="6" t="inlineStr">
        <is>
          <t>2022-08-17</t>
        </is>
      </c>
      <c r="D135" s="6" t="inlineStr">
        <is>
          <t>2023-04-03</t>
        </is>
      </c>
      <c r="E135" s="6" t="n">
        <v>150</v>
      </c>
      <c r="F135" s="6" t="n">
        <v>53</v>
      </c>
      <c r="G135" s="6" t="n">
        <v>0</v>
      </c>
      <c r="H135" s="10">
        <f>IF(F135&gt;=E135,(E135-0.5)/E135,IF(G135&gt;0,(F135+0.5*G135)/E135,F135/E135))</f>
        <v/>
      </c>
      <c r="I135" s="6" t="inlineStr">
        <is>
          <t>中间分位</t>
        </is>
      </c>
      <c r="J135" s="6" t="inlineStr"/>
    </row>
    <row r="136">
      <c r="A136" s="11" t="inlineStr">
        <is>
          <t>2023-04-06</t>
        </is>
      </c>
      <c r="B136" s="17" t="n">
        <v>0.03776838734601706</v>
      </c>
      <c r="C136" s="11" t="inlineStr">
        <is>
          <t>2022-08-17</t>
        </is>
      </c>
      <c r="D136" s="11" t="inlineStr">
        <is>
          <t>2023-04-04</t>
        </is>
      </c>
      <c r="E136" s="11" t="n">
        <v>151</v>
      </c>
      <c r="F136" s="11" t="n">
        <v>85</v>
      </c>
      <c r="G136" s="11" t="n">
        <v>0</v>
      </c>
      <c r="H136" s="15">
        <f>IF(F136&gt;=E136,(E136-0.5)/E136,IF(G136&gt;0,(F136+0.5*G136)/E136,F136/E136))</f>
        <v/>
      </c>
      <c r="I136" s="11" t="inlineStr">
        <is>
          <t>中间分位</t>
        </is>
      </c>
      <c r="J136" s="11" t="inlineStr"/>
    </row>
    <row r="137">
      <c r="A137" s="6" t="inlineStr">
        <is>
          <t>2023-04-07</t>
        </is>
      </c>
      <c r="B137" s="16" t="n">
        <v>0.02398790294865627</v>
      </c>
      <c r="C137" s="6" t="inlineStr">
        <is>
          <t>2022-08-17</t>
        </is>
      </c>
      <c r="D137" s="6" t="inlineStr">
        <is>
          <t>2023-04-06</t>
        </is>
      </c>
      <c r="E137" s="6" t="n">
        <v>152</v>
      </c>
      <c r="F137" s="6" t="n">
        <v>53</v>
      </c>
      <c r="G137" s="6" t="n">
        <v>0</v>
      </c>
      <c r="H137" s="10">
        <f>IF(F137&gt;=E137,(E137-0.5)/E137,IF(G137&gt;0,(F137+0.5*G137)/E137,F137/E137))</f>
        <v/>
      </c>
      <c r="I137" s="6" t="inlineStr">
        <is>
          <t>中间分位</t>
        </is>
      </c>
      <c r="J137" s="6" t="inlineStr"/>
    </row>
    <row r="138">
      <c r="A138" s="11" t="inlineStr">
        <is>
          <t>2023-04-10</t>
        </is>
      </c>
      <c r="B138" s="17" t="n">
        <v>0.02602312530909359</v>
      </c>
      <c r="C138" s="11" t="inlineStr">
        <is>
          <t>2022-08-17</t>
        </is>
      </c>
      <c r="D138" s="11" t="inlineStr">
        <is>
          <t>2023-04-07</t>
        </is>
      </c>
      <c r="E138" s="11" t="n">
        <v>153</v>
      </c>
      <c r="F138" s="11" t="n">
        <v>58</v>
      </c>
      <c r="G138" s="11" t="n">
        <v>0</v>
      </c>
      <c r="H138" s="15">
        <f>IF(F138&gt;=E138,(E138-0.5)/E138,IF(G138&gt;0,(F138+0.5*G138)/E138,F138/E138))</f>
        <v/>
      </c>
      <c r="I138" s="11" t="inlineStr">
        <is>
          <t>中间分位</t>
        </is>
      </c>
      <c r="J138" s="11" t="inlineStr"/>
    </row>
    <row r="139">
      <c r="A139" s="6" t="inlineStr">
        <is>
          <t>2023-04-11</t>
        </is>
      </c>
      <c r="B139" s="16" t="n">
        <v>0.00277723417455354</v>
      </c>
      <c r="C139" s="6" t="inlineStr">
        <is>
          <t>2022-08-17</t>
        </is>
      </c>
      <c r="D139" s="6" t="inlineStr">
        <is>
          <t>2023-04-10</t>
        </is>
      </c>
      <c r="E139" s="6" t="n">
        <v>154</v>
      </c>
      <c r="F139" s="6" t="n">
        <v>25</v>
      </c>
      <c r="G139" s="6" t="n">
        <v>0</v>
      </c>
      <c r="H139" s="10">
        <f>IF(F139&gt;=E139,(E139-0.5)/E139,IF(G139&gt;0,(F139+0.5*G139)/E139,F139/E139))</f>
        <v/>
      </c>
      <c r="I139" s="6" t="inlineStr">
        <is>
          <t>中间分位</t>
        </is>
      </c>
      <c r="J139" s="6" t="inlineStr"/>
    </row>
    <row r="140">
      <c r="A140" s="11" t="inlineStr">
        <is>
          <t>2023-04-12</t>
        </is>
      </c>
      <c r="B140" s="17" t="n">
        <v>0.01634750501716344</v>
      </c>
      <c r="C140" s="11" t="inlineStr">
        <is>
          <t>2022-08-17</t>
        </is>
      </c>
      <c r="D140" s="11" t="inlineStr">
        <is>
          <t>2023-04-11</t>
        </is>
      </c>
      <c r="E140" s="11" t="n">
        <v>155</v>
      </c>
      <c r="F140" s="11" t="n">
        <v>41</v>
      </c>
      <c r="G140" s="11" t="n">
        <v>0</v>
      </c>
      <c r="H140" s="15">
        <f>IF(F140&gt;=E140,(E140-0.5)/E140,IF(G140&gt;0,(F140+0.5*G140)/E140,F140/E140))</f>
        <v/>
      </c>
      <c r="I140" s="11" t="inlineStr">
        <is>
          <t>中间分位</t>
        </is>
      </c>
      <c r="J140" s="11" t="inlineStr"/>
    </row>
    <row r="141">
      <c r="A141" s="6" t="inlineStr">
        <is>
          <t>2023-04-13</t>
        </is>
      </c>
      <c r="B141" s="16" t="n">
        <v>0.02316209378461337</v>
      </c>
      <c r="C141" s="6" t="inlineStr">
        <is>
          <t>2022-08-17</t>
        </is>
      </c>
      <c r="D141" s="6" t="inlineStr">
        <is>
          <t>2023-04-12</t>
        </is>
      </c>
      <c r="E141" s="6" t="n">
        <v>156</v>
      </c>
      <c r="F141" s="6" t="n">
        <v>52</v>
      </c>
      <c r="G141" s="6" t="n">
        <v>0</v>
      </c>
      <c r="H141" s="10">
        <f>IF(F141&gt;=E141,(E141-0.5)/E141,IF(G141&gt;0,(F141+0.5*G141)/E141,F141/E141))</f>
        <v/>
      </c>
      <c r="I141" s="6" t="inlineStr">
        <is>
          <t>中间分位</t>
        </is>
      </c>
      <c r="J141" s="6" t="inlineStr"/>
    </row>
    <row r="142">
      <c r="A142" s="11" t="inlineStr">
        <is>
          <t>2023-04-14</t>
        </is>
      </c>
      <c r="B142" s="17" t="n">
        <v>0.02778283508720824</v>
      </c>
      <c r="C142" s="11" t="inlineStr">
        <is>
          <t>2022-08-17</t>
        </is>
      </c>
      <c r="D142" s="11" t="inlineStr">
        <is>
          <t>2023-04-13</t>
        </is>
      </c>
      <c r="E142" s="11" t="n">
        <v>157</v>
      </c>
      <c r="F142" s="11" t="n">
        <v>67</v>
      </c>
      <c r="G142" s="11" t="n">
        <v>0</v>
      </c>
      <c r="H142" s="15">
        <f>IF(F142&gt;=E142,(E142-0.5)/E142,IF(G142&gt;0,(F142+0.5*G142)/E142,F142/E142))</f>
        <v/>
      </c>
      <c r="I142" s="11" t="inlineStr">
        <is>
          <t>中间分位</t>
        </is>
      </c>
      <c r="J142" s="11" t="inlineStr"/>
    </row>
    <row r="143">
      <c r="A143" s="6" t="inlineStr">
        <is>
          <t>2023-04-17</t>
        </is>
      </c>
      <c r="B143" s="16" t="n">
        <v>0.01362236868190333</v>
      </c>
      <c r="C143" s="6" t="inlineStr">
        <is>
          <t>2022-08-17</t>
        </is>
      </c>
      <c r="D143" s="6" t="inlineStr">
        <is>
          <t>2023-04-14</t>
        </is>
      </c>
      <c r="E143" s="6" t="n">
        <v>158</v>
      </c>
      <c r="F143" s="6" t="n">
        <v>38</v>
      </c>
      <c r="G143" s="6" t="n">
        <v>0</v>
      </c>
      <c r="H143" s="10">
        <f>IF(F143&gt;=E143,(E143-0.5)/E143,IF(G143&gt;0,(F143+0.5*G143)/E143,F143/E143))</f>
        <v/>
      </c>
      <c r="I143" s="6" t="inlineStr">
        <is>
          <t>中间分位</t>
        </is>
      </c>
      <c r="J143" s="6" t="inlineStr"/>
    </row>
    <row r="144">
      <c r="A144" s="11" t="inlineStr">
        <is>
          <t>2023-04-18</t>
        </is>
      </c>
      <c r="B144" s="17" t="n">
        <v>0.03320158102766799</v>
      </c>
      <c r="C144" s="11" t="inlineStr">
        <is>
          <t>2022-08-17</t>
        </is>
      </c>
      <c r="D144" s="11" t="inlineStr">
        <is>
          <t>2023-04-17</t>
        </is>
      </c>
      <c r="E144" s="11" t="n">
        <v>159</v>
      </c>
      <c r="F144" s="11" t="n">
        <v>81</v>
      </c>
      <c r="G144" s="11" t="n">
        <v>0</v>
      </c>
      <c r="H144" s="15">
        <f>IF(F144&gt;=E144,(E144-0.5)/E144,IF(G144&gt;0,(F144+0.5*G144)/E144,F144/E144))</f>
        <v/>
      </c>
      <c r="I144" s="11" t="inlineStr">
        <is>
          <t>中间分位</t>
        </is>
      </c>
      <c r="J144" s="11" t="inlineStr"/>
    </row>
    <row r="145">
      <c r="A145" s="6" t="inlineStr">
        <is>
          <t>2023-04-19</t>
        </is>
      </c>
      <c r="B145" s="16" t="n">
        <v>0.04125817154237001</v>
      </c>
      <c r="C145" s="6" t="inlineStr">
        <is>
          <t>2022-08-17</t>
        </is>
      </c>
      <c r="D145" s="6" t="inlineStr">
        <is>
          <t>2023-04-18</t>
        </is>
      </c>
      <c r="E145" s="6" t="n">
        <v>160</v>
      </c>
      <c r="F145" s="6" t="n">
        <v>101</v>
      </c>
      <c r="G145" s="6" t="n">
        <v>0</v>
      </c>
      <c r="H145" s="10">
        <f>IF(F145&gt;=E145,(E145-0.5)/E145,IF(G145&gt;0,(F145+0.5*G145)/E145,F145/E145))</f>
        <v/>
      </c>
      <c r="I145" s="6" t="inlineStr">
        <is>
          <t>中间分位</t>
        </is>
      </c>
      <c r="J145" s="6" t="inlineStr"/>
    </row>
    <row r="146">
      <c r="A146" s="11" t="inlineStr">
        <is>
          <t>2023-04-20</t>
        </is>
      </c>
      <c r="B146" s="17" t="n">
        <v>0.03333333333333333</v>
      </c>
      <c r="C146" s="11" t="inlineStr">
        <is>
          <t>2022-08-17</t>
        </is>
      </c>
      <c r="D146" s="11" t="inlineStr">
        <is>
          <t>2023-04-19</t>
        </is>
      </c>
      <c r="E146" s="11" t="n">
        <v>161</v>
      </c>
      <c r="F146" s="11" t="n">
        <v>82</v>
      </c>
      <c r="G146" s="11" t="n">
        <v>0</v>
      </c>
      <c r="H146" s="15">
        <f>IF(F146&gt;=E146,(E146-0.5)/E146,IF(G146&gt;0,(F146+0.5*G146)/E146,F146/E146))</f>
        <v/>
      </c>
      <c r="I146" s="11" t="inlineStr">
        <is>
          <t>中间分位</t>
        </is>
      </c>
      <c r="J146" s="11" t="inlineStr"/>
    </row>
    <row r="147">
      <c r="A147" s="6" t="inlineStr">
        <is>
          <t>2023-04-21</t>
        </is>
      </c>
      <c r="B147" s="16" t="n">
        <v>0.03058823529411765</v>
      </c>
      <c r="C147" s="6" t="inlineStr">
        <is>
          <t>2022-08-17</t>
        </is>
      </c>
      <c r="D147" s="6" t="inlineStr">
        <is>
          <t>2023-04-20</t>
        </is>
      </c>
      <c r="E147" s="6" t="n">
        <v>162</v>
      </c>
      <c r="F147" s="6" t="n">
        <v>70</v>
      </c>
      <c r="G147" s="6" t="n">
        <v>0</v>
      </c>
      <c r="H147" s="10">
        <f>IF(F147&gt;=E147,(E147-0.5)/E147,IF(G147&gt;0,(F147+0.5*G147)/E147,F147/E147))</f>
        <v/>
      </c>
      <c r="I147" s="6" t="inlineStr">
        <is>
          <t>中间分位</t>
        </is>
      </c>
      <c r="J147" s="6" t="inlineStr"/>
    </row>
    <row r="148">
      <c r="A148" s="11" t="inlineStr">
        <is>
          <t>2023-04-24</t>
        </is>
      </c>
      <c r="B148" s="17" t="n">
        <v>0.06247691188993922</v>
      </c>
      <c r="C148" s="11" t="inlineStr">
        <is>
          <t>2022-08-17</t>
        </is>
      </c>
      <c r="D148" s="11" t="inlineStr">
        <is>
          <t>2023-04-21</t>
        </is>
      </c>
      <c r="E148" s="11" t="n">
        <v>163</v>
      </c>
      <c r="F148" s="11" t="n">
        <v>131</v>
      </c>
      <c r="G148" s="11" t="n">
        <v>0</v>
      </c>
      <c r="H148" s="15">
        <f>IF(F148&gt;=E148,(E148-0.5)/E148,IF(G148&gt;0,(F148+0.5*G148)/E148,F148/E148))</f>
        <v/>
      </c>
      <c r="I148" s="11" t="inlineStr">
        <is>
          <t>中间分位</t>
        </is>
      </c>
      <c r="J148" s="11" t="inlineStr"/>
    </row>
    <row r="149">
      <c r="A149" s="6" t="inlineStr">
        <is>
          <t>2023-04-26</t>
        </is>
      </c>
      <c r="B149" s="16" t="n">
        <v>0.05317460317460317</v>
      </c>
      <c r="C149" s="6" t="inlineStr">
        <is>
          <t>2022-08-17</t>
        </is>
      </c>
      <c r="D149" s="6" t="inlineStr">
        <is>
          <t>2023-04-24</t>
        </is>
      </c>
      <c r="E149" s="6" t="n">
        <v>164</v>
      </c>
      <c r="F149" s="6" t="n">
        <v>123</v>
      </c>
      <c r="G149" s="6" t="n">
        <v>0</v>
      </c>
      <c r="H149" s="10">
        <f>IF(F149&gt;=E149,(E149-0.5)/E149,IF(G149&gt;0,(F149+0.5*G149)/E149,F149/E149))</f>
        <v/>
      </c>
      <c r="I149" s="6" t="inlineStr">
        <is>
          <t>中间分位</t>
        </is>
      </c>
      <c r="J149" s="6" t="inlineStr"/>
    </row>
    <row r="150">
      <c r="A150" s="11" t="inlineStr">
        <is>
          <t>2023-04-27</t>
        </is>
      </c>
      <c r="B150" s="17" t="n">
        <v>0.06488419413485734</v>
      </c>
      <c r="C150" s="11" t="inlineStr">
        <is>
          <t>2022-08-17</t>
        </is>
      </c>
      <c r="D150" s="11" t="inlineStr">
        <is>
          <t>2023-04-26</t>
        </is>
      </c>
      <c r="E150" s="11" t="n">
        <v>165</v>
      </c>
      <c r="F150" s="11" t="n">
        <v>134</v>
      </c>
      <c r="G150" s="11" t="n">
        <v>0</v>
      </c>
      <c r="H150" s="15">
        <f>IF(F150&gt;=E150,(E150-0.5)/E150,IF(G150&gt;0,(F150+0.5*G150)/E150,F150/E150))</f>
        <v/>
      </c>
      <c r="I150" s="11" t="inlineStr">
        <is>
          <t>中间分位</t>
        </is>
      </c>
      <c r="J150" s="11" t="inlineStr"/>
    </row>
    <row r="151">
      <c r="A151" s="6" t="inlineStr">
        <is>
          <t>2023-04-28</t>
        </is>
      </c>
      <c r="B151" s="16" t="n">
        <v>0.06202151643873603</v>
      </c>
      <c r="C151" s="6" t="inlineStr">
        <is>
          <t>2022-08-17</t>
        </is>
      </c>
      <c r="D151" s="6" t="inlineStr">
        <is>
          <t>2023-04-27</t>
        </is>
      </c>
      <c r="E151" s="6" t="n">
        <v>166</v>
      </c>
      <c r="F151" s="6" t="n">
        <v>132</v>
      </c>
      <c r="G151" s="6" t="n">
        <v>0</v>
      </c>
      <c r="H151" s="10">
        <f>IF(F151&gt;=E151,(E151-0.5)/E151,IF(G151&gt;0,(F151+0.5*G151)/E151,F151/E151))</f>
        <v/>
      </c>
      <c r="I151" s="6" t="inlineStr">
        <is>
          <t>中间分位</t>
        </is>
      </c>
      <c r="J151" s="6" t="inlineStr"/>
    </row>
    <row r="152">
      <c r="A152" s="11" t="inlineStr">
        <is>
          <t>2023-05-04</t>
        </is>
      </c>
      <c r="B152" s="17" t="n">
        <v>0.04924215851741199</v>
      </c>
      <c r="C152" s="11" t="inlineStr">
        <is>
          <t>2022-08-17</t>
        </is>
      </c>
      <c r="D152" s="11" t="inlineStr">
        <is>
          <t>2023-04-28</t>
        </is>
      </c>
      <c r="E152" s="11" t="n">
        <v>167</v>
      </c>
      <c r="F152" s="11" t="n">
        <v>114</v>
      </c>
      <c r="G152" s="11" t="n">
        <v>0</v>
      </c>
      <c r="H152" s="15">
        <f>IF(F152&gt;=E152,(E152-0.5)/E152,IF(G152&gt;0,(F152+0.5*G152)/E152,F152/E152))</f>
        <v/>
      </c>
      <c r="I152" s="11" t="inlineStr">
        <is>
          <t>中间分位</t>
        </is>
      </c>
      <c r="J152" s="11" t="inlineStr"/>
    </row>
    <row r="153">
      <c r="A153" s="6" t="inlineStr">
        <is>
          <t>2023-05-05</t>
        </is>
      </c>
      <c r="B153" s="16" t="n">
        <v>0.05418237155166336</v>
      </c>
      <c r="C153" s="6" t="inlineStr">
        <is>
          <t>2022-08-17</t>
        </is>
      </c>
      <c r="D153" s="6" t="inlineStr">
        <is>
          <t>2023-05-04</t>
        </is>
      </c>
      <c r="E153" s="6" t="n">
        <v>168</v>
      </c>
      <c r="F153" s="6" t="n">
        <v>126</v>
      </c>
      <c r="G153" s="6" t="n">
        <v>0</v>
      </c>
      <c r="H153" s="10">
        <f>IF(F153&gt;=E153,(E153-0.5)/E153,IF(G153&gt;0,(F153+0.5*G153)/E153,F153/E153))</f>
        <v/>
      </c>
      <c r="I153" s="6" t="inlineStr">
        <is>
          <t>中间分位</t>
        </is>
      </c>
      <c r="J153" s="6" t="inlineStr"/>
    </row>
    <row r="154">
      <c r="A154" s="11" t="inlineStr">
        <is>
          <t>2023-05-08</t>
        </is>
      </c>
      <c r="B154" s="17" t="n">
        <v>0.03991769547325103</v>
      </c>
      <c r="C154" s="11" t="inlineStr">
        <is>
          <t>2022-08-17</t>
        </is>
      </c>
      <c r="D154" s="11" t="inlineStr">
        <is>
          <t>2023-05-05</t>
        </is>
      </c>
      <c r="E154" s="11" t="n">
        <v>169</v>
      </c>
      <c r="F154" s="11" t="n">
        <v>99</v>
      </c>
      <c r="G154" s="11" t="n">
        <v>0</v>
      </c>
      <c r="H154" s="15">
        <f>IF(F154&gt;=E154,(E154-0.5)/E154,IF(G154&gt;0,(F154+0.5*G154)/E154,F154/E154))</f>
        <v/>
      </c>
      <c r="I154" s="11" t="inlineStr">
        <is>
          <t>中间分位</t>
        </is>
      </c>
      <c r="J154" s="11" t="inlineStr"/>
    </row>
    <row r="155">
      <c r="A155" s="6" t="inlineStr">
        <is>
          <t>2023-05-09</t>
        </is>
      </c>
      <c r="B155" s="16" t="n">
        <v>0.06334598860615889</v>
      </c>
      <c r="C155" s="6" t="inlineStr">
        <is>
          <t>2022-08-17</t>
        </is>
      </c>
      <c r="D155" s="6" t="inlineStr">
        <is>
          <t>2023-05-08</t>
        </is>
      </c>
      <c r="E155" s="6" t="n">
        <v>170</v>
      </c>
      <c r="F155" s="6" t="n">
        <v>138</v>
      </c>
      <c r="G155" s="6" t="n">
        <v>0</v>
      </c>
      <c r="H155" s="10">
        <f>IF(F155&gt;=E155,(E155-0.5)/E155,IF(G155&gt;0,(F155+0.5*G155)/E155,F155/E155))</f>
        <v/>
      </c>
      <c r="I155" s="6" t="inlineStr">
        <is>
          <t>中间分位</t>
        </is>
      </c>
      <c r="J155" s="6" t="inlineStr"/>
    </row>
    <row r="156">
      <c r="A156" s="11" t="inlineStr">
        <is>
          <t>2023-05-10</t>
        </is>
      </c>
      <c r="B156" s="17" t="n">
        <v>0.05732261301511031</v>
      </c>
      <c r="C156" s="11" t="inlineStr">
        <is>
          <t>2022-08-17</t>
        </is>
      </c>
      <c r="D156" s="11" t="inlineStr">
        <is>
          <t>2023-05-09</t>
        </is>
      </c>
      <c r="E156" s="11" t="n">
        <v>171</v>
      </c>
      <c r="F156" s="11" t="n">
        <v>133</v>
      </c>
      <c r="G156" s="11" t="n">
        <v>0</v>
      </c>
      <c r="H156" s="15">
        <f>IF(F156&gt;=E156,(E156-0.5)/E156,IF(G156&gt;0,(F156+0.5*G156)/E156,F156/E156))</f>
        <v/>
      </c>
      <c r="I156" s="11" t="inlineStr">
        <is>
          <t>中间分位</t>
        </is>
      </c>
      <c r="J156" s="11" t="inlineStr"/>
    </row>
    <row r="157">
      <c r="A157" s="6" t="inlineStr">
        <is>
          <t>2023-05-11</t>
        </is>
      </c>
      <c r="B157" s="16" t="n">
        <v>0.04641350210970464</v>
      </c>
      <c r="C157" s="6" t="inlineStr">
        <is>
          <t>2022-08-17</t>
        </is>
      </c>
      <c r="D157" s="6" t="inlineStr">
        <is>
          <t>2023-05-10</t>
        </is>
      </c>
      <c r="E157" s="6" t="n">
        <v>172</v>
      </c>
      <c r="F157" s="6" t="n">
        <v>111</v>
      </c>
      <c r="G157" s="6" t="n">
        <v>0</v>
      </c>
      <c r="H157" s="10">
        <f>IF(F157&gt;=E157,(E157-0.5)/E157,IF(G157&gt;0,(F157+0.5*G157)/E157,F157/E157))</f>
        <v/>
      </c>
      <c r="I157" s="6" t="inlineStr">
        <is>
          <t>中间分位</t>
        </is>
      </c>
      <c r="J157" s="6" t="inlineStr"/>
    </row>
    <row r="158">
      <c r="A158" s="11" t="inlineStr">
        <is>
          <t>2023-05-12</t>
        </is>
      </c>
      <c r="B158" s="17" t="n">
        <v>0.06101694915254238</v>
      </c>
      <c r="C158" s="11" t="inlineStr">
        <is>
          <t>2022-08-17</t>
        </is>
      </c>
      <c r="D158" s="11" t="inlineStr">
        <is>
          <t>2023-05-11</t>
        </is>
      </c>
      <c r="E158" s="11" t="n">
        <v>173</v>
      </c>
      <c r="F158" s="11" t="n">
        <v>137</v>
      </c>
      <c r="G158" s="11" t="n">
        <v>0</v>
      </c>
      <c r="H158" s="15">
        <f>IF(F158&gt;=E158,(E158-0.5)/E158,IF(G158&gt;0,(F158+0.5*G158)/E158,F158/E158))</f>
        <v/>
      </c>
      <c r="I158" s="11" t="inlineStr">
        <is>
          <t>中间分位</t>
        </is>
      </c>
      <c r="J158" s="11" t="inlineStr"/>
    </row>
    <row r="159">
      <c r="A159" s="6" t="inlineStr">
        <is>
          <t>2023-05-15</t>
        </is>
      </c>
      <c r="B159" s="16" t="n">
        <v>0.03931256713211601</v>
      </c>
      <c r="C159" s="6" t="inlineStr">
        <is>
          <t>2022-08-17</t>
        </is>
      </c>
      <c r="D159" s="6" t="inlineStr">
        <is>
          <t>2023-05-12</t>
        </is>
      </c>
      <c r="E159" s="6" t="n">
        <v>174</v>
      </c>
      <c r="F159" s="6" t="n">
        <v>98</v>
      </c>
      <c r="G159" s="6" t="n">
        <v>0</v>
      </c>
      <c r="H159" s="10">
        <f>IF(F159&gt;=E159,(E159-0.5)/E159,IF(G159&gt;0,(F159+0.5*G159)/E159,F159/E159))</f>
        <v/>
      </c>
      <c r="I159" s="6" t="inlineStr">
        <is>
          <t>中间分位</t>
        </is>
      </c>
      <c r="J159" s="6" t="inlineStr"/>
    </row>
    <row r="160">
      <c r="A160" s="11" t="inlineStr">
        <is>
          <t>2023-05-16</t>
        </is>
      </c>
      <c r="B160" s="17" t="n">
        <v>0.0371730819451758</v>
      </c>
      <c r="C160" s="11" t="inlineStr">
        <is>
          <t>2022-08-17</t>
        </is>
      </c>
      <c r="D160" s="11" t="inlineStr">
        <is>
          <t>2023-05-15</t>
        </is>
      </c>
      <c r="E160" s="11" t="n">
        <v>175</v>
      </c>
      <c r="F160" s="11" t="n">
        <v>93</v>
      </c>
      <c r="G160" s="11" t="n">
        <v>0</v>
      </c>
      <c r="H160" s="15">
        <f>IF(F160&gt;=E160,(E160-0.5)/E160,IF(G160&gt;0,(F160+0.5*G160)/E160,F160/E160))</f>
        <v/>
      </c>
      <c r="I160" s="11" t="inlineStr">
        <is>
          <t>中间分位</t>
        </is>
      </c>
      <c r="J160" s="11" t="inlineStr"/>
    </row>
    <row r="161">
      <c r="A161" s="6" t="inlineStr">
        <is>
          <t>2023-05-17</t>
        </is>
      </c>
      <c r="B161" s="16" t="n">
        <v>0.02942430703624734</v>
      </c>
      <c r="C161" s="6" t="inlineStr">
        <is>
          <t>2022-08-17</t>
        </is>
      </c>
      <c r="D161" s="6" t="inlineStr">
        <is>
          <t>2023-05-16</t>
        </is>
      </c>
      <c r="E161" s="6" t="n">
        <v>176</v>
      </c>
      <c r="F161" s="6" t="n">
        <v>70</v>
      </c>
      <c r="G161" s="6" t="n">
        <v>0</v>
      </c>
      <c r="H161" s="10">
        <f>IF(F161&gt;=E161,(E161-0.5)/E161,IF(G161&gt;0,(F161+0.5*G161)/E161,F161/E161))</f>
        <v/>
      </c>
      <c r="I161" s="6" t="inlineStr">
        <is>
          <t>中间分位</t>
        </is>
      </c>
      <c r="J161" s="6" t="inlineStr"/>
    </row>
    <row r="162">
      <c r="A162" s="11" t="inlineStr">
        <is>
          <t>2023-05-18</t>
        </is>
      </c>
      <c r="B162" s="17" t="n">
        <v>0.05318640815274132</v>
      </c>
      <c r="C162" s="11" t="inlineStr">
        <is>
          <t>2022-08-17</t>
        </is>
      </c>
      <c r="D162" s="11" t="inlineStr">
        <is>
          <t>2023-05-17</t>
        </is>
      </c>
      <c r="E162" s="11" t="n">
        <v>177</v>
      </c>
      <c r="F162" s="11" t="n">
        <v>130</v>
      </c>
      <c r="G162" s="11" t="n">
        <v>0</v>
      </c>
      <c r="H162" s="15">
        <f>IF(F162&gt;=E162,(E162-0.5)/E162,IF(G162&gt;0,(F162+0.5*G162)/E162,F162/E162))</f>
        <v/>
      </c>
      <c r="I162" s="11" t="inlineStr">
        <is>
          <t>中间分位</t>
        </is>
      </c>
      <c r="J162" s="11" t="inlineStr"/>
    </row>
    <row r="163">
      <c r="A163" s="6" t="inlineStr">
        <is>
          <t>2023-05-19</t>
        </is>
      </c>
      <c r="B163" s="16" t="n">
        <v>0.07524761770642634</v>
      </c>
      <c r="C163" s="6" t="inlineStr">
        <is>
          <t>2022-08-17</t>
        </is>
      </c>
      <c r="D163" s="6" t="inlineStr">
        <is>
          <t>2023-05-18</t>
        </is>
      </c>
      <c r="E163" s="6" t="n">
        <v>178</v>
      </c>
      <c r="F163" s="6" t="n">
        <v>157</v>
      </c>
      <c r="G163" s="6" t="n">
        <v>0</v>
      </c>
      <c r="H163" s="10">
        <f>IF(F163&gt;=E163,(E163-0.5)/E163,IF(G163&gt;0,(F163+0.5*G163)/E163,F163/E163))</f>
        <v/>
      </c>
      <c r="I163" s="6" t="inlineStr">
        <is>
          <t>中间分位</t>
        </is>
      </c>
      <c r="J163" s="6" t="inlineStr"/>
    </row>
    <row r="164">
      <c r="A164" s="11" t="inlineStr">
        <is>
          <t>2023-05-22</t>
        </is>
      </c>
      <c r="B164" s="17" t="n">
        <v>0.08652792990142388</v>
      </c>
      <c r="C164" s="11" t="inlineStr">
        <is>
          <t>2022-08-17</t>
        </is>
      </c>
      <c r="D164" s="11" t="inlineStr">
        <is>
          <t>2023-05-19</t>
        </is>
      </c>
      <c r="E164" s="11" t="n">
        <v>179</v>
      </c>
      <c r="F164" s="11" t="n">
        <v>162</v>
      </c>
      <c r="G164" s="11" t="n">
        <v>0</v>
      </c>
      <c r="H164" s="15">
        <f>IF(F164&gt;=E164,(E164-0.5)/E164,IF(G164&gt;0,(F164+0.5*G164)/E164,F164/E164))</f>
        <v/>
      </c>
      <c r="I164" s="11" t="inlineStr">
        <is>
          <t>高分位</t>
        </is>
      </c>
      <c r="J164" s="11" t="inlineStr"/>
    </row>
    <row r="165">
      <c r="A165" s="6" t="inlineStr">
        <is>
          <t>2023-05-23</t>
        </is>
      </c>
      <c r="B165" s="16" t="n">
        <v>0.06108643756019409</v>
      </c>
      <c r="C165" s="6" t="inlineStr">
        <is>
          <t>2022-08-17</t>
        </is>
      </c>
      <c r="D165" s="6" t="inlineStr">
        <is>
          <t>2023-05-22</t>
        </is>
      </c>
      <c r="E165" s="6" t="n">
        <v>180</v>
      </c>
      <c r="F165" s="6" t="n">
        <v>142</v>
      </c>
      <c r="G165" s="6" t="n">
        <v>0</v>
      </c>
      <c r="H165" s="10">
        <f>IF(F165&gt;=E165,(E165-0.5)/E165,IF(G165&gt;0,(F165+0.5*G165)/E165,F165/E165))</f>
        <v/>
      </c>
      <c r="I165" s="6" t="inlineStr">
        <is>
          <t>中间分位</t>
        </is>
      </c>
      <c r="J165" s="6" t="inlineStr"/>
    </row>
    <row r="166">
      <c r="A166" s="11" t="inlineStr">
        <is>
          <t>2023-05-24</t>
        </is>
      </c>
      <c r="B166" s="17" t="n">
        <v>0.04745259110373154</v>
      </c>
      <c r="C166" s="11" t="inlineStr">
        <is>
          <t>2022-08-17</t>
        </is>
      </c>
      <c r="D166" s="11" t="inlineStr">
        <is>
          <t>2023-05-23</t>
        </is>
      </c>
      <c r="E166" s="11" t="n">
        <v>181</v>
      </c>
      <c r="F166" s="11" t="n">
        <v>117</v>
      </c>
      <c r="G166" s="11" t="n">
        <v>0</v>
      </c>
      <c r="H166" s="15">
        <f>IF(F166&gt;=E166,(E166-0.5)/E166,IF(G166&gt;0,(F166+0.5*G166)/E166,F166/E166))</f>
        <v/>
      </c>
      <c r="I166" s="11" t="inlineStr">
        <is>
          <t>中间分位</t>
        </is>
      </c>
      <c r="J166" s="11" t="inlineStr"/>
    </row>
    <row r="167">
      <c r="A167" s="6" t="inlineStr">
        <is>
          <t>2023-05-25</t>
        </is>
      </c>
      <c r="B167" s="16" t="n">
        <v>0.07529540451230106</v>
      </c>
      <c r="C167" s="6" t="inlineStr">
        <is>
          <t>2022-08-17</t>
        </is>
      </c>
      <c r="D167" s="6" t="inlineStr">
        <is>
          <t>2023-05-24</t>
        </is>
      </c>
      <c r="E167" s="6" t="n">
        <v>182</v>
      </c>
      <c r="F167" s="6" t="n">
        <v>160</v>
      </c>
      <c r="G167" s="6" t="n">
        <v>0</v>
      </c>
      <c r="H167" s="10">
        <f>IF(F167&gt;=E167,(E167-0.5)/E167,IF(G167&gt;0,(F167+0.5*G167)/E167,F167/E167))</f>
        <v/>
      </c>
      <c r="I167" s="6" t="inlineStr">
        <is>
          <t>中间分位</t>
        </is>
      </c>
      <c r="J167" s="6" t="inlineStr"/>
    </row>
    <row r="168">
      <c r="A168" s="11" t="inlineStr">
        <is>
          <t>2023-05-26</t>
        </is>
      </c>
      <c r="B168" s="17" t="n">
        <v>0.04065398463360848</v>
      </c>
      <c r="C168" s="11" t="inlineStr">
        <is>
          <t>2022-08-17</t>
        </is>
      </c>
      <c r="D168" s="11" t="inlineStr">
        <is>
          <t>2023-05-25</t>
        </is>
      </c>
      <c r="E168" s="11" t="n">
        <v>183</v>
      </c>
      <c r="F168" s="11" t="n">
        <v>105</v>
      </c>
      <c r="G168" s="11" t="n">
        <v>0</v>
      </c>
      <c r="H168" s="15">
        <f>IF(F168&gt;=E168,(E168-0.5)/E168,IF(G168&gt;0,(F168+0.5*G168)/E168,F168/E168))</f>
        <v/>
      </c>
      <c r="I168" s="11" t="inlineStr">
        <is>
          <t>中间分位</t>
        </is>
      </c>
      <c r="J168" s="11" t="inlineStr"/>
    </row>
    <row r="169">
      <c r="A169" s="6" t="inlineStr">
        <is>
          <t>2023-05-29</t>
        </is>
      </c>
      <c r="B169" s="16" t="n">
        <v>0.06525018571942921</v>
      </c>
      <c r="C169" s="6" t="inlineStr">
        <is>
          <t>2022-08-17</t>
        </is>
      </c>
      <c r="D169" s="6" t="inlineStr">
        <is>
          <t>2023-05-26</t>
        </is>
      </c>
      <c r="E169" s="6" t="n">
        <v>184</v>
      </c>
      <c r="F169" s="6" t="n">
        <v>151</v>
      </c>
      <c r="G169" s="6" t="n">
        <v>0</v>
      </c>
      <c r="H169" s="10">
        <f>IF(F169&gt;=E169,(E169-0.5)/E169,IF(G169&gt;0,(F169+0.5*G169)/E169,F169/E169))</f>
        <v/>
      </c>
      <c r="I169" s="6" t="inlineStr">
        <is>
          <t>中间分位</t>
        </is>
      </c>
      <c r="J169" s="6" t="inlineStr"/>
    </row>
    <row r="170">
      <c r="A170" s="11" t="inlineStr">
        <is>
          <t>2023-05-30</t>
        </is>
      </c>
      <c r="B170" s="17" t="n">
        <v>0.08618729990535835</v>
      </c>
      <c r="C170" s="11" t="inlineStr">
        <is>
          <t>2022-08-17</t>
        </is>
      </c>
      <c r="D170" s="11" t="inlineStr">
        <is>
          <t>2023-05-29</t>
        </is>
      </c>
      <c r="E170" s="11" t="n">
        <v>185</v>
      </c>
      <c r="F170" s="11" t="n">
        <v>167</v>
      </c>
      <c r="G170" s="11" t="n">
        <v>0</v>
      </c>
      <c r="H170" s="15">
        <f>IF(F170&gt;=E170,(E170-0.5)/E170,IF(G170&gt;0,(F170+0.5*G170)/E170,F170/E170))</f>
        <v/>
      </c>
      <c r="I170" s="11" t="inlineStr">
        <is>
          <t>高分位</t>
        </is>
      </c>
      <c r="J170" s="11" t="inlineStr"/>
    </row>
    <row r="171">
      <c r="A171" s="6" t="inlineStr">
        <is>
          <t>2023-05-31</t>
        </is>
      </c>
      <c r="B171" s="16" t="n">
        <v>0.07126436781609195</v>
      </c>
      <c r="C171" s="6" t="inlineStr">
        <is>
          <t>2022-08-17</t>
        </is>
      </c>
      <c r="D171" s="6" t="inlineStr">
        <is>
          <t>2023-05-30</t>
        </is>
      </c>
      <c r="E171" s="6" t="n">
        <v>186</v>
      </c>
      <c r="F171" s="6" t="n">
        <v>155</v>
      </c>
      <c r="G171" s="6" t="n">
        <v>0</v>
      </c>
      <c r="H171" s="10">
        <f>IF(F171&gt;=E171,(E171-0.5)/E171,IF(G171&gt;0,(F171+0.5*G171)/E171,F171/E171))</f>
        <v/>
      </c>
      <c r="I171" s="6" t="inlineStr">
        <is>
          <t>中间分位</t>
        </is>
      </c>
      <c r="J171" s="6" t="inlineStr"/>
    </row>
    <row r="172">
      <c r="A172" s="11" t="inlineStr">
        <is>
          <t>2023-06-01</t>
        </is>
      </c>
      <c r="B172" s="17" t="n">
        <v>0.04814814814814815</v>
      </c>
      <c r="C172" s="11" t="inlineStr">
        <is>
          <t>2022-08-17</t>
        </is>
      </c>
      <c r="D172" s="11" t="inlineStr">
        <is>
          <t>2023-05-31</t>
        </is>
      </c>
      <c r="E172" s="11" t="n">
        <v>187</v>
      </c>
      <c r="F172" s="11" t="n">
        <v>120</v>
      </c>
      <c r="G172" s="11" t="n">
        <v>0</v>
      </c>
      <c r="H172" s="15">
        <f>IF(F172&gt;=E172,(E172-0.5)/E172,IF(G172&gt;0,(F172+0.5*G172)/E172,F172/E172))</f>
        <v/>
      </c>
      <c r="I172" s="11" t="inlineStr">
        <is>
          <t>中间分位</t>
        </is>
      </c>
      <c r="J172" s="11" t="inlineStr"/>
    </row>
    <row r="173">
      <c r="A173" s="6" t="inlineStr">
        <is>
          <t>2023-06-02</t>
        </is>
      </c>
      <c r="B173" s="16" t="n">
        <v>0.03361752718962654</v>
      </c>
      <c r="C173" s="6" t="inlineStr">
        <is>
          <t>2022-08-17</t>
        </is>
      </c>
      <c r="D173" s="6" t="inlineStr">
        <is>
          <t>2023-06-01</t>
        </is>
      </c>
      <c r="E173" s="6" t="n">
        <v>188</v>
      </c>
      <c r="F173" s="6" t="n">
        <v>85</v>
      </c>
      <c r="G173" s="6" t="n">
        <v>0</v>
      </c>
      <c r="H173" s="10">
        <f>IF(F173&gt;=E173,(E173-0.5)/E173,IF(G173&gt;0,(F173+0.5*G173)/E173,F173/E173))</f>
        <v/>
      </c>
      <c r="I173" s="6" t="inlineStr">
        <is>
          <t>中间分位</t>
        </is>
      </c>
      <c r="J173" s="6" t="inlineStr"/>
    </row>
    <row r="174">
      <c r="A174" s="11" t="inlineStr">
        <is>
          <t>2023-06-05</t>
        </is>
      </c>
      <c r="B174" s="17" t="n">
        <v>0.06053374823764526</v>
      </c>
      <c r="C174" s="11" t="inlineStr">
        <is>
          <t>2022-08-17</t>
        </is>
      </c>
      <c r="D174" s="11" t="inlineStr">
        <is>
          <t>2023-06-02</t>
        </is>
      </c>
      <c r="E174" s="11" t="n">
        <v>189</v>
      </c>
      <c r="F174" s="11" t="n">
        <v>145</v>
      </c>
      <c r="G174" s="11" t="n">
        <v>0</v>
      </c>
      <c r="H174" s="15">
        <f>IF(F174&gt;=E174,(E174-0.5)/E174,IF(G174&gt;0,(F174+0.5*G174)/E174,F174/E174))</f>
        <v/>
      </c>
      <c r="I174" s="11" t="inlineStr">
        <is>
          <t>中间分位</t>
        </is>
      </c>
      <c r="J174" s="11" t="inlineStr"/>
    </row>
    <row r="175">
      <c r="A175" s="6" t="inlineStr">
        <is>
          <t>2023-06-06</t>
        </is>
      </c>
      <c r="B175" s="16" t="n">
        <v>0.06376146788990826</v>
      </c>
      <c r="C175" s="6" t="inlineStr">
        <is>
          <t>2022-08-17</t>
        </is>
      </c>
      <c r="D175" s="6" t="inlineStr">
        <is>
          <t>2023-06-05</t>
        </is>
      </c>
      <c r="E175" s="6" t="n">
        <v>190</v>
      </c>
      <c r="F175" s="6" t="n">
        <v>152</v>
      </c>
      <c r="G175" s="6" t="n">
        <v>0</v>
      </c>
      <c r="H175" s="10">
        <f>IF(F175&gt;=E175,(E175-0.5)/E175,IF(G175&gt;0,(F175+0.5*G175)/E175,F175/E175))</f>
        <v/>
      </c>
      <c r="I175" s="6" t="inlineStr">
        <is>
          <t>中间分位</t>
        </is>
      </c>
      <c r="J175" s="6" t="inlineStr"/>
    </row>
    <row r="176">
      <c r="A176" s="11" t="inlineStr">
        <is>
          <t>2023-06-07</t>
        </is>
      </c>
      <c r="B176" s="17" t="n">
        <v>0.0616822429906542</v>
      </c>
      <c r="C176" s="11" t="inlineStr">
        <is>
          <t>2022-08-17</t>
        </is>
      </c>
      <c r="D176" s="11" t="inlineStr">
        <is>
          <t>2023-06-06</t>
        </is>
      </c>
      <c r="E176" s="11" t="n">
        <v>191</v>
      </c>
      <c r="F176" s="11" t="n">
        <v>148</v>
      </c>
      <c r="G176" s="11" t="n">
        <v>0</v>
      </c>
      <c r="H176" s="15">
        <f>IF(F176&gt;=E176,(E176-0.5)/E176,IF(G176&gt;0,(F176+0.5*G176)/E176,F176/E176))</f>
        <v/>
      </c>
      <c r="I176" s="11" t="inlineStr">
        <is>
          <t>中间分位</t>
        </is>
      </c>
      <c r="J176" s="11" t="inlineStr"/>
    </row>
    <row r="177">
      <c r="A177" s="6" t="inlineStr">
        <is>
          <t>2023-06-08</t>
        </is>
      </c>
      <c r="B177" s="16" t="n">
        <v>0.03460932659152292</v>
      </c>
      <c r="C177" s="6" t="inlineStr">
        <is>
          <t>2022-08-17</t>
        </is>
      </c>
      <c r="D177" s="6" t="inlineStr">
        <is>
          <t>2023-06-07</t>
        </is>
      </c>
      <c r="E177" s="6" t="n">
        <v>192</v>
      </c>
      <c r="F177" s="6" t="n">
        <v>89</v>
      </c>
      <c r="G177" s="6" t="n">
        <v>0</v>
      </c>
      <c r="H177" s="10">
        <f>IF(F177&gt;=E177,(E177-0.5)/E177,IF(G177&gt;0,(F177+0.5*G177)/E177,F177/E177))</f>
        <v/>
      </c>
      <c r="I177" s="6" t="inlineStr">
        <is>
          <t>中间分位</t>
        </is>
      </c>
      <c r="J177" s="6" t="inlineStr"/>
    </row>
    <row r="178">
      <c r="A178" s="11" t="inlineStr">
        <is>
          <t>2023-06-09</t>
        </is>
      </c>
      <c r="B178" s="17" t="n">
        <v>0.02053379230330372</v>
      </c>
      <c r="C178" s="11" t="inlineStr">
        <is>
          <t>2022-08-17</t>
        </is>
      </c>
      <c r="D178" s="11" t="inlineStr">
        <is>
          <t>2023-06-08</t>
        </is>
      </c>
      <c r="E178" s="11" t="n">
        <v>193</v>
      </c>
      <c r="F178" s="11" t="n">
        <v>49</v>
      </c>
      <c r="G178" s="11" t="n">
        <v>0</v>
      </c>
      <c r="H178" s="15">
        <f>IF(F178&gt;=E178,(E178-0.5)/E178,IF(G178&gt;0,(F178+0.5*G178)/E178,F178/E178))</f>
        <v/>
      </c>
      <c r="I178" s="11" t="inlineStr">
        <is>
          <t>中间分位</t>
        </is>
      </c>
      <c r="J178" s="11" t="inlineStr"/>
    </row>
    <row r="179">
      <c r="A179" s="6" t="inlineStr">
        <is>
          <t>2023-06-12</t>
        </is>
      </c>
      <c r="B179" s="16" t="n">
        <v>0.05108433734939759</v>
      </c>
      <c r="C179" s="6" t="inlineStr">
        <is>
          <t>2022-08-17</t>
        </is>
      </c>
      <c r="D179" s="6" t="inlineStr">
        <is>
          <t>2023-06-09</t>
        </is>
      </c>
      <c r="E179" s="6" t="n">
        <v>194</v>
      </c>
      <c r="F179" s="6" t="n">
        <v>132</v>
      </c>
      <c r="G179" s="6" t="n">
        <v>0</v>
      </c>
      <c r="H179" s="10">
        <f>IF(F179&gt;=E179,(E179-0.5)/E179,IF(G179&gt;0,(F179+0.5*G179)/E179,F179/E179))</f>
        <v/>
      </c>
      <c r="I179" s="6" t="inlineStr">
        <is>
          <t>中间分位</t>
        </is>
      </c>
      <c r="J179" s="6" t="inlineStr"/>
    </row>
    <row r="180">
      <c r="A180" s="11" t="inlineStr">
        <is>
          <t>2023-06-13</t>
        </is>
      </c>
      <c r="B180" s="17" t="n">
        <v>0.002396035379967557</v>
      </c>
      <c r="C180" s="11" t="inlineStr">
        <is>
          <t>2022-08-17</t>
        </is>
      </c>
      <c r="D180" s="11" t="inlineStr">
        <is>
          <t>2023-06-12</t>
        </is>
      </c>
      <c r="E180" s="11" t="n">
        <v>195</v>
      </c>
      <c r="F180" s="11" t="n">
        <v>25</v>
      </c>
      <c r="G180" s="11" t="n">
        <v>0</v>
      </c>
      <c r="H180" s="15">
        <f>IF(F180&gt;=E180,(E180-0.5)/E180,IF(G180&gt;0,(F180+0.5*G180)/E180,F180/E180))</f>
        <v/>
      </c>
      <c r="I180" s="11" t="inlineStr">
        <is>
          <t>中间分位</t>
        </is>
      </c>
      <c r="J180" s="11" t="inlineStr"/>
    </row>
    <row r="181">
      <c r="A181" s="6" t="inlineStr">
        <is>
          <t>2023-06-14</t>
        </is>
      </c>
      <c r="B181" s="16" t="n">
        <v>0.01795858262264546</v>
      </c>
      <c r="C181" s="6" t="inlineStr">
        <is>
          <t>2022-08-17</t>
        </is>
      </c>
      <c r="D181" s="6" t="inlineStr">
        <is>
          <t>2023-06-13</t>
        </is>
      </c>
      <c r="E181" s="6" t="n">
        <v>196</v>
      </c>
      <c r="F181" s="6" t="n">
        <v>45</v>
      </c>
      <c r="G181" s="6" t="n">
        <v>0</v>
      </c>
      <c r="H181" s="10">
        <f>IF(F181&gt;=E181,(E181-0.5)/E181,IF(G181&gt;0,(F181+0.5*G181)/E181,F181/E181))</f>
        <v/>
      </c>
      <c r="I181" s="6" t="inlineStr">
        <is>
          <t>中间分位</t>
        </is>
      </c>
      <c r="J181" s="6" t="inlineStr"/>
    </row>
    <row r="182">
      <c r="A182" s="11" t="inlineStr">
        <is>
          <t>2023-06-15</t>
        </is>
      </c>
      <c r="B182" s="17" t="n">
        <v>0.003182374541003672</v>
      </c>
      <c r="C182" s="11" t="inlineStr">
        <is>
          <t>2022-08-17</t>
        </is>
      </c>
      <c r="D182" s="11" t="inlineStr">
        <is>
          <t>2023-06-14</t>
        </is>
      </c>
      <c r="E182" s="11" t="n">
        <v>197</v>
      </c>
      <c r="F182" s="11" t="n">
        <v>27</v>
      </c>
      <c r="G182" s="11" t="n">
        <v>0</v>
      </c>
      <c r="H182" s="15">
        <f>IF(F182&gt;=E182,(E182-0.5)/E182,IF(G182&gt;0,(F182+0.5*G182)/E182,F182/E182))</f>
        <v/>
      </c>
      <c r="I182" s="11" t="inlineStr">
        <is>
          <t>中间分位</t>
        </is>
      </c>
      <c r="J182" s="11" t="inlineStr"/>
    </row>
    <row r="183">
      <c r="A183" s="6" t="inlineStr">
        <is>
          <t>2023-06-16</t>
        </is>
      </c>
      <c r="B183" s="16" t="n">
        <v>0.0009708737864077669</v>
      </c>
      <c r="C183" s="6" t="inlineStr">
        <is>
          <t>2022-08-17</t>
        </is>
      </c>
      <c r="D183" s="6" t="inlineStr">
        <is>
          <t>2023-06-15</t>
        </is>
      </c>
      <c r="E183" s="6" t="n">
        <v>198</v>
      </c>
      <c r="F183" s="6" t="n">
        <v>24</v>
      </c>
      <c r="G183" s="6" t="n">
        <v>0</v>
      </c>
      <c r="H183" s="10">
        <f>IF(F183&gt;=E183,(E183-0.5)/E183,IF(G183&gt;0,(F183+0.5*G183)/E183,F183/E183))</f>
        <v/>
      </c>
      <c r="I183" s="6" t="inlineStr">
        <is>
          <t>中间分位</t>
        </is>
      </c>
      <c r="J183" s="6" t="inlineStr"/>
    </row>
    <row r="184">
      <c r="A184" s="11" t="inlineStr">
        <is>
          <t>2023-06-19</t>
        </is>
      </c>
      <c r="B184" s="17" t="n">
        <v>0.0111707333535824</v>
      </c>
      <c r="C184" s="11" t="inlineStr">
        <is>
          <t>2022-08-17</t>
        </is>
      </c>
      <c r="D184" s="11" t="inlineStr">
        <is>
          <t>2023-06-16</t>
        </is>
      </c>
      <c r="E184" s="11" t="n">
        <v>199</v>
      </c>
      <c r="F184" s="11" t="n">
        <v>40</v>
      </c>
      <c r="G184" s="11" t="n">
        <v>0</v>
      </c>
      <c r="H184" s="15">
        <f>IF(F184&gt;=E184,(E184-0.5)/E184,IF(G184&gt;0,(F184+0.5*G184)/E184,F184/E184))</f>
        <v/>
      </c>
      <c r="I184" s="11" t="inlineStr">
        <is>
          <t>中间分位</t>
        </is>
      </c>
      <c r="J184" s="11" t="inlineStr"/>
    </row>
    <row r="185">
      <c r="A185" s="6" t="inlineStr">
        <is>
          <t>2023-06-20</t>
        </is>
      </c>
      <c r="B185" s="16" t="n">
        <v>-0.006859228494116167</v>
      </c>
      <c r="C185" s="6" t="inlineStr">
        <is>
          <t>2022-08-17</t>
        </is>
      </c>
      <c r="D185" s="6" t="inlineStr">
        <is>
          <t>2023-06-19</t>
        </is>
      </c>
      <c r="E185" s="6" t="n">
        <v>200</v>
      </c>
      <c r="F185" s="6" t="n">
        <v>20</v>
      </c>
      <c r="G185" s="6" t="n">
        <v>0</v>
      </c>
      <c r="H185" s="10">
        <f>IF(F185&gt;=E185,(E185-0.5)/E185,IF(G185&gt;0,(F185+0.5*G185)/E185,F185/E185))</f>
        <v/>
      </c>
      <c r="I185" s="6" t="inlineStr">
        <is>
          <t>低分位</t>
        </is>
      </c>
      <c r="J185" s="6" t="inlineStr"/>
    </row>
    <row r="186">
      <c r="A186" s="11" t="inlineStr">
        <is>
          <t>2023-06-21</t>
        </is>
      </c>
      <c r="B186" s="17" t="n">
        <v>0.007969708414807307</v>
      </c>
      <c r="C186" s="11" t="inlineStr">
        <is>
          <t>2022-08-17</t>
        </is>
      </c>
      <c r="D186" s="11" t="inlineStr">
        <is>
          <t>2023-06-20</t>
        </is>
      </c>
      <c r="E186" s="11" t="n">
        <v>201</v>
      </c>
      <c r="F186" s="11" t="n">
        <v>35</v>
      </c>
      <c r="G186" s="11" t="n">
        <v>0</v>
      </c>
      <c r="H186" s="15">
        <f>IF(F186&gt;=E186,(E186-0.5)/E186,IF(G186&gt;0,(F186+0.5*G186)/E186,F186/E186))</f>
        <v/>
      </c>
      <c r="I186" s="11" t="inlineStr">
        <is>
          <t>中间分位</t>
        </is>
      </c>
      <c r="J186" s="11" t="inlineStr"/>
    </row>
    <row r="187">
      <c r="A187" s="6" t="inlineStr">
        <is>
          <t>2023-06-26</t>
        </is>
      </c>
      <c r="B187" s="16" t="n">
        <v>0.01682692307692308</v>
      </c>
      <c r="C187" s="6" t="inlineStr">
        <is>
          <t>2022-08-17</t>
        </is>
      </c>
      <c r="D187" s="6" t="inlineStr">
        <is>
          <t>2023-06-21</t>
        </is>
      </c>
      <c r="E187" s="6" t="n">
        <v>202</v>
      </c>
      <c r="F187" s="6" t="n">
        <v>49</v>
      </c>
      <c r="G187" s="6" t="n">
        <v>0</v>
      </c>
      <c r="H187" s="10">
        <f>IF(F187&gt;=E187,(E187-0.5)/E187,IF(G187&gt;0,(F187+0.5*G187)/E187,F187/E187))</f>
        <v/>
      </c>
      <c r="I187" s="6" t="inlineStr">
        <is>
          <t>中间分位</t>
        </is>
      </c>
      <c r="J187" s="6" t="inlineStr"/>
    </row>
    <row r="188">
      <c r="A188" s="11" t="inlineStr">
        <is>
          <t>2023-06-27</t>
        </is>
      </c>
      <c r="B188" s="17" t="n">
        <v>-0.008114089009097615</v>
      </c>
      <c r="C188" s="11" t="inlineStr">
        <is>
          <t>2022-08-17</t>
        </is>
      </c>
      <c r="D188" s="11" t="inlineStr">
        <is>
          <t>2023-06-26</t>
        </is>
      </c>
      <c r="E188" s="11" t="n">
        <v>203</v>
      </c>
      <c r="F188" s="11" t="n">
        <v>18</v>
      </c>
      <c r="G188" s="11" t="n">
        <v>0</v>
      </c>
      <c r="H188" s="15">
        <f>IF(F188&gt;=E188,(E188-0.5)/E188,IF(G188&gt;0,(F188+0.5*G188)/E188,F188/E188))</f>
        <v/>
      </c>
      <c r="I188" s="11" t="inlineStr">
        <is>
          <t>低分位</t>
        </is>
      </c>
      <c r="J188" s="11" t="inlineStr"/>
    </row>
    <row r="189">
      <c r="A189" s="6" t="inlineStr">
        <is>
          <t>2023-06-28</t>
        </is>
      </c>
      <c r="B189" s="16" t="n">
        <v>0.007648391567376323</v>
      </c>
      <c r="C189" s="6" t="inlineStr">
        <is>
          <t>2022-08-17</t>
        </is>
      </c>
      <c r="D189" s="6" t="inlineStr">
        <is>
          <t>2023-06-27</t>
        </is>
      </c>
      <c r="E189" s="6" t="n">
        <v>204</v>
      </c>
      <c r="F189" s="6" t="n">
        <v>36</v>
      </c>
      <c r="G189" s="6" t="n">
        <v>0</v>
      </c>
      <c r="H189" s="10">
        <f>IF(F189&gt;=E189,(E189-0.5)/E189,IF(G189&gt;0,(F189+0.5*G189)/E189,F189/E189))</f>
        <v/>
      </c>
      <c r="I189" s="6" t="inlineStr">
        <is>
          <t>中间分位</t>
        </is>
      </c>
      <c r="J189" s="6" t="inlineStr"/>
    </row>
    <row r="190">
      <c r="A190" s="11" t="inlineStr">
        <is>
          <t>2023-06-29</t>
        </is>
      </c>
      <c r="B190" s="17" t="n">
        <v>-0.01132075471698113</v>
      </c>
      <c r="C190" s="11" t="inlineStr">
        <is>
          <t>2022-08-17</t>
        </is>
      </c>
      <c r="D190" s="11" t="inlineStr">
        <is>
          <t>2023-06-28</t>
        </is>
      </c>
      <c r="E190" s="11" t="n">
        <v>205</v>
      </c>
      <c r="F190" s="11" t="n">
        <v>14</v>
      </c>
      <c r="G190" s="11" t="n">
        <v>0</v>
      </c>
      <c r="H190" s="15">
        <f>IF(F190&gt;=E190,(E190-0.5)/E190,IF(G190&gt;0,(F190+0.5*G190)/E190,F190/E190))</f>
        <v/>
      </c>
      <c r="I190" s="11" t="inlineStr">
        <is>
          <t>低分位</t>
        </is>
      </c>
      <c r="J190" s="11" t="inlineStr"/>
    </row>
    <row r="191">
      <c r="A191" s="6" t="inlineStr">
        <is>
          <t>2023-06-30</t>
        </is>
      </c>
      <c r="B191" s="16" t="n">
        <v>0.0003099455513561274</v>
      </c>
      <c r="C191" s="6" t="inlineStr">
        <is>
          <t>2022-08-17</t>
        </is>
      </c>
      <c r="D191" s="6" t="inlineStr">
        <is>
          <t>2023-06-29</t>
        </is>
      </c>
      <c r="E191" s="6" t="n">
        <v>206</v>
      </c>
      <c r="F191" s="6" t="n">
        <v>26</v>
      </c>
      <c r="G191" s="6" t="n">
        <v>0</v>
      </c>
      <c r="H191" s="10">
        <f>IF(F191&gt;=E191,(E191-0.5)/E191,IF(G191&gt;0,(F191+0.5*G191)/E191,F191/E191))</f>
        <v/>
      </c>
      <c r="I191" s="6" t="inlineStr">
        <is>
          <t>中间分位</t>
        </is>
      </c>
      <c r="J191" s="6" t="inlineStr"/>
    </row>
    <row r="192">
      <c r="A192" s="11" t="inlineStr">
        <is>
          <t>2023-07-03</t>
        </is>
      </c>
      <c r="B192" s="17" t="n">
        <v>0.007339449541284404</v>
      </c>
      <c r="C192" s="11" t="inlineStr">
        <is>
          <t>2022-08-17</t>
        </is>
      </c>
      <c r="D192" s="11" t="inlineStr">
        <is>
          <t>2023-06-30</t>
        </is>
      </c>
      <c r="E192" s="11" t="n">
        <v>207</v>
      </c>
      <c r="F192" s="11" t="n">
        <v>37</v>
      </c>
      <c r="G192" s="11" t="n">
        <v>0</v>
      </c>
      <c r="H192" s="15">
        <f>IF(F192&gt;=E192,(E192-0.5)/E192,IF(G192&gt;0,(F192+0.5*G192)/E192,F192/E192))</f>
        <v/>
      </c>
      <c r="I192" s="11" t="inlineStr">
        <is>
          <t>中间分位</t>
        </is>
      </c>
      <c r="J192" s="11" t="inlineStr"/>
    </row>
    <row r="193">
      <c r="A193" s="6" t="inlineStr">
        <is>
          <t>2023-07-04</t>
        </is>
      </c>
      <c r="B193" s="16" t="n">
        <v>0.01192660550458716</v>
      </c>
      <c r="C193" s="6" t="inlineStr">
        <is>
          <t>2022-08-17</t>
        </is>
      </c>
      <c r="D193" s="6" t="inlineStr">
        <is>
          <t>2023-07-03</t>
        </is>
      </c>
      <c r="E193" s="6" t="n">
        <v>208</v>
      </c>
      <c r="F193" s="6" t="n">
        <v>49</v>
      </c>
      <c r="G193" s="6" t="n">
        <v>0</v>
      </c>
      <c r="H193" s="10">
        <f>IF(F193&gt;=E193,(E193-0.5)/E193,IF(G193&gt;0,(F193+0.5*G193)/E193,F193/E193))</f>
        <v/>
      </c>
      <c r="I193" s="6" t="inlineStr">
        <is>
          <t>中间分位</t>
        </is>
      </c>
      <c r="J193" s="6" t="inlineStr"/>
    </row>
    <row r="194">
      <c r="A194" s="11" t="inlineStr">
        <is>
          <t>2023-07-05</t>
        </is>
      </c>
      <c r="B194" s="17" t="n">
        <v>0.02119815668202765</v>
      </c>
      <c r="C194" s="11" t="inlineStr">
        <is>
          <t>2022-08-17</t>
        </is>
      </c>
      <c r="D194" s="11" t="inlineStr">
        <is>
          <t>2023-07-04</t>
        </is>
      </c>
      <c r="E194" s="11" t="n">
        <v>209</v>
      </c>
      <c r="F194" s="11" t="n">
        <v>64</v>
      </c>
      <c r="G194" s="11" t="n">
        <v>0</v>
      </c>
      <c r="H194" s="15">
        <f>IF(F194&gt;=E194,(E194-0.5)/E194,IF(G194&gt;0,(F194+0.5*G194)/E194,F194/E194))</f>
        <v/>
      </c>
      <c r="I194" s="11" t="inlineStr">
        <is>
          <t>中间分位</t>
        </is>
      </c>
      <c r="J194" s="11" t="inlineStr"/>
    </row>
    <row r="195">
      <c r="A195" s="6" t="inlineStr">
        <is>
          <t>2023-07-06</t>
        </is>
      </c>
      <c r="B195" s="16" t="n">
        <v>-0.009122807017543859</v>
      </c>
      <c r="C195" s="6" t="inlineStr">
        <is>
          <t>2022-08-17</t>
        </is>
      </c>
      <c r="D195" s="6" t="inlineStr">
        <is>
          <t>2023-07-05</t>
        </is>
      </c>
      <c r="E195" s="6" t="n">
        <v>210</v>
      </c>
      <c r="F195" s="6" t="n">
        <v>17</v>
      </c>
      <c r="G195" s="6" t="n">
        <v>0</v>
      </c>
      <c r="H195" s="10">
        <f>IF(F195&gt;=E195,(E195-0.5)/E195,IF(G195&gt;0,(F195+0.5*G195)/E195,F195/E195))</f>
        <v/>
      </c>
      <c r="I195" s="6" t="inlineStr">
        <is>
          <t>低分位</t>
        </is>
      </c>
      <c r="J195" s="6" t="inlineStr"/>
    </row>
    <row r="196">
      <c r="A196" s="11" t="inlineStr">
        <is>
          <t>2023-07-07</t>
        </is>
      </c>
      <c r="B196" s="17" t="n">
        <v>-0.0005427144069801422</v>
      </c>
      <c r="C196" s="11" t="inlineStr">
        <is>
          <t>2022-08-17</t>
        </is>
      </c>
      <c r="D196" s="11" t="inlineStr">
        <is>
          <t>2023-07-06</t>
        </is>
      </c>
      <c r="E196" s="11" t="n">
        <v>211</v>
      </c>
      <c r="F196" s="11" t="n">
        <v>27</v>
      </c>
      <c r="G196" s="11" t="n">
        <v>0</v>
      </c>
      <c r="H196" s="15">
        <f>IF(F196&gt;=E196,(E196-0.5)/E196,IF(G196&gt;0,(F196+0.5*G196)/E196,F196/E196))</f>
        <v/>
      </c>
      <c r="I196" s="11" t="inlineStr">
        <is>
          <t>中间分位</t>
        </is>
      </c>
      <c r="J196" s="11" t="inlineStr"/>
    </row>
    <row r="197">
      <c r="A197" s="6" t="inlineStr">
        <is>
          <t>2023-07-10</t>
        </is>
      </c>
      <c r="B197" s="16" t="n">
        <v>-0.007407407407407408</v>
      </c>
      <c r="C197" s="6" t="inlineStr">
        <is>
          <t>2022-08-17</t>
        </is>
      </c>
      <c r="D197" s="6" t="inlineStr">
        <is>
          <t>2023-07-07</t>
        </is>
      </c>
      <c r="E197" s="6" t="n">
        <v>212</v>
      </c>
      <c r="F197" s="6" t="n">
        <v>23</v>
      </c>
      <c r="G197" s="6" t="n">
        <v>0</v>
      </c>
      <c r="H197" s="10">
        <f>IF(F197&gt;=E197,(E197-0.5)/E197,IF(G197&gt;0,(F197+0.5*G197)/E197,F197/E197))</f>
        <v/>
      </c>
      <c r="I197" s="6" t="inlineStr">
        <is>
          <t>中间分位</t>
        </is>
      </c>
      <c r="J197" s="6" t="inlineStr"/>
    </row>
    <row r="198">
      <c r="A198" s="11" t="inlineStr">
        <is>
          <t>2023-07-11</t>
        </is>
      </c>
      <c r="B198" s="17" t="n">
        <v>-0.03186338865779448</v>
      </c>
      <c r="C198" s="11" t="inlineStr">
        <is>
          <t>2022-08-17</t>
        </is>
      </c>
      <c r="D198" s="11" t="inlineStr">
        <is>
          <t>2023-07-10</t>
        </is>
      </c>
      <c r="E198" s="11" t="n">
        <v>213</v>
      </c>
      <c r="F198" s="11" t="n">
        <v>0</v>
      </c>
      <c r="G198" s="11" t="n">
        <v>0</v>
      </c>
      <c r="H198" s="15">
        <f>IF(F198&gt;=E198,(E198-0.5)/E198,IF(G198&gt;0,(F198+0.5*G198)/E198,F198/E198))</f>
        <v/>
      </c>
      <c r="I198" s="11" t="inlineStr">
        <is>
          <t>低分位</t>
        </is>
      </c>
      <c r="J198" s="11" t="inlineStr"/>
    </row>
    <row r="199">
      <c r="A199" s="6" t="inlineStr">
        <is>
          <t>2023-07-12</t>
        </is>
      </c>
      <c r="B199" s="16" t="n">
        <v>-0.01607142857142857</v>
      </c>
      <c r="C199" s="6" t="inlineStr">
        <is>
          <t>2022-08-17</t>
        </is>
      </c>
      <c r="D199" s="6" t="inlineStr">
        <is>
          <t>2023-07-11</t>
        </is>
      </c>
      <c r="E199" s="6" t="n">
        <v>214</v>
      </c>
      <c r="F199" s="6" t="n">
        <v>8</v>
      </c>
      <c r="G199" s="6" t="n">
        <v>0</v>
      </c>
      <c r="H199" s="10">
        <f>IF(F199&gt;=E199,(E199-0.5)/E199,IF(G199&gt;0,(F199+0.5*G199)/E199,F199/E199))</f>
        <v/>
      </c>
      <c r="I199" s="6" t="inlineStr">
        <is>
          <t>低分位</t>
        </is>
      </c>
      <c r="J199" s="6" t="inlineStr"/>
    </row>
    <row r="200">
      <c r="A200" s="11" t="inlineStr">
        <is>
          <t>2023-07-13</t>
        </is>
      </c>
      <c r="B200" s="17" t="n">
        <v>0.008658828086825991</v>
      </c>
      <c r="C200" s="11" t="inlineStr">
        <is>
          <t>2022-08-17</t>
        </is>
      </c>
      <c r="D200" s="11" t="inlineStr">
        <is>
          <t>2023-07-12</t>
        </is>
      </c>
      <c r="E200" s="11" t="n">
        <v>215</v>
      </c>
      <c r="F200" s="11" t="n">
        <v>47</v>
      </c>
      <c r="G200" s="11" t="n">
        <v>0</v>
      </c>
      <c r="H200" s="15">
        <f>IF(F200&gt;=E200,(E200-0.5)/E200,IF(G200&gt;0,(F200+0.5*G200)/E200,F200/E200))</f>
        <v/>
      </c>
      <c r="I200" s="11" t="inlineStr">
        <is>
          <t>中间分位</t>
        </is>
      </c>
      <c r="J200" s="11" t="inlineStr"/>
    </row>
    <row r="201">
      <c r="A201" s="6" t="inlineStr">
        <is>
          <t>2023-07-14</t>
        </is>
      </c>
      <c r="B201" s="16" t="n">
        <v>-0.03111111111111111</v>
      </c>
      <c r="C201" s="6" t="inlineStr">
        <is>
          <t>2022-08-17</t>
        </is>
      </c>
      <c r="D201" s="6" t="inlineStr">
        <is>
          <t>2023-07-13</t>
        </is>
      </c>
      <c r="E201" s="6" t="n">
        <v>216</v>
      </c>
      <c r="F201" s="6" t="n">
        <v>2</v>
      </c>
      <c r="G201" s="6" t="n">
        <v>0</v>
      </c>
      <c r="H201" s="10">
        <f>IF(F201&gt;=E201,(E201-0.5)/E201,IF(G201&gt;0,(F201+0.5*G201)/E201,F201/E201))</f>
        <v/>
      </c>
      <c r="I201" s="6" t="inlineStr">
        <is>
          <t>低分位</t>
        </is>
      </c>
      <c r="J201" s="6" t="inlineStr"/>
    </row>
    <row r="202">
      <c r="A202" s="11" t="inlineStr">
        <is>
          <t>2023-07-17</t>
        </is>
      </c>
      <c r="B202" s="17" t="n">
        <v>0.04155701612241106</v>
      </c>
      <c r="C202" s="11" t="inlineStr">
        <is>
          <t>2022-08-17</t>
        </is>
      </c>
      <c r="D202" s="11" t="inlineStr">
        <is>
          <t>2023-07-14</t>
        </is>
      </c>
      <c r="E202" s="11" t="n">
        <v>217</v>
      </c>
      <c r="F202" s="11" t="n">
        <v>134</v>
      </c>
      <c r="G202" s="11" t="n">
        <v>0</v>
      </c>
      <c r="H202" s="15">
        <f>IF(F202&gt;=E202,(E202-0.5)/E202,IF(G202&gt;0,(F202+0.5*G202)/E202,F202/E202))</f>
        <v/>
      </c>
      <c r="I202" s="11" t="inlineStr">
        <is>
          <t>中间分位</t>
        </is>
      </c>
      <c r="J202" s="11" t="inlineStr"/>
    </row>
    <row r="203">
      <c r="A203" s="6" t="inlineStr">
        <is>
          <t>2023-07-18</t>
        </is>
      </c>
      <c r="B203" s="16" t="n">
        <v>-0.03294714138407712</v>
      </c>
      <c r="C203" s="6" t="inlineStr">
        <is>
          <t>2022-08-17</t>
        </is>
      </c>
      <c r="D203" s="6" t="inlineStr">
        <is>
          <t>2023-07-17</t>
        </is>
      </c>
      <c r="E203" s="6" t="n">
        <v>218</v>
      </c>
      <c r="F203" s="6" t="n">
        <v>0</v>
      </c>
      <c r="G203" s="6" t="n">
        <v>0</v>
      </c>
      <c r="H203" s="10">
        <f>IF(F203&gt;=E203,(E203-0.5)/E203,IF(G203&gt;0,(F203+0.5*G203)/E203,F203/E203))</f>
        <v/>
      </c>
      <c r="I203" s="6" t="inlineStr">
        <is>
          <t>低分位</t>
        </is>
      </c>
      <c r="J203" s="6" t="inlineStr"/>
    </row>
    <row r="204">
      <c r="A204" s="11" t="inlineStr">
        <is>
          <t>2023-07-19</t>
        </is>
      </c>
      <c r="B204" s="17" t="n">
        <v>0.009455986245838188</v>
      </c>
      <c r="C204" s="11" t="inlineStr">
        <is>
          <t>2022-08-17</t>
        </is>
      </c>
      <c r="D204" s="11" t="inlineStr">
        <is>
          <t>2023-07-18</t>
        </is>
      </c>
      <c r="E204" s="11" t="n">
        <v>219</v>
      </c>
      <c r="F204" s="11" t="n">
        <v>50</v>
      </c>
      <c r="G204" s="11" t="n">
        <v>0</v>
      </c>
      <c r="H204" s="15">
        <f>IF(F204&gt;=E204,(E204-0.5)/E204,IF(G204&gt;0,(F204+0.5*G204)/E204,F204/E204))</f>
        <v/>
      </c>
      <c r="I204" s="11" t="inlineStr">
        <is>
          <t>中间分位</t>
        </is>
      </c>
      <c r="J204" s="11" t="inlineStr"/>
    </row>
    <row r="205">
      <c r="A205" s="6" t="inlineStr">
        <is>
          <t>2023-07-20</t>
        </is>
      </c>
      <c r="B205" s="16" t="n">
        <v>0.01101321585903084</v>
      </c>
      <c r="C205" s="6" t="inlineStr">
        <is>
          <t>2022-08-17</t>
        </is>
      </c>
      <c r="D205" s="6" t="inlineStr">
        <is>
          <t>2023-07-19</t>
        </is>
      </c>
      <c r="E205" s="6" t="n">
        <v>220</v>
      </c>
      <c r="F205" s="6" t="n">
        <v>56</v>
      </c>
      <c r="G205" s="6" t="n">
        <v>0</v>
      </c>
      <c r="H205" s="10">
        <f>IF(F205&gt;=E205,(E205-0.5)/E205,IF(G205&gt;0,(F205+0.5*G205)/E205,F205/E205))</f>
        <v/>
      </c>
      <c r="I205" s="6" t="inlineStr">
        <is>
          <t>中间分位</t>
        </is>
      </c>
      <c r="J205" s="6" t="inlineStr"/>
    </row>
    <row r="206">
      <c r="A206" s="11" t="inlineStr">
        <is>
          <t>2023-07-21</t>
        </is>
      </c>
      <c r="B206" s="17" t="n">
        <v>0.0123918551270577</v>
      </c>
      <c r="C206" s="11" t="inlineStr">
        <is>
          <t>2022-08-17</t>
        </is>
      </c>
      <c r="D206" s="11" t="inlineStr">
        <is>
          <t>2023-07-20</t>
        </is>
      </c>
      <c r="E206" s="11" t="n">
        <v>221</v>
      </c>
      <c r="F206" s="11" t="n">
        <v>60</v>
      </c>
      <c r="G206" s="11" t="n">
        <v>0</v>
      </c>
      <c r="H206" s="15">
        <f>IF(F206&gt;=E206,(E206-0.5)/E206,IF(G206&gt;0,(F206+0.5*G206)/E206,F206/E206))</f>
        <v/>
      </c>
      <c r="I206" s="11" t="inlineStr">
        <is>
          <t>中间分位</t>
        </is>
      </c>
      <c r="J206" s="11" t="inlineStr"/>
    </row>
    <row r="207">
      <c r="A207" s="6" t="inlineStr">
        <is>
          <t>2023-07-24</t>
        </is>
      </c>
      <c r="B207" s="16" t="n">
        <v>0.005921309971809709</v>
      </c>
      <c r="C207" s="6" t="inlineStr">
        <is>
          <t>2022-08-17</t>
        </is>
      </c>
      <c r="D207" s="6" t="inlineStr">
        <is>
          <t>2023-07-21</t>
        </is>
      </c>
      <c r="E207" s="6" t="n">
        <v>222</v>
      </c>
      <c r="F207" s="6" t="n">
        <v>44</v>
      </c>
      <c r="G207" s="6" t="n">
        <v>0</v>
      </c>
      <c r="H207" s="10">
        <f>IF(F207&gt;=E207,(E207-0.5)/E207,IF(G207&gt;0,(F207+0.5*G207)/E207,F207/E207))</f>
        <v/>
      </c>
      <c r="I207" s="6" t="inlineStr">
        <is>
          <t>中间分位</t>
        </is>
      </c>
      <c r="J207" s="6" t="inlineStr"/>
    </row>
    <row r="208">
      <c r="A208" s="11" t="inlineStr">
        <is>
          <t>2023-07-25</t>
        </is>
      </c>
      <c r="B208" s="17" t="n">
        <v>-0.01868723634176889</v>
      </c>
      <c r="C208" s="11" t="inlineStr">
        <is>
          <t>2022-08-17</t>
        </is>
      </c>
      <c r="D208" s="11" t="inlineStr">
        <is>
          <t>2023-07-24</t>
        </is>
      </c>
      <c r="E208" s="11" t="n">
        <v>223</v>
      </c>
      <c r="F208" s="11" t="n">
        <v>6</v>
      </c>
      <c r="G208" s="11" t="n">
        <v>0</v>
      </c>
      <c r="H208" s="15">
        <f>IF(F208&gt;=E208,(E208-0.5)/E208,IF(G208&gt;0,(F208+0.5*G208)/E208,F208/E208))</f>
        <v/>
      </c>
      <c r="I208" s="11" t="inlineStr">
        <is>
          <t>低分位</t>
        </is>
      </c>
      <c r="J208" s="11" t="inlineStr"/>
    </row>
    <row r="209">
      <c r="A209" s="6" t="inlineStr">
        <is>
          <t>2023-07-26</t>
        </is>
      </c>
      <c r="B209" s="16" t="n">
        <v>-0.001848543551597416</v>
      </c>
      <c r="C209" s="6" t="inlineStr">
        <is>
          <t>2022-08-17</t>
        </is>
      </c>
      <c r="D209" s="6" t="inlineStr">
        <is>
          <t>2023-07-25</t>
        </is>
      </c>
      <c r="E209" s="6" t="n">
        <v>224</v>
      </c>
      <c r="F209" s="6" t="n">
        <v>32</v>
      </c>
      <c r="G209" s="6" t="n">
        <v>0</v>
      </c>
      <c r="H209" s="10">
        <f>IF(F209&gt;=E209,(E209-0.5)/E209,IF(G209&gt;0,(F209+0.5*G209)/E209,F209/E209))</f>
        <v/>
      </c>
      <c r="I209" s="6" t="inlineStr">
        <is>
          <t>中间分位</t>
        </is>
      </c>
      <c r="J209" s="6" t="inlineStr"/>
    </row>
    <row r="210">
      <c r="A210" s="11" t="inlineStr">
        <is>
          <t>2023-07-27</t>
        </is>
      </c>
      <c r="B210" s="17" t="n">
        <v>-7.536028867423522e-05</v>
      </c>
      <c r="C210" s="11" t="inlineStr">
        <is>
          <t>2022-08-17</t>
        </is>
      </c>
      <c r="D210" s="11" t="inlineStr">
        <is>
          <t>2023-07-26</t>
        </is>
      </c>
      <c r="E210" s="11" t="n">
        <v>225</v>
      </c>
      <c r="F210" s="11" t="n">
        <v>35</v>
      </c>
      <c r="G210" s="11" t="n">
        <v>0</v>
      </c>
      <c r="H210" s="15">
        <f>IF(F210&gt;=E210,(E210-0.5)/E210,IF(G210&gt;0,(F210+0.5*G210)/E210,F210/E210))</f>
        <v/>
      </c>
      <c r="I210" s="11" t="inlineStr">
        <is>
          <t>中间分位</t>
        </is>
      </c>
      <c r="J210" s="11" t="inlineStr"/>
    </row>
    <row r="211">
      <c r="A211" s="6" t="inlineStr">
        <is>
          <t>2023-07-28</t>
        </is>
      </c>
      <c r="B211" s="16" t="n">
        <v>-0.02095671374559607</v>
      </c>
      <c r="C211" s="6" t="inlineStr">
        <is>
          <t>2022-08-17</t>
        </is>
      </c>
      <c r="D211" s="6" t="inlineStr">
        <is>
          <t>2023-07-27</t>
        </is>
      </c>
      <c r="E211" s="6" t="n">
        <v>226</v>
      </c>
      <c r="F211" s="6" t="n">
        <v>4</v>
      </c>
      <c r="G211" s="6" t="n">
        <v>0</v>
      </c>
      <c r="H211" s="10">
        <f>IF(F211&gt;=E211,(E211-0.5)/E211,IF(G211&gt;0,(F211+0.5*G211)/E211,F211/E211))</f>
        <v/>
      </c>
      <c r="I211" s="6" t="inlineStr">
        <is>
          <t>低分位</t>
        </is>
      </c>
      <c r="J211" s="6" t="inlineStr"/>
    </row>
    <row r="212">
      <c r="A212" s="11" t="inlineStr">
        <is>
          <t>2023-07-31</t>
        </is>
      </c>
      <c r="B212" s="17" t="n">
        <v>-0.002774283748307161</v>
      </c>
      <c r="C212" s="11" t="inlineStr">
        <is>
          <t>2022-08-17</t>
        </is>
      </c>
      <c r="D212" s="11" t="inlineStr">
        <is>
          <t>2023-07-28</t>
        </is>
      </c>
      <c r="E212" s="11" t="n">
        <v>227</v>
      </c>
      <c r="F212" s="11" t="n">
        <v>33</v>
      </c>
      <c r="G212" s="11" t="n">
        <v>0</v>
      </c>
      <c r="H212" s="15">
        <f>IF(F212&gt;=E212,(E212-0.5)/E212,IF(G212&gt;0,(F212+0.5*G212)/E212,F212/E212))</f>
        <v/>
      </c>
      <c r="I212" s="11" t="inlineStr">
        <is>
          <t>中间分位</t>
        </is>
      </c>
      <c r="J212" s="11" t="inlineStr"/>
    </row>
    <row r="213">
      <c r="A213" s="6" t="inlineStr">
        <is>
          <t>2023-08-01</t>
        </is>
      </c>
      <c r="B213" s="16" t="n">
        <v>-0.03640350877192983</v>
      </c>
      <c r="C213" s="6" t="inlineStr">
        <is>
          <t>2022-08-17</t>
        </is>
      </c>
      <c r="D213" s="6" t="inlineStr">
        <is>
          <t>2023-07-31</t>
        </is>
      </c>
      <c r="E213" s="6" t="n">
        <v>228</v>
      </c>
      <c r="F213" s="6" t="n">
        <v>0</v>
      </c>
      <c r="G213" s="6" t="n">
        <v>0</v>
      </c>
      <c r="H213" s="10">
        <f>IF(F213&gt;=E213,(E213-0.5)/E213,IF(G213&gt;0,(F213+0.5*G213)/E213,F213/E213))</f>
        <v/>
      </c>
      <c r="I213" s="6" t="inlineStr">
        <is>
          <t>低分位</t>
        </is>
      </c>
      <c r="J213" s="6" t="inlineStr"/>
    </row>
    <row r="214">
      <c r="A214" s="11" t="inlineStr">
        <is>
          <t>2023-08-02</t>
        </is>
      </c>
      <c r="B214" s="17" t="n">
        <v>0.003748148211033903</v>
      </c>
      <c r="C214" s="11" t="inlineStr">
        <is>
          <t>2022-08-17</t>
        </is>
      </c>
      <c r="D214" s="11" t="inlineStr">
        <is>
          <t>2023-08-01</t>
        </is>
      </c>
      <c r="E214" s="11" t="n">
        <v>229</v>
      </c>
      <c r="F214" s="11" t="n">
        <v>47</v>
      </c>
      <c r="G214" s="11" t="n">
        <v>0</v>
      </c>
      <c r="H214" s="15">
        <f>IF(F214&gt;=E214,(E214-0.5)/E214,IF(G214&gt;0,(F214+0.5*G214)/E214,F214/E214))</f>
        <v/>
      </c>
      <c r="I214" s="11" t="inlineStr">
        <is>
          <t>中间分位</t>
        </is>
      </c>
      <c r="J214" s="11" t="inlineStr"/>
    </row>
    <row r="215">
      <c r="A215" s="6" t="inlineStr">
        <is>
          <t>2023-08-03</t>
        </is>
      </c>
      <c r="B215" s="16" t="n">
        <v>0.008399988042721648</v>
      </c>
      <c r="C215" s="6" t="inlineStr">
        <is>
          <t>2022-08-17</t>
        </is>
      </c>
      <c r="D215" s="6" t="inlineStr">
        <is>
          <t>2023-08-02</t>
        </is>
      </c>
      <c r="E215" s="6" t="n">
        <v>230</v>
      </c>
      <c r="F215" s="6" t="n">
        <v>56</v>
      </c>
      <c r="G215" s="6" t="n">
        <v>0</v>
      </c>
      <c r="H215" s="10">
        <f>IF(F215&gt;=E215,(E215-0.5)/E215,IF(G215&gt;0,(F215+0.5*G215)/E215,F215/E215))</f>
        <v/>
      </c>
      <c r="I215" s="6" t="inlineStr">
        <is>
          <t>中间分位</t>
        </is>
      </c>
      <c r="J215" s="6" t="inlineStr"/>
    </row>
    <row r="216">
      <c r="A216" s="11" t="inlineStr">
        <is>
          <t>2023-08-04</t>
        </is>
      </c>
      <c r="B216" s="17" t="n">
        <v>-0.00607937944852263</v>
      </c>
      <c r="C216" s="11" t="inlineStr">
        <is>
          <t>2022-08-17</t>
        </is>
      </c>
      <c r="D216" s="11" t="inlineStr">
        <is>
          <t>2023-08-03</t>
        </is>
      </c>
      <c r="E216" s="11" t="n">
        <v>231</v>
      </c>
      <c r="F216" s="11" t="n">
        <v>33</v>
      </c>
      <c r="G216" s="11" t="n">
        <v>0</v>
      </c>
      <c r="H216" s="15">
        <f>IF(F216&gt;=E216,(E216-0.5)/E216,IF(G216&gt;0,(F216+0.5*G216)/E216,F216/E216))</f>
        <v/>
      </c>
      <c r="I216" s="11" t="inlineStr">
        <is>
          <t>中间分位</t>
        </is>
      </c>
      <c r="J216" s="11" t="inlineStr"/>
    </row>
    <row r="217">
      <c r="A217" s="6" t="inlineStr">
        <is>
          <t>2023-08-07</t>
        </is>
      </c>
      <c r="B217" s="16" t="n">
        <v>-0.01872340425531915</v>
      </c>
      <c r="C217" s="6" t="inlineStr">
        <is>
          <t>2022-08-17</t>
        </is>
      </c>
      <c r="D217" s="6" t="inlineStr">
        <is>
          <t>2023-08-04</t>
        </is>
      </c>
      <c r="E217" s="6" t="n">
        <v>232</v>
      </c>
      <c r="F217" s="6" t="n">
        <v>8</v>
      </c>
      <c r="G217" s="6" t="n">
        <v>0</v>
      </c>
      <c r="H217" s="10">
        <f>IF(F217&gt;=E217,(E217-0.5)/E217,IF(G217&gt;0,(F217+0.5*G217)/E217,F217/E217))</f>
        <v/>
      </c>
      <c r="I217" s="6" t="inlineStr">
        <is>
          <t>低分位</t>
        </is>
      </c>
      <c r="J217" s="6" t="inlineStr"/>
    </row>
    <row r="218">
      <c r="A218" s="11" t="inlineStr">
        <is>
          <t>2023-08-08</t>
        </is>
      </c>
      <c r="B218" s="17" t="n">
        <v>-0.02789699570815451</v>
      </c>
      <c r="C218" s="11" t="inlineStr">
        <is>
          <t>2022-08-17</t>
        </is>
      </c>
      <c r="D218" s="11" t="inlineStr">
        <is>
          <t>2023-08-07</t>
        </is>
      </c>
      <c r="E218" s="11" t="n">
        <v>233</v>
      </c>
      <c r="F218" s="11" t="n">
        <v>5</v>
      </c>
      <c r="G218" s="11" t="n">
        <v>0</v>
      </c>
      <c r="H218" s="15">
        <f>IF(F218&gt;=E218,(E218-0.5)/E218,IF(G218&gt;0,(F218+0.5*G218)/E218,F218/E218))</f>
        <v/>
      </c>
      <c r="I218" s="11" t="inlineStr">
        <is>
          <t>低分位</t>
        </is>
      </c>
      <c r="J218" s="11" t="inlineStr"/>
    </row>
    <row r="219">
      <c r="A219" s="6" t="inlineStr">
        <is>
          <t>2023-08-09</t>
        </is>
      </c>
      <c r="B219" s="16" t="n">
        <v>-0.03951349570114736</v>
      </c>
      <c r="C219" s="6" t="inlineStr">
        <is>
          <t>2022-08-17</t>
        </is>
      </c>
      <c r="D219" s="6" t="inlineStr">
        <is>
          <t>2023-08-08</t>
        </is>
      </c>
      <c r="E219" s="6" t="n">
        <v>234</v>
      </c>
      <c r="F219" s="6" t="n">
        <v>0</v>
      </c>
      <c r="G219" s="6" t="n">
        <v>0</v>
      </c>
      <c r="H219" s="10">
        <f>IF(F219&gt;=E219,(E219-0.5)/E219,IF(G219&gt;0,(F219+0.5*G219)/E219,F219/E219))</f>
        <v/>
      </c>
      <c r="I219" s="6" t="inlineStr">
        <is>
          <t>低分位</t>
        </is>
      </c>
      <c r="J219" s="6" t="inlineStr"/>
    </row>
    <row r="220">
      <c r="A220" s="11" t="inlineStr">
        <is>
          <t>2023-08-10</t>
        </is>
      </c>
      <c r="B220" s="17" t="n">
        <v>-0.02827004219409283</v>
      </c>
      <c r="C220" s="11" t="inlineStr">
        <is>
          <t>2022-08-17</t>
        </is>
      </c>
      <c r="D220" s="11" t="inlineStr">
        <is>
          <t>2023-08-09</t>
        </is>
      </c>
      <c r="E220" s="11" t="n">
        <v>235</v>
      </c>
      <c r="F220" s="11" t="n">
        <v>6</v>
      </c>
      <c r="G220" s="11" t="n">
        <v>0</v>
      </c>
      <c r="H220" s="15">
        <f>IF(F220&gt;=E220,(E220-0.5)/E220,IF(G220&gt;0,(F220+0.5*G220)/E220,F220/E220))</f>
        <v/>
      </c>
      <c r="I220" s="11" t="inlineStr">
        <is>
          <t>低分位</t>
        </is>
      </c>
      <c r="J220" s="11" t="inlineStr"/>
    </row>
    <row r="221">
      <c r="A221" s="6" t="inlineStr">
        <is>
          <t>2023-08-11</t>
        </is>
      </c>
      <c r="B221" s="16" t="n">
        <v>-0.04070275957357807</v>
      </c>
      <c r="C221" s="6" t="inlineStr">
        <is>
          <t>2022-08-17</t>
        </is>
      </c>
      <c r="D221" s="6" t="inlineStr">
        <is>
          <t>2023-08-10</t>
        </is>
      </c>
      <c r="E221" s="6" t="n">
        <v>236</v>
      </c>
      <c r="F221" s="6" t="n">
        <v>0</v>
      </c>
      <c r="G221" s="6" t="n">
        <v>0</v>
      </c>
      <c r="H221" s="10">
        <f>IF(F221&gt;=E221,(E221-0.5)/E221,IF(G221&gt;0,(F221+0.5*G221)/E221,F221/E221))</f>
        <v/>
      </c>
      <c r="I221" s="6" t="inlineStr">
        <is>
          <t>低分位</t>
        </is>
      </c>
      <c r="J221" s="6" t="inlineStr"/>
    </row>
    <row r="222">
      <c r="A222" s="11" t="inlineStr">
        <is>
          <t>2023-08-14</t>
        </is>
      </c>
      <c r="B222" s="17" t="n">
        <v>-0.01435213769987777</v>
      </c>
      <c r="C222" s="11" t="inlineStr">
        <is>
          <t>2022-08-17</t>
        </is>
      </c>
      <c r="D222" s="11" t="inlineStr">
        <is>
          <t>2023-08-11</t>
        </is>
      </c>
      <c r="E222" s="11" t="n">
        <v>237</v>
      </c>
      <c r="F222" s="11" t="n">
        <v>22</v>
      </c>
      <c r="G222" s="11" t="n">
        <v>0</v>
      </c>
      <c r="H222" s="15">
        <f>IF(F222&gt;=E222,(E222-0.5)/E222,IF(G222&gt;0,(F222+0.5*G222)/E222,F222/E222))</f>
        <v/>
      </c>
      <c r="I222" s="11" t="inlineStr">
        <is>
          <t>低分位</t>
        </is>
      </c>
      <c r="J222" s="11" t="inlineStr"/>
    </row>
    <row r="223">
      <c r="A223" s="6" t="inlineStr">
        <is>
          <t>2023-08-15</t>
        </is>
      </c>
      <c r="B223" s="16" t="n">
        <v>-0.03021015947670248</v>
      </c>
      <c r="C223" s="6" t="inlineStr">
        <is>
          <t>2022-08-17</t>
        </is>
      </c>
      <c r="D223" s="6" t="inlineStr">
        <is>
          <t>2023-08-14</t>
        </is>
      </c>
      <c r="E223" s="6" t="n">
        <v>238</v>
      </c>
      <c r="F223" s="6" t="n">
        <v>7</v>
      </c>
      <c r="G223" s="6" t="n">
        <v>0</v>
      </c>
      <c r="H223" s="10">
        <f>IF(F223&gt;=E223,(E223-0.5)/E223,IF(G223&gt;0,(F223+0.5*G223)/E223,F223/E223))</f>
        <v/>
      </c>
      <c r="I223" s="6" t="inlineStr">
        <is>
          <t>低分位</t>
        </is>
      </c>
      <c r="J223" s="6" t="inlineStr"/>
    </row>
    <row r="224">
      <c r="A224" s="11" t="inlineStr">
        <is>
          <t>2023-08-16</t>
        </is>
      </c>
      <c r="B224" s="17" t="n">
        <v>0.004154990003508283</v>
      </c>
      <c r="C224" s="11" t="inlineStr">
        <is>
          <t>2022-08-17</t>
        </is>
      </c>
      <c r="D224" s="11" t="inlineStr">
        <is>
          <t>2023-08-15</t>
        </is>
      </c>
      <c r="E224" s="11" t="n">
        <v>239</v>
      </c>
      <c r="F224" s="11" t="n">
        <v>56</v>
      </c>
      <c r="G224" s="11" t="n">
        <v>0</v>
      </c>
      <c r="H224" s="15">
        <f>IF(F224&gt;=E224,(E224-0.5)/E224,IF(G224&gt;0,(F224+0.5*G224)/E224,F224/E224))</f>
        <v/>
      </c>
      <c r="I224" s="11" t="inlineStr">
        <is>
          <t>中间分位</t>
        </is>
      </c>
      <c r="J224" s="11" t="inlineStr"/>
    </row>
    <row r="225">
      <c r="A225" s="6" t="inlineStr">
        <is>
          <t>2023-08-17</t>
        </is>
      </c>
      <c r="B225" s="16" t="n">
        <v>-0.02415865023781238</v>
      </c>
      <c r="C225" s="6" t="inlineStr">
        <is>
          <t>2022-08-17</t>
        </is>
      </c>
      <c r="D225" s="6" t="inlineStr">
        <is>
          <t>2023-08-16</t>
        </is>
      </c>
      <c r="E225" s="6" t="n">
        <v>240</v>
      </c>
      <c r="F225" s="6" t="n">
        <v>10</v>
      </c>
      <c r="G225" s="6" t="n">
        <v>0</v>
      </c>
      <c r="H225" s="10">
        <f>IF(F225&gt;=E225,(E225-0.5)/E225,IF(G225&gt;0,(F225+0.5*G225)/E225,F225/E225))</f>
        <v/>
      </c>
      <c r="I225" s="6" t="inlineStr">
        <is>
          <t>低分位</t>
        </is>
      </c>
      <c r="J225" s="6" t="inlineStr"/>
    </row>
    <row r="226">
      <c r="A226" s="11" t="inlineStr">
        <is>
          <t>2023-08-18</t>
        </is>
      </c>
      <c r="B226" s="17" t="n">
        <v>-0.03954869409082998</v>
      </c>
      <c r="C226" s="11" t="inlineStr">
        <is>
          <t>2022-08-17</t>
        </is>
      </c>
      <c r="D226" s="11" t="inlineStr">
        <is>
          <t>2023-08-17</t>
        </is>
      </c>
      <c r="E226" s="11" t="n">
        <v>241</v>
      </c>
      <c r="F226" s="11" t="n">
        <v>1</v>
      </c>
      <c r="G226" s="11" t="n">
        <v>0</v>
      </c>
      <c r="H226" s="15">
        <f>IF(F226&gt;=E226,(E226-0.5)/E226,IF(G226&gt;0,(F226+0.5*G226)/E226,F226/E226))</f>
        <v/>
      </c>
      <c r="I226" s="11" t="inlineStr">
        <is>
          <t>低分位</t>
        </is>
      </c>
      <c r="J226" s="11" t="inlineStr"/>
    </row>
    <row r="227">
      <c r="A227" s="6" t="inlineStr">
        <is>
          <t>2023-08-21</t>
        </is>
      </c>
      <c r="B227" s="16" t="n">
        <v>-0.04541666666666667</v>
      </c>
      <c r="C227" s="6" t="inlineStr">
        <is>
          <t>2022-08-17</t>
        </is>
      </c>
      <c r="D227" s="6" t="inlineStr">
        <is>
          <t>2023-08-18</t>
        </is>
      </c>
      <c r="E227" s="6" t="n">
        <v>242</v>
      </c>
      <c r="F227" s="6" t="n">
        <v>0</v>
      </c>
      <c r="G227" s="6" t="n">
        <v>0</v>
      </c>
      <c r="H227" s="10">
        <f>IF(F227&gt;=E227,(E227-0.5)/E227,IF(G227&gt;0,(F227+0.5*G227)/E227,F227/E227))</f>
        <v/>
      </c>
      <c r="I227" s="6" t="inlineStr">
        <is>
          <t>低分位</t>
        </is>
      </c>
      <c r="J227" s="6" t="inlineStr"/>
    </row>
    <row r="228">
      <c r="A228" s="11" t="inlineStr">
        <is>
          <t>2023-08-22</t>
        </is>
      </c>
      <c r="B228" s="17" t="n">
        <v>-0.02600548128724478</v>
      </c>
      <c r="C228" s="11" t="inlineStr">
        <is>
          <t>2022-08-17</t>
        </is>
      </c>
      <c r="D228" s="11" t="inlineStr">
        <is>
          <t>2023-08-21</t>
        </is>
      </c>
      <c r="E228" s="11" t="n">
        <v>243</v>
      </c>
      <c r="F228" s="11" t="n">
        <v>12</v>
      </c>
      <c r="G228" s="11" t="n">
        <v>0</v>
      </c>
      <c r="H228" s="15">
        <f>IF(F228&gt;=E228,(E228-0.5)/E228,IF(G228&gt;0,(F228+0.5*G228)/E228,F228/E228))</f>
        <v/>
      </c>
      <c r="I228" s="11" t="inlineStr">
        <is>
          <t>低分位</t>
        </is>
      </c>
      <c r="J228" s="11" t="inlineStr"/>
    </row>
    <row r="229">
      <c r="A229" s="6" t="inlineStr">
        <is>
          <t>2023-08-23</t>
        </is>
      </c>
      <c r="B229" s="16" t="n">
        <v>-0.02857142857142857</v>
      </c>
      <c r="C229" s="6" t="inlineStr">
        <is>
          <t>2022-08-17</t>
        </is>
      </c>
      <c r="D229" s="6" t="inlineStr">
        <is>
          <t>2023-08-22</t>
        </is>
      </c>
      <c r="E229" s="6" t="n">
        <v>244</v>
      </c>
      <c r="F229" s="6" t="n">
        <v>10</v>
      </c>
      <c r="G229" s="6" t="n">
        <v>0</v>
      </c>
      <c r="H229" s="10">
        <f>IF(F229&gt;=E229,(E229-0.5)/E229,IF(G229&gt;0,(F229+0.5*G229)/E229,F229/E229))</f>
        <v/>
      </c>
      <c r="I229" s="6" t="inlineStr">
        <is>
          <t>低分位</t>
        </is>
      </c>
      <c r="J229" s="6" t="inlineStr"/>
    </row>
    <row r="230">
      <c r="A230" s="11" t="inlineStr">
        <is>
          <t>2023-08-24</t>
        </is>
      </c>
      <c r="B230" s="17" t="n">
        <v>-0.02357723577235772</v>
      </c>
      <c r="C230" s="11" t="inlineStr">
        <is>
          <t>2022-08-17</t>
        </is>
      </c>
      <c r="D230" s="11" t="inlineStr">
        <is>
          <t>2023-08-23</t>
        </is>
      </c>
      <c r="E230" s="11" t="n">
        <v>245</v>
      </c>
      <c r="F230" s="11" t="n">
        <v>15</v>
      </c>
      <c r="G230" s="11" t="n">
        <v>0</v>
      </c>
      <c r="H230" s="15">
        <f>IF(F230&gt;=E230,(E230-0.5)/E230,IF(G230&gt;0,(F230+0.5*G230)/E230,F230/E230))</f>
        <v/>
      </c>
      <c r="I230" s="11" t="inlineStr">
        <is>
          <t>低分位</t>
        </is>
      </c>
      <c r="J230" s="11" t="inlineStr"/>
    </row>
    <row r="231">
      <c r="A231" s="6" t="inlineStr">
        <is>
          <t>2023-08-25</t>
        </is>
      </c>
      <c r="B231" s="16" t="n">
        <v>-0.03060879621146415</v>
      </c>
      <c r="C231" s="6" t="inlineStr">
        <is>
          <t>2022-08-17</t>
        </is>
      </c>
      <c r="D231" s="6" t="inlineStr">
        <is>
          <t>2023-08-24</t>
        </is>
      </c>
      <c r="E231" s="6" t="n">
        <v>246</v>
      </c>
      <c r="F231" s="6" t="n">
        <v>9</v>
      </c>
      <c r="G231" s="6" t="n">
        <v>0</v>
      </c>
      <c r="H231" s="10">
        <f>IF(F231&gt;=E231,(E231-0.5)/E231,IF(G231&gt;0,(F231+0.5*G231)/E231,F231/E231))</f>
        <v/>
      </c>
      <c r="I231" s="6" t="inlineStr">
        <is>
          <t>低分位</t>
        </is>
      </c>
      <c r="J231" s="6" t="inlineStr"/>
    </row>
    <row r="232">
      <c r="A232" s="11" t="inlineStr">
        <is>
          <t>2023-08-28</t>
        </is>
      </c>
      <c r="B232" s="17" t="n">
        <v>-0.01803444782168186</v>
      </c>
      <c r="C232" s="11" t="inlineStr">
        <is>
          <t>2022-08-17</t>
        </is>
      </c>
      <c r="D232" s="11" t="inlineStr">
        <is>
          <t>2023-08-25</t>
        </is>
      </c>
      <c r="E232" s="11" t="n">
        <v>247</v>
      </c>
      <c r="F232" s="11" t="n">
        <v>23</v>
      </c>
      <c r="G232" s="11" t="n">
        <v>0</v>
      </c>
      <c r="H232" s="15">
        <f>IF(F232&gt;=E232,(E232-0.5)/E232,IF(G232&gt;0,(F232+0.5*G232)/E232,F232/E232))</f>
        <v/>
      </c>
      <c r="I232" s="11" t="inlineStr">
        <is>
          <t>低分位</t>
        </is>
      </c>
      <c r="J232" s="11" t="inlineStr"/>
    </row>
    <row r="233">
      <c r="A233" s="6" t="inlineStr">
        <is>
          <t>2023-08-29</t>
        </is>
      </c>
      <c r="B233" s="16" t="n">
        <v>-0.02460771637292131</v>
      </c>
      <c r="C233" s="6" t="inlineStr">
        <is>
          <t>2022-08-17</t>
        </is>
      </c>
      <c r="D233" s="6" t="inlineStr">
        <is>
          <t>2023-08-28</t>
        </is>
      </c>
      <c r="E233" s="6" t="n">
        <v>248</v>
      </c>
      <c r="F233" s="6" t="n">
        <v>15</v>
      </c>
      <c r="G233" s="6" t="n">
        <v>0</v>
      </c>
      <c r="H233" s="10">
        <f>IF(F233&gt;=E233,(E233-0.5)/E233,IF(G233&gt;0,(F233+0.5*G233)/E233,F233/E233))</f>
        <v/>
      </c>
      <c r="I233" s="6" t="inlineStr">
        <is>
          <t>低分位</t>
        </is>
      </c>
      <c r="J233" s="6" t="inlineStr"/>
    </row>
    <row r="234">
      <c r="A234" s="11" t="inlineStr">
        <is>
          <t>2023-08-30</t>
        </is>
      </c>
      <c r="B234" s="17" t="n">
        <v>-0.05887007631532792</v>
      </c>
      <c r="C234" s="11" t="inlineStr">
        <is>
          <t>2022-08-17</t>
        </is>
      </c>
      <c r="D234" s="11" t="inlineStr">
        <is>
          <t>2023-08-29</t>
        </is>
      </c>
      <c r="E234" s="11" t="n">
        <v>249</v>
      </c>
      <c r="F234" s="11" t="n">
        <v>0</v>
      </c>
      <c r="G234" s="11" t="n">
        <v>0</v>
      </c>
      <c r="H234" s="15">
        <f>IF(F234&gt;=E234,(E234-0.5)/E234,IF(G234&gt;0,(F234+0.5*G234)/E234,F234/E234))</f>
        <v/>
      </c>
      <c r="I234" s="11" t="inlineStr">
        <is>
          <t>低分位</t>
        </is>
      </c>
      <c r="J234" s="11" t="inlineStr"/>
    </row>
    <row r="235">
      <c r="A235" s="6" t="inlineStr">
        <is>
          <t>2023-08-31</t>
        </is>
      </c>
      <c r="B235" s="16" t="n">
        <v>-0.01390030963893818</v>
      </c>
      <c r="C235" s="6" t="inlineStr">
        <is>
          <t>2022-08-17</t>
        </is>
      </c>
      <c r="D235" s="6" t="inlineStr">
        <is>
          <t>2023-08-30</t>
        </is>
      </c>
      <c r="E235" s="6" t="n">
        <v>250</v>
      </c>
      <c r="F235" s="6" t="n">
        <v>34</v>
      </c>
      <c r="G235" s="6" t="n">
        <v>0</v>
      </c>
      <c r="H235" s="10">
        <f>IF(F235&gt;=E235,(E235-0.5)/E235,IF(G235&gt;0,(F235+0.5*G235)/E235,F235/E235))</f>
        <v/>
      </c>
      <c r="I235" s="6" t="inlineStr">
        <is>
          <t>中间分位</t>
        </is>
      </c>
      <c r="J235" s="6" t="inlineStr"/>
    </row>
    <row r="236">
      <c r="A236" s="11" t="inlineStr">
        <is>
          <t>2023-09-01</t>
        </is>
      </c>
      <c r="B236" s="17" t="n">
        <v>-0.03366336633663367</v>
      </c>
      <c r="C236" s="11" t="inlineStr">
        <is>
          <t>2022-08-18</t>
        </is>
      </c>
      <c r="D236" s="11" t="inlineStr">
        <is>
          <t>2023-08-31</t>
        </is>
      </c>
      <c r="E236" s="11" t="n">
        <v>250</v>
      </c>
      <c r="F236" s="11" t="n">
        <v>6</v>
      </c>
      <c r="G236" s="11" t="n">
        <v>0</v>
      </c>
      <c r="H236" s="15">
        <f>IF(F236&gt;=E236,(E236-0.5)/E236,IF(G236&gt;0,(F236+0.5*G236)/E236,F236/E236))</f>
        <v/>
      </c>
      <c r="I236" s="11" t="inlineStr">
        <is>
          <t>低分位</t>
        </is>
      </c>
      <c r="J236" s="11" t="inlineStr"/>
    </row>
    <row r="237">
      <c r="A237" s="6" t="inlineStr">
        <is>
          <t>2023-09-04</t>
        </is>
      </c>
      <c r="B237" s="16" t="n">
        <v>-0.00835923140531495</v>
      </c>
      <c r="C237" s="6" t="inlineStr">
        <is>
          <t>2022-08-19</t>
        </is>
      </c>
      <c r="D237" s="6" t="inlineStr">
        <is>
          <t>2023-09-01</t>
        </is>
      </c>
      <c r="E237" s="6" t="n">
        <v>250</v>
      </c>
      <c r="F237" s="6" t="n">
        <v>46</v>
      </c>
      <c r="G237" s="6" t="n">
        <v>0</v>
      </c>
      <c r="H237" s="10">
        <f>IF(F237&gt;=E237,(E237-0.5)/E237,IF(G237&gt;0,(F237+0.5*G237)/E237,F237/E237))</f>
        <v/>
      </c>
      <c r="I237" s="6" t="inlineStr">
        <is>
          <t>中间分位</t>
        </is>
      </c>
      <c r="J237" s="6" t="inlineStr"/>
    </row>
    <row r="238">
      <c r="A238" s="11" t="inlineStr">
        <is>
          <t>2023-09-05</t>
        </is>
      </c>
      <c r="B238" s="17" t="n">
        <v>-0.02709712214524502</v>
      </c>
      <c r="C238" s="11" t="inlineStr">
        <is>
          <t>2022-08-22</t>
        </is>
      </c>
      <c r="D238" s="11" t="inlineStr">
        <is>
          <t>2023-09-04</t>
        </is>
      </c>
      <c r="E238" s="11" t="n">
        <v>250</v>
      </c>
      <c r="F238" s="11" t="n">
        <v>16</v>
      </c>
      <c r="G238" s="11" t="n">
        <v>0</v>
      </c>
      <c r="H238" s="15">
        <f>IF(F238&gt;=E238,(E238-0.5)/E238,IF(G238&gt;0,(F238+0.5*G238)/E238,F238/E238))</f>
        <v/>
      </c>
      <c r="I238" s="11" t="inlineStr">
        <is>
          <t>低分位</t>
        </is>
      </c>
      <c r="J238" s="11" t="inlineStr"/>
    </row>
    <row r="239">
      <c r="A239" s="6" t="inlineStr">
        <is>
          <t>2023-09-06</t>
        </is>
      </c>
      <c r="B239" s="16" t="n">
        <v>-0.01811023622047244</v>
      </c>
      <c r="C239" s="6" t="inlineStr">
        <is>
          <t>2022-08-23</t>
        </is>
      </c>
      <c r="D239" s="6" t="inlineStr">
        <is>
          <t>2023-09-05</t>
        </is>
      </c>
      <c r="E239" s="6" t="n">
        <v>250</v>
      </c>
      <c r="F239" s="6" t="n">
        <v>27</v>
      </c>
      <c r="G239" s="6" t="n">
        <v>0</v>
      </c>
      <c r="H239" s="10">
        <f>IF(F239&gt;=E239,(E239-0.5)/E239,IF(G239&gt;0,(F239+0.5*G239)/E239,F239/E239))</f>
        <v/>
      </c>
      <c r="I239" s="6" t="inlineStr">
        <is>
          <t>中间分位</t>
        </is>
      </c>
      <c r="J239" s="6" t="inlineStr"/>
    </row>
    <row r="240">
      <c r="A240" s="11" t="inlineStr">
        <is>
          <t>2023-09-07</t>
        </is>
      </c>
      <c r="B240" s="17" t="n">
        <v>0.001900953625390129</v>
      </c>
      <c r="C240" s="11" t="inlineStr">
        <is>
          <t>2022-08-24</t>
        </is>
      </c>
      <c r="D240" s="11" t="inlineStr">
        <is>
          <t>2023-09-06</t>
        </is>
      </c>
      <c r="E240" s="11" t="n">
        <v>250</v>
      </c>
      <c r="F240" s="11" t="n">
        <v>62</v>
      </c>
      <c r="G240" s="11" t="n">
        <v>0</v>
      </c>
      <c r="H240" s="15">
        <f>IF(F240&gt;=E240,(E240-0.5)/E240,IF(G240&gt;0,(F240+0.5*G240)/E240,F240/E240))</f>
        <v/>
      </c>
      <c r="I240" s="11" t="inlineStr">
        <is>
          <t>中间分位</t>
        </is>
      </c>
      <c r="J240" s="11" t="inlineStr"/>
    </row>
    <row r="241">
      <c r="A241" s="6" t="inlineStr">
        <is>
          <t>2023-09-08</t>
        </is>
      </c>
      <c r="B241" s="16" t="n">
        <v>-0.009535165675004101</v>
      </c>
      <c r="C241" s="6" t="inlineStr">
        <is>
          <t>2022-08-25</t>
        </is>
      </c>
      <c r="D241" s="6" t="inlineStr">
        <is>
          <t>2023-09-07</t>
        </is>
      </c>
      <c r="E241" s="6" t="n">
        <v>250</v>
      </c>
      <c r="F241" s="6" t="n">
        <v>42</v>
      </c>
      <c r="G241" s="6" t="n">
        <v>0</v>
      </c>
      <c r="H241" s="10">
        <f>IF(F241&gt;=E241,(E241-0.5)/E241,IF(G241&gt;0,(F241+0.5*G241)/E241,F241/E241))</f>
        <v/>
      </c>
      <c r="I241" s="6" t="inlineStr">
        <is>
          <t>中间分位</t>
        </is>
      </c>
      <c r="J241" s="6" t="inlineStr"/>
    </row>
    <row r="242">
      <c r="A242" s="11" t="inlineStr">
        <is>
          <t>2023-09-11</t>
        </is>
      </c>
      <c r="B242" s="17" t="n">
        <v>-0.02621659566422483</v>
      </c>
      <c r="C242" s="11" t="inlineStr">
        <is>
          <t>2022-08-26</t>
        </is>
      </c>
      <c r="D242" s="11" t="inlineStr">
        <is>
          <t>2023-09-08</t>
        </is>
      </c>
      <c r="E242" s="11" t="n">
        <v>250</v>
      </c>
      <c r="F242" s="11" t="n">
        <v>17</v>
      </c>
      <c r="G242" s="11" t="n">
        <v>0</v>
      </c>
      <c r="H242" s="15">
        <f>IF(F242&gt;=E242,(E242-0.5)/E242,IF(G242&gt;0,(F242+0.5*G242)/E242,F242/E242))</f>
        <v/>
      </c>
      <c r="I242" s="11" t="inlineStr">
        <is>
          <t>低分位</t>
        </is>
      </c>
      <c r="J242" s="11" t="inlineStr"/>
    </row>
    <row r="243">
      <c r="A243" s="6" t="inlineStr">
        <is>
          <t>2023-09-12</t>
        </is>
      </c>
      <c r="B243" s="16" t="n">
        <v>-0.02231075697211156</v>
      </c>
      <c r="C243" s="6" t="inlineStr">
        <is>
          <t>2022-08-29</t>
        </is>
      </c>
      <c r="D243" s="6" t="inlineStr">
        <is>
          <t>2023-09-11</t>
        </is>
      </c>
      <c r="E243" s="6" t="n">
        <v>250</v>
      </c>
      <c r="F243" s="6" t="n">
        <v>22</v>
      </c>
      <c r="G243" s="6" t="n">
        <v>0</v>
      </c>
      <c r="H243" s="10">
        <f>IF(F243&gt;=E243,(E243-0.5)/E243,IF(G243&gt;0,(F243+0.5*G243)/E243,F243/E243))</f>
        <v/>
      </c>
      <c r="I243" s="6" t="inlineStr">
        <is>
          <t>低分位</t>
        </is>
      </c>
      <c r="J243" s="6" t="inlineStr"/>
    </row>
    <row r="244">
      <c r="A244" s="11" t="inlineStr">
        <is>
          <t>2023-09-13</t>
        </is>
      </c>
      <c r="B244" s="17" t="n">
        <v>-0.0003288209589686907</v>
      </c>
      <c r="C244" s="11" t="inlineStr">
        <is>
          <t>2022-08-30</t>
        </is>
      </c>
      <c r="D244" s="11" t="inlineStr">
        <is>
          <t>2023-09-12</t>
        </is>
      </c>
      <c r="E244" s="11" t="n">
        <v>250</v>
      </c>
      <c r="F244" s="11" t="n">
        <v>57</v>
      </c>
      <c r="G244" s="11" t="n">
        <v>0</v>
      </c>
      <c r="H244" s="15">
        <f>IF(F244&gt;=E244,(E244-0.5)/E244,IF(G244&gt;0,(F244+0.5*G244)/E244,F244/E244))</f>
        <v/>
      </c>
      <c r="I244" s="11" t="inlineStr">
        <is>
          <t>中间分位</t>
        </is>
      </c>
      <c r="J244" s="11" t="inlineStr"/>
    </row>
    <row r="245">
      <c r="A245" s="6" t="inlineStr">
        <is>
          <t>2023-09-14</t>
        </is>
      </c>
      <c r="B245" s="16" t="n">
        <v>-0.02822604919592081</v>
      </c>
      <c r="C245" s="6" t="inlineStr">
        <is>
          <t>2022-08-31</t>
        </is>
      </c>
      <c r="D245" s="6" t="inlineStr">
        <is>
          <t>2023-09-13</t>
        </is>
      </c>
      <c r="E245" s="6" t="n">
        <v>250</v>
      </c>
      <c r="F245" s="6" t="n">
        <v>15</v>
      </c>
      <c r="G245" s="6" t="n">
        <v>0</v>
      </c>
      <c r="H245" s="10">
        <f>IF(F245&gt;=E245,(E245-0.5)/E245,IF(G245&gt;0,(F245+0.5*G245)/E245,F245/E245))</f>
        <v/>
      </c>
      <c r="I245" s="6" t="inlineStr">
        <is>
          <t>低分位</t>
        </is>
      </c>
      <c r="J245" s="6" t="inlineStr"/>
    </row>
    <row r="246">
      <c r="A246" s="11" t="inlineStr">
        <is>
          <t>2023-09-15</t>
        </is>
      </c>
      <c r="B246" s="17" t="n">
        <v>-0.01444114737883284</v>
      </c>
      <c r="C246" s="11" t="inlineStr">
        <is>
          <t>2022-09-01</t>
        </is>
      </c>
      <c r="D246" s="11" t="inlineStr">
        <is>
          <t>2023-09-14</t>
        </is>
      </c>
      <c r="E246" s="11" t="n">
        <v>250</v>
      </c>
      <c r="F246" s="11" t="n">
        <v>33</v>
      </c>
      <c r="G246" s="11" t="n">
        <v>0</v>
      </c>
      <c r="H246" s="15">
        <f>IF(F246&gt;=E246,(E246-0.5)/E246,IF(G246&gt;0,(F246+0.5*G246)/E246,F246/E246))</f>
        <v/>
      </c>
      <c r="I246" s="11" t="inlineStr">
        <is>
          <t>中间分位</t>
        </is>
      </c>
      <c r="J246" s="11" t="inlineStr"/>
    </row>
    <row r="247">
      <c r="A247" s="6" t="inlineStr">
        <is>
          <t>2023-09-18</t>
        </is>
      </c>
      <c r="B247" s="16" t="n">
        <v>-0.03550295857988166</v>
      </c>
      <c r="C247" s="6" t="inlineStr">
        <is>
          <t>2022-09-02</t>
        </is>
      </c>
      <c r="D247" s="6" t="inlineStr">
        <is>
          <t>2023-09-15</t>
        </is>
      </c>
      <c r="E247" s="6" t="n">
        <v>250</v>
      </c>
      <c r="F247" s="6" t="n">
        <v>6</v>
      </c>
      <c r="G247" s="6" t="n">
        <v>0</v>
      </c>
      <c r="H247" s="10">
        <f>IF(F247&gt;=E247,(E247-0.5)/E247,IF(G247&gt;0,(F247+0.5*G247)/E247,F247/E247))</f>
        <v/>
      </c>
      <c r="I247" s="6" t="inlineStr">
        <is>
          <t>低分位</t>
        </is>
      </c>
      <c r="J247" s="6" t="inlineStr"/>
    </row>
    <row r="248">
      <c r="A248" s="11" t="inlineStr">
        <is>
          <t>2023-09-19</t>
        </is>
      </c>
      <c r="B248" s="17" t="n">
        <v>-0.01431911951090788</v>
      </c>
      <c r="C248" s="11" t="inlineStr">
        <is>
          <t>2022-09-05</t>
        </is>
      </c>
      <c r="D248" s="11" t="inlineStr">
        <is>
          <t>2023-09-18</t>
        </is>
      </c>
      <c r="E248" s="11" t="n">
        <v>250</v>
      </c>
      <c r="F248" s="11" t="n">
        <v>35</v>
      </c>
      <c r="G248" s="11" t="n">
        <v>0</v>
      </c>
      <c r="H248" s="15">
        <f>IF(F248&gt;=E248,(E248-0.5)/E248,IF(G248&gt;0,(F248+0.5*G248)/E248,F248/E248))</f>
        <v/>
      </c>
      <c r="I248" s="11" t="inlineStr">
        <is>
          <t>中间分位</t>
        </is>
      </c>
      <c r="J248" s="11" t="inlineStr"/>
    </row>
    <row r="249">
      <c r="A249" s="6" t="inlineStr">
        <is>
          <t>2023-09-20</t>
        </is>
      </c>
      <c r="B249" s="16" t="n">
        <v>0.005691084990195063</v>
      </c>
      <c r="C249" s="6" t="inlineStr">
        <is>
          <t>2022-09-06</t>
        </is>
      </c>
      <c r="D249" s="6" t="inlineStr">
        <is>
          <t>2023-09-19</t>
        </is>
      </c>
      <c r="E249" s="6" t="n">
        <v>250</v>
      </c>
      <c r="F249" s="6" t="n">
        <v>70</v>
      </c>
      <c r="G249" s="6" t="n">
        <v>0</v>
      </c>
      <c r="H249" s="10">
        <f>IF(F249&gt;=E249,(E249-0.5)/E249,IF(G249&gt;0,(F249+0.5*G249)/E249,F249/E249))</f>
        <v/>
      </c>
      <c r="I249" s="6" t="inlineStr">
        <is>
          <t>中间分位</t>
        </is>
      </c>
      <c r="J249" s="6" t="inlineStr"/>
    </row>
    <row r="250">
      <c r="A250" s="11" t="inlineStr">
        <is>
          <t>2023-09-21</t>
        </is>
      </c>
      <c r="B250" s="17" t="n">
        <v>0.007663626410874791</v>
      </c>
      <c r="C250" s="11" t="inlineStr">
        <is>
          <t>2022-09-07</t>
        </is>
      </c>
      <c r="D250" s="11" t="inlineStr">
        <is>
          <t>2023-09-20</t>
        </is>
      </c>
      <c r="E250" s="11" t="n">
        <v>250</v>
      </c>
      <c r="F250" s="11" t="n">
        <v>74</v>
      </c>
      <c r="G250" s="11" t="n">
        <v>0</v>
      </c>
      <c r="H250" s="15">
        <f>IF(F250&gt;=E250,(E250-0.5)/E250,IF(G250&gt;0,(F250+0.5*G250)/E250,F250/E250))</f>
        <v/>
      </c>
      <c r="I250" s="11" t="inlineStr">
        <is>
          <t>中间分位</t>
        </is>
      </c>
      <c r="J250" s="11" t="inlineStr"/>
    </row>
    <row r="251">
      <c r="A251" s="6" t="inlineStr">
        <is>
          <t>2023-09-22</t>
        </is>
      </c>
      <c r="B251" s="16" t="n">
        <v>-0.001114537427584605</v>
      </c>
      <c r="C251" s="6" t="inlineStr">
        <is>
          <t>2022-09-08</t>
        </is>
      </c>
      <c r="D251" s="6" t="inlineStr">
        <is>
          <t>2023-09-21</t>
        </is>
      </c>
      <c r="E251" s="6" t="n">
        <v>250</v>
      </c>
      <c r="F251" s="6" t="n">
        <v>53</v>
      </c>
      <c r="G251" s="6" t="n">
        <v>0</v>
      </c>
      <c r="H251" s="10">
        <f>IF(F251&gt;=E251,(E251-0.5)/E251,IF(G251&gt;0,(F251+0.5*G251)/E251,F251/E251))</f>
        <v/>
      </c>
      <c r="I251" s="6" t="inlineStr">
        <is>
          <t>中间分位</t>
        </is>
      </c>
      <c r="J251" s="6" t="inlineStr"/>
    </row>
    <row r="252">
      <c r="A252" s="11" t="inlineStr">
        <is>
          <t>2023-09-25</t>
        </is>
      </c>
      <c r="B252" s="17" t="n">
        <v>0.02201646009393374</v>
      </c>
      <c r="C252" s="11" t="inlineStr">
        <is>
          <t>2022-09-09</t>
        </is>
      </c>
      <c r="D252" s="11" t="inlineStr">
        <is>
          <t>2023-09-22</t>
        </is>
      </c>
      <c r="E252" s="11" t="n">
        <v>250</v>
      </c>
      <c r="F252" s="11" t="n">
        <v>106</v>
      </c>
      <c r="G252" s="11" t="n">
        <v>0</v>
      </c>
      <c r="H252" s="15">
        <f>IF(F252&gt;=E252,(E252-0.5)/E252,IF(G252&gt;0,(F252+0.5*G252)/E252,F252/E252))</f>
        <v/>
      </c>
      <c r="I252" s="11" t="inlineStr">
        <is>
          <t>中间分位</t>
        </is>
      </c>
      <c r="J252" s="11" t="inlineStr"/>
    </row>
    <row r="253">
      <c r="A253" s="6" t="inlineStr">
        <is>
          <t>2023-09-26</t>
        </is>
      </c>
      <c r="B253" s="16" t="n">
        <v>0.01093725469673976</v>
      </c>
      <c r="C253" s="6" t="inlineStr">
        <is>
          <t>2022-09-14</t>
        </is>
      </c>
      <c r="D253" s="6" t="inlineStr">
        <is>
          <t>2023-09-25</t>
        </is>
      </c>
      <c r="E253" s="6" t="n">
        <v>250</v>
      </c>
      <c r="F253" s="6" t="n">
        <v>83</v>
      </c>
      <c r="G253" s="6" t="n">
        <v>0</v>
      </c>
      <c r="H253" s="10">
        <f>IF(F253&gt;=E253,(E253-0.5)/E253,IF(G253&gt;0,(F253+0.5*G253)/E253,F253/E253))</f>
        <v/>
      </c>
      <c r="I253" s="6" t="inlineStr">
        <is>
          <t>中间分位</t>
        </is>
      </c>
      <c r="J253" s="6" t="inlineStr"/>
    </row>
    <row r="254">
      <c r="A254" s="11" t="inlineStr">
        <is>
          <t>2023-09-27</t>
        </is>
      </c>
      <c r="B254" s="17" t="n">
        <v>-0.006504065040650406</v>
      </c>
      <c r="C254" s="11" t="inlineStr">
        <is>
          <t>2022-09-15</t>
        </is>
      </c>
      <c r="D254" s="11" t="inlineStr">
        <is>
          <t>2023-09-26</t>
        </is>
      </c>
      <c r="E254" s="11" t="n">
        <v>250</v>
      </c>
      <c r="F254" s="11" t="n">
        <v>47</v>
      </c>
      <c r="G254" s="11" t="n">
        <v>0</v>
      </c>
      <c r="H254" s="15">
        <f>IF(F254&gt;=E254,(E254-0.5)/E254,IF(G254&gt;0,(F254+0.5*G254)/E254,F254/E254))</f>
        <v/>
      </c>
      <c r="I254" s="11" t="inlineStr">
        <is>
          <t>中间分位</t>
        </is>
      </c>
      <c r="J254" s="11" t="inlineStr"/>
    </row>
    <row r="255">
      <c r="A255" s="6" t="inlineStr">
        <is>
          <t>2023-09-28</t>
        </is>
      </c>
      <c r="B255" s="16" t="n">
        <v>0.002354765876493943</v>
      </c>
      <c r="C255" s="6" t="inlineStr">
        <is>
          <t>2022-09-16</t>
        </is>
      </c>
      <c r="D255" s="6" t="inlineStr">
        <is>
          <t>2023-09-27</t>
        </is>
      </c>
      <c r="E255" s="6" t="n">
        <v>250</v>
      </c>
      <c r="F255" s="6" t="n">
        <v>59</v>
      </c>
      <c r="G255" s="6" t="n">
        <v>0</v>
      </c>
      <c r="H255" s="10">
        <f>IF(F255&gt;=E255,(E255-0.5)/E255,IF(G255&gt;0,(F255+0.5*G255)/E255,F255/E255))</f>
        <v/>
      </c>
      <c r="I255" s="6" t="inlineStr">
        <is>
          <t>中间分位</t>
        </is>
      </c>
      <c r="J255" s="6" t="inlineStr"/>
    </row>
    <row r="256">
      <c r="A256" s="11" t="inlineStr">
        <is>
          <t>2023-10-09</t>
        </is>
      </c>
      <c r="B256" s="17" t="n">
        <v>-0.01138211382113821</v>
      </c>
      <c r="C256" s="11" t="inlineStr">
        <is>
          <t>2022-09-19</t>
        </is>
      </c>
      <c r="D256" s="11" t="inlineStr">
        <is>
          <t>2023-09-28</t>
        </is>
      </c>
      <c r="E256" s="11" t="n">
        <v>250</v>
      </c>
      <c r="F256" s="11" t="n">
        <v>37</v>
      </c>
      <c r="G256" s="11" t="n">
        <v>0</v>
      </c>
      <c r="H256" s="15">
        <f>IF(F256&gt;=E256,(E256-0.5)/E256,IF(G256&gt;0,(F256+0.5*G256)/E256,F256/E256))</f>
        <v/>
      </c>
      <c r="I256" s="11" t="inlineStr">
        <is>
          <t>中间分位</t>
        </is>
      </c>
      <c r="J256" s="11" t="inlineStr"/>
    </row>
    <row r="257">
      <c r="A257" s="6" t="inlineStr">
        <is>
          <t>2023-10-10</t>
        </is>
      </c>
      <c r="B257" s="16" t="n">
        <v>0.02975187425200033</v>
      </c>
      <c r="C257" s="6" t="inlineStr">
        <is>
          <t>2022-09-20</t>
        </is>
      </c>
      <c r="D257" s="6" t="inlineStr">
        <is>
          <t>2023-10-09</t>
        </is>
      </c>
      <c r="E257" s="6" t="n">
        <v>250</v>
      </c>
      <c r="F257" s="6" t="n">
        <v>127</v>
      </c>
      <c r="G257" s="6" t="n">
        <v>0</v>
      </c>
      <c r="H257" s="10">
        <f>IF(F257&gt;=E257,(E257-0.5)/E257,IF(G257&gt;0,(F257+0.5*G257)/E257,F257/E257))</f>
        <v/>
      </c>
      <c r="I257" s="6" t="inlineStr">
        <is>
          <t>中间分位</t>
        </is>
      </c>
      <c r="J257" s="6" t="inlineStr"/>
    </row>
    <row r="258">
      <c r="A258" s="11" t="inlineStr">
        <is>
          <t>2023-10-11</t>
        </is>
      </c>
      <c r="B258" s="17" t="n">
        <v>-0.002040816326530612</v>
      </c>
      <c r="C258" s="11" t="inlineStr">
        <is>
          <t>2022-09-21</t>
        </is>
      </c>
      <c r="D258" s="11" t="inlineStr">
        <is>
          <t>2023-10-10</t>
        </is>
      </c>
      <c r="E258" s="11" t="n">
        <v>250</v>
      </c>
      <c r="F258" s="11" t="n">
        <v>51</v>
      </c>
      <c r="G258" s="11" t="n">
        <v>0</v>
      </c>
      <c r="H258" s="15">
        <f>IF(F258&gt;=E258,(E258-0.5)/E258,IF(G258&gt;0,(F258+0.5*G258)/E258,F258/E258))</f>
        <v/>
      </c>
      <c r="I258" s="11" t="inlineStr">
        <is>
          <t>中间分位</t>
        </is>
      </c>
      <c r="J258" s="11" t="inlineStr"/>
    </row>
    <row r="259">
      <c r="A259" s="6" t="inlineStr">
        <is>
          <t>2023-10-12</t>
        </is>
      </c>
      <c r="B259" s="16" t="n">
        <v>0.01259816423285385</v>
      </c>
      <c r="C259" s="6" t="inlineStr">
        <is>
          <t>2022-09-22</t>
        </is>
      </c>
      <c r="D259" s="6" t="inlineStr">
        <is>
          <t>2023-10-11</t>
        </is>
      </c>
      <c r="E259" s="6" t="n">
        <v>250</v>
      </c>
      <c r="F259" s="6" t="n">
        <v>90</v>
      </c>
      <c r="G259" s="6" t="n">
        <v>0</v>
      </c>
      <c r="H259" s="10">
        <f>IF(F259&gt;=E259,(E259-0.5)/E259,IF(G259&gt;0,(F259+0.5*G259)/E259,F259/E259))</f>
        <v/>
      </c>
      <c r="I259" s="6" t="inlineStr">
        <is>
          <t>中间分位</t>
        </is>
      </c>
      <c r="J259" s="6" t="inlineStr"/>
    </row>
    <row r="260">
      <c r="A260" s="11" t="inlineStr">
        <is>
          <t>2023-10-13</t>
        </is>
      </c>
      <c r="B260" s="17" t="n">
        <v>0.0157258064516129</v>
      </c>
      <c r="C260" s="11" t="inlineStr">
        <is>
          <t>2022-09-23</t>
        </is>
      </c>
      <c r="D260" s="11" t="inlineStr">
        <is>
          <t>2023-10-12</t>
        </is>
      </c>
      <c r="E260" s="11" t="n">
        <v>250</v>
      </c>
      <c r="F260" s="11" t="n">
        <v>94</v>
      </c>
      <c r="G260" s="11" t="n">
        <v>0</v>
      </c>
      <c r="H260" s="15">
        <f>IF(F260&gt;=E260,(E260-0.5)/E260,IF(G260&gt;0,(F260+0.5*G260)/E260,F260/E260))</f>
        <v/>
      </c>
      <c r="I260" s="11" t="inlineStr">
        <is>
          <t>中间分位</t>
        </is>
      </c>
      <c r="J260" s="11" t="inlineStr"/>
    </row>
    <row r="261">
      <c r="A261" s="6" t="inlineStr">
        <is>
          <t>2023-10-16</t>
        </is>
      </c>
      <c r="B261" s="16" t="n">
        <v>0.005171656260203238</v>
      </c>
      <c r="C261" s="6" t="inlineStr">
        <is>
          <t>2022-09-26</t>
        </is>
      </c>
      <c r="D261" s="6" t="inlineStr">
        <is>
          <t>2023-10-13</t>
        </is>
      </c>
      <c r="E261" s="6" t="n">
        <v>250</v>
      </c>
      <c r="F261" s="6" t="n">
        <v>68</v>
      </c>
      <c r="G261" s="6" t="n">
        <v>0</v>
      </c>
      <c r="H261" s="10">
        <f>IF(F261&gt;=E261,(E261-0.5)/E261,IF(G261&gt;0,(F261+0.5*G261)/E261,F261/E261))</f>
        <v/>
      </c>
      <c r="I261" s="6" t="inlineStr">
        <is>
          <t>中间分位</t>
        </is>
      </c>
      <c r="J261" s="6" t="inlineStr"/>
    </row>
    <row r="262">
      <c r="A262" s="11" t="inlineStr">
        <is>
          <t>2023-10-17</t>
        </is>
      </c>
      <c r="B262" s="17" t="n">
        <v>0.03776838734601706</v>
      </c>
      <c r="C262" s="11" t="inlineStr">
        <is>
          <t>2022-09-27</t>
        </is>
      </c>
      <c r="D262" s="11" t="inlineStr">
        <is>
          <t>2023-10-16</t>
        </is>
      </c>
      <c r="E262" s="11" t="n">
        <v>250</v>
      </c>
      <c r="F262" s="11" t="n">
        <v>155</v>
      </c>
      <c r="G262" s="11" t="n">
        <v>1</v>
      </c>
      <c r="H262" s="15">
        <f>IF(F262&gt;=E262,(E262-0.5)/E262,IF(G262&gt;0,(F262+0.5*G262)/E262,F262/E262))</f>
        <v/>
      </c>
      <c r="I262" s="11" t="inlineStr">
        <is>
          <t>中间分位</t>
        </is>
      </c>
      <c r="J262" s="11" t="inlineStr"/>
    </row>
    <row r="263">
      <c r="A263" s="6" t="inlineStr">
        <is>
          <t>2023-10-18</t>
        </is>
      </c>
      <c r="B263" s="16" t="n">
        <v>0.03170731707317073</v>
      </c>
      <c r="C263" s="6" t="inlineStr">
        <is>
          <t>2022-09-28</t>
        </is>
      </c>
      <c r="D263" s="6" t="inlineStr">
        <is>
          <t>2023-10-17</t>
        </is>
      </c>
      <c r="E263" s="6" t="n">
        <v>250</v>
      </c>
      <c r="F263" s="6" t="n">
        <v>134</v>
      </c>
      <c r="G263" s="6" t="n">
        <v>0</v>
      </c>
      <c r="H263" s="10">
        <f>IF(F263&gt;=E263,(E263-0.5)/E263,IF(G263&gt;0,(F263+0.5*G263)/E263,F263/E263))</f>
        <v/>
      </c>
      <c r="I263" s="6" t="inlineStr">
        <is>
          <t>中间分位</t>
        </is>
      </c>
      <c r="J263" s="6" t="inlineStr"/>
    </row>
    <row r="264">
      <c r="A264" s="11" t="inlineStr">
        <is>
          <t>2023-10-19</t>
        </is>
      </c>
      <c r="B264" s="17" t="n">
        <v>0.00158210200633667</v>
      </c>
      <c r="C264" s="11" t="inlineStr">
        <is>
          <t>2022-09-29</t>
        </is>
      </c>
      <c r="D264" s="11" t="inlineStr">
        <is>
          <t>2023-10-18</t>
        </is>
      </c>
      <c r="E264" s="11" t="n">
        <v>250</v>
      </c>
      <c r="F264" s="11" t="n">
        <v>60</v>
      </c>
      <c r="G264" s="11" t="n">
        <v>0</v>
      </c>
      <c r="H264" s="15">
        <f>IF(F264&gt;=E264,(E264-0.5)/E264,IF(G264&gt;0,(F264+0.5*G264)/E264,F264/E264))</f>
        <v/>
      </c>
      <c r="I264" s="11" t="inlineStr">
        <is>
          <t>中间分位</t>
        </is>
      </c>
      <c r="J264" s="11" t="inlineStr"/>
    </row>
    <row r="265">
      <c r="A265" s="6" t="inlineStr">
        <is>
          <t>2023-10-20</t>
        </is>
      </c>
      <c r="B265" s="16" t="n">
        <v>0.007755102040816327</v>
      </c>
      <c r="C265" s="6" t="inlineStr">
        <is>
          <t>2022-09-30</t>
        </is>
      </c>
      <c r="D265" s="6" t="inlineStr">
        <is>
          <t>2023-10-19</t>
        </is>
      </c>
      <c r="E265" s="6" t="n">
        <v>250</v>
      </c>
      <c r="F265" s="6" t="n">
        <v>76</v>
      </c>
      <c r="G265" s="6" t="n">
        <v>0</v>
      </c>
      <c r="H265" s="10">
        <f>IF(F265&gt;=E265,(E265-0.5)/E265,IF(G265&gt;0,(F265+0.5*G265)/E265,F265/E265))</f>
        <v/>
      </c>
      <c r="I265" s="6" t="inlineStr">
        <is>
          <t>中间分位</t>
        </is>
      </c>
      <c r="J265" s="6" t="inlineStr"/>
    </row>
    <row r="266">
      <c r="A266" s="11" t="inlineStr">
        <is>
          <t>2023-10-23</t>
        </is>
      </c>
      <c r="B266" s="17" t="n">
        <v>0.02110488103818261</v>
      </c>
      <c r="C266" s="11" t="inlineStr">
        <is>
          <t>2022-10-11</t>
        </is>
      </c>
      <c r="D266" s="11" t="inlineStr">
        <is>
          <t>2023-10-20</t>
        </is>
      </c>
      <c r="E266" s="11" t="n">
        <v>250</v>
      </c>
      <c r="F266" s="11" t="n">
        <v>108</v>
      </c>
      <c r="G266" s="11" t="n">
        <v>0</v>
      </c>
      <c r="H266" s="15">
        <f>IF(F266&gt;=E266,(E266-0.5)/E266,IF(G266&gt;0,(F266+0.5*G266)/E266,F266/E266))</f>
        <v/>
      </c>
      <c r="I266" s="11" t="inlineStr">
        <is>
          <t>中间分位</t>
        </is>
      </c>
      <c r="J266" s="11" t="inlineStr"/>
    </row>
    <row r="267">
      <c r="A267" s="6" t="inlineStr">
        <is>
          <t>2023-10-24</t>
        </is>
      </c>
      <c r="B267" s="16" t="n">
        <v>0.01922547961064606</v>
      </c>
      <c r="C267" s="6" t="inlineStr">
        <is>
          <t>2022-10-12</t>
        </is>
      </c>
      <c r="D267" s="6" t="inlineStr">
        <is>
          <t>2023-10-23</t>
        </is>
      </c>
      <c r="E267" s="6" t="n">
        <v>250</v>
      </c>
      <c r="F267" s="6" t="n">
        <v>106</v>
      </c>
      <c r="G267" s="6" t="n">
        <v>0</v>
      </c>
      <c r="H267" s="10">
        <f>IF(F267&gt;=E267,(E267-0.5)/E267,IF(G267&gt;0,(F267+0.5*G267)/E267,F267/E267))</f>
        <v/>
      </c>
      <c r="I267" s="6" t="inlineStr">
        <is>
          <t>中间分位</t>
        </is>
      </c>
      <c r="J267" s="6" t="inlineStr"/>
    </row>
    <row r="268">
      <c r="A268" s="11" t="inlineStr">
        <is>
          <t>2023-10-25</t>
        </is>
      </c>
      <c r="B268" s="17" t="n">
        <v>0.006113371505835116</v>
      </c>
      <c r="C268" s="11" t="inlineStr">
        <is>
          <t>2022-10-13</t>
        </is>
      </c>
      <c r="D268" s="11" t="inlineStr">
        <is>
          <t>2023-10-24</t>
        </is>
      </c>
      <c r="E268" s="11" t="n">
        <v>250</v>
      </c>
      <c r="F268" s="11" t="n">
        <v>73</v>
      </c>
      <c r="G268" s="11" t="n">
        <v>0</v>
      </c>
      <c r="H268" s="15">
        <f>IF(F268&gt;=E268,(E268-0.5)/E268,IF(G268&gt;0,(F268+0.5*G268)/E268,F268/E268))</f>
        <v/>
      </c>
      <c r="I268" s="11" t="inlineStr">
        <is>
          <t>中间分位</t>
        </is>
      </c>
      <c r="J268" s="11" t="inlineStr"/>
    </row>
    <row r="269">
      <c r="A269" s="6" t="inlineStr">
        <is>
          <t>2023-10-26</t>
        </is>
      </c>
      <c r="B269" s="16" t="n">
        <v>0.01516393442622951</v>
      </c>
      <c r="C269" s="6" t="inlineStr">
        <is>
          <t>2022-10-14</t>
        </is>
      </c>
      <c r="D269" s="6" t="inlineStr">
        <is>
          <t>2023-10-25</t>
        </is>
      </c>
      <c r="E269" s="6" t="n">
        <v>250</v>
      </c>
      <c r="F269" s="6" t="n">
        <v>97</v>
      </c>
      <c r="G269" s="6" t="n">
        <v>0</v>
      </c>
      <c r="H269" s="10">
        <f>IF(F269&gt;=E269,(E269-0.5)/E269,IF(G269&gt;0,(F269+0.5*G269)/E269,F269/E269))</f>
        <v/>
      </c>
      <c r="I269" s="6" t="inlineStr">
        <is>
          <t>中间分位</t>
        </is>
      </c>
      <c r="J269" s="6" t="inlineStr"/>
    </row>
    <row r="270">
      <c r="A270" s="11" t="inlineStr">
        <is>
          <t>2023-10-27</t>
        </is>
      </c>
      <c r="B270" s="17" t="n">
        <v>-0.002880658436213992</v>
      </c>
      <c r="C270" s="11" t="inlineStr">
        <is>
          <t>2022-10-17</t>
        </is>
      </c>
      <c r="D270" s="11" t="inlineStr">
        <is>
          <t>2023-10-26</t>
        </is>
      </c>
      <c r="E270" s="11" t="n">
        <v>250</v>
      </c>
      <c r="F270" s="11" t="n">
        <v>50</v>
      </c>
      <c r="G270" s="11" t="n">
        <v>0</v>
      </c>
      <c r="H270" s="15">
        <f>IF(F270&gt;=E270,(E270-0.5)/E270,IF(G270&gt;0,(F270+0.5*G270)/E270,F270/E270))</f>
        <v/>
      </c>
      <c r="I270" s="11" t="inlineStr">
        <is>
          <t>中间分位</t>
        </is>
      </c>
      <c r="J270" s="11" t="inlineStr"/>
    </row>
    <row r="271">
      <c r="A271" s="6" t="inlineStr">
        <is>
          <t>2023-10-30</t>
        </is>
      </c>
      <c r="B271" s="16" t="n">
        <v>-0.006202393461524309</v>
      </c>
      <c r="C271" s="6" t="inlineStr">
        <is>
          <t>2022-10-18</t>
        </is>
      </c>
      <c r="D271" s="6" t="inlineStr">
        <is>
          <t>2023-10-27</t>
        </is>
      </c>
      <c r="E271" s="6" t="n">
        <v>250</v>
      </c>
      <c r="F271" s="6" t="n">
        <v>49</v>
      </c>
      <c r="G271" s="6" t="n">
        <v>0</v>
      </c>
      <c r="H271" s="10">
        <f>IF(F271&gt;=E271,(E271-0.5)/E271,IF(G271&gt;0,(F271+0.5*G271)/E271,F271/E271))</f>
        <v/>
      </c>
      <c r="I271" s="6" t="inlineStr">
        <is>
          <t>中间分位</t>
        </is>
      </c>
      <c r="J271" s="6" t="inlineStr"/>
    </row>
    <row r="272">
      <c r="A272" s="11" t="inlineStr">
        <is>
          <t>2023-10-31</t>
        </is>
      </c>
      <c r="B272" s="17" t="n">
        <v>0.01241098677517803</v>
      </c>
      <c r="C272" s="11" t="inlineStr">
        <is>
          <t>2022-10-19</t>
        </is>
      </c>
      <c r="D272" s="11" t="inlineStr">
        <is>
          <t>2023-10-30</t>
        </is>
      </c>
      <c r="E272" s="11" t="n">
        <v>250</v>
      </c>
      <c r="F272" s="11" t="n">
        <v>96</v>
      </c>
      <c r="G272" s="11" t="n">
        <v>0</v>
      </c>
      <c r="H272" s="15">
        <f>IF(F272&gt;=E272,(E272-0.5)/E272,IF(G272&gt;0,(F272+0.5*G272)/E272,F272/E272))</f>
        <v/>
      </c>
      <c r="I272" s="11" t="inlineStr">
        <is>
          <t>中间分位</t>
        </is>
      </c>
      <c r="J272" s="11" t="inlineStr"/>
    </row>
    <row r="273">
      <c r="A273" s="6" t="inlineStr">
        <is>
          <t>2023-11-01</t>
        </is>
      </c>
      <c r="B273" s="16" t="n">
        <v>0.007746325329208542</v>
      </c>
      <c r="C273" s="6" t="inlineStr">
        <is>
          <t>2022-10-20</t>
        </is>
      </c>
      <c r="D273" s="6" t="inlineStr">
        <is>
          <t>2023-10-31</t>
        </is>
      </c>
      <c r="E273" s="6" t="n">
        <v>250</v>
      </c>
      <c r="F273" s="6" t="n">
        <v>79</v>
      </c>
      <c r="G273" s="6" t="n">
        <v>0</v>
      </c>
      <c r="H273" s="10">
        <f>IF(F273&gt;=E273,(E273-0.5)/E273,IF(G273&gt;0,(F273+0.5*G273)/E273,F273/E273))</f>
        <v/>
      </c>
      <c r="I273" s="6" t="inlineStr">
        <is>
          <t>中间分位</t>
        </is>
      </c>
      <c r="J273" s="6" t="inlineStr"/>
    </row>
    <row r="274">
      <c r="A274" s="11" t="inlineStr">
        <is>
          <t>2023-11-02</t>
        </is>
      </c>
      <c r="B274" s="17" t="n">
        <v>0.01353351224117106</v>
      </c>
      <c r="C274" s="11" t="inlineStr">
        <is>
          <t>2022-10-21</t>
        </is>
      </c>
      <c r="D274" s="11" t="inlineStr">
        <is>
          <t>2023-11-01</t>
        </is>
      </c>
      <c r="E274" s="11" t="n">
        <v>250</v>
      </c>
      <c r="F274" s="11" t="n">
        <v>99</v>
      </c>
      <c r="G274" s="11" t="n">
        <v>0</v>
      </c>
      <c r="H274" s="15">
        <f>IF(F274&gt;=E274,(E274-0.5)/E274,IF(G274&gt;0,(F274+0.5*G274)/E274,F274/E274))</f>
        <v/>
      </c>
      <c r="I274" s="11" t="inlineStr">
        <is>
          <t>中间分位</t>
        </is>
      </c>
      <c r="J274" s="11" t="inlineStr"/>
    </row>
    <row r="275">
      <c r="A275" s="6" t="inlineStr">
        <is>
          <t>2023-11-03</t>
        </is>
      </c>
      <c r="B275" s="16" t="n">
        <v>-0.01576763485477178</v>
      </c>
      <c r="C275" s="6" t="inlineStr">
        <is>
          <t>2022-10-24</t>
        </is>
      </c>
      <c r="D275" s="6" t="inlineStr">
        <is>
          <t>2023-11-02</t>
        </is>
      </c>
      <c r="E275" s="6" t="n">
        <v>250</v>
      </c>
      <c r="F275" s="6" t="n">
        <v>33</v>
      </c>
      <c r="G275" s="6" t="n">
        <v>0</v>
      </c>
      <c r="H275" s="10">
        <f>IF(F275&gt;=E275,(E275-0.5)/E275,IF(G275&gt;0,(F275+0.5*G275)/E275,F275/E275))</f>
        <v/>
      </c>
      <c r="I275" s="6" t="inlineStr">
        <is>
          <t>中间分位</t>
        </is>
      </c>
      <c r="J275" s="6" t="inlineStr"/>
    </row>
    <row r="276">
      <c r="A276" s="11" t="inlineStr">
        <is>
          <t>2023-11-06</t>
        </is>
      </c>
      <c r="B276" s="17" t="n">
        <v>-0.00806369628777189</v>
      </c>
      <c r="C276" s="11" t="inlineStr">
        <is>
          <t>2022-10-25</t>
        </is>
      </c>
      <c r="D276" s="11" t="inlineStr">
        <is>
          <t>2023-11-03</t>
        </is>
      </c>
      <c r="E276" s="11" t="n">
        <v>250</v>
      </c>
      <c r="F276" s="11" t="n">
        <v>45</v>
      </c>
      <c r="G276" s="11" t="n">
        <v>0</v>
      </c>
      <c r="H276" s="15">
        <f>IF(F276&gt;=E276,(E276-0.5)/E276,IF(G276&gt;0,(F276+0.5*G276)/E276,F276/E276))</f>
        <v/>
      </c>
      <c r="I276" s="11" t="inlineStr">
        <is>
          <t>中间分位</t>
        </is>
      </c>
      <c r="J276" s="11" t="inlineStr"/>
    </row>
    <row r="277">
      <c r="A277" s="6" t="inlineStr">
        <is>
          <t>2023-11-07</t>
        </is>
      </c>
      <c r="B277" s="16" t="n">
        <v>0.002687706262315296</v>
      </c>
      <c r="C277" s="6" t="inlineStr">
        <is>
          <t>2022-10-26</t>
        </is>
      </c>
      <c r="D277" s="6" t="inlineStr">
        <is>
          <t>2023-11-06</t>
        </is>
      </c>
      <c r="E277" s="6" t="n">
        <v>250</v>
      </c>
      <c r="F277" s="6" t="n">
        <v>68</v>
      </c>
      <c r="G277" s="6" t="n">
        <v>0</v>
      </c>
      <c r="H277" s="10">
        <f>IF(F277&gt;=E277,(E277-0.5)/E277,IF(G277&gt;0,(F277+0.5*G277)/E277,F277/E277))</f>
        <v/>
      </c>
      <c r="I277" s="6" t="inlineStr">
        <is>
          <t>中间分位</t>
        </is>
      </c>
      <c r="J277" s="6" t="inlineStr"/>
    </row>
    <row r="278">
      <c r="A278" s="11" t="inlineStr">
        <is>
          <t>2023-11-08</t>
        </is>
      </c>
      <c r="B278" s="17" t="n">
        <v>-0.01167002012072435</v>
      </c>
      <c r="C278" s="11" t="inlineStr">
        <is>
          <t>2022-10-27</t>
        </is>
      </c>
      <c r="D278" s="11" t="inlineStr">
        <is>
          <t>2023-11-07</t>
        </is>
      </c>
      <c r="E278" s="11" t="n">
        <v>250</v>
      </c>
      <c r="F278" s="11" t="n">
        <v>38</v>
      </c>
      <c r="G278" s="11" t="n">
        <v>0</v>
      </c>
      <c r="H278" s="15">
        <f>IF(F278&gt;=E278,(E278-0.5)/E278,IF(G278&gt;0,(F278+0.5*G278)/E278,F278/E278))</f>
        <v/>
      </c>
      <c r="I278" s="11" t="inlineStr">
        <is>
          <t>中间分位</t>
        </is>
      </c>
      <c r="J278" s="11" t="inlineStr"/>
    </row>
    <row r="279">
      <c r="A279" s="6" t="inlineStr">
        <is>
          <t>2023-11-09</t>
        </is>
      </c>
      <c r="B279" s="16" t="n">
        <v>0.004761904761904762</v>
      </c>
      <c r="C279" s="6" t="inlineStr">
        <is>
          <t>2022-10-28</t>
        </is>
      </c>
      <c r="D279" s="6" t="inlineStr">
        <is>
          <t>2023-11-08</t>
        </is>
      </c>
      <c r="E279" s="6" t="n">
        <v>250</v>
      </c>
      <c r="F279" s="6" t="n">
        <v>75</v>
      </c>
      <c r="G279" s="6" t="n">
        <v>0</v>
      </c>
      <c r="H279" s="10">
        <f>IF(F279&gt;=E279,(E279-0.5)/E279,IF(G279&gt;0,(F279+0.5*G279)/E279,F279/E279))</f>
        <v/>
      </c>
      <c r="I279" s="6" t="inlineStr">
        <is>
          <t>中间分位</t>
        </is>
      </c>
      <c r="J279" s="6" t="inlineStr"/>
    </row>
    <row r="280">
      <c r="A280" s="11" t="inlineStr">
        <is>
          <t>2023-11-10</t>
        </is>
      </c>
      <c r="B280" s="17" t="n">
        <v>0.007514476241405043</v>
      </c>
      <c r="C280" s="11" t="inlineStr">
        <is>
          <t>2022-10-31</t>
        </is>
      </c>
      <c r="D280" s="11" t="inlineStr">
        <is>
          <t>2023-11-09</t>
        </is>
      </c>
      <c r="E280" s="11" t="n">
        <v>250</v>
      </c>
      <c r="F280" s="11" t="n">
        <v>82</v>
      </c>
      <c r="G280" s="11" t="n">
        <v>0</v>
      </c>
      <c r="H280" s="15">
        <f>IF(F280&gt;=E280,(E280-0.5)/E280,IF(G280&gt;0,(F280+0.5*G280)/E280,F280/E280))</f>
        <v/>
      </c>
      <c r="I280" s="11" t="inlineStr">
        <is>
          <t>中间分位</t>
        </is>
      </c>
      <c r="J280" s="11" t="inlineStr"/>
    </row>
    <row r="281">
      <c r="A281" s="6" t="inlineStr">
        <is>
          <t>2023-11-13</t>
        </is>
      </c>
      <c r="B281" s="16" t="n">
        <v>0.01200001609120495</v>
      </c>
      <c r="C281" s="6" t="inlineStr">
        <is>
          <t>2022-11-01</t>
        </is>
      </c>
      <c r="D281" s="6" t="inlineStr">
        <is>
          <t>2023-11-10</t>
        </is>
      </c>
      <c r="E281" s="6" t="n">
        <v>250</v>
      </c>
      <c r="F281" s="6" t="n">
        <v>102</v>
      </c>
      <c r="G281" s="6" t="n">
        <v>0</v>
      </c>
      <c r="H281" s="10">
        <f>IF(F281&gt;=E281,(E281-0.5)/E281,IF(G281&gt;0,(F281+0.5*G281)/E281,F281/E281))</f>
        <v/>
      </c>
      <c r="I281" s="6" t="inlineStr">
        <is>
          <t>中间分位</t>
        </is>
      </c>
      <c r="J281" s="6" t="inlineStr"/>
    </row>
    <row r="282">
      <c r="A282" s="11" t="inlineStr">
        <is>
          <t>2023-11-14</t>
        </is>
      </c>
      <c r="B282" s="17" t="n">
        <v>0.001150018489696566</v>
      </c>
      <c r="C282" s="11" t="inlineStr">
        <is>
          <t>2022-11-02</t>
        </is>
      </c>
      <c r="D282" s="11" t="inlineStr">
        <is>
          <t>2023-11-13</t>
        </is>
      </c>
      <c r="E282" s="11" t="n">
        <v>250</v>
      </c>
      <c r="F282" s="11" t="n">
        <v>65</v>
      </c>
      <c r="G282" s="11" t="n">
        <v>0</v>
      </c>
      <c r="H282" s="15">
        <f>IF(F282&gt;=E282,(E282-0.5)/E282,IF(G282&gt;0,(F282+0.5*G282)/E282,F282/E282))</f>
        <v/>
      </c>
      <c r="I282" s="11" t="inlineStr">
        <is>
          <t>中间分位</t>
        </is>
      </c>
      <c r="J282" s="11" t="inlineStr"/>
    </row>
    <row r="283">
      <c r="A283" s="6" t="inlineStr">
        <is>
          <t>2023-11-15</t>
        </is>
      </c>
      <c r="B283" s="16" t="n">
        <v>-0.007774258566081198</v>
      </c>
      <c r="C283" s="6" t="inlineStr">
        <is>
          <t>2022-11-03</t>
        </is>
      </c>
      <c r="D283" s="6" t="inlineStr">
        <is>
          <t>2023-11-14</t>
        </is>
      </c>
      <c r="E283" s="6" t="n">
        <v>250</v>
      </c>
      <c r="F283" s="6" t="n">
        <v>48</v>
      </c>
      <c r="G283" s="6" t="n">
        <v>0</v>
      </c>
      <c r="H283" s="10">
        <f>IF(F283&gt;=E283,(E283-0.5)/E283,IF(G283&gt;0,(F283+0.5*G283)/E283,F283/E283))</f>
        <v/>
      </c>
      <c r="I283" s="6" t="inlineStr">
        <is>
          <t>中间分位</t>
        </is>
      </c>
      <c r="J283" s="6" t="inlineStr"/>
    </row>
    <row r="284">
      <c r="A284" s="11" t="inlineStr">
        <is>
          <t>2023-11-16</t>
        </is>
      </c>
      <c r="B284" s="17" t="n">
        <v>-0.005231388329979879</v>
      </c>
      <c r="C284" s="11" t="inlineStr">
        <is>
          <t>2022-11-04</t>
        </is>
      </c>
      <c r="D284" s="11" t="inlineStr">
        <is>
          <t>2023-11-15</t>
        </is>
      </c>
      <c r="E284" s="11" t="n">
        <v>250</v>
      </c>
      <c r="F284" s="11" t="n">
        <v>55</v>
      </c>
      <c r="G284" s="11" t="n">
        <v>0</v>
      </c>
      <c r="H284" s="15">
        <f>IF(F284&gt;=E284,(E284-0.5)/E284,IF(G284&gt;0,(F284+0.5*G284)/E284,F284/E284))</f>
        <v/>
      </c>
      <c r="I284" s="11" t="inlineStr">
        <is>
          <t>中间分位</t>
        </is>
      </c>
      <c r="J284" s="11" t="inlineStr"/>
    </row>
    <row r="285">
      <c r="A285" s="6" t="inlineStr">
        <is>
          <t>2023-11-17</t>
        </is>
      </c>
      <c r="B285" s="16" t="n">
        <v>-0.001270118557754334</v>
      </c>
      <c r="C285" s="6" t="inlineStr">
        <is>
          <t>2022-11-07</t>
        </is>
      </c>
      <c r="D285" s="6" t="inlineStr">
        <is>
          <t>2023-11-16</t>
        </is>
      </c>
      <c r="E285" s="6" t="n">
        <v>250</v>
      </c>
      <c r="F285" s="6" t="n">
        <v>60</v>
      </c>
      <c r="G285" s="6" t="n">
        <v>0</v>
      </c>
      <c r="H285" s="10">
        <f>IF(F285&gt;=E285,(E285-0.5)/E285,IF(G285&gt;0,(F285+0.5*G285)/E285,F285/E285))</f>
        <v/>
      </c>
      <c r="I285" s="6" t="inlineStr">
        <is>
          <t>中间分位</t>
        </is>
      </c>
      <c r="J285" s="6" t="inlineStr"/>
    </row>
    <row r="286">
      <c r="A286" s="11" t="inlineStr">
        <is>
          <t>2023-11-20</t>
        </is>
      </c>
      <c r="B286" s="17" t="n">
        <v>0.01726907630522088</v>
      </c>
      <c r="C286" s="11" t="inlineStr">
        <is>
          <t>2022-11-08</t>
        </is>
      </c>
      <c r="D286" s="11" t="inlineStr">
        <is>
          <t>2023-11-17</t>
        </is>
      </c>
      <c r="E286" s="11" t="n">
        <v>250</v>
      </c>
      <c r="F286" s="11" t="n">
        <v>119</v>
      </c>
      <c r="G286" s="11" t="n">
        <v>0</v>
      </c>
      <c r="H286" s="15">
        <f>IF(F286&gt;=E286,(E286-0.5)/E286,IF(G286&gt;0,(F286+0.5*G286)/E286,F286/E286))</f>
        <v/>
      </c>
      <c r="I286" s="11" t="inlineStr">
        <is>
          <t>中间分位</t>
        </is>
      </c>
      <c r="J286" s="11" t="inlineStr"/>
    </row>
    <row r="287">
      <c r="A287" s="6" t="inlineStr">
        <is>
          <t>2023-11-21</t>
        </is>
      </c>
      <c r="B287" s="16" t="n">
        <v>0.02530612244897959</v>
      </c>
      <c r="C287" s="6" t="inlineStr">
        <is>
          <t>2022-11-09</t>
        </is>
      </c>
      <c r="D287" s="6" t="inlineStr">
        <is>
          <t>2023-11-20</t>
        </is>
      </c>
      <c r="E287" s="6" t="n">
        <v>250</v>
      </c>
      <c r="F287" s="6" t="n">
        <v>142</v>
      </c>
      <c r="G287" s="6" t="n">
        <v>0</v>
      </c>
      <c r="H287" s="10">
        <f>IF(F287&gt;=E287,(E287-0.5)/E287,IF(G287&gt;0,(F287+0.5*G287)/E287,F287/E287))</f>
        <v/>
      </c>
      <c r="I287" s="6" t="inlineStr">
        <is>
          <t>中间分位</t>
        </is>
      </c>
      <c r="J287" s="6" t="inlineStr"/>
    </row>
    <row r="288">
      <c r="A288" s="11" t="inlineStr">
        <is>
          <t>2023-11-22</t>
        </is>
      </c>
      <c r="B288" s="17" t="n">
        <v>-0.0004175365344467641</v>
      </c>
      <c r="C288" s="11" t="inlineStr">
        <is>
          <t>2022-11-10</t>
        </is>
      </c>
      <c r="D288" s="11" t="inlineStr">
        <is>
          <t>2023-11-21</t>
        </is>
      </c>
      <c r="E288" s="11" t="n">
        <v>250</v>
      </c>
      <c r="F288" s="11" t="n">
        <v>63</v>
      </c>
      <c r="G288" s="11" t="n">
        <v>0</v>
      </c>
      <c r="H288" s="15">
        <f>IF(F288&gt;=E288,(E288-0.5)/E288,IF(G288&gt;0,(F288+0.5*G288)/E288,F288/E288))</f>
        <v/>
      </c>
      <c r="I288" s="11" t="inlineStr">
        <is>
          <t>中间分位</t>
        </is>
      </c>
      <c r="J288" s="11" t="inlineStr"/>
    </row>
    <row r="289">
      <c r="A289" s="6" t="inlineStr">
        <is>
          <t>2023-11-23</t>
        </is>
      </c>
      <c r="B289" s="16" t="n">
        <v>0.02193057330940554</v>
      </c>
      <c r="C289" s="6" t="inlineStr">
        <is>
          <t>2022-11-11</t>
        </is>
      </c>
      <c r="D289" s="6" t="inlineStr">
        <is>
          <t>2023-11-22</t>
        </is>
      </c>
      <c r="E289" s="6" t="n">
        <v>250</v>
      </c>
      <c r="F289" s="6" t="n">
        <v>133</v>
      </c>
      <c r="G289" s="6" t="n">
        <v>0</v>
      </c>
      <c r="H289" s="10">
        <f>IF(F289&gt;=E289,(E289-0.5)/E289,IF(G289&gt;0,(F289+0.5*G289)/E289,F289/E289))</f>
        <v/>
      </c>
      <c r="I289" s="6" t="inlineStr">
        <is>
          <t>中间分位</t>
        </is>
      </c>
      <c r="J289" s="6" t="inlineStr"/>
    </row>
    <row r="290">
      <c r="A290" s="11" t="inlineStr">
        <is>
          <t>2023-11-24</t>
        </is>
      </c>
      <c r="B290" s="17" t="n">
        <v>-0.01106165700832266</v>
      </c>
      <c r="C290" s="11" t="inlineStr">
        <is>
          <t>2022-11-14</t>
        </is>
      </c>
      <c r="D290" s="11" t="inlineStr">
        <is>
          <t>2023-11-23</t>
        </is>
      </c>
      <c r="E290" s="11" t="n">
        <v>250</v>
      </c>
      <c r="F290" s="11" t="n">
        <v>41</v>
      </c>
      <c r="G290" s="11" t="n">
        <v>0</v>
      </c>
      <c r="H290" s="15">
        <f>IF(F290&gt;=E290,(E290-0.5)/E290,IF(G290&gt;0,(F290+0.5*G290)/E290,F290/E290))</f>
        <v/>
      </c>
      <c r="I290" s="11" t="inlineStr">
        <is>
          <t>中间分位</t>
        </is>
      </c>
      <c r="J290" s="11" t="inlineStr"/>
    </row>
    <row r="291">
      <c r="A291" s="6" t="inlineStr">
        <is>
          <t>2023-11-27</t>
        </is>
      </c>
      <c r="B291" s="16" t="n">
        <v>-0.0092343064690128</v>
      </c>
      <c r="C291" s="6" t="inlineStr">
        <is>
          <t>2022-11-15</t>
        </is>
      </c>
      <c r="D291" s="6" t="inlineStr">
        <is>
          <t>2023-11-24</t>
        </is>
      </c>
      <c r="E291" s="6" t="n">
        <v>250</v>
      </c>
      <c r="F291" s="6" t="n">
        <v>43</v>
      </c>
      <c r="G291" s="6" t="n">
        <v>0</v>
      </c>
      <c r="H291" s="10">
        <f>IF(F291&gt;=E291,(E291-0.5)/E291,IF(G291&gt;0,(F291+0.5*G291)/E291,F291/E291))</f>
        <v/>
      </c>
      <c r="I291" s="6" t="inlineStr">
        <is>
          <t>中间分位</t>
        </is>
      </c>
      <c r="J291" s="6" t="inlineStr"/>
    </row>
    <row r="292">
      <c r="A292" s="11" t="inlineStr">
        <is>
          <t>2023-11-28</t>
        </is>
      </c>
      <c r="B292" s="17" t="n">
        <v>0.004043886244616037</v>
      </c>
      <c r="C292" s="11" t="inlineStr">
        <is>
          <t>2022-11-16</t>
        </is>
      </c>
      <c r="D292" s="11" t="inlineStr">
        <is>
          <t>2023-11-27</t>
        </is>
      </c>
      <c r="E292" s="11" t="n">
        <v>250</v>
      </c>
      <c r="F292" s="11" t="n">
        <v>81</v>
      </c>
      <c r="G292" s="11" t="n">
        <v>0</v>
      </c>
      <c r="H292" s="15">
        <f>IF(F292&gt;=E292,(E292-0.5)/E292,IF(G292&gt;0,(F292+0.5*G292)/E292,F292/E292))</f>
        <v/>
      </c>
      <c r="I292" s="11" t="inlineStr">
        <is>
          <t>中间分位</t>
        </is>
      </c>
      <c r="J292" s="11" t="inlineStr"/>
    </row>
    <row r="293">
      <c r="A293" s="6" t="inlineStr">
        <is>
          <t>2023-11-29</t>
        </is>
      </c>
      <c r="B293" s="16" t="n">
        <v>0.00322112200359548</v>
      </c>
      <c r="C293" s="6" t="inlineStr">
        <is>
          <t>2022-11-17</t>
        </is>
      </c>
      <c r="D293" s="6" t="inlineStr">
        <is>
          <t>2023-11-28</t>
        </is>
      </c>
      <c r="E293" s="6" t="n">
        <v>250</v>
      </c>
      <c r="F293" s="6" t="n">
        <v>79</v>
      </c>
      <c r="G293" s="6" t="n">
        <v>0</v>
      </c>
      <c r="H293" s="10">
        <f>IF(F293&gt;=E293,(E293-0.5)/E293,IF(G293&gt;0,(F293+0.5*G293)/E293,F293/E293))</f>
        <v/>
      </c>
      <c r="I293" s="6" t="inlineStr">
        <is>
          <t>中间分位</t>
        </is>
      </c>
      <c r="J293" s="6" t="inlineStr"/>
    </row>
    <row r="294">
      <c r="A294" s="11" t="inlineStr">
        <is>
          <t>2023-11-30</t>
        </is>
      </c>
      <c r="B294" s="17" t="n">
        <v>-0.02675474068387367</v>
      </c>
      <c r="C294" s="11" t="inlineStr">
        <is>
          <t>2022-11-18</t>
        </is>
      </c>
      <c r="D294" s="11" t="inlineStr">
        <is>
          <t>2023-11-29</t>
        </is>
      </c>
      <c r="E294" s="11" t="n">
        <v>250</v>
      </c>
      <c r="F294" s="11" t="n">
        <v>19</v>
      </c>
      <c r="G294" s="11" t="n">
        <v>0</v>
      </c>
      <c r="H294" s="15">
        <f>IF(F294&gt;=E294,(E294-0.5)/E294,IF(G294&gt;0,(F294+0.5*G294)/E294,F294/E294))</f>
        <v/>
      </c>
      <c r="I294" s="11" t="inlineStr">
        <is>
          <t>低分位</t>
        </is>
      </c>
      <c r="J294" s="11" t="inlineStr"/>
    </row>
    <row r="295">
      <c r="A295" s="6" t="inlineStr">
        <is>
          <t>2023-12-01</t>
        </is>
      </c>
      <c r="B295" s="16" t="n">
        <v>0.005109864068853726</v>
      </c>
      <c r="C295" s="6" t="inlineStr">
        <is>
          <t>2022-11-21</t>
        </is>
      </c>
      <c r="D295" s="6" t="inlineStr">
        <is>
          <t>2023-11-30</t>
        </is>
      </c>
      <c r="E295" s="6" t="n">
        <v>250</v>
      </c>
      <c r="F295" s="6" t="n">
        <v>86</v>
      </c>
      <c r="G295" s="6" t="n">
        <v>0</v>
      </c>
      <c r="H295" s="10">
        <f>IF(F295&gt;=E295,(E295-0.5)/E295,IF(G295&gt;0,(F295+0.5*G295)/E295,F295/E295))</f>
        <v/>
      </c>
      <c r="I295" s="6" t="inlineStr">
        <is>
          <t>中间分位</t>
        </is>
      </c>
      <c r="J295" s="6" t="inlineStr"/>
    </row>
    <row r="296">
      <c r="A296" s="11" t="inlineStr">
        <is>
          <t>2023-12-04</t>
        </is>
      </c>
      <c r="B296" s="17" t="n">
        <v>0.02994011976047904</v>
      </c>
      <c r="C296" s="11" t="inlineStr">
        <is>
          <t>2022-11-22</t>
        </is>
      </c>
      <c r="D296" s="11" t="inlineStr">
        <is>
          <t>2023-12-01</t>
        </is>
      </c>
      <c r="E296" s="11" t="n">
        <v>250</v>
      </c>
      <c r="F296" s="11" t="n">
        <v>162</v>
      </c>
      <c r="G296" s="11" t="n">
        <v>0</v>
      </c>
      <c r="H296" s="15">
        <f>IF(F296&gt;=E296,(E296-0.5)/E296,IF(G296&gt;0,(F296+0.5*G296)/E296,F296/E296))</f>
        <v/>
      </c>
      <c r="I296" s="11" t="inlineStr">
        <is>
          <t>中间分位</t>
        </is>
      </c>
      <c r="J296" s="11" t="inlineStr"/>
    </row>
    <row r="297">
      <c r="A297" s="6" t="inlineStr">
        <is>
          <t>2023-12-05</t>
        </is>
      </c>
      <c r="B297" s="16" t="n">
        <v>0.01516393442622951</v>
      </c>
      <c r="C297" s="6" t="inlineStr">
        <is>
          <t>2022-11-23</t>
        </is>
      </c>
      <c r="D297" s="6" t="inlineStr">
        <is>
          <t>2023-12-04</t>
        </is>
      </c>
      <c r="E297" s="6" t="n">
        <v>250</v>
      </c>
      <c r="F297" s="6" t="n">
        <v>120</v>
      </c>
      <c r="G297" s="6" t="n">
        <v>1</v>
      </c>
      <c r="H297" s="10">
        <f>IF(F297&gt;=E297,(E297-0.5)/E297,IF(G297&gt;0,(F297+0.5*G297)/E297,F297/E297))</f>
        <v/>
      </c>
      <c r="I297" s="6" t="inlineStr">
        <is>
          <t>中间分位</t>
        </is>
      </c>
      <c r="J297" s="6" t="inlineStr"/>
    </row>
    <row r="298">
      <c r="A298" s="11" t="inlineStr">
        <is>
          <t>2023-12-06</t>
        </is>
      </c>
      <c r="B298" s="17" t="n">
        <v>0.01181155590516341</v>
      </c>
      <c r="C298" s="11" t="inlineStr">
        <is>
          <t>2022-11-24</t>
        </is>
      </c>
      <c r="D298" s="11" t="inlineStr">
        <is>
          <t>2023-12-05</t>
        </is>
      </c>
      <c r="E298" s="11" t="n">
        <v>250</v>
      </c>
      <c r="F298" s="11" t="n">
        <v>112</v>
      </c>
      <c r="G298" s="11" t="n">
        <v>0</v>
      </c>
      <c r="H298" s="15">
        <f>IF(F298&gt;=E298,(E298-0.5)/E298,IF(G298&gt;0,(F298+0.5*G298)/E298,F298/E298))</f>
        <v/>
      </c>
      <c r="I298" s="11" t="inlineStr">
        <is>
          <t>中间分位</t>
        </is>
      </c>
      <c r="J298" s="11" t="inlineStr"/>
    </row>
    <row r="299">
      <c r="A299" s="6" t="inlineStr">
        <is>
          <t>2023-12-07</t>
        </is>
      </c>
      <c r="B299" s="16" t="n">
        <v>0.002868852459016393</v>
      </c>
      <c r="C299" s="6" t="inlineStr">
        <is>
          <t>2022-11-25</t>
        </is>
      </c>
      <c r="D299" s="6" t="inlineStr">
        <is>
          <t>2023-12-06</t>
        </is>
      </c>
      <c r="E299" s="6" t="n">
        <v>250</v>
      </c>
      <c r="F299" s="6" t="n">
        <v>79</v>
      </c>
      <c r="G299" s="6" t="n">
        <v>0</v>
      </c>
      <c r="H299" s="10">
        <f>IF(F299&gt;=E299,(E299-0.5)/E299,IF(G299&gt;0,(F299+0.5*G299)/E299,F299/E299))</f>
        <v/>
      </c>
      <c r="I299" s="6" t="inlineStr">
        <is>
          <t>中间分位</t>
        </is>
      </c>
      <c r="J299" s="6" t="inlineStr"/>
    </row>
    <row r="300">
      <c r="A300" s="11" t="inlineStr">
        <is>
          <t>2023-12-08</t>
        </is>
      </c>
      <c r="B300" s="17" t="n">
        <v>0.01344195519348269</v>
      </c>
      <c r="C300" s="11" t="inlineStr">
        <is>
          <t>2022-11-28</t>
        </is>
      </c>
      <c r="D300" s="11" t="inlineStr">
        <is>
          <t>2023-12-07</t>
        </is>
      </c>
      <c r="E300" s="11" t="n">
        <v>250</v>
      </c>
      <c r="F300" s="11" t="n">
        <v>119</v>
      </c>
      <c r="G300" s="11" t="n">
        <v>0</v>
      </c>
      <c r="H300" s="15">
        <f>IF(F300&gt;=E300,(E300-0.5)/E300,IF(G300&gt;0,(F300+0.5*G300)/E300,F300/E300))</f>
        <v/>
      </c>
      <c r="I300" s="11" t="inlineStr">
        <is>
          <t>中间分位</t>
        </is>
      </c>
      <c r="J300" s="11" t="inlineStr"/>
    </row>
    <row r="301">
      <c r="A301" s="6" t="inlineStr">
        <is>
          <t>2023-12-11</t>
        </is>
      </c>
      <c r="B301" s="16" t="n">
        <v>0.02163265306122449</v>
      </c>
      <c r="C301" s="6" t="inlineStr">
        <is>
          <t>2022-11-29</t>
        </is>
      </c>
      <c r="D301" s="6" t="inlineStr">
        <is>
          <t>2023-12-08</t>
        </is>
      </c>
      <c r="E301" s="6" t="n">
        <v>250</v>
      </c>
      <c r="F301" s="6" t="n">
        <v>143</v>
      </c>
      <c r="G301" s="6" t="n">
        <v>0</v>
      </c>
      <c r="H301" s="10">
        <f>IF(F301&gt;=E301,(E301-0.5)/E301,IF(G301&gt;0,(F301+0.5*G301)/E301,F301/E301))</f>
        <v/>
      </c>
      <c r="I301" s="6" t="inlineStr">
        <is>
          <t>中间分位</t>
        </is>
      </c>
      <c r="J301" s="6" t="inlineStr"/>
    </row>
    <row r="302">
      <c r="A302" s="11" t="inlineStr">
        <is>
          <t>2023-12-12</t>
        </is>
      </c>
      <c r="B302" s="17" t="n">
        <v>0.01133240773732732</v>
      </c>
      <c r="C302" s="11" t="inlineStr">
        <is>
          <t>2022-11-30</t>
        </is>
      </c>
      <c r="D302" s="11" t="inlineStr">
        <is>
          <t>2023-12-11</t>
        </is>
      </c>
      <c r="E302" s="11" t="n">
        <v>250</v>
      </c>
      <c r="F302" s="11" t="n">
        <v>112</v>
      </c>
      <c r="G302" s="11" t="n">
        <v>0</v>
      </c>
      <c r="H302" s="15">
        <f>IF(F302&gt;=E302,(E302-0.5)/E302,IF(G302&gt;0,(F302+0.5*G302)/E302,F302/E302))</f>
        <v/>
      </c>
      <c r="I302" s="11" t="inlineStr">
        <is>
          <t>中间分位</t>
        </is>
      </c>
      <c r="J302" s="11" t="inlineStr"/>
    </row>
    <row r="303">
      <c r="A303" s="6" t="inlineStr">
        <is>
          <t>2023-12-13</t>
        </is>
      </c>
      <c r="B303" s="16" t="n">
        <v>0.03346938775510204</v>
      </c>
      <c r="C303" s="6" t="inlineStr">
        <is>
          <t>2022-12-01</t>
        </is>
      </c>
      <c r="D303" s="6" t="inlineStr">
        <is>
          <t>2023-12-12</t>
        </is>
      </c>
      <c r="E303" s="6" t="n">
        <v>250</v>
      </c>
      <c r="F303" s="6" t="n">
        <v>183</v>
      </c>
      <c r="G303" s="6" t="n">
        <v>0</v>
      </c>
      <c r="H303" s="10">
        <f>IF(F303&gt;=E303,(E303-0.5)/E303,IF(G303&gt;0,(F303+0.5*G303)/E303,F303/E303))</f>
        <v/>
      </c>
      <c r="I303" s="6" t="inlineStr">
        <is>
          <t>中间分位</t>
        </is>
      </c>
      <c r="J303" s="6" t="inlineStr"/>
    </row>
    <row r="304">
      <c r="A304" s="11" t="inlineStr">
        <is>
          <t>2023-12-14</t>
        </is>
      </c>
      <c r="B304" s="17" t="n">
        <v>0.02058384934092852</v>
      </c>
      <c r="C304" s="11" t="inlineStr">
        <is>
          <t>2022-12-02</t>
        </is>
      </c>
      <c r="D304" s="11" t="inlineStr">
        <is>
          <t>2023-12-13</t>
        </is>
      </c>
      <c r="E304" s="11" t="n">
        <v>250</v>
      </c>
      <c r="F304" s="11" t="n">
        <v>140</v>
      </c>
      <c r="G304" s="11" t="n">
        <v>0</v>
      </c>
      <c r="H304" s="15">
        <f>IF(F304&gt;=E304,(E304-0.5)/E304,IF(G304&gt;0,(F304+0.5*G304)/E304,F304/E304))</f>
        <v/>
      </c>
      <c r="I304" s="11" t="inlineStr">
        <is>
          <t>中间分位</t>
        </is>
      </c>
      <c r="J304" s="11" t="inlineStr"/>
    </row>
    <row r="305">
      <c r="A305" s="6" t="inlineStr">
        <is>
          <t>2023-12-15</t>
        </is>
      </c>
      <c r="B305" s="16" t="n">
        <v>0.02471466397888327</v>
      </c>
      <c r="C305" s="6" t="inlineStr">
        <is>
          <t>2022-12-05</t>
        </is>
      </c>
      <c r="D305" s="6" t="inlineStr">
        <is>
          <t>2023-12-14</t>
        </is>
      </c>
      <c r="E305" s="6" t="n">
        <v>250</v>
      </c>
      <c r="F305" s="6" t="n">
        <v>155</v>
      </c>
      <c r="G305" s="6" t="n">
        <v>0</v>
      </c>
      <c r="H305" s="10">
        <f>IF(F305&gt;=E305,(E305-0.5)/E305,IF(G305&gt;0,(F305+0.5*G305)/E305,F305/E305))</f>
        <v/>
      </c>
      <c r="I305" s="6" t="inlineStr">
        <is>
          <t>中间分位</t>
        </is>
      </c>
      <c r="J305" s="6" t="inlineStr"/>
    </row>
    <row r="306">
      <c r="A306" s="11" t="inlineStr">
        <is>
          <t>2023-12-18</t>
        </is>
      </c>
      <c r="B306" s="17" t="n">
        <v>0.0242798353909465</v>
      </c>
      <c r="C306" s="11" t="inlineStr">
        <is>
          <t>2022-12-06</t>
        </is>
      </c>
      <c r="D306" s="11" t="inlineStr">
        <is>
          <t>2023-12-15</t>
        </is>
      </c>
      <c r="E306" s="11" t="n">
        <v>250</v>
      </c>
      <c r="F306" s="11" t="n">
        <v>155</v>
      </c>
      <c r="G306" s="11" t="n">
        <v>0</v>
      </c>
      <c r="H306" s="15">
        <f>IF(F306&gt;=E306,(E306-0.5)/E306,IF(G306&gt;0,(F306+0.5*G306)/E306,F306/E306))</f>
        <v/>
      </c>
      <c r="I306" s="11" t="inlineStr">
        <is>
          <t>中间分位</t>
        </is>
      </c>
      <c r="J306" s="11" t="inlineStr"/>
    </row>
    <row r="307">
      <c r="A307" s="6" t="inlineStr">
        <is>
          <t>2023-12-19</t>
        </is>
      </c>
      <c r="B307" s="16" t="n">
        <v>0.02808436325652942</v>
      </c>
      <c r="C307" s="6" t="inlineStr">
        <is>
          <t>2022-12-07</t>
        </is>
      </c>
      <c r="D307" s="6" t="inlineStr">
        <is>
          <t>2023-12-18</t>
        </is>
      </c>
      <c r="E307" s="6" t="n">
        <v>250</v>
      </c>
      <c r="F307" s="6" t="n">
        <v>168</v>
      </c>
      <c r="G307" s="6" t="n">
        <v>0</v>
      </c>
      <c r="H307" s="10">
        <f>IF(F307&gt;=E307,(E307-0.5)/E307,IF(G307&gt;0,(F307+0.5*G307)/E307,F307/E307))</f>
        <v/>
      </c>
      <c r="I307" s="6" t="inlineStr">
        <is>
          <t>中间分位</t>
        </is>
      </c>
      <c r="J307" s="6" t="inlineStr"/>
    </row>
    <row r="308">
      <c r="A308" s="11" t="inlineStr">
        <is>
          <t>2023-12-20</t>
        </is>
      </c>
      <c r="B308" s="17" t="n">
        <v>0.01051782900282186</v>
      </c>
      <c r="C308" s="11" t="inlineStr">
        <is>
          <t>2022-12-08</t>
        </is>
      </c>
      <c r="D308" s="11" t="inlineStr">
        <is>
          <t>2023-12-19</t>
        </is>
      </c>
      <c r="E308" s="11" t="n">
        <v>250</v>
      </c>
      <c r="F308" s="11" t="n">
        <v>108</v>
      </c>
      <c r="G308" s="11" t="n">
        <v>0</v>
      </c>
      <c r="H308" s="15">
        <f>IF(F308&gt;=E308,(E308-0.5)/E308,IF(G308&gt;0,(F308+0.5*G308)/E308,F308/E308))</f>
        <v/>
      </c>
      <c r="I308" s="11" t="inlineStr">
        <is>
          <t>中间分位</t>
        </is>
      </c>
      <c r="J308" s="11" t="inlineStr"/>
    </row>
    <row r="309">
      <c r="A309" s="6" t="inlineStr">
        <is>
          <t>2023-12-21</t>
        </is>
      </c>
      <c r="B309" s="16" t="n">
        <v>0.01741328521538542</v>
      </c>
      <c r="C309" s="6" t="inlineStr">
        <is>
          <t>2022-12-09</t>
        </is>
      </c>
      <c r="D309" s="6" t="inlineStr">
        <is>
          <t>2023-12-20</t>
        </is>
      </c>
      <c r="E309" s="6" t="n">
        <v>250</v>
      </c>
      <c r="F309" s="6" t="n">
        <v>133</v>
      </c>
      <c r="G309" s="6" t="n">
        <v>0</v>
      </c>
      <c r="H309" s="10">
        <f>IF(F309&gt;=E309,(E309-0.5)/E309,IF(G309&gt;0,(F309+0.5*G309)/E309,F309/E309))</f>
        <v/>
      </c>
      <c r="I309" s="6" t="inlineStr">
        <is>
          <t>中间分位</t>
        </is>
      </c>
      <c r="J309" s="6" t="inlineStr"/>
    </row>
    <row r="310">
      <c r="A310" s="11" t="inlineStr">
        <is>
          <t>2023-12-22</t>
        </is>
      </c>
      <c r="B310" s="17" t="n">
        <v>-6.838762103603223e-05</v>
      </c>
      <c r="C310" s="11" t="inlineStr">
        <is>
          <t>2022-12-12</t>
        </is>
      </c>
      <c r="D310" s="11" t="inlineStr">
        <is>
          <t>2023-12-21</t>
        </is>
      </c>
      <c r="E310" s="11" t="n">
        <v>250</v>
      </c>
      <c r="F310" s="11" t="n">
        <v>69</v>
      </c>
      <c r="G310" s="11" t="n">
        <v>0</v>
      </c>
      <c r="H310" s="15">
        <f>IF(F310&gt;=E310,(E310-0.5)/E310,IF(G310&gt;0,(F310+0.5*G310)/E310,F310/E310))</f>
        <v/>
      </c>
      <c r="I310" s="11" t="inlineStr">
        <is>
          <t>中间分位</t>
        </is>
      </c>
      <c r="J310" s="11" t="inlineStr"/>
    </row>
    <row r="311">
      <c r="A311" s="6" t="inlineStr">
        <is>
          <t>2023-12-25</t>
        </is>
      </c>
      <c r="B311" s="16" t="n">
        <v>0.02507352853146462</v>
      </c>
      <c r="C311" s="6" t="inlineStr">
        <is>
          <t>2022-12-13</t>
        </is>
      </c>
      <c r="D311" s="6" t="inlineStr">
        <is>
          <t>2023-12-22</t>
        </is>
      </c>
      <c r="E311" s="6" t="n">
        <v>250</v>
      </c>
      <c r="F311" s="6" t="n">
        <v>162</v>
      </c>
      <c r="G311" s="6" t="n">
        <v>0</v>
      </c>
      <c r="H311" s="10">
        <f>IF(F311&gt;=E311,(E311-0.5)/E311,IF(G311&gt;0,(F311+0.5*G311)/E311,F311/E311))</f>
        <v/>
      </c>
      <c r="I311" s="6" t="inlineStr">
        <is>
          <t>中间分位</t>
        </is>
      </c>
      <c r="J311" s="6" t="inlineStr"/>
    </row>
    <row r="312">
      <c r="A312" s="11" t="inlineStr">
        <is>
          <t>2023-12-26</t>
        </is>
      </c>
      <c r="B312" s="17" t="n">
        <v>0.01649143923451933</v>
      </c>
      <c r="C312" s="11" t="inlineStr">
        <is>
          <t>2022-12-14</t>
        </is>
      </c>
      <c r="D312" s="11" t="inlineStr">
        <is>
          <t>2023-12-25</t>
        </is>
      </c>
      <c r="E312" s="11" t="n">
        <v>250</v>
      </c>
      <c r="F312" s="11" t="n">
        <v>132</v>
      </c>
      <c r="G312" s="11" t="n">
        <v>0</v>
      </c>
      <c r="H312" s="15">
        <f>IF(F312&gt;=E312,(E312-0.5)/E312,IF(G312&gt;0,(F312+0.5*G312)/E312,F312/E312))</f>
        <v/>
      </c>
      <c r="I312" s="11" t="inlineStr">
        <is>
          <t>中间分位</t>
        </is>
      </c>
      <c r="J312" s="11" t="inlineStr"/>
    </row>
    <row r="313">
      <c r="A313" s="6" t="inlineStr">
        <is>
          <t>2023-12-27</t>
        </is>
      </c>
      <c r="B313" s="16" t="n">
        <v>0.01615277614434085</v>
      </c>
      <c r="C313" s="6" t="inlineStr">
        <is>
          <t>2022-12-15</t>
        </is>
      </c>
      <c r="D313" s="6" t="inlineStr">
        <is>
          <t>2023-12-26</t>
        </is>
      </c>
      <c r="E313" s="6" t="n">
        <v>250</v>
      </c>
      <c r="F313" s="6" t="n">
        <v>131</v>
      </c>
      <c r="G313" s="6" t="n">
        <v>0</v>
      </c>
      <c r="H313" s="10">
        <f>IF(F313&gt;=E313,(E313-0.5)/E313,IF(G313&gt;0,(F313+0.5*G313)/E313,F313/E313))</f>
        <v/>
      </c>
      <c r="I313" s="6" t="inlineStr">
        <is>
          <t>中间分位</t>
        </is>
      </c>
      <c r="J313" s="6" t="inlineStr"/>
    </row>
    <row r="314">
      <c r="A314" s="11" t="inlineStr">
        <is>
          <t>2023-12-28</t>
        </is>
      </c>
      <c r="B314" s="17" t="n">
        <v>0.0002042900919305414</v>
      </c>
      <c r="C314" s="11" t="inlineStr">
        <is>
          <t>2022-12-16</t>
        </is>
      </c>
      <c r="D314" s="11" t="inlineStr">
        <is>
          <t>2023-12-27</t>
        </is>
      </c>
      <c r="E314" s="11" t="n">
        <v>250</v>
      </c>
      <c r="F314" s="11" t="n">
        <v>70</v>
      </c>
      <c r="G314" s="11" t="n">
        <v>0</v>
      </c>
      <c r="H314" s="15">
        <f>IF(F314&gt;=E314,(E314-0.5)/E314,IF(G314&gt;0,(F314+0.5*G314)/E314,F314/E314))</f>
        <v/>
      </c>
      <c r="I314" s="11" t="inlineStr">
        <is>
          <t>中间分位</t>
        </is>
      </c>
      <c r="J314" s="11" t="inlineStr"/>
    </row>
    <row r="315">
      <c r="A315" s="6" t="inlineStr">
        <is>
          <t>2023-12-29</t>
        </is>
      </c>
      <c r="B315" s="16" t="n">
        <v>0.01044910386824441</v>
      </c>
      <c r="C315" s="6" t="inlineStr">
        <is>
          <t>2022-12-19</t>
        </is>
      </c>
      <c r="D315" s="6" t="inlineStr">
        <is>
          <t>2023-12-28</t>
        </is>
      </c>
      <c r="E315" s="6" t="n">
        <v>250</v>
      </c>
      <c r="F315" s="6" t="n">
        <v>110</v>
      </c>
      <c r="G315" s="6" t="n">
        <v>0</v>
      </c>
      <c r="H315" s="10">
        <f>IF(F315&gt;=E315,(E315-0.5)/E315,IF(G315&gt;0,(F315+0.5*G315)/E315,F315/E315))</f>
        <v/>
      </c>
      <c r="I315" s="6" t="inlineStr">
        <is>
          <t>中间分位</t>
        </is>
      </c>
      <c r="J315" s="6" t="inlineStr"/>
    </row>
    <row r="316">
      <c r="A316" s="11" t="inlineStr">
        <is>
          <t>2024-01-02</t>
        </is>
      </c>
      <c r="B316" s="17" t="n">
        <v>0.02244897959183673</v>
      </c>
      <c r="C316" s="11" t="inlineStr">
        <is>
          <t>2022-12-20</t>
        </is>
      </c>
      <c r="D316" s="11" t="inlineStr">
        <is>
          <t>2023-12-29</t>
        </is>
      </c>
      <c r="E316" s="11" t="n">
        <v>250</v>
      </c>
      <c r="F316" s="11" t="n">
        <v>155</v>
      </c>
      <c r="G316" s="11" t="n">
        <v>0</v>
      </c>
      <c r="H316" s="15">
        <f>IF(F316&gt;=E316,(E316-0.5)/E316,IF(G316&gt;0,(F316+0.5*G316)/E316,F316/E316))</f>
        <v/>
      </c>
      <c r="I316" s="11" t="inlineStr">
        <is>
          <t>中间分位</t>
        </is>
      </c>
      <c r="J316" s="11" t="inlineStr"/>
    </row>
    <row r="317">
      <c r="A317" s="6" t="inlineStr">
        <is>
          <t>2024-01-03</t>
        </is>
      </c>
      <c r="B317" s="16" t="n">
        <v>0.006611570247933884</v>
      </c>
      <c r="C317" s="6" t="inlineStr">
        <is>
          <t>2022-12-21</t>
        </is>
      </c>
      <c r="D317" s="6" t="inlineStr">
        <is>
          <t>2024-01-02</t>
        </is>
      </c>
      <c r="E317" s="6" t="n">
        <v>250</v>
      </c>
      <c r="F317" s="6" t="n">
        <v>95</v>
      </c>
      <c r="G317" s="6" t="n">
        <v>0</v>
      </c>
      <c r="H317" s="10">
        <f>IF(F317&gt;=E317,(E317-0.5)/E317,IF(G317&gt;0,(F317+0.5*G317)/E317,F317/E317))</f>
        <v/>
      </c>
      <c r="I317" s="6" t="inlineStr">
        <is>
          <t>中间分位</t>
        </is>
      </c>
      <c r="J317" s="6" t="inlineStr"/>
    </row>
    <row r="318">
      <c r="A318" s="11" t="inlineStr">
        <is>
          <t>2024-01-04</t>
        </is>
      </c>
      <c r="B318" s="17" t="n">
        <v>0.01465428276573787</v>
      </c>
      <c r="C318" s="11" t="inlineStr">
        <is>
          <t>2022-12-22</t>
        </is>
      </c>
      <c r="D318" s="11" t="inlineStr">
        <is>
          <t>2024-01-03</t>
        </is>
      </c>
      <c r="E318" s="11" t="n">
        <v>250</v>
      </c>
      <c r="F318" s="11" t="n">
        <v>128</v>
      </c>
      <c r="G318" s="11" t="n">
        <v>0</v>
      </c>
      <c r="H318" s="15">
        <f>IF(F318&gt;=E318,(E318-0.5)/E318,IF(G318&gt;0,(F318+0.5*G318)/E318,F318/E318))</f>
        <v/>
      </c>
      <c r="I318" s="11" t="inlineStr">
        <is>
          <t>中间分位</t>
        </is>
      </c>
      <c r="J318" s="11" t="inlineStr"/>
    </row>
    <row r="319">
      <c r="A319" s="6" t="inlineStr">
        <is>
          <t>2024-01-05</t>
        </is>
      </c>
      <c r="B319" s="16" t="n">
        <v>0.01166860660185488</v>
      </c>
      <c r="C319" s="6" t="inlineStr">
        <is>
          <t>2022-12-23</t>
        </is>
      </c>
      <c r="D319" s="6" t="inlineStr">
        <is>
          <t>2024-01-04</t>
        </is>
      </c>
      <c r="E319" s="6" t="n">
        <v>250</v>
      </c>
      <c r="F319" s="6" t="n">
        <v>118</v>
      </c>
      <c r="G319" s="6" t="n">
        <v>0</v>
      </c>
      <c r="H319" s="10">
        <f>IF(F319&gt;=E319,(E319-0.5)/E319,IF(G319&gt;0,(F319+0.5*G319)/E319,F319/E319))</f>
        <v/>
      </c>
      <c r="I319" s="6" t="inlineStr">
        <is>
          <t>中间分位</t>
        </is>
      </c>
      <c r="J319" s="6" t="inlineStr"/>
    </row>
    <row r="320">
      <c r="A320" s="11" t="inlineStr">
        <is>
          <t>2024-01-08</t>
        </is>
      </c>
      <c r="B320" s="17" t="n">
        <v>0.009202339394895337</v>
      </c>
      <c r="C320" s="11" t="inlineStr">
        <is>
          <t>2022-12-26</t>
        </is>
      </c>
      <c r="D320" s="11" t="inlineStr">
        <is>
          <t>2024-01-05</t>
        </is>
      </c>
      <c r="E320" s="11" t="n">
        <v>250</v>
      </c>
      <c r="F320" s="11" t="n">
        <v>106</v>
      </c>
      <c r="G320" s="11" t="n">
        <v>0</v>
      </c>
      <c r="H320" s="15">
        <f>IF(F320&gt;=E320,(E320-0.5)/E320,IF(G320&gt;0,(F320+0.5*G320)/E320,F320/E320))</f>
        <v/>
      </c>
      <c r="I320" s="11" t="inlineStr">
        <is>
          <t>中间分位</t>
        </is>
      </c>
      <c r="J320" s="11" t="inlineStr"/>
    </row>
    <row r="321">
      <c r="A321" s="6" t="inlineStr">
        <is>
          <t>2024-01-09</t>
        </is>
      </c>
      <c r="B321" s="16" t="n">
        <v>0.01622973346593324</v>
      </c>
      <c r="C321" s="6" t="inlineStr">
        <is>
          <t>2022-12-27</t>
        </is>
      </c>
      <c r="D321" s="6" t="inlineStr">
        <is>
          <t>2024-01-08</t>
        </is>
      </c>
      <c r="E321" s="6" t="n">
        <v>250</v>
      </c>
      <c r="F321" s="6" t="n">
        <v>138</v>
      </c>
      <c r="G321" s="6" t="n">
        <v>0</v>
      </c>
      <c r="H321" s="10">
        <f>IF(F321&gt;=E321,(E321-0.5)/E321,IF(G321&gt;0,(F321+0.5*G321)/E321,F321/E321))</f>
        <v/>
      </c>
      <c r="I321" s="6" t="inlineStr">
        <is>
          <t>中间分位</t>
        </is>
      </c>
      <c r="J321" s="6" t="inlineStr"/>
    </row>
    <row r="322">
      <c r="A322" s="11" t="inlineStr">
        <is>
          <t>2024-01-10</t>
        </is>
      </c>
      <c r="B322" s="17" t="n">
        <v>0.05553022180044943</v>
      </c>
      <c r="C322" s="11" t="inlineStr">
        <is>
          <t>2022-12-28</t>
        </is>
      </c>
      <c r="D322" s="11" t="inlineStr">
        <is>
          <t>2024-01-09</t>
        </is>
      </c>
      <c r="E322" s="11" t="n">
        <v>250</v>
      </c>
      <c r="F322" s="11" t="n">
        <v>232</v>
      </c>
      <c r="G322" s="11" t="n">
        <v>0</v>
      </c>
      <c r="H322" s="15">
        <f>IF(F322&gt;=E322,(E322-0.5)/E322,IF(G322&gt;0,(F322+0.5*G322)/E322,F322/E322))</f>
        <v/>
      </c>
      <c r="I322" s="11" t="inlineStr">
        <is>
          <t>高分位</t>
        </is>
      </c>
      <c r="J322" s="11" t="inlineStr"/>
    </row>
    <row r="323">
      <c r="A323" s="6" t="inlineStr">
        <is>
          <t>2024-01-11</t>
        </is>
      </c>
      <c r="B323" s="16" t="n">
        <v>0.01392405063291139</v>
      </c>
      <c r="C323" s="6" t="inlineStr">
        <is>
          <t>2022-12-29</t>
        </is>
      </c>
      <c r="D323" s="6" t="inlineStr">
        <is>
          <t>2024-01-10</t>
        </is>
      </c>
      <c r="E323" s="6" t="n">
        <v>250</v>
      </c>
      <c r="F323" s="6" t="n">
        <v>129</v>
      </c>
      <c r="G323" s="6" t="n">
        <v>0</v>
      </c>
      <c r="H323" s="10">
        <f>IF(F323&gt;=E323,(E323-0.5)/E323,IF(G323&gt;0,(F323+0.5*G323)/E323,F323/E323))</f>
        <v/>
      </c>
      <c r="I323" s="6" t="inlineStr">
        <is>
          <t>中间分位</t>
        </is>
      </c>
      <c r="J323" s="6" t="inlineStr"/>
    </row>
    <row r="324">
      <c r="A324" s="11" t="inlineStr">
        <is>
          <t>2024-01-12</t>
        </is>
      </c>
      <c r="B324" s="17" t="n">
        <v>0.03014698881957754</v>
      </c>
      <c r="C324" s="11" t="inlineStr">
        <is>
          <t>2022-12-30</t>
        </is>
      </c>
      <c r="D324" s="11" t="inlineStr">
        <is>
          <t>2024-01-11</t>
        </is>
      </c>
      <c r="E324" s="11" t="n">
        <v>250</v>
      </c>
      <c r="F324" s="11" t="n">
        <v>181</v>
      </c>
      <c r="G324" s="11" t="n">
        <v>0</v>
      </c>
      <c r="H324" s="15">
        <f>IF(F324&gt;=E324,(E324-0.5)/E324,IF(G324&gt;0,(F324+0.5*G324)/E324,F324/E324))</f>
        <v/>
      </c>
      <c r="I324" s="11" t="inlineStr">
        <is>
          <t>中间分位</t>
        </is>
      </c>
      <c r="J324" s="11" t="inlineStr"/>
    </row>
    <row r="325">
      <c r="A325" s="6" t="inlineStr">
        <is>
          <t>2024-01-15</t>
        </is>
      </c>
      <c r="B325" s="16" t="n">
        <v>0.02021251495345285</v>
      </c>
      <c r="C325" s="6" t="inlineStr">
        <is>
          <t>2023-01-03</t>
        </is>
      </c>
      <c r="D325" s="6" t="inlineStr">
        <is>
          <t>2024-01-12</t>
        </is>
      </c>
      <c r="E325" s="6" t="n">
        <v>250</v>
      </c>
      <c r="F325" s="6" t="n">
        <v>150</v>
      </c>
      <c r="G325" s="6" t="n">
        <v>0</v>
      </c>
      <c r="H325" s="10">
        <f>IF(F325&gt;=E325,(E325-0.5)/E325,IF(G325&gt;0,(F325+0.5*G325)/E325,F325/E325))</f>
        <v/>
      </c>
      <c r="I325" s="6" t="inlineStr">
        <is>
          <t>中间分位</t>
        </is>
      </c>
      <c r="J325" s="6" t="inlineStr"/>
    </row>
    <row r="326">
      <c r="A326" s="11" t="inlineStr">
        <is>
          <t>2024-01-16</t>
        </is>
      </c>
      <c r="B326" s="17" t="n">
        <v>0.04567696530139824</v>
      </c>
      <c r="C326" s="11" t="inlineStr">
        <is>
          <t>2023-01-04</t>
        </is>
      </c>
      <c r="D326" s="11" t="inlineStr">
        <is>
          <t>2024-01-15</t>
        </is>
      </c>
      <c r="E326" s="11" t="n">
        <v>250</v>
      </c>
      <c r="F326" s="11" t="n">
        <v>214</v>
      </c>
      <c r="G326" s="11" t="n">
        <v>0</v>
      </c>
      <c r="H326" s="15">
        <f>IF(F326&gt;=E326,(E326-0.5)/E326,IF(G326&gt;0,(F326+0.5*G326)/E326,F326/E326))</f>
        <v/>
      </c>
      <c r="I326" s="11" t="inlineStr">
        <is>
          <t>中间分位</t>
        </is>
      </c>
      <c r="J326" s="11" t="inlineStr"/>
    </row>
    <row r="327">
      <c r="A327" s="6" t="inlineStr">
        <is>
          <t>2024-01-17</t>
        </is>
      </c>
      <c r="B327" s="16" t="n">
        <v>0.03926002055498459</v>
      </c>
      <c r="C327" s="6" t="inlineStr">
        <is>
          <t>2023-01-05</t>
        </is>
      </c>
      <c r="D327" s="6" t="inlineStr">
        <is>
          <t>2024-01-16</t>
        </is>
      </c>
      <c r="E327" s="6" t="n">
        <v>250</v>
      </c>
      <c r="F327" s="6" t="n">
        <v>204</v>
      </c>
      <c r="G327" s="6" t="n">
        <v>0</v>
      </c>
      <c r="H327" s="10">
        <f>IF(F327&gt;=E327,(E327-0.5)/E327,IF(G327&gt;0,(F327+0.5*G327)/E327,F327/E327))</f>
        <v/>
      </c>
      <c r="I327" s="6" t="inlineStr">
        <is>
          <t>中间分位</t>
        </is>
      </c>
      <c r="J327" s="6" t="inlineStr"/>
    </row>
    <row r="328">
      <c r="A328" s="11" t="inlineStr">
        <is>
          <t>2024-01-18</t>
        </is>
      </c>
      <c r="B328" s="17" t="n">
        <v>0.02024793388429752</v>
      </c>
      <c r="C328" s="11" t="inlineStr">
        <is>
          <t>2023-01-06</t>
        </is>
      </c>
      <c r="D328" s="11" t="inlineStr">
        <is>
          <t>2024-01-17</t>
        </is>
      </c>
      <c r="E328" s="11" t="n">
        <v>250</v>
      </c>
      <c r="F328" s="11" t="n">
        <v>149</v>
      </c>
      <c r="G328" s="11" t="n">
        <v>0</v>
      </c>
      <c r="H328" s="15">
        <f>IF(F328&gt;=E328,(E328-0.5)/E328,IF(G328&gt;0,(F328+0.5*G328)/E328,F328/E328))</f>
        <v/>
      </c>
      <c r="I328" s="11" t="inlineStr">
        <is>
          <t>中间分位</t>
        </is>
      </c>
      <c r="J328" s="11" t="inlineStr"/>
    </row>
    <row r="329">
      <c r="A329" s="6" t="inlineStr">
        <is>
          <t>2024-01-19</t>
        </is>
      </c>
      <c r="B329" s="16" t="n">
        <v>0.03942798774259448</v>
      </c>
      <c r="C329" s="6" t="inlineStr">
        <is>
          <t>2023-01-09</t>
        </is>
      </c>
      <c r="D329" s="6" t="inlineStr">
        <is>
          <t>2024-01-18</t>
        </is>
      </c>
      <c r="E329" s="6" t="n">
        <v>250</v>
      </c>
      <c r="F329" s="6" t="n">
        <v>205</v>
      </c>
      <c r="G329" s="6" t="n">
        <v>0</v>
      </c>
      <c r="H329" s="10">
        <f>IF(F329&gt;=E329,(E329-0.5)/E329,IF(G329&gt;0,(F329+0.5*G329)/E329,F329/E329))</f>
        <v/>
      </c>
      <c r="I329" s="6" t="inlineStr">
        <is>
          <t>中间分位</t>
        </is>
      </c>
      <c r="J329" s="6" t="inlineStr"/>
    </row>
    <row r="330">
      <c r="A330" s="11" t="inlineStr">
        <is>
          <t>2024-01-22</t>
        </is>
      </c>
      <c r="B330" s="17" t="n">
        <v>0.01881390593047035</v>
      </c>
      <c r="C330" s="11" t="inlineStr">
        <is>
          <t>2023-01-10</t>
        </is>
      </c>
      <c r="D330" s="11" t="inlineStr">
        <is>
          <t>2024-01-19</t>
        </is>
      </c>
      <c r="E330" s="11" t="n">
        <v>250</v>
      </c>
      <c r="F330" s="11" t="n">
        <v>146</v>
      </c>
      <c r="G330" s="11" t="n">
        <v>0</v>
      </c>
      <c r="H330" s="15">
        <f>IF(F330&gt;=E330,(E330-0.5)/E330,IF(G330&gt;0,(F330+0.5*G330)/E330,F330/E330))</f>
        <v/>
      </c>
      <c r="I330" s="11" t="inlineStr">
        <is>
          <t>中间分位</t>
        </is>
      </c>
      <c r="J330" s="11" t="inlineStr"/>
    </row>
    <row r="331">
      <c r="A331" s="6" t="inlineStr">
        <is>
          <t>2024-01-23</t>
        </is>
      </c>
      <c r="B331" s="16" t="n">
        <v>0.04039739587693805</v>
      </c>
      <c r="C331" s="6" t="inlineStr">
        <is>
          <t>2023-01-11</t>
        </is>
      </c>
      <c r="D331" s="6" t="inlineStr">
        <is>
          <t>2024-01-22</t>
        </is>
      </c>
      <c r="E331" s="6" t="n">
        <v>250</v>
      </c>
      <c r="F331" s="6" t="n">
        <v>208</v>
      </c>
      <c r="G331" s="6" t="n">
        <v>0</v>
      </c>
      <c r="H331" s="10">
        <f>IF(F331&gt;=E331,(E331-0.5)/E331,IF(G331&gt;0,(F331+0.5*G331)/E331,F331/E331))</f>
        <v/>
      </c>
      <c r="I331" s="6" t="inlineStr">
        <is>
          <t>中间分位</t>
        </is>
      </c>
      <c r="J331" s="6" t="inlineStr"/>
    </row>
    <row r="332">
      <c r="A332" s="11" t="inlineStr">
        <is>
          <t>2024-01-24</t>
        </is>
      </c>
      <c r="B332" s="17" t="n">
        <v>0.04165029469548134</v>
      </c>
      <c r="C332" s="11" t="inlineStr">
        <is>
          <t>2023-01-12</t>
        </is>
      </c>
      <c r="D332" s="11" t="inlineStr">
        <is>
          <t>2024-01-23</t>
        </is>
      </c>
      <c r="E332" s="11" t="n">
        <v>250</v>
      </c>
      <c r="F332" s="11" t="n">
        <v>212</v>
      </c>
      <c r="G332" s="11" t="n">
        <v>0</v>
      </c>
      <c r="H332" s="15">
        <f>IF(F332&gt;=E332,(E332-0.5)/E332,IF(G332&gt;0,(F332+0.5*G332)/E332,F332/E332))</f>
        <v/>
      </c>
      <c r="I332" s="11" t="inlineStr">
        <is>
          <t>中间分位</t>
        </is>
      </c>
      <c r="J332" s="11" t="inlineStr"/>
    </row>
    <row r="333">
      <c r="A333" s="6" t="inlineStr">
        <is>
          <t>2024-01-25</t>
        </is>
      </c>
      <c r="B333" s="16" t="n">
        <v>0.05791505791505792</v>
      </c>
      <c r="C333" s="6" t="inlineStr">
        <is>
          <t>2023-01-13</t>
        </is>
      </c>
      <c r="D333" s="6" t="inlineStr">
        <is>
          <t>2024-01-24</t>
        </is>
      </c>
      <c r="E333" s="6" t="n">
        <v>250</v>
      </c>
      <c r="F333" s="6" t="n">
        <v>234</v>
      </c>
      <c r="G333" s="6" t="n">
        <v>0</v>
      </c>
      <c r="H333" s="10">
        <f>IF(F333&gt;=E333,(E333-0.5)/E333,IF(G333&gt;0,(F333+0.5*G333)/E333,F333/E333))</f>
        <v/>
      </c>
      <c r="I333" s="6" t="inlineStr">
        <is>
          <t>高分位</t>
        </is>
      </c>
      <c r="J333" s="6" t="inlineStr"/>
    </row>
    <row r="334">
      <c r="A334" s="11" t="inlineStr">
        <is>
          <t>2024-01-26</t>
        </is>
      </c>
      <c r="B334" s="17" t="n">
        <v>0.06836453439252552</v>
      </c>
      <c r="C334" s="11" t="inlineStr">
        <is>
          <t>2023-01-16</t>
        </is>
      </c>
      <c r="D334" s="11" t="inlineStr">
        <is>
          <t>2024-01-25</t>
        </is>
      </c>
      <c r="E334" s="11" t="n">
        <v>250</v>
      </c>
      <c r="F334" s="11" t="n">
        <v>245</v>
      </c>
      <c r="G334" s="11" t="n">
        <v>0</v>
      </c>
      <c r="H334" s="15">
        <f>IF(F334&gt;=E334,(E334-0.5)/E334,IF(G334&gt;0,(F334+0.5*G334)/E334,F334/E334))</f>
        <v/>
      </c>
      <c r="I334" s="11" t="inlineStr">
        <is>
          <t>高分位</t>
        </is>
      </c>
      <c r="J334" s="11" t="inlineStr"/>
    </row>
    <row r="335">
      <c r="A335" s="6" t="inlineStr">
        <is>
          <t>2024-01-29</t>
        </is>
      </c>
      <c r="B335" s="16" t="n">
        <v>0.03679978777605693</v>
      </c>
      <c r="C335" s="6" t="inlineStr">
        <is>
          <t>2023-01-17</t>
        </is>
      </c>
      <c r="D335" s="6" t="inlineStr">
        <is>
          <t>2024-01-26</t>
        </is>
      </c>
      <c r="E335" s="6" t="n">
        <v>250</v>
      </c>
      <c r="F335" s="6" t="n">
        <v>192</v>
      </c>
      <c r="G335" s="6" t="n">
        <v>0</v>
      </c>
      <c r="H335" s="10">
        <f>IF(F335&gt;=E335,(E335-0.5)/E335,IF(G335&gt;0,(F335+0.5*G335)/E335,F335/E335))</f>
        <v/>
      </c>
      <c r="I335" s="6" t="inlineStr">
        <is>
          <t>中间分位</t>
        </is>
      </c>
      <c r="J335" s="6" t="inlineStr"/>
    </row>
    <row r="336">
      <c r="A336" s="11" t="inlineStr">
        <is>
          <t>2024-01-30</t>
        </is>
      </c>
      <c r="B336" s="17" t="n">
        <v>0.04341085271317829</v>
      </c>
      <c r="C336" s="11" t="inlineStr">
        <is>
          <t>2023-01-18</t>
        </is>
      </c>
      <c r="D336" s="11" t="inlineStr">
        <is>
          <t>2024-01-29</t>
        </is>
      </c>
      <c r="E336" s="11" t="n">
        <v>250</v>
      </c>
      <c r="F336" s="11" t="n">
        <v>211</v>
      </c>
      <c r="G336" s="11" t="n">
        <v>0</v>
      </c>
      <c r="H336" s="15">
        <f>IF(F336&gt;=E336,(E336-0.5)/E336,IF(G336&gt;0,(F336+0.5*G336)/E336,F336/E336))</f>
        <v/>
      </c>
      <c r="I336" s="11" t="inlineStr">
        <is>
          <t>中间分位</t>
        </is>
      </c>
      <c r="J336" s="11" t="inlineStr"/>
    </row>
    <row r="337">
      <c r="A337" s="6" t="inlineStr">
        <is>
          <t>2024-01-31</t>
        </is>
      </c>
      <c r="B337" s="16" t="n">
        <v>0.03525724529196981</v>
      </c>
      <c r="C337" s="6" t="inlineStr">
        <is>
          <t>2023-01-19</t>
        </is>
      </c>
      <c r="D337" s="6" t="inlineStr">
        <is>
          <t>2024-01-30</t>
        </is>
      </c>
      <c r="E337" s="6" t="n">
        <v>250</v>
      </c>
      <c r="F337" s="6" t="n">
        <v>188</v>
      </c>
      <c r="G337" s="6" t="n">
        <v>0</v>
      </c>
      <c r="H337" s="10">
        <f>IF(F337&gt;=E337,(E337-0.5)/E337,IF(G337&gt;0,(F337+0.5*G337)/E337,F337/E337))</f>
        <v/>
      </c>
      <c r="I337" s="6" t="inlineStr">
        <is>
          <t>中间分位</t>
        </is>
      </c>
      <c r="J337" s="6" t="inlineStr"/>
    </row>
    <row r="338">
      <c r="A338" s="11" t="inlineStr">
        <is>
          <t>2024-02-01</t>
        </is>
      </c>
      <c r="B338" s="17" t="n">
        <v>0.04643079939399341</v>
      </c>
      <c r="C338" s="11" t="inlineStr">
        <is>
          <t>2023-01-20</t>
        </is>
      </c>
      <c r="D338" s="11" t="inlineStr">
        <is>
          <t>2024-01-31</t>
        </is>
      </c>
      <c r="E338" s="11" t="n">
        <v>250</v>
      </c>
      <c r="F338" s="11" t="n">
        <v>215</v>
      </c>
      <c r="G338" s="11" t="n">
        <v>0</v>
      </c>
      <c r="H338" s="15">
        <f>IF(F338&gt;=E338,(E338-0.5)/E338,IF(G338&gt;0,(F338+0.5*G338)/E338,F338/E338))</f>
        <v/>
      </c>
      <c r="I338" s="11" t="inlineStr">
        <is>
          <t>中间分位</t>
        </is>
      </c>
      <c r="J338" s="11" t="inlineStr"/>
    </row>
    <row r="339">
      <c r="A339" s="6" t="inlineStr">
        <is>
          <t>2024-02-02</t>
        </is>
      </c>
      <c r="B339" s="16" t="n">
        <v>0.04554450807481057</v>
      </c>
      <c r="C339" s="6" t="inlineStr">
        <is>
          <t>2023-01-30</t>
        </is>
      </c>
      <c r="D339" s="6" t="inlineStr">
        <is>
          <t>2024-02-01</t>
        </is>
      </c>
      <c r="E339" s="6" t="n">
        <v>250</v>
      </c>
      <c r="F339" s="6" t="n">
        <v>210</v>
      </c>
      <c r="G339" s="6" t="n">
        <v>0</v>
      </c>
      <c r="H339" s="10">
        <f>IF(F339&gt;=E339,(E339-0.5)/E339,IF(G339&gt;0,(F339+0.5*G339)/E339,F339/E339))</f>
        <v/>
      </c>
      <c r="I339" s="6" t="inlineStr">
        <is>
          <t>中间分位</t>
        </is>
      </c>
      <c r="J339" s="6" t="inlineStr"/>
    </row>
    <row r="340">
      <c r="A340" s="11" t="inlineStr">
        <is>
          <t>2024-02-05</t>
        </is>
      </c>
      <c r="B340" s="17" t="n">
        <v>0.04860898333417367</v>
      </c>
      <c r="C340" s="11" t="inlineStr">
        <is>
          <t>2023-01-31</t>
        </is>
      </c>
      <c r="D340" s="11" t="inlineStr">
        <is>
          <t>2024-02-02</t>
        </is>
      </c>
      <c r="E340" s="11" t="n">
        <v>250</v>
      </c>
      <c r="F340" s="11" t="n">
        <v>219</v>
      </c>
      <c r="G340" s="11" t="n">
        <v>0</v>
      </c>
      <c r="H340" s="15">
        <f>IF(F340&gt;=E340,(E340-0.5)/E340,IF(G340&gt;0,(F340+0.5*G340)/E340,F340/E340))</f>
        <v/>
      </c>
      <c r="I340" s="11" t="inlineStr">
        <is>
          <t>中间分位</t>
        </is>
      </c>
      <c r="J340" s="11" t="inlineStr"/>
    </row>
    <row r="341">
      <c r="A341" s="6" t="inlineStr">
        <is>
          <t>2024-02-06</t>
        </is>
      </c>
      <c r="B341" s="16" t="n">
        <v>0.04381199765133163</v>
      </c>
      <c r="C341" s="6" t="inlineStr">
        <is>
          <t>2023-02-01</t>
        </is>
      </c>
      <c r="D341" s="6" t="inlineStr">
        <is>
          <t>2024-02-05</t>
        </is>
      </c>
      <c r="E341" s="6" t="n">
        <v>250</v>
      </c>
      <c r="F341" s="6" t="n">
        <v>208</v>
      </c>
      <c r="G341" s="6" t="n">
        <v>0</v>
      </c>
      <c r="H341" s="10">
        <f>IF(F341&gt;=E341,(E341-0.5)/E341,IF(G341&gt;0,(F341+0.5*G341)/E341,F341/E341))</f>
        <v/>
      </c>
      <c r="I341" s="6" t="inlineStr">
        <is>
          <t>中间分位</t>
        </is>
      </c>
      <c r="J341" s="6" t="inlineStr"/>
    </row>
    <row r="342">
      <c r="A342" s="11" t="inlineStr">
        <is>
          <t>2024-02-07</t>
        </is>
      </c>
      <c r="B342" s="17" t="n">
        <v>0.0299342321732028</v>
      </c>
      <c r="C342" s="11" t="inlineStr">
        <is>
          <t>2023-02-02</t>
        </is>
      </c>
      <c r="D342" s="11" t="inlineStr">
        <is>
          <t>2024-02-06</t>
        </is>
      </c>
      <c r="E342" s="11" t="n">
        <v>250</v>
      </c>
      <c r="F342" s="11" t="n">
        <v>166</v>
      </c>
      <c r="G342" s="11" t="n">
        <v>0</v>
      </c>
      <c r="H342" s="15">
        <f>IF(F342&gt;=E342,(E342-0.5)/E342,IF(G342&gt;0,(F342+0.5*G342)/E342,F342/E342))</f>
        <v/>
      </c>
      <c r="I342" s="11" t="inlineStr">
        <is>
          <t>中间分位</t>
        </is>
      </c>
      <c r="J342" s="11" t="inlineStr"/>
    </row>
    <row r="343">
      <c r="A343" s="6" t="inlineStr">
        <is>
          <t>2024-02-08</t>
        </is>
      </c>
      <c r="B343" s="16" t="n">
        <v>0.0481060606060606</v>
      </c>
      <c r="C343" s="6" t="inlineStr">
        <is>
          <t>2023-02-03</t>
        </is>
      </c>
      <c r="D343" s="6" t="inlineStr">
        <is>
          <t>2024-02-07</t>
        </is>
      </c>
      <c r="E343" s="6" t="n">
        <v>250</v>
      </c>
      <c r="F343" s="6" t="n">
        <v>217</v>
      </c>
      <c r="G343" s="6" t="n">
        <v>0</v>
      </c>
      <c r="H343" s="10">
        <f>IF(F343&gt;=E343,(E343-0.5)/E343,IF(G343&gt;0,(F343+0.5*G343)/E343,F343/E343))</f>
        <v/>
      </c>
      <c r="I343" s="6" t="inlineStr">
        <is>
          <t>中间分位</t>
        </is>
      </c>
      <c r="J343" s="6" t="inlineStr"/>
    </row>
    <row r="344">
      <c r="A344" s="11" t="inlineStr">
        <is>
          <t>2024-02-19</t>
        </is>
      </c>
      <c r="B344" s="17" t="n">
        <v>0.07185185185185185</v>
      </c>
      <c r="C344" s="11" t="inlineStr">
        <is>
          <t>2023-02-06</t>
        </is>
      </c>
      <c r="D344" s="11" t="inlineStr">
        <is>
          <t>2024-02-08</t>
        </is>
      </c>
      <c r="E344" s="11" t="n">
        <v>250</v>
      </c>
      <c r="F344" s="11" t="n">
        <v>246</v>
      </c>
      <c r="G344" s="11" t="n">
        <v>0</v>
      </c>
      <c r="H344" s="15">
        <f>IF(F344&gt;=E344,(E344-0.5)/E344,IF(G344&gt;0,(F344+0.5*G344)/E344,F344/E344))</f>
        <v/>
      </c>
      <c r="I344" s="11" t="inlineStr">
        <is>
          <t>高分位</t>
        </is>
      </c>
      <c r="J344" s="11" t="inlineStr"/>
    </row>
    <row r="345">
      <c r="A345" s="6" t="inlineStr">
        <is>
          <t>2024-02-20</t>
        </is>
      </c>
      <c r="B345" s="16" t="n">
        <v>0.0748993106871693</v>
      </c>
      <c r="C345" s="6" t="inlineStr">
        <is>
          <t>2023-02-07</t>
        </is>
      </c>
      <c r="D345" s="6" t="inlineStr">
        <is>
          <t>2024-02-19</t>
        </is>
      </c>
      <c r="E345" s="6" t="n">
        <v>250</v>
      </c>
      <c r="F345" s="6" t="n">
        <v>246</v>
      </c>
      <c r="G345" s="6" t="n">
        <v>0</v>
      </c>
      <c r="H345" s="10">
        <f>IF(F345&gt;=E345,(E345-0.5)/E345,IF(G345&gt;0,(F345+0.5*G345)/E345,F345/E345))</f>
        <v/>
      </c>
      <c r="I345" s="6" t="inlineStr">
        <is>
          <t>高分位</t>
        </is>
      </c>
      <c r="J345" s="6" t="inlineStr"/>
    </row>
    <row r="346">
      <c r="A346" s="11" t="inlineStr">
        <is>
          <t>2024-02-21</t>
        </is>
      </c>
      <c r="B346" s="17" t="n">
        <v>0.04615384615384616</v>
      </c>
      <c r="C346" s="11" t="inlineStr">
        <is>
          <t>2023-02-08</t>
        </is>
      </c>
      <c r="D346" s="11" t="inlineStr">
        <is>
          <t>2024-02-20</t>
        </is>
      </c>
      <c r="E346" s="11" t="n">
        <v>250</v>
      </c>
      <c r="F346" s="11" t="n">
        <v>209</v>
      </c>
      <c r="G346" s="11" t="n">
        <v>0</v>
      </c>
      <c r="H346" s="15">
        <f>IF(F346&gt;=E346,(E346-0.5)/E346,IF(G346&gt;0,(F346+0.5*G346)/E346,F346/E346))</f>
        <v/>
      </c>
      <c r="I346" s="11" t="inlineStr">
        <is>
          <t>中间分位</t>
        </is>
      </c>
      <c r="J346" s="11" t="inlineStr"/>
    </row>
    <row r="347">
      <c r="A347" s="6" t="inlineStr">
        <is>
          <t>2024-02-22</t>
        </is>
      </c>
      <c r="B347" s="16" t="n">
        <v>0.04389811264493488</v>
      </c>
      <c r="C347" s="6" t="inlineStr">
        <is>
          <t>2023-02-09</t>
        </is>
      </c>
      <c r="D347" s="6" t="inlineStr">
        <is>
          <t>2024-02-21</t>
        </is>
      </c>
      <c r="E347" s="6" t="n">
        <v>250</v>
      </c>
      <c r="F347" s="6" t="n">
        <v>204</v>
      </c>
      <c r="G347" s="6" t="n">
        <v>0</v>
      </c>
      <c r="H347" s="10">
        <f>IF(F347&gt;=E347,(E347-0.5)/E347,IF(G347&gt;0,(F347+0.5*G347)/E347,F347/E347))</f>
        <v/>
      </c>
      <c r="I347" s="6" t="inlineStr">
        <is>
          <t>中间分位</t>
        </is>
      </c>
      <c r="J347" s="6" t="inlineStr"/>
    </row>
    <row r="348">
      <c r="A348" s="11" t="inlineStr">
        <is>
          <t>2024-02-23</t>
        </is>
      </c>
      <c r="B348" s="17" t="n">
        <v>0.04849705785274468</v>
      </c>
      <c r="C348" s="11" t="inlineStr">
        <is>
          <t>2023-02-10</t>
        </is>
      </c>
      <c r="D348" s="11" t="inlineStr">
        <is>
          <t>2024-02-22</t>
        </is>
      </c>
      <c r="E348" s="11" t="n">
        <v>250</v>
      </c>
      <c r="F348" s="11" t="n">
        <v>216</v>
      </c>
      <c r="G348" s="11" t="n">
        <v>0</v>
      </c>
      <c r="H348" s="15">
        <f>IF(F348&gt;=E348,(E348-0.5)/E348,IF(G348&gt;0,(F348+0.5*G348)/E348,F348/E348))</f>
        <v/>
      </c>
      <c r="I348" s="11" t="inlineStr">
        <is>
          <t>中间分位</t>
        </is>
      </c>
      <c r="J348" s="11" t="inlineStr"/>
    </row>
    <row r="349">
      <c r="A349" s="6" t="inlineStr">
        <is>
          <t>2024-02-26</t>
        </is>
      </c>
      <c r="B349" s="16" t="n">
        <v>0.05495750708215297</v>
      </c>
      <c r="C349" s="6" t="inlineStr">
        <is>
          <t>2023-02-13</t>
        </is>
      </c>
      <c r="D349" s="6" t="inlineStr">
        <is>
          <t>2024-02-23</t>
        </is>
      </c>
      <c r="E349" s="6" t="n">
        <v>250</v>
      </c>
      <c r="F349" s="6" t="n">
        <v>226</v>
      </c>
      <c r="G349" s="6" t="n">
        <v>0</v>
      </c>
      <c r="H349" s="10">
        <f>IF(F349&gt;=E349,(E349-0.5)/E349,IF(G349&gt;0,(F349+0.5*G349)/E349,F349/E349))</f>
        <v/>
      </c>
      <c r="I349" s="6" t="inlineStr">
        <is>
          <t>高分位</t>
        </is>
      </c>
      <c r="J349" s="6" t="inlineStr"/>
    </row>
    <row r="350">
      <c r="A350" s="11" t="inlineStr">
        <is>
          <t>2024-02-27</t>
        </is>
      </c>
      <c r="B350" s="17" t="n">
        <v>0.05190386537259466</v>
      </c>
      <c r="C350" s="11" t="inlineStr">
        <is>
          <t>2023-02-14</t>
        </is>
      </c>
      <c r="D350" s="11" t="inlineStr">
        <is>
          <t>2024-02-26</t>
        </is>
      </c>
      <c r="E350" s="11" t="n">
        <v>250</v>
      </c>
      <c r="F350" s="11" t="n">
        <v>221</v>
      </c>
      <c r="G350" s="11" t="n">
        <v>0</v>
      </c>
      <c r="H350" s="15">
        <f>IF(F350&gt;=E350,(E350-0.5)/E350,IF(G350&gt;0,(F350+0.5*G350)/E350,F350/E350))</f>
        <v/>
      </c>
      <c r="I350" s="11" t="inlineStr">
        <is>
          <t>中间分位</t>
        </is>
      </c>
      <c r="J350" s="11" t="inlineStr"/>
    </row>
    <row r="351">
      <c r="A351" s="6" t="inlineStr">
        <is>
          <t>2024-02-28</t>
        </is>
      </c>
      <c r="B351" s="16" t="n">
        <v>0.075290939242295</v>
      </c>
      <c r="C351" s="6" t="inlineStr">
        <is>
          <t>2023-02-15</t>
        </is>
      </c>
      <c r="D351" s="6" t="inlineStr">
        <is>
          <t>2024-02-27</t>
        </is>
      </c>
      <c r="E351" s="6" t="n">
        <v>250</v>
      </c>
      <c r="F351" s="6" t="n">
        <v>247</v>
      </c>
      <c r="G351" s="6" t="n">
        <v>0</v>
      </c>
      <c r="H351" s="10">
        <f>IF(F351&gt;=E351,(E351-0.5)/E351,IF(G351&gt;0,(F351+0.5*G351)/E351,F351/E351))</f>
        <v/>
      </c>
      <c r="I351" s="6" t="inlineStr">
        <is>
          <t>高分位</t>
        </is>
      </c>
      <c r="J351" s="6" t="inlineStr"/>
    </row>
    <row r="352">
      <c r="A352" s="11" t="inlineStr">
        <is>
          <t>2024-02-29</t>
        </is>
      </c>
      <c r="B352" s="17" t="n">
        <v>0.0823111461262661</v>
      </c>
      <c r="C352" s="11" t="inlineStr">
        <is>
          <t>2023-02-16</t>
        </is>
      </c>
      <c r="D352" s="11" t="inlineStr">
        <is>
          <t>2024-02-28</t>
        </is>
      </c>
      <c r="E352" s="11" t="n">
        <v>250</v>
      </c>
      <c r="F352" s="11" t="n">
        <v>248</v>
      </c>
      <c r="G352" s="11" t="n">
        <v>0</v>
      </c>
      <c r="H352" s="15">
        <f>IF(F352&gt;=E352,(E352-0.5)/E352,IF(G352&gt;0,(F352+0.5*G352)/E352,F352/E352))</f>
        <v/>
      </c>
      <c r="I352" s="11" t="inlineStr">
        <is>
          <t>高分位</t>
        </is>
      </c>
      <c r="J352" s="11" t="inlineStr"/>
    </row>
    <row r="353">
      <c r="A353" s="6" t="inlineStr">
        <is>
          <t>2024-03-01</t>
        </is>
      </c>
      <c r="B353" s="16" t="n">
        <v>0.07362637362637363</v>
      </c>
      <c r="C353" s="6" t="inlineStr">
        <is>
          <t>2023-02-17</t>
        </is>
      </c>
      <c r="D353" s="6" t="inlineStr">
        <is>
          <t>2024-02-29</t>
        </is>
      </c>
      <c r="E353" s="6" t="n">
        <v>250</v>
      </c>
      <c r="F353" s="6" t="n">
        <v>243</v>
      </c>
      <c r="G353" s="6" t="n">
        <v>0</v>
      </c>
      <c r="H353" s="10">
        <f>IF(F353&gt;=E353,(E353-0.5)/E353,IF(G353&gt;0,(F353+0.5*G353)/E353,F353/E353))</f>
        <v/>
      </c>
      <c r="I353" s="6" t="inlineStr">
        <is>
          <t>高分位</t>
        </is>
      </c>
      <c r="J353" s="6" t="inlineStr"/>
    </row>
    <row r="354">
      <c r="A354" s="11" t="inlineStr">
        <is>
          <t>2024-03-04</t>
        </is>
      </c>
      <c r="B354" s="17" t="n">
        <v>0.08613138686131387</v>
      </c>
      <c r="C354" s="11" t="inlineStr">
        <is>
          <t>2023-02-20</t>
        </is>
      </c>
      <c r="D354" s="11" t="inlineStr">
        <is>
          <t>2024-03-01</t>
        </is>
      </c>
      <c r="E354" s="11" t="n">
        <v>250</v>
      </c>
      <c r="F354" s="11" t="n">
        <v>248</v>
      </c>
      <c r="G354" s="11" t="n">
        <v>0</v>
      </c>
      <c r="H354" s="15">
        <f>IF(F354&gt;=E354,(E354-0.5)/E354,IF(G354&gt;0,(F354+0.5*G354)/E354,F354/E354))</f>
        <v/>
      </c>
      <c r="I354" s="11" t="inlineStr">
        <is>
          <t>高分位</t>
        </is>
      </c>
      <c r="J354" s="11" t="inlineStr"/>
    </row>
    <row r="355">
      <c r="A355" s="6" t="inlineStr">
        <is>
          <t>2024-03-05</t>
        </is>
      </c>
      <c r="B355" s="16" t="n">
        <v>0.08174667271460022</v>
      </c>
      <c r="C355" s="6" t="inlineStr">
        <is>
          <t>2023-02-21</t>
        </is>
      </c>
      <c r="D355" s="6" t="inlineStr">
        <is>
          <t>2024-03-04</t>
        </is>
      </c>
      <c r="E355" s="6" t="n">
        <v>250</v>
      </c>
      <c r="F355" s="6" t="n">
        <v>246</v>
      </c>
      <c r="G355" s="6" t="n">
        <v>0</v>
      </c>
      <c r="H355" s="10">
        <f>IF(F355&gt;=E355,(E355-0.5)/E355,IF(G355&gt;0,(F355+0.5*G355)/E355,F355/E355))</f>
        <v/>
      </c>
      <c r="I355" s="6" t="inlineStr">
        <is>
          <t>高分位</t>
        </is>
      </c>
      <c r="J355" s="6" t="inlineStr"/>
    </row>
    <row r="356">
      <c r="A356" s="11" t="inlineStr">
        <is>
          <t>2024-03-06</t>
        </is>
      </c>
      <c r="B356" s="17" t="n">
        <v>0.06600734859771071</v>
      </c>
      <c r="C356" s="11" t="inlineStr">
        <is>
          <t>2023-02-22</t>
        </is>
      </c>
      <c r="D356" s="11" t="inlineStr">
        <is>
          <t>2024-03-05</t>
        </is>
      </c>
      <c r="E356" s="11" t="n">
        <v>250</v>
      </c>
      <c r="F356" s="11" t="n">
        <v>237</v>
      </c>
      <c r="G356" s="11" t="n">
        <v>0</v>
      </c>
      <c r="H356" s="15">
        <f>IF(F356&gt;=E356,(E356-0.5)/E356,IF(G356&gt;0,(F356+0.5*G356)/E356,F356/E356))</f>
        <v/>
      </c>
      <c r="I356" s="11" t="inlineStr">
        <is>
          <t>高分位</t>
        </is>
      </c>
      <c r="J356" s="11" t="inlineStr"/>
    </row>
    <row r="357">
      <c r="A357" s="6" t="inlineStr">
        <is>
          <t>2024-03-07</t>
        </is>
      </c>
      <c r="B357" s="16" t="n">
        <v>0.07678019260465922</v>
      </c>
      <c r="C357" s="6" t="inlineStr">
        <is>
          <t>2023-02-23</t>
        </is>
      </c>
      <c r="D357" s="6" t="inlineStr">
        <is>
          <t>2024-03-06</t>
        </is>
      </c>
      <c r="E357" s="6" t="n">
        <v>250</v>
      </c>
      <c r="F357" s="6" t="n">
        <v>245</v>
      </c>
      <c r="G357" s="6" t="n">
        <v>0</v>
      </c>
      <c r="H357" s="10">
        <f>IF(F357&gt;=E357,(E357-0.5)/E357,IF(G357&gt;0,(F357+0.5*G357)/E357,F357/E357))</f>
        <v/>
      </c>
      <c r="I357" s="6" t="inlineStr">
        <is>
          <t>高分位</t>
        </is>
      </c>
      <c r="J357" s="6" t="inlineStr"/>
    </row>
    <row r="358">
      <c r="A358" s="11" t="inlineStr">
        <is>
          <t>2024-03-08</t>
        </is>
      </c>
      <c r="B358" s="17" t="n">
        <v>0.07105215605143693</v>
      </c>
      <c r="C358" s="11" t="inlineStr">
        <is>
          <t>2023-02-24</t>
        </is>
      </c>
      <c r="D358" s="11" t="inlineStr">
        <is>
          <t>2024-03-07</t>
        </is>
      </c>
      <c r="E358" s="11" t="n">
        <v>250</v>
      </c>
      <c r="F358" s="11" t="n">
        <v>237</v>
      </c>
      <c r="G358" s="11" t="n">
        <v>0</v>
      </c>
      <c r="H358" s="15">
        <f>IF(F358&gt;=E358,(E358-0.5)/E358,IF(G358&gt;0,(F358+0.5*G358)/E358,F358/E358))</f>
        <v/>
      </c>
      <c r="I358" s="11" t="inlineStr">
        <is>
          <t>高分位</t>
        </is>
      </c>
      <c r="J358" s="11" t="inlineStr"/>
    </row>
    <row r="359">
      <c r="A359" s="6" t="inlineStr">
        <is>
          <t>2024-03-11</t>
        </is>
      </c>
      <c r="B359" s="16" t="n">
        <v>0.06494940202391904</v>
      </c>
      <c r="C359" s="6" t="inlineStr">
        <is>
          <t>2023-02-27</t>
        </is>
      </c>
      <c r="D359" s="6" t="inlineStr">
        <is>
          <t>2024-03-08</t>
        </is>
      </c>
      <c r="E359" s="6" t="n">
        <v>250</v>
      </c>
      <c r="F359" s="6" t="n">
        <v>233</v>
      </c>
      <c r="G359" s="6" t="n">
        <v>0</v>
      </c>
      <c r="H359" s="10">
        <f>IF(F359&gt;=E359,(E359-0.5)/E359,IF(G359&gt;0,(F359+0.5*G359)/E359,F359/E359))</f>
        <v/>
      </c>
      <c r="I359" s="6" t="inlineStr">
        <is>
          <t>高分位</t>
        </is>
      </c>
      <c r="J359" s="6" t="inlineStr"/>
    </row>
    <row r="360">
      <c r="A360" s="11" t="inlineStr">
        <is>
          <t>2024-03-12</t>
        </is>
      </c>
      <c r="B360" s="17" t="n">
        <v>0.09127272727272727</v>
      </c>
      <c r="C360" s="11" t="inlineStr">
        <is>
          <t>2023-02-28</t>
        </is>
      </c>
      <c r="D360" s="11" t="inlineStr">
        <is>
          <t>2024-03-11</t>
        </is>
      </c>
      <c r="E360" s="11" t="n">
        <v>250</v>
      </c>
      <c r="F360" s="11" t="n">
        <v>250</v>
      </c>
      <c r="G360" s="11" t="n">
        <v>0</v>
      </c>
      <c r="H360" s="15">
        <f>IF(F360&gt;=E360,(E360-0.5)/E360,IF(G360&gt;0,(F360+0.5*G360)/E360,F360/E360))</f>
        <v/>
      </c>
      <c r="I360" s="11" t="inlineStr">
        <is>
          <t>高分位</t>
        </is>
      </c>
      <c r="J360" s="11" t="inlineStr"/>
    </row>
    <row r="361">
      <c r="A361" s="6" t="inlineStr">
        <is>
          <t>2024-03-13</t>
        </is>
      </c>
      <c r="B361" s="16" t="n">
        <v>0.07353599810487586</v>
      </c>
      <c r="C361" s="6" t="inlineStr">
        <is>
          <t>2023-03-01</t>
        </is>
      </c>
      <c r="D361" s="6" t="inlineStr">
        <is>
          <t>2024-03-12</t>
        </is>
      </c>
      <c r="E361" s="6" t="n">
        <v>250</v>
      </c>
      <c r="F361" s="6" t="n">
        <v>238</v>
      </c>
      <c r="G361" s="6" t="n">
        <v>0</v>
      </c>
      <c r="H361" s="10">
        <f>IF(F361&gt;=E361,(E361-0.5)/E361,IF(G361&gt;0,(F361+0.5*G361)/E361,F361/E361))</f>
        <v/>
      </c>
      <c r="I361" s="6" t="inlineStr">
        <is>
          <t>高分位</t>
        </is>
      </c>
      <c r="J361" s="6" t="inlineStr"/>
    </row>
    <row r="362">
      <c r="A362" s="11" t="inlineStr">
        <is>
          <t>2024-03-14</t>
        </is>
      </c>
      <c r="B362" s="17" t="n">
        <v>0.06132133088052944</v>
      </c>
      <c r="C362" s="11" t="inlineStr">
        <is>
          <t>2023-03-02</t>
        </is>
      </c>
      <c r="D362" s="11" t="inlineStr">
        <is>
          <t>2024-03-13</t>
        </is>
      </c>
      <c r="E362" s="11" t="n">
        <v>250</v>
      </c>
      <c r="F362" s="11" t="n">
        <v>224</v>
      </c>
      <c r="G362" s="11" t="n">
        <v>0</v>
      </c>
      <c r="H362" s="15">
        <f>IF(F362&gt;=E362,(E362-0.5)/E362,IF(G362&gt;0,(F362+0.5*G362)/E362,F362/E362))</f>
        <v/>
      </c>
      <c r="I362" s="11" t="inlineStr">
        <is>
          <t>中间分位</t>
        </is>
      </c>
      <c r="J362" s="11" t="inlineStr"/>
    </row>
    <row r="363">
      <c r="A363" s="6" t="inlineStr">
        <is>
          <t>2024-03-15</t>
        </is>
      </c>
      <c r="B363" s="16" t="n">
        <v>0.05350553505535055</v>
      </c>
      <c r="C363" s="6" t="inlineStr">
        <is>
          <t>2023-03-03</t>
        </is>
      </c>
      <c r="D363" s="6" t="inlineStr">
        <is>
          <t>2024-03-14</t>
        </is>
      </c>
      <c r="E363" s="6" t="n">
        <v>250</v>
      </c>
      <c r="F363" s="6" t="n">
        <v>214</v>
      </c>
      <c r="G363" s="6" t="n">
        <v>0</v>
      </c>
      <c r="H363" s="10">
        <f>IF(F363&gt;=E363,(E363-0.5)/E363,IF(G363&gt;0,(F363+0.5*G363)/E363,F363/E363))</f>
        <v/>
      </c>
      <c r="I363" s="6" t="inlineStr">
        <is>
          <t>中间分位</t>
        </is>
      </c>
      <c r="J363" s="6" t="inlineStr"/>
    </row>
    <row r="364">
      <c r="A364" s="11" t="inlineStr">
        <is>
          <t>2024-03-18</t>
        </is>
      </c>
      <c r="B364" s="17" t="n">
        <v>0.05646165773220118</v>
      </c>
      <c r="C364" s="11" t="inlineStr">
        <is>
          <t>2023-03-06</t>
        </is>
      </c>
      <c r="D364" s="11" t="inlineStr">
        <is>
          <t>2024-03-15</t>
        </is>
      </c>
      <c r="E364" s="11" t="n">
        <v>250</v>
      </c>
      <c r="F364" s="11" t="n">
        <v>217</v>
      </c>
      <c r="G364" s="11" t="n">
        <v>0</v>
      </c>
      <c r="H364" s="15">
        <f>IF(F364&gt;=E364,(E364-0.5)/E364,IF(G364&gt;0,(F364+0.5*G364)/E364,F364/E364))</f>
        <v/>
      </c>
      <c r="I364" s="11" t="inlineStr">
        <is>
          <t>中间分位</t>
        </is>
      </c>
      <c r="J364" s="11" t="inlineStr"/>
    </row>
    <row r="365">
      <c r="A365" s="6" t="inlineStr">
        <is>
          <t>2024-03-19</t>
        </is>
      </c>
      <c r="B365" s="16" t="n">
        <v>0.04244411789744861</v>
      </c>
      <c r="C365" s="6" t="inlineStr">
        <is>
          <t>2023-03-07</t>
        </is>
      </c>
      <c r="D365" s="6" t="inlineStr">
        <is>
          <t>2024-03-18</t>
        </is>
      </c>
      <c r="E365" s="6" t="n">
        <v>250</v>
      </c>
      <c r="F365" s="6" t="n">
        <v>193</v>
      </c>
      <c r="G365" s="6" t="n">
        <v>0</v>
      </c>
      <c r="H365" s="10">
        <f>IF(F365&gt;=E365,(E365-0.5)/E365,IF(G365&gt;0,(F365+0.5*G365)/E365,F365/E365))</f>
        <v/>
      </c>
      <c r="I365" s="6" t="inlineStr">
        <is>
          <t>中间分位</t>
        </is>
      </c>
      <c r="J365" s="6" t="inlineStr"/>
    </row>
    <row r="366">
      <c r="A366" s="11" t="inlineStr">
        <is>
          <t>2024-03-20</t>
        </is>
      </c>
      <c r="B366" s="17" t="n">
        <v>0.05695894847267557</v>
      </c>
      <c r="C366" s="11" t="inlineStr">
        <is>
          <t>2023-03-08</t>
        </is>
      </c>
      <c r="D366" s="11" t="inlineStr">
        <is>
          <t>2024-03-19</t>
        </is>
      </c>
      <c r="E366" s="11" t="n">
        <v>250</v>
      </c>
      <c r="F366" s="11" t="n">
        <v>217</v>
      </c>
      <c r="G366" s="11" t="n">
        <v>0</v>
      </c>
      <c r="H366" s="15">
        <f>IF(F366&gt;=E366,(E366-0.5)/E366,IF(G366&gt;0,(F366+0.5*G366)/E366,F366/E366))</f>
        <v/>
      </c>
      <c r="I366" s="11" t="inlineStr">
        <is>
          <t>中间分位</t>
        </is>
      </c>
      <c r="J366" s="11" t="inlineStr"/>
    </row>
    <row r="367">
      <c r="A367" s="6" t="inlineStr">
        <is>
          <t>2024-03-21</t>
        </is>
      </c>
      <c r="B367" s="16" t="n">
        <v>0.06217755468488946</v>
      </c>
      <c r="C367" s="6" t="inlineStr">
        <is>
          <t>2023-03-09</t>
        </is>
      </c>
      <c r="D367" s="6" t="inlineStr">
        <is>
          <t>2024-03-20</t>
        </is>
      </c>
      <c r="E367" s="6" t="n">
        <v>250</v>
      </c>
      <c r="F367" s="6" t="n">
        <v>226</v>
      </c>
      <c r="G367" s="6" t="n">
        <v>0</v>
      </c>
      <c r="H367" s="10">
        <f>IF(F367&gt;=E367,(E367-0.5)/E367,IF(G367&gt;0,(F367+0.5*G367)/E367,F367/E367))</f>
        <v/>
      </c>
      <c r="I367" s="6" t="inlineStr">
        <is>
          <t>高分位</t>
        </is>
      </c>
      <c r="J367" s="6" t="inlineStr"/>
    </row>
    <row r="368">
      <c r="A368" s="11" t="inlineStr">
        <is>
          <t>2024-03-22</t>
        </is>
      </c>
      <c r="B368" s="17" t="n">
        <v>0.05317909175189793</v>
      </c>
      <c r="C368" s="11" t="inlineStr">
        <is>
          <t>2023-03-10</t>
        </is>
      </c>
      <c r="D368" s="11" t="inlineStr">
        <is>
          <t>2024-03-21</t>
        </is>
      </c>
      <c r="E368" s="11" t="n">
        <v>250</v>
      </c>
      <c r="F368" s="11" t="n">
        <v>209</v>
      </c>
      <c r="G368" s="11" t="n">
        <v>0</v>
      </c>
      <c r="H368" s="15">
        <f>IF(F368&gt;=E368,(E368-0.5)/E368,IF(G368&gt;0,(F368+0.5*G368)/E368,F368/E368))</f>
        <v/>
      </c>
      <c r="I368" s="11" t="inlineStr">
        <is>
          <t>中间分位</t>
        </is>
      </c>
      <c r="J368" s="11" t="inlineStr"/>
    </row>
    <row r="369">
      <c r="A369" s="6" t="inlineStr">
        <is>
          <t>2024-03-25</t>
        </is>
      </c>
      <c r="B369" s="16" t="n">
        <v>0.05580524344569288</v>
      </c>
      <c r="C369" s="6" t="inlineStr">
        <is>
          <t>2023-03-13</t>
        </is>
      </c>
      <c r="D369" s="6" t="inlineStr">
        <is>
          <t>2024-03-22</t>
        </is>
      </c>
      <c r="E369" s="6" t="n">
        <v>250</v>
      </c>
      <c r="F369" s="6" t="n">
        <v>214</v>
      </c>
      <c r="G369" s="6" t="n">
        <v>0</v>
      </c>
      <c r="H369" s="10">
        <f>IF(F369&gt;=E369,(E369-0.5)/E369,IF(G369&gt;0,(F369+0.5*G369)/E369,F369/E369))</f>
        <v/>
      </c>
      <c r="I369" s="6" t="inlineStr">
        <is>
          <t>中间分位</t>
        </is>
      </c>
      <c r="J369" s="6" t="inlineStr"/>
    </row>
    <row r="370">
      <c r="A370" s="11" t="inlineStr">
        <is>
          <t>2024-03-26</t>
        </is>
      </c>
      <c r="B370" s="17" t="n">
        <v>0.06769974272385074</v>
      </c>
      <c r="C370" s="11" t="inlineStr">
        <is>
          <t>2023-03-14</t>
        </is>
      </c>
      <c r="D370" s="11" t="inlineStr">
        <is>
          <t>2024-03-25</t>
        </is>
      </c>
      <c r="E370" s="11" t="n">
        <v>250</v>
      </c>
      <c r="F370" s="11" t="n">
        <v>233</v>
      </c>
      <c r="G370" s="11" t="n">
        <v>0</v>
      </c>
      <c r="H370" s="15">
        <f>IF(F370&gt;=E370,(E370-0.5)/E370,IF(G370&gt;0,(F370+0.5*G370)/E370,F370/E370))</f>
        <v/>
      </c>
      <c r="I370" s="11" t="inlineStr">
        <is>
          <t>高分位</t>
        </is>
      </c>
      <c r="J370" s="11" t="inlineStr"/>
    </row>
    <row r="371">
      <c r="A371" s="6" t="inlineStr">
        <is>
          <t>2024-03-27</t>
        </is>
      </c>
      <c r="B371" s="16" t="n">
        <v>0.06373743957621403</v>
      </c>
      <c r="C371" s="6" t="inlineStr">
        <is>
          <t>2023-03-15</t>
        </is>
      </c>
      <c r="D371" s="6" t="inlineStr">
        <is>
          <t>2024-03-26</t>
        </is>
      </c>
      <c r="E371" s="6" t="n">
        <v>250</v>
      </c>
      <c r="F371" s="6" t="n">
        <v>227</v>
      </c>
      <c r="G371" s="6" t="n">
        <v>0</v>
      </c>
      <c r="H371" s="10">
        <f>IF(F371&gt;=E371,(E371-0.5)/E371,IF(G371&gt;0,(F371+0.5*G371)/E371,F371/E371))</f>
        <v/>
      </c>
      <c r="I371" s="6" t="inlineStr">
        <is>
          <t>高分位</t>
        </is>
      </c>
      <c r="J371" s="6" t="inlineStr"/>
    </row>
    <row r="372">
      <c r="A372" s="11" t="inlineStr">
        <is>
          <t>2024-03-28</t>
        </is>
      </c>
      <c r="B372" s="17" t="n">
        <v>0.06624643963787656</v>
      </c>
      <c r="C372" s="11" t="inlineStr">
        <is>
          <t>2023-03-16</t>
        </is>
      </c>
      <c r="D372" s="11" t="inlineStr">
        <is>
          <t>2024-03-27</t>
        </is>
      </c>
      <c r="E372" s="11" t="n">
        <v>250</v>
      </c>
      <c r="F372" s="11" t="n">
        <v>232</v>
      </c>
      <c r="G372" s="11" t="n">
        <v>0</v>
      </c>
      <c r="H372" s="15">
        <f>IF(F372&gt;=E372,(E372-0.5)/E372,IF(G372&gt;0,(F372+0.5*G372)/E372,F372/E372))</f>
        <v/>
      </c>
      <c r="I372" s="11" t="inlineStr">
        <is>
          <t>高分位</t>
        </is>
      </c>
      <c r="J372" s="11" t="inlineStr"/>
    </row>
    <row r="373">
      <c r="A373" s="6" t="inlineStr">
        <is>
          <t>2024-03-29</t>
        </is>
      </c>
      <c r="B373" s="16" t="n">
        <v>0.03612778855198523</v>
      </c>
      <c r="C373" s="6" t="inlineStr">
        <is>
          <t>2023-03-17</t>
        </is>
      </c>
      <c r="D373" s="6" t="inlineStr">
        <is>
          <t>2024-03-28</t>
        </is>
      </c>
      <c r="E373" s="6" t="n">
        <v>250</v>
      </c>
      <c r="F373" s="6" t="n">
        <v>170</v>
      </c>
      <c r="G373" s="6" t="n">
        <v>0</v>
      </c>
      <c r="H373" s="10">
        <f>IF(F373&gt;=E373,(E373-0.5)/E373,IF(G373&gt;0,(F373+0.5*G373)/E373,F373/E373))</f>
        <v/>
      </c>
      <c r="I373" s="6" t="inlineStr">
        <is>
          <t>中间分位</t>
        </is>
      </c>
      <c r="J373" s="6" t="inlineStr"/>
    </row>
    <row r="374">
      <c r="A374" s="11" t="inlineStr">
        <is>
          <t>2024-04-01</t>
        </is>
      </c>
      <c r="B374" s="17" t="n">
        <v>0.02673396752437985</v>
      </c>
      <c r="C374" s="11" t="inlineStr">
        <is>
          <t>2023-03-20</t>
        </is>
      </c>
      <c r="D374" s="11" t="inlineStr">
        <is>
          <t>2024-03-29</t>
        </is>
      </c>
      <c r="E374" s="11" t="n">
        <v>250</v>
      </c>
      <c r="F374" s="11" t="n">
        <v>150</v>
      </c>
      <c r="G374" s="11" t="n">
        <v>0</v>
      </c>
      <c r="H374" s="15">
        <f>IF(F374&gt;=E374,(E374-0.5)/E374,IF(G374&gt;0,(F374+0.5*G374)/E374,F374/E374))</f>
        <v/>
      </c>
      <c r="I374" s="11" t="inlineStr">
        <is>
          <t>中间分位</t>
        </is>
      </c>
      <c r="J374" s="11" t="inlineStr"/>
    </row>
    <row r="375">
      <c r="A375" s="6" t="inlineStr">
        <is>
          <t>2024-04-02</t>
        </is>
      </c>
      <c r="B375" s="16" t="n">
        <v>0.03900767345320642</v>
      </c>
      <c r="C375" s="6" t="inlineStr">
        <is>
          <t>2023-03-21</t>
        </is>
      </c>
      <c r="D375" s="6" t="inlineStr">
        <is>
          <t>2024-04-01</t>
        </is>
      </c>
      <c r="E375" s="6" t="n">
        <v>250</v>
      </c>
      <c r="F375" s="6" t="n">
        <v>175</v>
      </c>
      <c r="G375" s="6" t="n">
        <v>0</v>
      </c>
      <c r="H375" s="10">
        <f>IF(F375&gt;=E375,(E375-0.5)/E375,IF(G375&gt;0,(F375+0.5*G375)/E375,F375/E375))</f>
        <v/>
      </c>
      <c r="I375" s="6" t="inlineStr">
        <is>
          <t>中间分位</t>
        </is>
      </c>
      <c r="J375" s="6" t="inlineStr"/>
    </row>
    <row r="376">
      <c r="A376" s="11" t="inlineStr">
        <is>
          <t>2024-04-03</t>
        </is>
      </c>
      <c r="B376" s="17" t="n">
        <v>0.04235769481001244</v>
      </c>
      <c r="C376" s="11" t="inlineStr">
        <is>
          <t>2023-03-22</t>
        </is>
      </c>
      <c r="D376" s="11" t="inlineStr">
        <is>
          <t>2024-04-02</t>
        </is>
      </c>
      <c r="E376" s="11" t="n">
        <v>250</v>
      </c>
      <c r="F376" s="11" t="n">
        <v>187</v>
      </c>
      <c r="G376" s="11" t="n">
        <v>0</v>
      </c>
      <c r="H376" s="15">
        <f>IF(F376&gt;=E376,(E376-0.5)/E376,IF(G376&gt;0,(F376+0.5*G376)/E376,F376/E376))</f>
        <v/>
      </c>
      <c r="I376" s="11" t="inlineStr">
        <is>
          <t>中间分位</t>
        </is>
      </c>
      <c r="J376" s="11" t="inlineStr"/>
    </row>
    <row r="377">
      <c r="A377" s="6" t="inlineStr">
        <is>
          <t>2024-04-08</t>
        </is>
      </c>
      <c r="B377" s="16" t="n">
        <v>0.04695641536338371</v>
      </c>
      <c r="C377" s="6" t="inlineStr">
        <is>
          <t>2023-03-23</t>
        </is>
      </c>
      <c r="D377" s="6" t="inlineStr">
        <is>
          <t>2024-04-03</t>
        </is>
      </c>
      <c r="E377" s="6" t="n">
        <v>250</v>
      </c>
      <c r="F377" s="6" t="n">
        <v>196</v>
      </c>
      <c r="G377" s="6" t="n">
        <v>0</v>
      </c>
      <c r="H377" s="10">
        <f>IF(F377&gt;=E377,(E377-0.5)/E377,IF(G377&gt;0,(F377+0.5*G377)/E377,F377/E377))</f>
        <v/>
      </c>
      <c r="I377" s="6" t="inlineStr">
        <is>
          <t>中间分位</t>
        </is>
      </c>
      <c r="J377" s="6" t="inlineStr"/>
    </row>
    <row r="378">
      <c r="A378" s="11" t="inlineStr">
        <is>
          <t>2024-04-09</t>
        </is>
      </c>
      <c r="B378" s="17" t="n">
        <v>0.03914728682170543</v>
      </c>
      <c r="C378" s="11" t="inlineStr">
        <is>
          <t>2023-03-24</t>
        </is>
      </c>
      <c r="D378" s="11" t="inlineStr">
        <is>
          <t>2024-04-08</t>
        </is>
      </c>
      <c r="E378" s="11" t="n">
        <v>250</v>
      </c>
      <c r="F378" s="11" t="n">
        <v>174</v>
      </c>
      <c r="G378" s="11" t="n">
        <v>0</v>
      </c>
      <c r="H378" s="15">
        <f>IF(F378&gt;=E378,(E378-0.5)/E378,IF(G378&gt;0,(F378+0.5*G378)/E378,F378/E378))</f>
        <v/>
      </c>
      <c r="I378" s="11" t="inlineStr">
        <is>
          <t>中间分位</t>
        </is>
      </c>
      <c r="J378" s="11" t="inlineStr"/>
    </row>
    <row r="379">
      <c r="A379" s="6" t="inlineStr">
        <is>
          <t>2024-04-10</t>
        </is>
      </c>
      <c r="B379" s="16" t="n">
        <v>0.01014600346448899</v>
      </c>
      <c r="C379" s="6" t="inlineStr">
        <is>
          <t>2023-03-27</t>
        </is>
      </c>
      <c r="D379" s="6" t="inlineStr">
        <is>
          <t>2024-04-09</t>
        </is>
      </c>
      <c r="E379" s="6" t="n">
        <v>250</v>
      </c>
      <c r="F379" s="6" t="n">
        <v>99</v>
      </c>
      <c r="G379" s="6" t="n">
        <v>0</v>
      </c>
      <c r="H379" s="10">
        <f>IF(F379&gt;=E379,(E379-0.5)/E379,IF(G379&gt;0,(F379+0.5*G379)/E379,F379/E379))</f>
        <v/>
      </c>
      <c r="I379" s="6" t="inlineStr">
        <is>
          <t>中间分位</t>
        </is>
      </c>
      <c r="J379" s="6" t="inlineStr"/>
    </row>
    <row r="380">
      <c r="A380" s="11" t="inlineStr">
        <is>
          <t>2024-04-11</t>
        </is>
      </c>
      <c r="B380" s="17" t="n">
        <v>0.0403123262315927</v>
      </c>
      <c r="C380" s="11" t="inlineStr">
        <is>
          <t>2023-03-28</t>
        </is>
      </c>
      <c r="D380" s="11" t="inlineStr">
        <is>
          <t>2024-04-10</t>
        </is>
      </c>
      <c r="E380" s="11" t="n">
        <v>250</v>
      </c>
      <c r="F380" s="11" t="n">
        <v>179</v>
      </c>
      <c r="G380" s="11" t="n">
        <v>0</v>
      </c>
      <c r="H380" s="15">
        <f>IF(F380&gt;=E380,(E380-0.5)/E380,IF(G380&gt;0,(F380+0.5*G380)/E380,F380/E380))</f>
        <v/>
      </c>
      <c r="I380" s="11" t="inlineStr">
        <is>
          <t>中间分位</t>
        </is>
      </c>
      <c r="J380" s="11" t="inlineStr"/>
    </row>
    <row r="381">
      <c r="A381" s="6" t="inlineStr">
        <is>
          <t>2024-04-12</t>
        </is>
      </c>
      <c r="B381" s="16" t="n">
        <v>0.04031007751937984</v>
      </c>
      <c r="C381" s="6" t="inlineStr">
        <is>
          <t>2023-03-29</t>
        </is>
      </c>
      <c r="D381" s="6" t="inlineStr">
        <is>
          <t>2024-04-11</t>
        </is>
      </c>
      <c r="E381" s="6" t="n">
        <v>250</v>
      </c>
      <c r="F381" s="6" t="n">
        <v>179</v>
      </c>
      <c r="G381" s="6" t="n">
        <v>0</v>
      </c>
      <c r="H381" s="10">
        <f>IF(F381&gt;=E381,(E381-0.5)/E381,IF(G381&gt;0,(F381+0.5*G381)/E381,F381/E381))</f>
        <v/>
      </c>
      <c r="I381" s="6" t="inlineStr">
        <is>
          <t>中间分位</t>
        </is>
      </c>
      <c r="J381" s="6" t="inlineStr"/>
    </row>
    <row r="382">
      <c r="A382" s="11" t="inlineStr">
        <is>
          <t>2024-04-15</t>
        </is>
      </c>
      <c r="B382" s="17" t="n">
        <v>0.02286821705426357</v>
      </c>
      <c r="C382" s="11" t="inlineStr">
        <is>
          <t>2023-03-30</t>
        </is>
      </c>
      <c r="D382" s="11" t="inlineStr">
        <is>
          <t>2024-04-12</t>
        </is>
      </c>
      <c r="E382" s="11" t="n">
        <v>250</v>
      </c>
      <c r="F382" s="11" t="n">
        <v>142</v>
      </c>
      <c r="G382" s="11" t="n">
        <v>0</v>
      </c>
      <c r="H382" s="15">
        <f>IF(F382&gt;=E382,(E382-0.5)/E382,IF(G382&gt;0,(F382+0.5*G382)/E382,F382/E382))</f>
        <v/>
      </c>
      <c r="I382" s="11" t="inlineStr">
        <is>
          <t>中间分位</t>
        </is>
      </c>
      <c r="J382" s="11" t="inlineStr"/>
    </row>
    <row r="383">
      <c r="A383" s="6" t="inlineStr">
        <is>
          <t>2024-04-16</t>
        </is>
      </c>
      <c r="B383" s="16" t="n">
        <v>0.05020352781546812</v>
      </c>
      <c r="C383" s="6" t="inlineStr">
        <is>
          <t>2023-03-31</t>
        </is>
      </c>
      <c r="D383" s="6" t="inlineStr">
        <is>
          <t>2024-04-15</t>
        </is>
      </c>
      <c r="E383" s="6" t="n">
        <v>250</v>
      </c>
      <c r="F383" s="6" t="n">
        <v>202</v>
      </c>
      <c r="G383" s="6" t="n">
        <v>0</v>
      </c>
      <c r="H383" s="10">
        <f>IF(F383&gt;=E383,(E383-0.5)/E383,IF(G383&gt;0,(F383+0.5*G383)/E383,F383/E383))</f>
        <v/>
      </c>
      <c r="I383" s="6" t="inlineStr">
        <is>
          <t>中间分位</t>
        </is>
      </c>
      <c r="J383" s="6" t="inlineStr"/>
    </row>
    <row r="384">
      <c r="A384" s="11" t="inlineStr">
        <is>
          <t>2024-04-17</t>
        </is>
      </c>
      <c r="B384" s="17" t="n">
        <v>0.0428030303030303</v>
      </c>
      <c r="C384" s="11" t="inlineStr">
        <is>
          <t>2023-04-03</t>
        </is>
      </c>
      <c r="D384" s="11" t="inlineStr">
        <is>
          <t>2024-04-16</t>
        </is>
      </c>
      <c r="E384" s="11" t="n">
        <v>250</v>
      </c>
      <c r="F384" s="11" t="n">
        <v>186</v>
      </c>
      <c r="G384" s="11" t="n">
        <v>0</v>
      </c>
      <c r="H384" s="15">
        <f>IF(F384&gt;=E384,(E384-0.5)/E384,IF(G384&gt;0,(F384+0.5*G384)/E384,F384/E384))</f>
        <v/>
      </c>
      <c r="I384" s="11" t="inlineStr">
        <is>
          <t>中间分位</t>
        </is>
      </c>
      <c r="J384" s="11" t="inlineStr"/>
    </row>
    <row r="385">
      <c r="A385" s="6" t="inlineStr">
        <is>
          <t>2024-04-18</t>
        </is>
      </c>
      <c r="B385" s="16" t="n">
        <v>0.03834586466165413</v>
      </c>
      <c r="C385" s="6" t="inlineStr">
        <is>
          <t>2023-04-04</t>
        </is>
      </c>
      <c r="D385" s="6" t="inlineStr">
        <is>
          <t>2024-04-17</t>
        </is>
      </c>
      <c r="E385" s="6" t="n">
        <v>250</v>
      </c>
      <c r="F385" s="6" t="n">
        <v>170</v>
      </c>
      <c r="G385" s="6" t="n">
        <v>0</v>
      </c>
      <c r="H385" s="10">
        <f>IF(F385&gt;=E385,(E385-0.5)/E385,IF(G385&gt;0,(F385+0.5*G385)/E385,F385/E385))</f>
        <v/>
      </c>
      <c r="I385" s="6" t="inlineStr">
        <is>
          <t>中间分位</t>
        </is>
      </c>
      <c r="J385" s="6" t="inlineStr"/>
    </row>
    <row r="386">
      <c r="A386" s="11" t="inlineStr">
        <is>
          <t>2024-04-19</t>
        </is>
      </c>
      <c r="B386" s="17" t="n">
        <v>0.0418587716919236</v>
      </c>
      <c r="C386" s="11" t="inlineStr">
        <is>
          <t>2023-04-06</t>
        </is>
      </c>
      <c r="D386" s="11" t="inlineStr">
        <is>
          <t>2024-04-18</t>
        </is>
      </c>
      <c r="E386" s="11" t="n">
        <v>250</v>
      </c>
      <c r="F386" s="11" t="n">
        <v>183</v>
      </c>
      <c r="G386" s="11" t="n">
        <v>0</v>
      </c>
      <c r="H386" s="15">
        <f>IF(F386&gt;=E386,(E386-0.5)/E386,IF(G386&gt;0,(F386+0.5*G386)/E386,F386/E386))</f>
        <v/>
      </c>
      <c r="I386" s="11" t="inlineStr">
        <is>
          <t>中间分位</t>
        </is>
      </c>
      <c r="J386" s="11" t="inlineStr"/>
    </row>
    <row r="387">
      <c r="A387" s="6" t="inlineStr">
        <is>
          <t>2024-04-22</t>
        </is>
      </c>
      <c r="B387" s="16" t="n">
        <v>0.05724699907493744</v>
      </c>
      <c r="C387" s="6" t="inlineStr">
        <is>
          <t>2023-04-07</t>
        </is>
      </c>
      <c r="D387" s="6" t="inlineStr">
        <is>
          <t>2024-04-19</t>
        </is>
      </c>
      <c r="E387" s="6" t="n">
        <v>250</v>
      </c>
      <c r="F387" s="6" t="n">
        <v>214</v>
      </c>
      <c r="G387" s="6" t="n">
        <v>0</v>
      </c>
      <c r="H387" s="10">
        <f>IF(F387&gt;=E387,(E387-0.5)/E387,IF(G387&gt;0,(F387+0.5*G387)/E387,F387/E387))</f>
        <v/>
      </c>
      <c r="I387" s="6" t="inlineStr">
        <is>
          <t>中间分位</t>
        </is>
      </c>
      <c r="J387" s="6" t="inlineStr"/>
    </row>
    <row r="388">
      <c r="A388" s="11" t="inlineStr">
        <is>
          <t>2024-04-23</t>
        </is>
      </c>
      <c r="B388" s="17" t="n">
        <v>0.07726183155793993</v>
      </c>
      <c r="C388" s="11" t="inlineStr">
        <is>
          <t>2023-04-10</t>
        </is>
      </c>
      <c r="D388" s="11" t="inlineStr">
        <is>
          <t>2024-04-22</t>
        </is>
      </c>
      <c r="E388" s="11" t="n">
        <v>250</v>
      </c>
      <c r="F388" s="11" t="n">
        <v>244</v>
      </c>
      <c r="G388" s="11" t="n">
        <v>0</v>
      </c>
      <c r="H388" s="15">
        <f>IF(F388&gt;=E388,(E388-0.5)/E388,IF(G388&gt;0,(F388+0.5*G388)/E388,F388/E388))</f>
        <v/>
      </c>
      <c r="I388" s="11" t="inlineStr">
        <is>
          <t>高分位</t>
        </is>
      </c>
      <c r="J388" s="11" t="inlineStr"/>
    </row>
    <row r="389">
      <c r="A389" s="6" t="inlineStr">
        <is>
          <t>2024-04-24</t>
        </is>
      </c>
      <c r="B389" s="16" t="n">
        <v>0.07000000000000001</v>
      </c>
      <c r="C389" s="6" t="inlineStr">
        <is>
          <t>2023-04-11</t>
        </is>
      </c>
      <c r="D389" s="6" t="inlineStr">
        <is>
          <t>2024-04-23</t>
        </is>
      </c>
      <c r="E389" s="6" t="n">
        <v>250</v>
      </c>
      <c r="F389" s="6" t="n">
        <v>233</v>
      </c>
      <c r="G389" s="6" t="n">
        <v>0</v>
      </c>
      <c r="H389" s="10">
        <f>IF(F389&gt;=E389,(E389-0.5)/E389,IF(G389&gt;0,(F389+0.5*G389)/E389,F389/E389))</f>
        <v/>
      </c>
      <c r="I389" s="6" t="inlineStr">
        <is>
          <t>高分位</t>
        </is>
      </c>
      <c r="J389" s="6" t="inlineStr"/>
    </row>
    <row r="390">
      <c r="A390" s="11" t="inlineStr">
        <is>
          <t>2024-04-25</t>
        </is>
      </c>
      <c r="B390" s="17" t="n">
        <v>0.05886792452830188</v>
      </c>
      <c r="C390" s="11" t="inlineStr">
        <is>
          <t>2023-04-12</t>
        </is>
      </c>
      <c r="D390" s="11" t="inlineStr">
        <is>
          <t>2024-04-24</t>
        </is>
      </c>
      <c r="E390" s="11" t="n">
        <v>250</v>
      </c>
      <c r="F390" s="11" t="n">
        <v>214</v>
      </c>
      <c r="G390" s="11" t="n">
        <v>0</v>
      </c>
      <c r="H390" s="15">
        <f>IF(F390&gt;=E390,(E390-0.5)/E390,IF(G390&gt;0,(F390+0.5*G390)/E390,F390/E390))</f>
        <v/>
      </c>
      <c r="I390" s="11" t="inlineStr">
        <is>
          <t>中间分位</t>
        </is>
      </c>
      <c r="J390" s="11" t="inlineStr"/>
    </row>
    <row r="391">
      <c r="A391" s="6" t="inlineStr">
        <is>
          <t>2024-04-26</t>
        </is>
      </c>
      <c r="B391" s="16" t="n">
        <v>0.03931201108869038</v>
      </c>
      <c r="C391" s="6" t="inlineStr">
        <is>
          <t>2023-04-13</t>
        </is>
      </c>
      <c r="D391" s="6" t="inlineStr">
        <is>
          <t>2024-04-25</t>
        </is>
      </c>
      <c r="E391" s="6" t="n">
        <v>250</v>
      </c>
      <c r="F391" s="6" t="n">
        <v>168</v>
      </c>
      <c r="G391" s="6" t="n">
        <v>0</v>
      </c>
      <c r="H391" s="10">
        <f>IF(F391&gt;=E391,(E391-0.5)/E391,IF(G391&gt;0,(F391+0.5*G391)/E391,F391/E391))</f>
        <v/>
      </c>
      <c r="I391" s="6" t="inlineStr">
        <is>
          <t>中间分位</t>
        </is>
      </c>
      <c r="J391" s="6" t="inlineStr"/>
    </row>
    <row r="392">
      <c r="A392" s="11" t="inlineStr">
        <is>
          <t>2024-04-29</t>
        </is>
      </c>
      <c r="B392" s="17" t="n">
        <v>0.03285849952516619</v>
      </c>
      <c r="C392" s="11" t="inlineStr">
        <is>
          <t>2023-04-14</t>
        </is>
      </c>
      <c r="D392" s="11" t="inlineStr">
        <is>
          <t>2024-04-26</t>
        </is>
      </c>
      <c r="E392" s="11" t="n">
        <v>250</v>
      </c>
      <c r="F392" s="11" t="n">
        <v>153</v>
      </c>
      <c r="G392" s="11" t="n">
        <v>0</v>
      </c>
      <c r="H392" s="15">
        <f>IF(F392&gt;=E392,(E392-0.5)/E392,IF(G392&gt;0,(F392+0.5*G392)/E392,F392/E392))</f>
        <v/>
      </c>
      <c r="I392" s="11" t="inlineStr">
        <is>
          <t>中间分位</t>
        </is>
      </c>
      <c r="J392" s="11" t="inlineStr"/>
    </row>
    <row r="393">
      <c r="A393" s="6" t="inlineStr">
        <is>
          <t>2024-04-30</t>
        </is>
      </c>
      <c r="B393" s="16" t="n">
        <v>0.03441455248247564</v>
      </c>
      <c r="C393" s="6" t="inlineStr">
        <is>
          <t>2023-04-17</t>
        </is>
      </c>
      <c r="D393" s="6" t="inlineStr">
        <is>
          <t>2024-04-29</t>
        </is>
      </c>
      <c r="E393" s="6" t="n">
        <v>250</v>
      </c>
      <c r="F393" s="6" t="n">
        <v>157</v>
      </c>
      <c r="G393" s="6" t="n">
        <v>0</v>
      </c>
      <c r="H393" s="10">
        <f>IF(F393&gt;=E393,(E393-0.5)/E393,IF(G393&gt;0,(F393+0.5*G393)/E393,F393/E393))</f>
        <v/>
      </c>
      <c r="I393" s="6" t="inlineStr">
        <is>
          <t>中间分位</t>
        </is>
      </c>
      <c r="J393" s="6" t="inlineStr"/>
    </row>
    <row r="394">
      <c r="A394" s="11" t="inlineStr">
        <is>
          <t>2024-05-06</t>
        </is>
      </c>
      <c r="B394" s="17" t="n">
        <v>0.04098172095321062</v>
      </c>
      <c r="C394" s="11" t="inlineStr">
        <is>
          <t>2023-04-18</t>
        </is>
      </c>
      <c r="D394" s="11" t="inlineStr">
        <is>
          <t>2024-04-30</t>
        </is>
      </c>
      <c r="E394" s="11" t="n">
        <v>250</v>
      </c>
      <c r="F394" s="11" t="n">
        <v>175</v>
      </c>
      <c r="G394" s="11" t="n">
        <v>0</v>
      </c>
      <c r="H394" s="15">
        <f>IF(F394&gt;=E394,(E394-0.5)/E394,IF(G394&gt;0,(F394+0.5*G394)/E394,F394/E394))</f>
        <v/>
      </c>
      <c r="I394" s="11" t="inlineStr">
        <is>
          <t>中间分位</t>
        </is>
      </c>
      <c r="J394" s="11" t="inlineStr"/>
    </row>
    <row r="395">
      <c r="A395" s="6" t="inlineStr">
        <is>
          <t>2024-05-07</t>
        </is>
      </c>
      <c r="B395" s="16" t="n">
        <v>0.02611321670972711</v>
      </c>
      <c r="C395" s="6" t="inlineStr">
        <is>
          <t>2023-04-19</t>
        </is>
      </c>
      <c r="D395" s="6" t="inlineStr">
        <is>
          <t>2024-05-06</t>
        </is>
      </c>
      <c r="E395" s="6" t="n">
        <v>250</v>
      </c>
      <c r="F395" s="6" t="n">
        <v>142</v>
      </c>
      <c r="G395" s="6" t="n">
        <v>0</v>
      </c>
      <c r="H395" s="10">
        <f>IF(F395&gt;=E395,(E395-0.5)/E395,IF(G395&gt;0,(F395+0.5*G395)/E395,F395/E395))</f>
        <v/>
      </c>
      <c r="I395" s="6" t="inlineStr">
        <is>
          <t>中间分位</t>
        </is>
      </c>
      <c r="J395" s="6" t="inlineStr"/>
    </row>
    <row r="396">
      <c r="A396" s="11" t="inlineStr">
        <is>
          <t>2024-05-08</t>
        </is>
      </c>
      <c r="B396" s="17" t="n">
        <v>0.04465290806754221</v>
      </c>
      <c r="C396" s="11" t="inlineStr">
        <is>
          <t>2023-04-20</t>
        </is>
      </c>
      <c r="D396" s="11" t="inlineStr">
        <is>
          <t>2024-05-07</t>
        </is>
      </c>
      <c r="E396" s="11" t="n">
        <v>250</v>
      </c>
      <c r="F396" s="11" t="n">
        <v>185</v>
      </c>
      <c r="G396" s="11" t="n">
        <v>0</v>
      </c>
      <c r="H396" s="15">
        <f>IF(F396&gt;=E396,(E396-0.5)/E396,IF(G396&gt;0,(F396+0.5*G396)/E396,F396/E396))</f>
        <v/>
      </c>
      <c r="I396" s="11" t="inlineStr">
        <is>
          <t>中间分位</t>
        </is>
      </c>
      <c r="J396" s="11" t="inlineStr"/>
    </row>
    <row r="397">
      <c r="A397" s="6" t="inlineStr">
        <is>
          <t>2024-05-09</t>
        </is>
      </c>
      <c r="B397" s="16" t="n">
        <v>0.03397295576394881</v>
      </c>
      <c r="C397" s="6" t="inlineStr">
        <is>
          <t>2023-04-21</t>
        </is>
      </c>
      <c r="D397" s="6" t="inlineStr">
        <is>
          <t>2024-05-08</t>
        </is>
      </c>
      <c r="E397" s="6" t="n">
        <v>250</v>
      </c>
      <c r="F397" s="6" t="n">
        <v>155</v>
      </c>
      <c r="G397" s="6" t="n">
        <v>0</v>
      </c>
      <c r="H397" s="10">
        <f>IF(F397&gt;=E397,(E397-0.5)/E397,IF(G397&gt;0,(F397+0.5*G397)/E397,F397/E397))</f>
        <v/>
      </c>
      <c r="I397" s="6" t="inlineStr">
        <is>
          <t>中间分位</t>
        </is>
      </c>
      <c r="J397" s="6" t="inlineStr"/>
    </row>
    <row r="398">
      <c r="A398" s="11" t="inlineStr">
        <is>
          <t>2024-05-10</t>
        </is>
      </c>
      <c r="B398" s="17" t="n">
        <v>0.04419475655430712</v>
      </c>
      <c r="C398" s="11" t="inlineStr">
        <is>
          <t>2023-04-24</t>
        </is>
      </c>
      <c r="D398" s="11" t="inlineStr">
        <is>
          <t>2024-05-09</t>
        </is>
      </c>
      <c r="E398" s="11" t="n">
        <v>250</v>
      </c>
      <c r="F398" s="11" t="n">
        <v>184</v>
      </c>
      <c r="G398" s="11" t="n">
        <v>0</v>
      </c>
      <c r="H398" s="15">
        <f>IF(F398&gt;=E398,(E398-0.5)/E398,IF(G398&gt;0,(F398+0.5*G398)/E398,F398/E398))</f>
        <v/>
      </c>
      <c r="I398" s="11" t="inlineStr">
        <is>
          <t>中间分位</t>
        </is>
      </c>
      <c r="J398" s="11" t="inlineStr"/>
    </row>
    <row r="399">
      <c r="A399" s="6" t="inlineStr">
        <is>
          <t>2024-05-13</t>
        </is>
      </c>
      <c r="B399" s="16" t="n">
        <v>0.03098536977911235</v>
      </c>
      <c r="C399" s="6" t="inlineStr">
        <is>
          <t>2023-04-26</t>
        </is>
      </c>
      <c r="D399" s="6" t="inlineStr">
        <is>
          <t>2024-05-10</t>
        </is>
      </c>
      <c r="E399" s="6" t="n">
        <v>250</v>
      </c>
      <c r="F399" s="6" t="n">
        <v>150</v>
      </c>
      <c r="G399" s="6" t="n">
        <v>0</v>
      </c>
      <c r="H399" s="10">
        <f>IF(F399&gt;=E399,(E399-0.5)/E399,IF(G399&gt;0,(F399+0.5*G399)/E399,F399/E399))</f>
        <v/>
      </c>
      <c r="I399" s="6" t="inlineStr">
        <is>
          <t>中间分位</t>
        </is>
      </c>
      <c r="J399" s="6" t="inlineStr"/>
    </row>
    <row r="400">
      <c r="A400" s="11" t="inlineStr">
        <is>
          <t>2024-05-14</t>
        </is>
      </c>
      <c r="B400" s="17" t="n">
        <v>0.04555555555555556</v>
      </c>
      <c r="C400" s="11" t="inlineStr">
        <is>
          <t>2023-04-27</t>
        </is>
      </c>
      <c r="D400" s="11" t="inlineStr">
        <is>
          <t>2024-05-13</t>
        </is>
      </c>
      <c r="E400" s="11" t="n">
        <v>250</v>
      </c>
      <c r="F400" s="11" t="n">
        <v>188</v>
      </c>
      <c r="G400" s="11" t="n">
        <v>0</v>
      </c>
      <c r="H400" s="15">
        <f>IF(F400&gt;=E400,(E400-0.5)/E400,IF(G400&gt;0,(F400+0.5*G400)/E400,F400/E400))</f>
        <v/>
      </c>
      <c r="I400" s="11" t="inlineStr">
        <is>
          <t>中间分位</t>
        </is>
      </c>
      <c r="J400" s="11" t="inlineStr"/>
    </row>
    <row r="401">
      <c r="A401" s="6" t="inlineStr">
        <is>
          <t>2024-05-15</t>
        </is>
      </c>
      <c r="B401" s="16" t="n">
        <v>0.07673215247292424</v>
      </c>
      <c r="C401" s="6" t="inlineStr">
        <is>
          <t>2023-04-28</t>
        </is>
      </c>
      <c r="D401" s="6" t="inlineStr">
        <is>
          <t>2024-05-14</t>
        </is>
      </c>
      <c r="E401" s="6" t="n">
        <v>250</v>
      </c>
      <c r="F401" s="6" t="n">
        <v>242</v>
      </c>
      <c r="G401" s="6" t="n">
        <v>0</v>
      </c>
      <c r="H401" s="10">
        <f>IF(F401&gt;=E401,(E401-0.5)/E401,IF(G401&gt;0,(F401+0.5*G401)/E401,F401/E401))</f>
        <v/>
      </c>
      <c r="I401" s="6" t="inlineStr">
        <is>
          <t>高分位</t>
        </is>
      </c>
      <c r="J401" s="6" t="inlineStr"/>
    </row>
    <row r="402">
      <c r="A402" s="11" t="inlineStr">
        <is>
          <t>2024-05-16</t>
        </is>
      </c>
      <c r="B402" s="17" t="n">
        <v>0.07860822464139616</v>
      </c>
      <c r="C402" s="11" t="inlineStr">
        <is>
          <t>2023-05-04</t>
        </is>
      </c>
      <c r="D402" s="11" t="inlineStr">
        <is>
          <t>2024-05-15</t>
        </is>
      </c>
      <c r="E402" s="11" t="n">
        <v>250</v>
      </c>
      <c r="F402" s="11" t="n">
        <v>244</v>
      </c>
      <c r="G402" s="11" t="n">
        <v>0</v>
      </c>
      <c r="H402" s="15">
        <f>IF(F402&gt;=E402,(E402-0.5)/E402,IF(G402&gt;0,(F402+0.5*G402)/E402,F402/E402))</f>
        <v/>
      </c>
      <c r="I402" s="11" t="inlineStr">
        <is>
          <t>高分位</t>
        </is>
      </c>
      <c r="J402" s="11" t="inlineStr"/>
    </row>
    <row r="403">
      <c r="A403" s="6" t="inlineStr">
        <is>
          <t>2024-05-17</t>
        </is>
      </c>
      <c r="B403" s="16" t="n">
        <v>0.07302988300275472</v>
      </c>
      <c r="C403" s="6" t="inlineStr">
        <is>
          <t>2023-05-05</t>
        </is>
      </c>
      <c r="D403" s="6" t="inlineStr">
        <is>
          <t>2024-05-16</t>
        </is>
      </c>
      <c r="E403" s="6" t="n">
        <v>250</v>
      </c>
      <c r="F403" s="6" t="n">
        <v>234</v>
      </c>
      <c r="G403" s="6" t="n">
        <v>0</v>
      </c>
      <c r="H403" s="10">
        <f>IF(F403&gt;=E403,(E403-0.5)/E403,IF(G403&gt;0,(F403+0.5*G403)/E403,F403/E403))</f>
        <v/>
      </c>
      <c r="I403" s="6" t="inlineStr">
        <is>
          <t>高分位</t>
        </is>
      </c>
      <c r="J403" s="6" t="inlineStr"/>
    </row>
    <row r="404">
      <c r="A404" s="11" t="inlineStr">
        <is>
          <t>2024-05-20</t>
        </is>
      </c>
      <c r="B404" s="17" t="n">
        <v>0.09796737919568757</v>
      </c>
      <c r="C404" s="11" t="inlineStr">
        <is>
          <t>2023-05-08</t>
        </is>
      </c>
      <c r="D404" s="11" t="inlineStr">
        <is>
          <t>2024-05-17</t>
        </is>
      </c>
      <c r="E404" s="11" t="n">
        <v>250</v>
      </c>
      <c r="F404" s="11" t="n">
        <v>250</v>
      </c>
      <c r="G404" s="11" t="n">
        <v>0</v>
      </c>
      <c r="H404" s="15">
        <f>IF(F404&gt;=E404,(E404-0.5)/E404,IF(G404&gt;0,(F404+0.5*G404)/E404,F404/E404))</f>
        <v/>
      </c>
      <c r="I404" s="11" t="inlineStr">
        <is>
          <t>高分位</t>
        </is>
      </c>
      <c r="J404" s="11" t="inlineStr"/>
    </row>
    <row r="405">
      <c r="A405" s="6" t="inlineStr">
        <is>
          <t>2024-05-21</t>
        </is>
      </c>
      <c r="B405" s="16" t="n">
        <v>0.128476821192053</v>
      </c>
      <c r="C405" s="6" t="inlineStr">
        <is>
          <t>2023-05-09</t>
        </is>
      </c>
      <c r="D405" s="6" t="inlineStr">
        <is>
          <t>2024-05-20</t>
        </is>
      </c>
      <c r="E405" s="6" t="n">
        <v>250</v>
      </c>
      <c r="F405" s="6" t="n">
        <v>250</v>
      </c>
      <c r="G405" s="6" t="n">
        <v>0</v>
      </c>
      <c r="H405" s="10">
        <f>IF(F405&gt;=E405,(E405-0.5)/E405,IF(G405&gt;0,(F405+0.5*G405)/E405,F405/E405))</f>
        <v/>
      </c>
      <c r="I405" s="6" t="inlineStr">
        <is>
          <t>高分位</t>
        </is>
      </c>
      <c r="J405" s="6" t="inlineStr"/>
    </row>
    <row r="406">
      <c r="A406" s="11" t="inlineStr">
        <is>
          <t>2024-05-22</t>
        </is>
      </c>
      <c r="B406" s="17" t="n">
        <v>0.1091525423728814</v>
      </c>
      <c r="C406" s="11" t="inlineStr">
        <is>
          <t>2023-05-10</t>
        </is>
      </c>
      <c r="D406" s="11" t="inlineStr">
        <is>
          <t>2024-05-21</t>
        </is>
      </c>
      <c r="E406" s="11" t="n">
        <v>250</v>
      </c>
      <c r="F406" s="11" t="n">
        <v>249</v>
      </c>
      <c r="G406" s="11" t="n">
        <v>0</v>
      </c>
      <c r="H406" s="15">
        <f>IF(F406&gt;=E406,(E406-0.5)/E406,IF(G406&gt;0,(F406+0.5*G406)/E406,F406/E406))</f>
        <v/>
      </c>
      <c r="I406" s="11" t="inlineStr">
        <is>
          <t>高分位</t>
        </is>
      </c>
      <c r="J406" s="11" t="inlineStr"/>
    </row>
    <row r="407">
      <c r="A407" s="6" t="inlineStr">
        <is>
          <t>2024-05-23</t>
        </is>
      </c>
      <c r="B407" s="16" t="n">
        <v>0.07848360582856451</v>
      </c>
      <c r="C407" s="6" t="inlineStr">
        <is>
          <t>2023-05-11</t>
        </is>
      </c>
      <c r="D407" s="6" t="inlineStr">
        <is>
          <t>2024-05-22</t>
        </is>
      </c>
      <c r="E407" s="6" t="n">
        <v>250</v>
      </c>
      <c r="F407" s="6" t="n">
        <v>240</v>
      </c>
      <c r="G407" s="6" t="n">
        <v>0</v>
      </c>
      <c r="H407" s="10">
        <f>IF(F407&gt;=E407,(E407-0.5)/E407,IF(G407&gt;0,(F407+0.5*G407)/E407,F407/E407))</f>
        <v/>
      </c>
      <c r="I407" s="6" t="inlineStr">
        <is>
          <t>高分位</t>
        </is>
      </c>
      <c r="J407" s="6" t="inlineStr"/>
    </row>
    <row r="408">
      <c r="A408" s="11" t="inlineStr">
        <is>
          <t>2024-05-24</t>
        </is>
      </c>
      <c r="B408" s="17" t="n">
        <v>0.05740067359598018</v>
      </c>
      <c r="C408" s="11" t="inlineStr">
        <is>
          <t>2023-05-12</t>
        </is>
      </c>
      <c r="D408" s="11" t="inlineStr">
        <is>
          <t>2024-05-23</t>
        </is>
      </c>
      <c r="E408" s="11" t="n">
        <v>250</v>
      </c>
      <c r="F408" s="11" t="n">
        <v>209</v>
      </c>
      <c r="G408" s="11" t="n">
        <v>0</v>
      </c>
      <c r="H408" s="15">
        <f>IF(F408&gt;=E408,(E408-0.5)/E408,IF(G408&gt;0,(F408+0.5*G408)/E408,F408/E408))</f>
        <v/>
      </c>
      <c r="I408" s="11" t="inlineStr">
        <is>
          <t>中间分位</t>
        </is>
      </c>
      <c r="J408" s="11" t="inlineStr"/>
    </row>
    <row r="409">
      <c r="A409" s="6" t="inlineStr">
        <is>
          <t>2024-05-27</t>
        </is>
      </c>
      <c r="B409" s="16" t="n">
        <v>0.04763636363636364</v>
      </c>
      <c r="C409" s="6" t="inlineStr">
        <is>
          <t>2023-05-15</t>
        </is>
      </c>
      <c r="D409" s="6" t="inlineStr">
        <is>
          <t>2024-05-24</t>
        </is>
      </c>
      <c r="E409" s="6" t="n">
        <v>250</v>
      </c>
      <c r="F409" s="6" t="n">
        <v>193</v>
      </c>
      <c r="G409" s="6" t="n">
        <v>0</v>
      </c>
      <c r="H409" s="10">
        <f>IF(F409&gt;=E409,(E409-0.5)/E409,IF(G409&gt;0,(F409+0.5*G409)/E409,F409/E409))</f>
        <v/>
      </c>
      <c r="I409" s="6" t="inlineStr">
        <is>
          <t>中间分位</t>
        </is>
      </c>
      <c r="J409" s="6" t="inlineStr"/>
    </row>
    <row r="410">
      <c r="A410" s="11" t="inlineStr">
        <is>
          <t>2024-05-28</t>
        </is>
      </c>
      <c r="B410" s="17" t="n">
        <v>0.05479585539351026</v>
      </c>
      <c r="C410" s="11" t="inlineStr">
        <is>
          <t>2023-05-16</t>
        </is>
      </c>
      <c r="D410" s="11" t="inlineStr">
        <is>
          <t>2024-05-27</t>
        </is>
      </c>
      <c r="E410" s="11" t="n">
        <v>250</v>
      </c>
      <c r="F410" s="11" t="n">
        <v>203</v>
      </c>
      <c r="G410" s="11" t="n">
        <v>0</v>
      </c>
      <c r="H410" s="15">
        <f>IF(F410&gt;=E410,(E410-0.5)/E410,IF(G410&gt;0,(F410+0.5*G410)/E410,F410/E410))</f>
        <v/>
      </c>
      <c r="I410" s="11" t="inlineStr">
        <is>
          <t>中间分位</t>
        </is>
      </c>
      <c r="J410" s="11" t="inlineStr"/>
    </row>
    <row r="411">
      <c r="A411" s="6" t="inlineStr">
        <is>
          <t>2024-05-29</t>
        </is>
      </c>
      <c r="B411" s="16" t="n">
        <v>0.06054391822974264</v>
      </c>
      <c r="C411" s="6" t="inlineStr">
        <is>
          <t>2023-05-17</t>
        </is>
      </c>
      <c r="D411" s="6" t="inlineStr">
        <is>
          <t>2024-05-28</t>
        </is>
      </c>
      <c r="E411" s="6" t="n">
        <v>250</v>
      </c>
      <c r="F411" s="6" t="n">
        <v>213</v>
      </c>
      <c r="G411" s="6" t="n">
        <v>0</v>
      </c>
      <c r="H411" s="10">
        <f>IF(F411&gt;=E411,(E411-0.5)/E411,IF(G411&gt;0,(F411+0.5*G411)/E411,F411/E411))</f>
        <v/>
      </c>
      <c r="I411" s="6" t="inlineStr">
        <is>
          <t>中间分位</t>
        </is>
      </c>
      <c r="J411" s="6" t="inlineStr"/>
    </row>
    <row r="412">
      <c r="A412" s="11" t="inlineStr">
        <is>
          <t>2024-05-30</t>
        </is>
      </c>
      <c r="B412" s="17" t="n">
        <v>0.04552682683437252</v>
      </c>
      <c r="C412" s="11" t="inlineStr">
        <is>
          <t>2023-05-18</t>
        </is>
      </c>
      <c r="D412" s="11" t="inlineStr">
        <is>
          <t>2024-05-29</t>
        </is>
      </c>
      <c r="E412" s="11" t="n">
        <v>250</v>
      </c>
      <c r="F412" s="11" t="n">
        <v>183</v>
      </c>
      <c r="G412" s="11" t="n">
        <v>0</v>
      </c>
      <c r="H412" s="15">
        <f>IF(F412&gt;=E412,(E412-0.5)/E412,IF(G412&gt;0,(F412+0.5*G412)/E412,F412/E412))</f>
        <v/>
      </c>
      <c r="I412" s="11" t="inlineStr">
        <is>
          <t>中间分位</t>
        </is>
      </c>
      <c r="J412" s="11" t="inlineStr"/>
    </row>
    <row r="413">
      <c r="A413" s="6" t="inlineStr">
        <is>
          <t>2024-05-31</t>
        </is>
      </c>
      <c r="B413" s="16" t="n">
        <v>0.06035714285714286</v>
      </c>
      <c r="C413" s="6" t="inlineStr">
        <is>
          <t>2023-05-19</t>
        </is>
      </c>
      <c r="D413" s="6" t="inlineStr">
        <is>
          <t>2024-05-30</t>
        </is>
      </c>
      <c r="E413" s="6" t="n">
        <v>250</v>
      </c>
      <c r="F413" s="6" t="n">
        <v>211</v>
      </c>
      <c r="G413" s="6" t="n">
        <v>0</v>
      </c>
      <c r="H413" s="10">
        <f>IF(F413&gt;=E413,(E413-0.5)/E413,IF(G413&gt;0,(F413+0.5*G413)/E413,F413/E413))</f>
        <v/>
      </c>
      <c r="I413" s="6" t="inlineStr">
        <is>
          <t>中间分位</t>
        </is>
      </c>
      <c r="J413" s="6" t="inlineStr"/>
    </row>
    <row r="414">
      <c r="A414" s="11" t="inlineStr">
        <is>
          <t>2024-06-03</t>
        </is>
      </c>
      <c r="B414" s="17" t="n">
        <v>0.0701278574196048</v>
      </c>
      <c r="C414" s="11" t="inlineStr">
        <is>
          <t>2023-05-22</t>
        </is>
      </c>
      <c r="D414" s="11" t="inlineStr">
        <is>
          <t>2024-05-31</t>
        </is>
      </c>
      <c r="E414" s="11" t="n">
        <v>250</v>
      </c>
      <c r="F414" s="11" t="n">
        <v>227</v>
      </c>
      <c r="G414" s="11" t="n">
        <v>0</v>
      </c>
      <c r="H414" s="15">
        <f>IF(F414&gt;=E414,(E414-0.5)/E414,IF(G414&gt;0,(F414+0.5*G414)/E414,F414/E414))</f>
        <v/>
      </c>
      <c r="I414" s="11" t="inlineStr">
        <is>
          <t>高分位</t>
        </is>
      </c>
      <c r="J414" s="11" t="inlineStr"/>
    </row>
    <row r="415">
      <c r="A415" s="6" t="inlineStr">
        <is>
          <t>2024-06-04</t>
        </is>
      </c>
      <c r="B415" s="16" t="n">
        <v>0.04640316823428259</v>
      </c>
      <c r="C415" s="6" t="inlineStr">
        <is>
          <t>2023-05-23</t>
        </is>
      </c>
      <c r="D415" s="6" t="inlineStr">
        <is>
          <t>2024-06-03</t>
        </is>
      </c>
      <c r="E415" s="6" t="n">
        <v>250</v>
      </c>
      <c r="F415" s="6" t="n">
        <v>188</v>
      </c>
      <c r="G415" s="6" t="n">
        <v>0</v>
      </c>
      <c r="H415" s="10">
        <f>IF(F415&gt;=E415,(E415-0.5)/E415,IF(G415&gt;0,(F415+0.5*G415)/E415,F415/E415))</f>
        <v/>
      </c>
      <c r="I415" s="6" t="inlineStr">
        <is>
          <t>中间分位</t>
        </is>
      </c>
      <c r="J415" s="6" t="inlineStr"/>
    </row>
    <row r="416">
      <c r="A416" s="11" t="inlineStr">
        <is>
          <t>2024-06-05</t>
        </is>
      </c>
      <c r="B416" s="17" t="n">
        <v>0.03118799019515556</v>
      </c>
      <c r="C416" s="11" t="inlineStr">
        <is>
          <t>2023-05-24</t>
        </is>
      </c>
      <c r="D416" s="11" t="inlineStr">
        <is>
          <t>2024-06-04</t>
        </is>
      </c>
      <c r="E416" s="11" t="n">
        <v>250</v>
      </c>
      <c r="F416" s="11" t="n">
        <v>150</v>
      </c>
      <c r="G416" s="11" t="n">
        <v>0</v>
      </c>
      <c r="H416" s="15">
        <f>IF(F416&gt;=E416,(E416-0.5)/E416,IF(G416&gt;0,(F416+0.5*G416)/E416,F416/E416))</f>
        <v/>
      </c>
      <c r="I416" s="11" t="inlineStr">
        <is>
          <t>中间分位</t>
        </is>
      </c>
      <c r="J416" s="11" t="inlineStr"/>
    </row>
    <row r="417">
      <c r="A417" s="6" t="inlineStr">
        <is>
          <t>2024-06-06</t>
        </is>
      </c>
      <c r="B417" s="16" t="n">
        <v>0.03609022556390978</v>
      </c>
      <c r="C417" s="6" t="inlineStr">
        <is>
          <t>2023-05-25</t>
        </is>
      </c>
      <c r="D417" s="6" t="inlineStr">
        <is>
          <t>2024-06-05</t>
        </is>
      </c>
      <c r="E417" s="6" t="n">
        <v>250</v>
      </c>
      <c r="F417" s="6" t="n">
        <v>159</v>
      </c>
      <c r="G417" s="6" t="n">
        <v>0</v>
      </c>
      <c r="H417" s="10">
        <f>IF(F417&gt;=E417,(E417-0.5)/E417,IF(G417&gt;0,(F417+0.5*G417)/E417,F417/E417))</f>
        <v/>
      </c>
      <c r="I417" s="6" t="inlineStr">
        <is>
          <t>中间分位</t>
        </is>
      </c>
      <c r="J417" s="6" t="inlineStr"/>
    </row>
    <row r="418">
      <c r="A418" s="11" t="inlineStr">
        <is>
          <t>2024-06-07</t>
        </is>
      </c>
      <c r="B418" s="17" t="n">
        <v>0.02519083969465649</v>
      </c>
      <c r="C418" s="11" t="inlineStr">
        <is>
          <t>2023-05-26</t>
        </is>
      </c>
      <c r="D418" s="11" t="inlineStr">
        <is>
          <t>2024-06-06</t>
        </is>
      </c>
      <c r="E418" s="11" t="n">
        <v>250</v>
      </c>
      <c r="F418" s="11" t="n">
        <v>141</v>
      </c>
      <c r="G418" s="11" t="n">
        <v>0</v>
      </c>
      <c r="H418" s="15">
        <f>IF(F418&gt;=E418,(E418-0.5)/E418,IF(G418&gt;0,(F418+0.5*G418)/E418,F418/E418))</f>
        <v/>
      </c>
      <c r="I418" s="11" t="inlineStr">
        <is>
          <t>中间分位</t>
        </is>
      </c>
      <c r="J418" s="11" t="inlineStr"/>
    </row>
    <row r="419">
      <c r="A419" s="6" t="inlineStr">
        <is>
          <t>2024-06-11</t>
        </is>
      </c>
      <c r="B419" s="16" t="n">
        <v>0.01923076923076923</v>
      </c>
      <c r="C419" s="6" t="inlineStr">
        <is>
          <t>2023-05-29</t>
        </is>
      </c>
      <c r="D419" s="6" t="inlineStr">
        <is>
          <t>2024-06-07</t>
        </is>
      </c>
      <c r="E419" s="6" t="n">
        <v>250</v>
      </c>
      <c r="F419" s="6" t="n">
        <v>127</v>
      </c>
      <c r="G419" s="6" t="n">
        <v>0</v>
      </c>
      <c r="H419" s="10">
        <f>IF(F419&gt;=E419,(E419-0.5)/E419,IF(G419&gt;0,(F419+0.5*G419)/E419,F419/E419))</f>
        <v/>
      </c>
      <c r="I419" s="6" t="inlineStr">
        <is>
          <t>中间分位</t>
        </is>
      </c>
      <c r="J419" s="6" t="inlineStr"/>
    </row>
    <row r="420">
      <c r="A420" s="11" t="inlineStr">
        <is>
          <t>2024-06-12</t>
        </is>
      </c>
      <c r="B420" s="17" t="n">
        <v>0.01538461538461539</v>
      </c>
      <c r="C420" s="11" t="inlineStr">
        <is>
          <t>2023-05-30</t>
        </is>
      </c>
      <c r="D420" s="11" t="inlineStr">
        <is>
          <t>2024-06-11</t>
        </is>
      </c>
      <c r="E420" s="11" t="n">
        <v>250</v>
      </c>
      <c r="F420" s="11" t="n">
        <v>117</v>
      </c>
      <c r="G420" s="11" t="n">
        <v>0</v>
      </c>
      <c r="H420" s="15">
        <f>IF(F420&gt;=E420,(E420-0.5)/E420,IF(G420&gt;0,(F420+0.5*G420)/E420,F420/E420))</f>
        <v/>
      </c>
      <c r="I420" s="11" t="inlineStr">
        <is>
          <t>中间分位</t>
        </is>
      </c>
      <c r="J420" s="11" t="inlineStr"/>
    </row>
    <row r="421">
      <c r="A421" s="6" t="inlineStr">
        <is>
          <t>2024-06-13</t>
        </is>
      </c>
      <c r="B421" s="16" t="n">
        <v>0.02615384615384615</v>
      </c>
      <c r="C421" s="6" t="inlineStr">
        <is>
          <t>2023-05-31</t>
        </is>
      </c>
      <c r="D421" s="6" t="inlineStr">
        <is>
          <t>2024-06-12</t>
        </is>
      </c>
      <c r="E421" s="6" t="n">
        <v>250</v>
      </c>
      <c r="F421" s="6" t="n">
        <v>146</v>
      </c>
      <c r="G421" s="6" t="n">
        <v>0</v>
      </c>
      <c r="H421" s="10">
        <f>IF(F421&gt;=E421,(E421-0.5)/E421,IF(G421&gt;0,(F421+0.5*G421)/E421,F421/E421))</f>
        <v/>
      </c>
      <c r="I421" s="6" t="inlineStr">
        <is>
          <t>中间分位</t>
        </is>
      </c>
      <c r="J421" s="6" t="inlineStr"/>
    </row>
    <row r="422">
      <c r="A422" s="11" t="inlineStr">
        <is>
          <t>2024-06-14</t>
        </is>
      </c>
      <c r="B422" s="17" t="n">
        <v>0.012109375</v>
      </c>
      <c r="C422" s="11" t="inlineStr">
        <is>
          <t>2023-06-01</t>
        </is>
      </c>
      <c r="D422" s="11" t="inlineStr">
        <is>
          <t>2024-06-13</t>
        </is>
      </c>
      <c r="E422" s="11" t="n">
        <v>250</v>
      </c>
      <c r="F422" s="11" t="n">
        <v>108</v>
      </c>
      <c r="G422" s="11" t="n">
        <v>0</v>
      </c>
      <c r="H422" s="15">
        <f>IF(F422&gt;=E422,(E422-0.5)/E422,IF(G422&gt;0,(F422+0.5*G422)/E422,F422/E422))</f>
        <v/>
      </c>
      <c r="I422" s="11" t="inlineStr">
        <is>
          <t>中间分位</t>
        </is>
      </c>
      <c r="J422" s="11" t="inlineStr"/>
    </row>
    <row r="423">
      <c r="A423" s="6" t="inlineStr">
        <is>
          <t>2024-06-17</t>
        </is>
      </c>
      <c r="B423" s="16" t="n">
        <v>0.01171720028438662</v>
      </c>
      <c r="C423" s="6" t="inlineStr">
        <is>
          <t>2023-06-02</t>
        </is>
      </c>
      <c r="D423" s="6" t="inlineStr">
        <is>
          <t>2024-06-14</t>
        </is>
      </c>
      <c r="E423" s="6" t="n">
        <v>250</v>
      </c>
      <c r="F423" s="6" t="n">
        <v>105</v>
      </c>
      <c r="G423" s="6" t="n">
        <v>0</v>
      </c>
      <c r="H423" s="10">
        <f>IF(F423&gt;=E423,(E423-0.5)/E423,IF(G423&gt;0,(F423+0.5*G423)/E423,F423/E423))</f>
        <v/>
      </c>
      <c r="I423" s="6" t="inlineStr">
        <is>
          <t>中间分位</t>
        </is>
      </c>
      <c r="J423" s="6" t="inlineStr"/>
    </row>
    <row r="424">
      <c r="A424" s="11" t="inlineStr">
        <is>
          <t>2024-06-18</t>
        </is>
      </c>
      <c r="B424" s="17" t="n">
        <v>0.003571428571428571</v>
      </c>
      <c r="C424" s="11" t="inlineStr">
        <is>
          <t>2023-06-05</t>
        </is>
      </c>
      <c r="D424" s="11" t="inlineStr">
        <is>
          <t>2024-06-17</t>
        </is>
      </c>
      <c r="E424" s="11" t="n">
        <v>250</v>
      </c>
      <c r="F424" s="11" t="n">
        <v>76</v>
      </c>
      <c r="G424" s="11" t="n">
        <v>0</v>
      </c>
      <c r="H424" s="15">
        <f>IF(F424&gt;=E424,(E424-0.5)/E424,IF(G424&gt;0,(F424+0.5*G424)/E424,F424/E424))</f>
        <v/>
      </c>
      <c r="I424" s="11" t="inlineStr">
        <is>
          <t>中间分位</t>
        </is>
      </c>
      <c r="J424" s="11" t="inlineStr"/>
    </row>
    <row r="425">
      <c r="A425" s="6" t="inlineStr">
        <is>
          <t>2024-06-19</t>
        </is>
      </c>
      <c r="B425" s="16" t="n">
        <v>-0.008414718005588614</v>
      </c>
      <c r="C425" s="6" t="inlineStr">
        <is>
          <t>2023-06-06</t>
        </is>
      </c>
      <c r="D425" s="6" t="inlineStr">
        <is>
          <t>2024-06-18</t>
        </is>
      </c>
      <c r="E425" s="6" t="n">
        <v>250</v>
      </c>
      <c r="F425" s="6" t="n">
        <v>43</v>
      </c>
      <c r="G425" s="6" t="n">
        <v>0</v>
      </c>
      <c r="H425" s="10">
        <f>IF(F425&gt;=E425,(E425-0.5)/E425,IF(G425&gt;0,(F425+0.5*G425)/E425,F425/E425))</f>
        <v/>
      </c>
      <c r="I425" s="6" t="inlineStr">
        <is>
          <t>中间分位</t>
        </is>
      </c>
      <c r="J425" s="6" t="inlineStr"/>
    </row>
    <row r="426">
      <c r="A426" s="11" t="inlineStr">
        <is>
          <t>2024-06-20</t>
        </is>
      </c>
      <c r="B426" s="17" t="n">
        <v>0.0003952569169960474</v>
      </c>
      <c r="C426" s="11" t="inlineStr">
        <is>
          <t>2023-06-07</t>
        </is>
      </c>
      <c r="D426" s="11" t="inlineStr">
        <is>
          <t>2024-06-19</t>
        </is>
      </c>
      <c r="E426" s="11" t="n">
        <v>250</v>
      </c>
      <c r="F426" s="11" t="n">
        <v>67</v>
      </c>
      <c r="G426" s="11" t="n">
        <v>0</v>
      </c>
      <c r="H426" s="15">
        <f>IF(F426&gt;=E426,(E426-0.5)/E426,IF(G426&gt;0,(F426+0.5*G426)/E426,F426/E426))</f>
        <v/>
      </c>
      <c r="I426" s="11" t="inlineStr">
        <is>
          <t>中间分位</t>
        </is>
      </c>
      <c r="J426" s="11" t="inlineStr"/>
    </row>
    <row r="427">
      <c r="A427" s="6" t="inlineStr">
        <is>
          <t>2024-06-21</t>
        </is>
      </c>
      <c r="B427" s="16" t="n">
        <v>0.01134695072961645</v>
      </c>
      <c r="C427" s="6" t="inlineStr">
        <is>
          <t>2023-06-08</t>
        </is>
      </c>
      <c r="D427" s="6" t="inlineStr">
        <is>
          <t>2024-06-20</t>
        </is>
      </c>
      <c r="E427" s="6" t="n">
        <v>250</v>
      </c>
      <c r="F427" s="6" t="n">
        <v>107</v>
      </c>
      <c r="G427" s="6" t="n">
        <v>0</v>
      </c>
      <c r="H427" s="10">
        <f>IF(F427&gt;=E427,(E427-0.5)/E427,IF(G427&gt;0,(F427+0.5*G427)/E427,F427/E427))</f>
        <v/>
      </c>
      <c r="I427" s="6" t="inlineStr">
        <is>
          <t>中间分位</t>
        </is>
      </c>
      <c r="J427" s="6" t="inlineStr"/>
    </row>
    <row r="428">
      <c r="A428" s="11" t="inlineStr">
        <is>
          <t>2024-06-24</t>
        </is>
      </c>
      <c r="B428" s="17" t="n">
        <v>0.008800000000000001</v>
      </c>
      <c r="C428" s="11" t="inlineStr">
        <is>
          <t>2023-06-09</t>
        </is>
      </c>
      <c r="D428" s="11" t="inlineStr">
        <is>
          <t>2024-06-21</t>
        </is>
      </c>
      <c r="E428" s="11" t="n">
        <v>250</v>
      </c>
      <c r="F428" s="11" t="n">
        <v>98</v>
      </c>
      <c r="G428" s="11" t="n">
        <v>0</v>
      </c>
      <c r="H428" s="15">
        <f>IF(F428&gt;=E428,(E428-0.5)/E428,IF(G428&gt;0,(F428+0.5*G428)/E428,F428/E428))</f>
        <v/>
      </c>
      <c r="I428" s="11" t="inlineStr">
        <is>
          <t>中间分位</t>
        </is>
      </c>
      <c r="J428" s="11" t="inlineStr"/>
    </row>
    <row r="429">
      <c r="A429" s="6" t="inlineStr">
        <is>
          <t>2024-06-25</t>
        </is>
      </c>
      <c r="B429" s="16" t="n">
        <v>-0.01126760563380282</v>
      </c>
      <c r="C429" s="6" t="inlineStr">
        <is>
          <t>2023-06-12</t>
        </is>
      </c>
      <c r="D429" s="6" t="inlineStr">
        <is>
          <t>2024-06-24</t>
        </is>
      </c>
      <c r="E429" s="6" t="n">
        <v>250</v>
      </c>
      <c r="F429" s="6" t="n">
        <v>39</v>
      </c>
      <c r="G429" s="6" t="n">
        <v>0</v>
      </c>
      <c r="H429" s="10">
        <f>IF(F429&gt;=E429,(E429-0.5)/E429,IF(G429&gt;0,(F429+0.5*G429)/E429,F429/E429))</f>
        <v/>
      </c>
      <c r="I429" s="6" t="inlineStr">
        <is>
          <t>中间分位</t>
        </is>
      </c>
      <c r="J429" s="6" t="inlineStr"/>
    </row>
    <row r="430">
      <c r="A430" s="11" t="inlineStr">
        <is>
          <t>2024-06-26</t>
        </is>
      </c>
      <c r="B430" s="17" t="n">
        <v>0.005555555555555556</v>
      </c>
      <c r="C430" s="11" t="inlineStr">
        <is>
          <t>2023-06-13</t>
        </is>
      </c>
      <c r="D430" s="11" t="inlineStr">
        <is>
          <t>2024-06-25</t>
        </is>
      </c>
      <c r="E430" s="11" t="n">
        <v>250</v>
      </c>
      <c r="F430" s="11" t="n">
        <v>86</v>
      </c>
      <c r="G430" s="11" t="n">
        <v>0</v>
      </c>
      <c r="H430" s="15">
        <f>IF(F430&gt;=E430,(E430-0.5)/E430,IF(G430&gt;0,(F430+0.5*G430)/E430,F430/E430))</f>
        <v/>
      </c>
      <c r="I430" s="11" t="inlineStr">
        <is>
          <t>中间分位</t>
        </is>
      </c>
      <c r="J430" s="11" t="inlineStr"/>
    </row>
    <row r="431">
      <c r="A431" s="6" t="inlineStr">
        <is>
          <t>2024-06-27</t>
        </is>
      </c>
      <c r="B431" s="16" t="n">
        <v>0.0007936507936507937</v>
      </c>
      <c r="C431" s="6" t="inlineStr">
        <is>
          <t>2023-06-14</t>
        </is>
      </c>
      <c r="D431" s="6" t="inlineStr">
        <is>
          <t>2024-06-26</t>
        </is>
      </c>
      <c r="E431" s="6" t="n">
        <v>250</v>
      </c>
      <c r="F431" s="6" t="n">
        <v>69</v>
      </c>
      <c r="G431" s="6" t="n">
        <v>0</v>
      </c>
      <c r="H431" s="10">
        <f>IF(F431&gt;=E431,(E431-0.5)/E431,IF(G431&gt;0,(F431+0.5*G431)/E431,F431/E431))</f>
        <v/>
      </c>
      <c r="I431" s="6" t="inlineStr">
        <is>
          <t>中间分位</t>
        </is>
      </c>
      <c r="J431" s="6" t="inlineStr"/>
    </row>
    <row r="432">
      <c r="A432" s="11" t="inlineStr">
        <is>
          <t>2024-06-28</t>
        </is>
      </c>
      <c r="B432" s="17" t="n">
        <v>-0.00909090909090909</v>
      </c>
      <c r="C432" s="11" t="inlineStr">
        <is>
          <t>2023-06-15</t>
        </is>
      </c>
      <c r="D432" s="11" t="inlineStr">
        <is>
          <t>2024-06-27</t>
        </is>
      </c>
      <c r="E432" s="11" t="n">
        <v>250</v>
      </c>
      <c r="F432" s="11" t="n">
        <v>44</v>
      </c>
      <c r="G432" s="11" t="n">
        <v>0</v>
      </c>
      <c r="H432" s="15">
        <f>IF(F432&gt;=E432,(E432-0.5)/E432,IF(G432&gt;0,(F432+0.5*G432)/E432,F432/E432))</f>
        <v/>
      </c>
      <c r="I432" s="11" t="inlineStr">
        <is>
          <t>中间分位</t>
        </is>
      </c>
      <c r="J432" s="11" t="inlineStr"/>
    </row>
    <row r="433">
      <c r="A433" s="6" t="inlineStr">
        <is>
          <t>2024-07-01</t>
        </is>
      </c>
      <c r="B433" s="16" t="n">
        <v>0.003590207386352514</v>
      </c>
      <c r="C433" s="6" t="inlineStr">
        <is>
          <t>2023-06-16</t>
        </is>
      </c>
      <c r="D433" s="6" t="inlineStr">
        <is>
          <t>2024-06-28</t>
        </is>
      </c>
      <c r="E433" s="6" t="n">
        <v>250</v>
      </c>
      <c r="F433" s="6" t="n">
        <v>80</v>
      </c>
      <c r="G433" s="6" t="n">
        <v>0</v>
      </c>
      <c r="H433" s="10">
        <f>IF(F433&gt;=E433,(E433-0.5)/E433,IF(G433&gt;0,(F433+0.5*G433)/E433,F433/E433))</f>
        <v/>
      </c>
      <c r="I433" s="6" t="inlineStr">
        <is>
          <t>中间分位</t>
        </is>
      </c>
      <c r="J433" s="6" t="inlineStr"/>
    </row>
    <row r="434">
      <c r="A434" s="11" t="inlineStr">
        <is>
          <t>2024-07-02</t>
        </is>
      </c>
      <c r="B434" s="17" t="n">
        <v>-0.01559723593287266</v>
      </c>
      <c r="C434" s="11" t="inlineStr">
        <is>
          <t>2023-06-19</t>
        </is>
      </c>
      <c r="D434" s="11" t="inlineStr">
        <is>
          <t>2024-07-01</t>
        </is>
      </c>
      <c r="E434" s="11" t="n">
        <v>250</v>
      </c>
      <c r="F434" s="11" t="n">
        <v>32</v>
      </c>
      <c r="G434" s="11" t="n">
        <v>0</v>
      </c>
      <c r="H434" s="15">
        <f>IF(F434&gt;=E434,(E434-0.5)/E434,IF(G434&gt;0,(F434+0.5*G434)/E434,F434/E434))</f>
        <v/>
      </c>
      <c r="I434" s="11" t="inlineStr">
        <is>
          <t>中间分位</t>
        </is>
      </c>
      <c r="J434" s="11" t="inlineStr"/>
    </row>
    <row r="435">
      <c r="A435" s="6" t="inlineStr">
        <is>
          <t>2024-07-03</t>
        </is>
      </c>
      <c r="B435" s="16" t="n">
        <v>-0.00390625</v>
      </c>
      <c r="C435" s="6" t="inlineStr">
        <is>
          <t>2023-06-20</t>
        </is>
      </c>
      <c r="D435" s="6" t="inlineStr">
        <is>
          <t>2024-07-02</t>
        </is>
      </c>
      <c r="E435" s="6" t="n">
        <v>250</v>
      </c>
      <c r="F435" s="6" t="n">
        <v>57</v>
      </c>
      <c r="G435" s="6" t="n">
        <v>0</v>
      </c>
      <c r="H435" s="10">
        <f>IF(F435&gt;=E435,(E435-0.5)/E435,IF(G435&gt;0,(F435+0.5*G435)/E435,F435/E435))</f>
        <v/>
      </c>
      <c r="I435" s="6" t="inlineStr">
        <is>
          <t>中间分位</t>
        </is>
      </c>
      <c r="J435" s="6" t="inlineStr"/>
    </row>
    <row r="436">
      <c r="A436" s="11" t="inlineStr">
        <is>
          <t>2024-07-04</t>
        </is>
      </c>
      <c r="B436" s="17" t="n">
        <v>-0.005490196078431373</v>
      </c>
      <c r="C436" s="11" t="inlineStr">
        <is>
          <t>2023-06-21</t>
        </is>
      </c>
      <c r="D436" s="11" t="inlineStr">
        <is>
          <t>2024-07-03</t>
        </is>
      </c>
      <c r="E436" s="11" t="n">
        <v>250</v>
      </c>
      <c r="F436" s="11" t="n">
        <v>55</v>
      </c>
      <c r="G436" s="11" t="n">
        <v>0</v>
      </c>
      <c r="H436" s="15">
        <f>IF(F436&gt;=E436,(E436-0.5)/E436,IF(G436&gt;0,(F436+0.5*G436)/E436,F436/E436))</f>
        <v/>
      </c>
      <c r="I436" s="11" t="inlineStr">
        <is>
          <t>中间分位</t>
        </is>
      </c>
      <c r="J436" s="11" t="inlineStr"/>
    </row>
    <row r="437">
      <c r="A437" s="6" t="inlineStr">
        <is>
          <t>2024-07-05</t>
        </is>
      </c>
      <c r="B437" s="16" t="n">
        <v>0</v>
      </c>
      <c r="C437" s="6" t="inlineStr">
        <is>
          <t>2023-06-26</t>
        </is>
      </c>
      <c r="D437" s="6" t="inlineStr">
        <is>
          <t>2024-07-04</t>
        </is>
      </c>
      <c r="E437" s="6" t="n">
        <v>250</v>
      </c>
      <c r="F437" s="6" t="n">
        <v>69</v>
      </c>
      <c r="G437" s="6" t="n">
        <v>0</v>
      </c>
      <c r="H437" s="10">
        <f>IF(F437&gt;=E437,(E437-0.5)/E437,IF(G437&gt;0,(F437+0.5*G437)/E437,F437/E437))</f>
        <v/>
      </c>
      <c r="I437" s="6" t="inlineStr">
        <is>
          <t>中间分位</t>
        </is>
      </c>
      <c r="J437" s="6" t="inlineStr"/>
    </row>
    <row r="438">
      <c r="A438" s="11" t="inlineStr">
        <is>
          <t>2024-07-08</t>
        </is>
      </c>
      <c r="B438" s="17" t="n">
        <v>-0.002849954090697702</v>
      </c>
      <c r="C438" s="11" t="inlineStr">
        <is>
          <t>2023-06-27</t>
        </is>
      </c>
      <c r="D438" s="11" t="inlineStr">
        <is>
          <t>2024-07-05</t>
        </is>
      </c>
      <c r="E438" s="11" t="n">
        <v>250</v>
      </c>
      <c r="F438" s="11" t="n">
        <v>59</v>
      </c>
      <c r="G438" s="11" t="n">
        <v>0</v>
      </c>
      <c r="H438" s="15">
        <f>IF(F438&gt;=E438,(E438-0.5)/E438,IF(G438&gt;0,(F438+0.5*G438)/E438,F438/E438))</f>
        <v/>
      </c>
      <c r="I438" s="11" t="inlineStr">
        <is>
          <t>中间分位</t>
        </is>
      </c>
      <c r="J438" s="11" t="inlineStr"/>
    </row>
    <row r="439">
      <c r="A439" s="6" t="inlineStr">
        <is>
          <t>2024-07-09</t>
        </is>
      </c>
      <c r="B439" s="16" t="n">
        <v>-0.01796407185628742</v>
      </c>
      <c r="C439" s="6" t="inlineStr">
        <is>
          <t>2023-06-28</t>
        </is>
      </c>
      <c r="D439" s="6" t="inlineStr">
        <is>
          <t>2024-07-08</t>
        </is>
      </c>
      <c r="E439" s="6" t="n">
        <v>250</v>
      </c>
      <c r="F439" s="6" t="n">
        <v>30</v>
      </c>
      <c r="G439" s="6" t="n">
        <v>0</v>
      </c>
      <c r="H439" s="10">
        <f>IF(F439&gt;=E439,(E439-0.5)/E439,IF(G439&gt;0,(F439+0.5*G439)/E439,F439/E439))</f>
        <v/>
      </c>
      <c r="I439" s="6" t="inlineStr">
        <is>
          <t>中间分位</t>
        </is>
      </c>
      <c r="J439" s="6" t="inlineStr"/>
    </row>
    <row r="440">
      <c r="A440" s="11" t="inlineStr">
        <is>
          <t>2024-07-10</t>
        </is>
      </c>
      <c r="B440" s="17" t="n">
        <v>-0.003095877303621346</v>
      </c>
      <c r="C440" s="11" t="inlineStr">
        <is>
          <t>2023-06-29</t>
        </is>
      </c>
      <c r="D440" s="11" t="inlineStr">
        <is>
          <t>2024-07-09</t>
        </is>
      </c>
      <c r="E440" s="11" t="n">
        <v>250</v>
      </c>
      <c r="F440" s="11" t="n">
        <v>58</v>
      </c>
      <c r="G440" s="11" t="n">
        <v>0</v>
      </c>
      <c r="H440" s="15">
        <f>IF(F440&gt;=E440,(E440-0.5)/E440,IF(G440&gt;0,(F440+0.5*G440)/E440,F440/E440))</f>
        <v/>
      </c>
      <c r="I440" s="11" t="inlineStr">
        <is>
          <t>中间分位</t>
        </is>
      </c>
      <c r="J440" s="11" t="inlineStr"/>
    </row>
    <row r="441">
      <c r="A441" s="6" t="inlineStr">
        <is>
          <t>2024-07-11</t>
        </is>
      </c>
      <c r="B441" s="16" t="n">
        <v>-0.02709642543415096</v>
      </c>
      <c r="C441" s="6" t="inlineStr">
        <is>
          <t>2023-06-30</t>
        </is>
      </c>
      <c r="D441" s="6" t="inlineStr">
        <is>
          <t>2024-07-10</t>
        </is>
      </c>
      <c r="E441" s="6" t="n">
        <v>250</v>
      </c>
      <c r="F441" s="6" t="n">
        <v>18</v>
      </c>
      <c r="G441" s="6" t="n">
        <v>0</v>
      </c>
      <c r="H441" s="10">
        <f>IF(F441&gt;=E441,(E441-0.5)/E441,IF(G441&gt;0,(F441+0.5*G441)/E441,F441/E441))</f>
        <v/>
      </c>
      <c r="I441" s="6" t="inlineStr">
        <is>
          <t>低分位</t>
        </is>
      </c>
      <c r="J441" s="6" t="inlineStr"/>
    </row>
    <row r="442">
      <c r="A442" s="11" t="inlineStr">
        <is>
          <t>2024-07-12</t>
        </is>
      </c>
      <c r="B442" s="17" t="n">
        <v>-0.009019607843137255</v>
      </c>
      <c r="C442" s="11" t="inlineStr">
        <is>
          <t>2023-07-03</t>
        </is>
      </c>
      <c r="D442" s="11" t="inlineStr">
        <is>
          <t>2024-07-11</t>
        </is>
      </c>
      <c r="E442" s="11" t="n">
        <v>250</v>
      </c>
      <c r="F442" s="11" t="n">
        <v>47</v>
      </c>
      <c r="G442" s="11" t="n">
        <v>0</v>
      </c>
      <c r="H442" s="15">
        <f>IF(F442&gt;=E442,(E442-0.5)/E442,IF(G442&gt;0,(F442+0.5*G442)/E442,F442/E442))</f>
        <v/>
      </c>
      <c r="I442" s="11" t="inlineStr">
        <is>
          <t>中间分位</t>
        </is>
      </c>
      <c r="J442" s="11" t="inlineStr"/>
    </row>
    <row r="443">
      <c r="A443" s="6" t="inlineStr">
        <is>
          <t>2024-07-15</t>
        </is>
      </c>
      <c r="B443" s="16" t="n">
        <v>-0.004296875</v>
      </c>
      <c r="C443" s="6" t="inlineStr">
        <is>
          <t>2023-07-04</t>
        </is>
      </c>
      <c r="D443" s="6" t="inlineStr">
        <is>
          <t>2024-07-12</t>
        </is>
      </c>
      <c r="E443" s="6" t="n">
        <v>250</v>
      </c>
      <c r="F443" s="6" t="n">
        <v>58</v>
      </c>
      <c r="G443" s="6" t="n">
        <v>0</v>
      </c>
      <c r="H443" s="10">
        <f>IF(F443&gt;=E443,(E443-0.5)/E443,IF(G443&gt;0,(F443+0.5*G443)/E443,F443/E443))</f>
        <v/>
      </c>
      <c r="I443" s="6" t="inlineStr">
        <is>
          <t>中间分位</t>
        </is>
      </c>
      <c r="J443" s="6" t="inlineStr"/>
    </row>
    <row r="444">
      <c r="A444" s="11" t="inlineStr">
        <is>
          <t>2024-07-16</t>
        </is>
      </c>
      <c r="B444" s="17" t="n">
        <v>0.00284844928555607</v>
      </c>
      <c r="C444" s="11" t="inlineStr">
        <is>
          <t>2023-07-05</t>
        </is>
      </c>
      <c r="D444" s="11" t="inlineStr">
        <is>
          <t>2024-07-15</t>
        </is>
      </c>
      <c r="E444" s="11" t="n">
        <v>250</v>
      </c>
      <c r="F444" s="11" t="n">
        <v>82</v>
      </c>
      <c r="G444" s="11" t="n">
        <v>0</v>
      </c>
      <c r="H444" s="15">
        <f>IF(F444&gt;=E444,(E444-0.5)/E444,IF(G444&gt;0,(F444+0.5*G444)/E444,F444/E444))</f>
        <v/>
      </c>
      <c r="I444" s="11" t="inlineStr">
        <is>
          <t>中间分位</t>
        </is>
      </c>
      <c r="J444" s="11" t="inlineStr"/>
    </row>
    <row r="445">
      <c r="A445" s="6" t="inlineStr">
        <is>
          <t>2024-07-17</t>
        </is>
      </c>
      <c r="B445" s="16" t="n">
        <v>0.01786407766990291</v>
      </c>
      <c r="C445" s="6" t="inlineStr">
        <is>
          <t>2023-07-06</t>
        </is>
      </c>
      <c r="D445" s="6" t="inlineStr">
        <is>
          <t>2024-07-16</t>
        </is>
      </c>
      <c r="E445" s="6" t="n">
        <v>250</v>
      </c>
      <c r="F445" s="6" t="n">
        <v>135</v>
      </c>
      <c r="G445" s="6" t="n">
        <v>0</v>
      </c>
      <c r="H445" s="10">
        <f>IF(F445&gt;=E445,(E445-0.5)/E445,IF(G445&gt;0,(F445+0.5*G445)/E445,F445/E445))</f>
        <v/>
      </c>
      <c r="I445" s="6" t="inlineStr">
        <is>
          <t>中间分位</t>
        </is>
      </c>
      <c r="J445" s="6" t="inlineStr"/>
    </row>
    <row r="446">
      <c r="A446" s="11" t="inlineStr">
        <is>
          <t>2024-07-18</t>
        </is>
      </c>
      <c r="B446" s="17" t="n">
        <v>0.007534873848838718</v>
      </c>
      <c r="C446" s="11" t="inlineStr">
        <is>
          <t>2023-07-07</t>
        </is>
      </c>
      <c r="D446" s="11" t="inlineStr">
        <is>
          <t>2024-07-17</t>
        </is>
      </c>
      <c r="E446" s="11" t="n">
        <v>250</v>
      </c>
      <c r="F446" s="11" t="n">
        <v>98</v>
      </c>
      <c r="G446" s="11" t="n">
        <v>0</v>
      </c>
      <c r="H446" s="15">
        <f>IF(F446&gt;=E446,(E446-0.5)/E446,IF(G446&gt;0,(F446+0.5*G446)/E446,F446/E446))</f>
        <v/>
      </c>
      <c r="I446" s="11" t="inlineStr">
        <is>
          <t>中间分位</t>
        </is>
      </c>
      <c r="J446" s="11" t="inlineStr"/>
    </row>
    <row r="447">
      <c r="A447" s="6" t="inlineStr">
        <is>
          <t>2024-07-19</t>
        </is>
      </c>
      <c r="B447" s="16" t="n">
        <v>0.01299770768420678</v>
      </c>
      <c r="C447" s="6" t="inlineStr">
        <is>
          <t>2023-07-10</t>
        </is>
      </c>
      <c r="D447" s="6" t="inlineStr">
        <is>
          <t>2024-07-18</t>
        </is>
      </c>
      <c r="E447" s="6" t="n">
        <v>250</v>
      </c>
      <c r="F447" s="6" t="n">
        <v>121</v>
      </c>
      <c r="G447" s="6" t="n">
        <v>0</v>
      </c>
      <c r="H447" s="10">
        <f>IF(F447&gt;=E447,(E447-0.5)/E447,IF(G447&gt;0,(F447+0.5*G447)/E447,F447/E447))</f>
        <v/>
      </c>
      <c r="I447" s="6" t="inlineStr">
        <is>
          <t>中间分位</t>
        </is>
      </c>
      <c r="J447" s="6" t="inlineStr"/>
    </row>
    <row r="448">
      <c r="A448" s="11" t="inlineStr">
        <is>
          <t>2024-07-22</t>
        </is>
      </c>
      <c r="B448" s="17" t="n">
        <v>0.0048</v>
      </c>
      <c r="C448" s="11" t="inlineStr">
        <is>
          <t>2023-07-11</t>
        </is>
      </c>
      <c r="D448" s="11" t="inlineStr">
        <is>
          <t>2024-07-19</t>
        </is>
      </c>
      <c r="E448" s="11" t="n">
        <v>250</v>
      </c>
      <c r="F448" s="11" t="n">
        <v>88</v>
      </c>
      <c r="G448" s="11" t="n">
        <v>0</v>
      </c>
      <c r="H448" s="15">
        <f>IF(F448&gt;=E448,(E448-0.5)/E448,IF(G448&gt;0,(F448+0.5*G448)/E448,F448/E448))</f>
        <v/>
      </c>
      <c r="I448" s="11" t="inlineStr">
        <is>
          <t>中间分位</t>
        </is>
      </c>
      <c r="J448" s="11" t="inlineStr"/>
    </row>
    <row r="449">
      <c r="A449" s="6" t="inlineStr">
        <is>
          <t>2024-07-23</t>
        </is>
      </c>
      <c r="B449" s="16" t="n">
        <v>-0.001670786872503335</v>
      </c>
      <c r="C449" s="6" t="inlineStr">
        <is>
          <t>2023-07-12</t>
        </is>
      </c>
      <c r="D449" s="6" t="inlineStr">
        <is>
          <t>2024-07-22</t>
        </is>
      </c>
      <c r="E449" s="6" t="n">
        <v>250</v>
      </c>
      <c r="F449" s="6" t="n">
        <v>63</v>
      </c>
      <c r="G449" s="6" t="n">
        <v>0</v>
      </c>
      <c r="H449" s="10">
        <f>IF(F449&gt;=E449,(E449-0.5)/E449,IF(G449&gt;0,(F449+0.5*G449)/E449,F449/E449))</f>
        <v/>
      </c>
      <c r="I449" s="6" t="inlineStr">
        <is>
          <t>中间分位</t>
        </is>
      </c>
      <c r="J449" s="6" t="inlineStr"/>
    </row>
    <row r="450">
      <c r="A450" s="11" t="inlineStr">
        <is>
          <t>2024-07-24</t>
        </is>
      </c>
      <c r="B450" s="17" t="n">
        <v>-0.0007968127490039841</v>
      </c>
      <c r="C450" s="11" t="inlineStr">
        <is>
          <t>2023-07-13</t>
        </is>
      </c>
      <c r="D450" s="11" t="inlineStr">
        <is>
          <t>2024-07-23</t>
        </is>
      </c>
      <c r="E450" s="11" t="n">
        <v>250</v>
      </c>
      <c r="F450" s="11" t="n">
        <v>65</v>
      </c>
      <c r="G450" s="11" t="n">
        <v>0</v>
      </c>
      <c r="H450" s="15">
        <f>IF(F450&gt;=E450,(E450-0.5)/E450,IF(G450&gt;0,(F450+0.5*G450)/E450,F450/E450))</f>
        <v/>
      </c>
      <c r="I450" s="11" t="inlineStr">
        <is>
          <t>中间分位</t>
        </is>
      </c>
      <c r="J450" s="11" t="inlineStr"/>
    </row>
    <row r="451">
      <c r="A451" s="6" t="inlineStr">
        <is>
          <t>2024-07-25</t>
        </is>
      </c>
      <c r="B451" s="16" t="n">
        <v>0.00969968066402746</v>
      </c>
      <c r="C451" s="6" t="inlineStr">
        <is>
          <t>2023-07-14</t>
        </is>
      </c>
      <c r="D451" s="6" t="inlineStr">
        <is>
          <t>2024-07-24</t>
        </is>
      </c>
      <c r="E451" s="6" t="n">
        <v>250</v>
      </c>
      <c r="F451" s="6" t="n">
        <v>105</v>
      </c>
      <c r="G451" s="6" t="n">
        <v>0</v>
      </c>
      <c r="H451" s="10">
        <f>IF(F451&gt;=E451,(E451-0.5)/E451,IF(G451&gt;0,(F451+0.5*G451)/E451,F451/E451))</f>
        <v/>
      </c>
      <c r="I451" s="6" t="inlineStr">
        <is>
          <t>中间分位</t>
        </is>
      </c>
      <c r="J451" s="6" t="inlineStr"/>
    </row>
    <row r="452">
      <c r="A452" s="11" t="inlineStr">
        <is>
          <t>2024-07-26</t>
        </is>
      </c>
      <c r="B452" s="17" t="n">
        <v>-0.001593625498007968</v>
      </c>
      <c r="C452" s="11" t="inlineStr">
        <is>
          <t>2023-07-17</t>
        </is>
      </c>
      <c r="D452" s="11" t="inlineStr">
        <is>
          <t>2024-07-25</t>
        </is>
      </c>
      <c r="E452" s="11" t="n">
        <v>250</v>
      </c>
      <c r="F452" s="11" t="n">
        <v>62</v>
      </c>
      <c r="G452" s="11" t="n">
        <v>0</v>
      </c>
      <c r="H452" s="15">
        <f>IF(F452&gt;=E452,(E452-0.5)/E452,IF(G452&gt;0,(F452+0.5*G452)/E452,F452/E452))</f>
        <v/>
      </c>
      <c r="I452" s="11" t="inlineStr">
        <is>
          <t>中间分位</t>
        </is>
      </c>
      <c r="J452" s="11" t="inlineStr"/>
    </row>
    <row r="453">
      <c r="A453" s="6" t="inlineStr">
        <is>
          <t>2024-07-29</t>
        </is>
      </c>
      <c r="B453" s="16" t="n">
        <v>0.01544554455445545</v>
      </c>
      <c r="C453" s="6" t="inlineStr">
        <is>
          <t>2023-07-18</t>
        </is>
      </c>
      <c r="D453" s="6" t="inlineStr">
        <is>
          <t>2024-07-26</t>
        </is>
      </c>
      <c r="E453" s="6" t="n">
        <v>250</v>
      </c>
      <c r="F453" s="6" t="n">
        <v>129</v>
      </c>
      <c r="G453" s="6" t="n">
        <v>0</v>
      </c>
      <c r="H453" s="10">
        <f>IF(F453&gt;=E453,(E453-0.5)/E453,IF(G453&gt;0,(F453+0.5*G453)/E453,F453/E453))</f>
        <v/>
      </c>
      <c r="I453" s="6" t="inlineStr">
        <is>
          <t>中间分位</t>
        </is>
      </c>
      <c r="J453" s="6" t="inlineStr"/>
    </row>
    <row r="454">
      <c r="A454" s="11" t="inlineStr">
        <is>
          <t>2024-07-30</t>
        </is>
      </c>
      <c r="B454" s="17" t="n">
        <v>0.0208</v>
      </c>
      <c r="C454" s="11" t="inlineStr">
        <is>
          <t>2023-07-19</t>
        </is>
      </c>
      <c r="D454" s="11" t="inlineStr">
        <is>
          <t>2024-07-29</t>
        </is>
      </c>
      <c r="E454" s="11" t="n">
        <v>250</v>
      </c>
      <c r="F454" s="11" t="n">
        <v>142</v>
      </c>
      <c r="G454" s="11" t="n">
        <v>0</v>
      </c>
      <c r="H454" s="15">
        <f>IF(F454&gt;=E454,(E454-0.5)/E454,IF(G454&gt;0,(F454+0.5*G454)/E454,F454/E454))</f>
        <v/>
      </c>
      <c r="I454" s="11" t="inlineStr">
        <is>
          <t>中间分位</t>
        </is>
      </c>
      <c r="J454" s="11" t="inlineStr"/>
    </row>
    <row r="455">
      <c r="A455" s="6" t="inlineStr">
        <is>
          <t>2024-07-31</t>
        </is>
      </c>
      <c r="B455" s="16" t="n">
        <v>-0.01020751633324276</v>
      </c>
      <c r="C455" s="6" t="inlineStr">
        <is>
          <t>2023-07-20</t>
        </is>
      </c>
      <c r="D455" s="6" t="inlineStr">
        <is>
          <t>2024-07-30</t>
        </is>
      </c>
      <c r="E455" s="6" t="n">
        <v>250</v>
      </c>
      <c r="F455" s="6" t="n">
        <v>39</v>
      </c>
      <c r="G455" s="6" t="n">
        <v>0</v>
      </c>
      <c r="H455" s="10">
        <f>IF(F455&gt;=E455,(E455-0.5)/E455,IF(G455&gt;0,(F455+0.5*G455)/E455,F455/E455))</f>
        <v/>
      </c>
      <c r="I455" s="6" t="inlineStr">
        <is>
          <t>中间分位</t>
        </is>
      </c>
      <c r="J455" s="6" t="inlineStr"/>
    </row>
    <row r="456">
      <c r="A456" s="11" t="inlineStr">
        <is>
          <t>2024-08-01</t>
        </is>
      </c>
      <c r="B456" s="17" t="n">
        <v>0.00597609561752988</v>
      </c>
      <c r="C456" s="11" t="inlineStr">
        <is>
          <t>2023-07-21</t>
        </is>
      </c>
      <c r="D456" s="11" t="inlineStr">
        <is>
          <t>2024-07-31</t>
        </is>
      </c>
      <c r="E456" s="11" t="n">
        <v>250</v>
      </c>
      <c r="F456" s="11" t="n">
        <v>94</v>
      </c>
      <c r="G456" s="11" t="n">
        <v>0</v>
      </c>
      <c r="H456" s="15">
        <f>IF(F456&gt;=E456,(E456-0.5)/E456,IF(G456&gt;0,(F456+0.5*G456)/E456,F456/E456))</f>
        <v/>
      </c>
      <c r="I456" s="11" t="inlineStr">
        <is>
          <t>中间分位</t>
        </is>
      </c>
      <c r="J456" s="11" t="inlineStr"/>
    </row>
    <row r="457">
      <c r="A457" s="6" t="inlineStr">
        <is>
          <t>2024-08-02</t>
        </is>
      </c>
      <c r="B457" s="16" t="n">
        <v>0.00199203187250996</v>
      </c>
      <c r="C457" s="6" t="inlineStr">
        <is>
          <t>2023-07-24</t>
        </is>
      </c>
      <c r="D457" s="6" t="inlineStr">
        <is>
          <t>2024-08-01</t>
        </is>
      </c>
      <c r="E457" s="6" t="n">
        <v>250</v>
      </c>
      <c r="F457" s="6" t="n">
        <v>77</v>
      </c>
      <c r="G457" s="6" t="n">
        <v>0</v>
      </c>
      <c r="H457" s="10">
        <f>IF(F457&gt;=E457,(E457-0.5)/E457,IF(G457&gt;0,(F457+0.5*G457)/E457,F457/E457))</f>
        <v/>
      </c>
      <c r="I457" s="6" t="inlineStr">
        <is>
          <t>中间分位</t>
        </is>
      </c>
      <c r="J457" s="6" t="inlineStr"/>
    </row>
    <row r="458">
      <c r="A458" s="11" t="inlineStr">
        <is>
          <t>2024-08-05</t>
        </is>
      </c>
      <c r="B458" s="17" t="n">
        <v>0.01789264413518887</v>
      </c>
      <c r="C458" s="11" t="inlineStr">
        <is>
          <t>2023-07-25</t>
        </is>
      </c>
      <c r="D458" s="11" t="inlineStr">
        <is>
          <t>2024-08-02</t>
        </is>
      </c>
      <c r="E458" s="11" t="n">
        <v>250</v>
      </c>
      <c r="F458" s="11" t="n">
        <v>135</v>
      </c>
      <c r="G458" s="11" t="n">
        <v>0</v>
      </c>
      <c r="H458" s="15">
        <f>IF(F458&gt;=E458,(E458-0.5)/E458,IF(G458&gt;0,(F458+0.5*G458)/E458,F458/E458))</f>
        <v/>
      </c>
      <c r="I458" s="11" t="inlineStr">
        <is>
          <t>中间分位</t>
        </is>
      </c>
      <c r="J458" s="11" t="inlineStr"/>
    </row>
    <row r="459">
      <c r="A459" s="6" t="inlineStr">
        <is>
          <t>2024-08-06</t>
        </is>
      </c>
      <c r="B459" s="16" t="n">
        <v>0.01164658634538153</v>
      </c>
      <c r="C459" s="6" t="inlineStr">
        <is>
          <t>2023-07-26</t>
        </is>
      </c>
      <c r="D459" s="6" t="inlineStr">
        <is>
          <t>2024-08-05</t>
        </is>
      </c>
      <c r="E459" s="6" t="n">
        <v>250</v>
      </c>
      <c r="F459" s="6" t="n">
        <v>111</v>
      </c>
      <c r="G459" s="6" t="n">
        <v>0</v>
      </c>
      <c r="H459" s="10">
        <f>IF(F459&gt;=E459,(E459-0.5)/E459,IF(G459&gt;0,(F459+0.5*G459)/E459,F459/E459))</f>
        <v/>
      </c>
      <c r="I459" s="6" t="inlineStr">
        <is>
          <t>中间分位</t>
        </is>
      </c>
      <c r="J459" s="6" t="inlineStr"/>
    </row>
    <row r="460">
      <c r="A460" s="11" t="inlineStr">
        <is>
          <t>2024-08-07</t>
        </is>
      </c>
      <c r="B460" s="17" t="n">
        <v>0.00679772036044478</v>
      </c>
      <c r="C460" s="11" t="inlineStr">
        <is>
          <t>2023-07-27</t>
        </is>
      </c>
      <c r="D460" s="11" t="inlineStr">
        <is>
          <t>2024-08-06</t>
        </is>
      </c>
      <c r="E460" s="11" t="n">
        <v>250</v>
      </c>
      <c r="F460" s="11" t="n">
        <v>95</v>
      </c>
      <c r="G460" s="11" t="n">
        <v>0</v>
      </c>
      <c r="H460" s="15">
        <f>IF(F460&gt;=E460,(E460-0.5)/E460,IF(G460&gt;0,(F460+0.5*G460)/E460,F460/E460))</f>
        <v/>
      </c>
      <c r="I460" s="11" t="inlineStr">
        <is>
          <t>中间分位</t>
        </is>
      </c>
      <c r="J460" s="11" t="inlineStr"/>
    </row>
    <row r="461">
      <c r="A461" s="6" t="inlineStr">
        <is>
          <t>2024-08-08</t>
        </is>
      </c>
      <c r="B461" s="16" t="n">
        <v>0.006339843102032229</v>
      </c>
      <c r="C461" s="6" t="inlineStr">
        <is>
          <t>2023-07-28</t>
        </is>
      </c>
      <c r="D461" s="6" t="inlineStr">
        <is>
          <t>2024-08-07</t>
        </is>
      </c>
      <c r="E461" s="6" t="n">
        <v>250</v>
      </c>
      <c r="F461" s="6" t="n">
        <v>93</v>
      </c>
      <c r="G461" s="6" t="n">
        <v>0</v>
      </c>
      <c r="H461" s="10">
        <f>IF(F461&gt;=E461,(E461-0.5)/E461,IF(G461&gt;0,(F461+0.5*G461)/E461,F461/E461))</f>
        <v/>
      </c>
      <c r="I461" s="6" t="inlineStr">
        <is>
          <t>中间分位</t>
        </is>
      </c>
      <c r="J461" s="6" t="inlineStr"/>
    </row>
    <row r="462">
      <c r="A462" s="11" t="inlineStr">
        <is>
          <t>2024-08-09</t>
        </is>
      </c>
      <c r="B462" s="17" t="n">
        <v>0.01038569064640506</v>
      </c>
      <c r="C462" s="11" t="inlineStr">
        <is>
          <t>2023-07-31</t>
        </is>
      </c>
      <c r="D462" s="11" t="inlineStr">
        <is>
          <t>2024-08-08</t>
        </is>
      </c>
      <c r="E462" s="11" t="n">
        <v>250</v>
      </c>
      <c r="F462" s="11" t="n">
        <v>105</v>
      </c>
      <c r="G462" s="11" t="n">
        <v>0</v>
      </c>
      <c r="H462" s="15">
        <f>IF(F462&gt;=E462,(E462-0.5)/E462,IF(G462&gt;0,(F462+0.5*G462)/E462,F462/E462))</f>
        <v/>
      </c>
      <c r="I462" s="11" t="inlineStr">
        <is>
          <t>中间分位</t>
        </is>
      </c>
      <c r="J462" s="11" t="inlineStr"/>
    </row>
    <row r="463">
      <c r="A463" s="6" t="inlineStr">
        <is>
          <t>2024-08-12</t>
        </is>
      </c>
      <c r="B463" s="16" t="n">
        <v>0.01707317073170732</v>
      </c>
      <c r="C463" s="6" t="inlineStr">
        <is>
          <t>2023-08-01</t>
        </is>
      </c>
      <c r="D463" s="6" t="inlineStr">
        <is>
          <t>2024-08-09</t>
        </is>
      </c>
      <c r="E463" s="6" t="n">
        <v>250</v>
      </c>
      <c r="F463" s="6" t="n">
        <v>131</v>
      </c>
      <c r="G463" s="6" t="n">
        <v>0</v>
      </c>
      <c r="H463" s="10">
        <f>IF(F463&gt;=E463,(E463-0.5)/E463,IF(G463&gt;0,(F463+0.5*G463)/E463,F463/E463))</f>
        <v/>
      </c>
      <c r="I463" s="6" t="inlineStr">
        <is>
          <t>中间分位</t>
        </is>
      </c>
      <c r="J463" s="6" t="inlineStr"/>
    </row>
    <row r="464">
      <c r="A464" s="11" t="inlineStr">
        <is>
          <t>2024-08-13</t>
        </is>
      </c>
      <c r="B464" s="17" t="n">
        <v>-0.03187749656109681</v>
      </c>
      <c r="C464" s="11" t="inlineStr">
        <is>
          <t>2023-08-02</t>
        </is>
      </c>
      <c r="D464" s="11" t="inlineStr">
        <is>
          <t>2024-08-12</t>
        </is>
      </c>
      <c r="E464" s="11" t="n">
        <v>250</v>
      </c>
      <c r="F464" s="11" t="n">
        <v>7</v>
      </c>
      <c r="G464" s="11" t="n">
        <v>0</v>
      </c>
      <c r="H464" s="15">
        <f>IF(F464&gt;=E464,(E464-0.5)/E464,IF(G464&gt;0,(F464+0.5*G464)/E464,F464/E464))</f>
        <v/>
      </c>
      <c r="I464" s="11" t="inlineStr">
        <is>
          <t>低分位</t>
        </is>
      </c>
      <c r="J464" s="11" t="inlineStr"/>
    </row>
    <row r="465">
      <c r="A465" s="6" t="inlineStr">
        <is>
          <t>2024-08-14</t>
        </is>
      </c>
      <c r="B465" s="16" t="n">
        <v>-0.01481872969440723</v>
      </c>
      <c r="C465" s="6" t="inlineStr">
        <is>
          <t>2023-08-03</t>
        </is>
      </c>
      <c r="D465" s="6" t="inlineStr">
        <is>
          <t>2024-08-13</t>
        </is>
      </c>
      <c r="E465" s="6" t="n">
        <v>250</v>
      </c>
      <c r="F465" s="6" t="n">
        <v>29</v>
      </c>
      <c r="G465" s="6" t="n">
        <v>0</v>
      </c>
      <c r="H465" s="10">
        <f>IF(F465&gt;=E465,(E465-0.5)/E465,IF(G465&gt;0,(F465+0.5*G465)/E465,F465/E465))</f>
        <v/>
      </c>
      <c r="I465" s="6" t="inlineStr">
        <is>
          <t>中间分位</t>
        </is>
      </c>
      <c r="J465" s="6" t="inlineStr"/>
    </row>
    <row r="466">
      <c r="A466" s="11" t="inlineStr">
        <is>
          <t>2024-08-15</t>
        </is>
      </c>
      <c r="B466" s="17" t="n">
        <v>-0.002109489438271932</v>
      </c>
      <c r="C466" s="11" t="inlineStr">
        <is>
          <t>2023-08-04</t>
        </is>
      </c>
      <c r="D466" s="11" t="inlineStr">
        <is>
          <t>2024-08-14</t>
        </is>
      </c>
      <c r="E466" s="11" t="n">
        <v>250</v>
      </c>
      <c r="F466" s="11" t="n">
        <v>57</v>
      </c>
      <c r="G466" s="11" t="n">
        <v>0</v>
      </c>
      <c r="H466" s="15">
        <f>IF(F466&gt;=E466,(E466-0.5)/E466,IF(G466&gt;0,(F466+0.5*G466)/E466,F466/E466))</f>
        <v/>
      </c>
      <c r="I466" s="11" t="inlineStr">
        <is>
          <t>中间分位</t>
        </is>
      </c>
      <c r="J466" s="11" t="inlineStr"/>
    </row>
    <row r="467">
      <c r="A467" s="6" t="inlineStr">
        <is>
          <t>2024-08-16</t>
        </is>
      </c>
      <c r="B467" s="16" t="n">
        <v>-0.01008844493649629</v>
      </c>
      <c r="C467" s="6" t="inlineStr">
        <is>
          <t>2023-08-07</t>
        </is>
      </c>
      <c r="D467" s="6" t="inlineStr">
        <is>
          <t>2024-08-15</t>
        </is>
      </c>
      <c r="E467" s="6" t="n">
        <v>250</v>
      </c>
      <c r="F467" s="6" t="n">
        <v>39</v>
      </c>
      <c r="G467" s="6" t="n">
        <v>0</v>
      </c>
      <c r="H467" s="10">
        <f>IF(F467&gt;=E467,(E467-0.5)/E467,IF(G467&gt;0,(F467+0.5*G467)/E467,F467/E467))</f>
        <v/>
      </c>
      <c r="I467" s="6" t="inlineStr">
        <is>
          <t>中间分位</t>
        </is>
      </c>
      <c r="J467" s="6" t="inlineStr"/>
    </row>
    <row r="468">
      <c r="A468" s="11" t="inlineStr">
        <is>
          <t>2024-08-19</t>
        </is>
      </c>
      <c r="B468" s="17" t="n">
        <v>-0.01299099793918737</v>
      </c>
      <c r="C468" s="11" t="inlineStr">
        <is>
          <t>2023-08-08</t>
        </is>
      </c>
      <c r="D468" s="11" t="inlineStr">
        <is>
          <t>2024-08-16</t>
        </is>
      </c>
      <c r="E468" s="11" t="n">
        <v>250</v>
      </c>
      <c r="F468" s="11" t="n">
        <v>33</v>
      </c>
      <c r="G468" s="11" t="n">
        <v>0</v>
      </c>
      <c r="H468" s="15">
        <f>IF(F468&gt;=E468,(E468-0.5)/E468,IF(G468&gt;0,(F468+0.5*G468)/E468,F468/E468))</f>
        <v/>
      </c>
      <c r="I468" s="11" t="inlineStr">
        <is>
          <t>中间分位</t>
        </is>
      </c>
      <c r="J468" s="11" t="inlineStr"/>
    </row>
    <row r="469">
      <c r="A469" s="6" t="inlineStr">
        <is>
          <t>2024-08-20</t>
        </is>
      </c>
      <c r="B469" s="16" t="n">
        <v>-0.02345679012345679</v>
      </c>
      <c r="C469" s="6" t="inlineStr">
        <is>
          <t>2023-08-09</t>
        </is>
      </c>
      <c r="D469" s="6" t="inlineStr">
        <is>
          <t>2024-08-19</t>
        </is>
      </c>
      <c r="E469" s="6" t="n">
        <v>250</v>
      </c>
      <c r="F469" s="6" t="n">
        <v>21</v>
      </c>
      <c r="G469" s="6" t="n">
        <v>0</v>
      </c>
      <c r="H469" s="10">
        <f>IF(F469&gt;=E469,(E469-0.5)/E469,IF(G469&gt;0,(F469+0.5*G469)/E469,F469/E469))</f>
        <v/>
      </c>
      <c r="I469" s="6" t="inlineStr">
        <is>
          <t>低分位</t>
        </is>
      </c>
      <c r="J469" s="6" t="inlineStr"/>
    </row>
    <row r="470">
      <c r="A470" s="11" t="inlineStr">
        <is>
          <t>2024-08-21</t>
        </is>
      </c>
      <c r="B470" s="17" t="n">
        <v>-0.02664714255996933</v>
      </c>
      <c r="C470" s="11" t="inlineStr">
        <is>
          <t>2023-08-10</t>
        </is>
      </c>
      <c r="D470" s="11" t="inlineStr">
        <is>
          <t>2024-08-20</t>
        </is>
      </c>
      <c r="E470" s="11" t="n">
        <v>250</v>
      </c>
      <c r="F470" s="11" t="n">
        <v>15</v>
      </c>
      <c r="G470" s="11" t="n">
        <v>0</v>
      </c>
      <c r="H470" s="15">
        <f>IF(F470&gt;=E470,(E470-0.5)/E470,IF(G470&gt;0,(F470+0.5*G470)/E470,F470/E470))</f>
        <v/>
      </c>
      <c r="I470" s="11" t="inlineStr">
        <is>
          <t>低分位</t>
        </is>
      </c>
      <c r="J470" s="11" t="inlineStr"/>
    </row>
    <row r="471">
      <c r="A471" s="6" t="inlineStr">
        <is>
          <t>2024-08-22</t>
        </is>
      </c>
      <c r="B471" s="16" t="n">
        <v>-0.0153209378050114</v>
      </c>
      <c r="C471" s="6" t="inlineStr">
        <is>
          <t>2023-08-11</t>
        </is>
      </c>
      <c r="D471" s="6" t="inlineStr">
        <is>
          <t>2024-08-21</t>
        </is>
      </c>
      <c r="E471" s="6" t="n">
        <v>250</v>
      </c>
      <c r="F471" s="6" t="n">
        <v>27</v>
      </c>
      <c r="G471" s="6" t="n">
        <v>0</v>
      </c>
      <c r="H471" s="10">
        <f>IF(F471&gt;=E471,(E471-0.5)/E471,IF(G471&gt;0,(F471+0.5*G471)/E471,F471/E471))</f>
        <v/>
      </c>
      <c r="I471" s="6" t="inlineStr">
        <is>
          <t>中间分位</t>
        </is>
      </c>
      <c r="J471" s="6" t="inlineStr"/>
    </row>
    <row r="472">
      <c r="A472" s="11" t="inlineStr">
        <is>
          <t>2024-08-23</t>
        </is>
      </c>
      <c r="B472" s="17" t="n">
        <v>-0.004565474055776957</v>
      </c>
      <c r="C472" s="11" t="inlineStr">
        <is>
          <t>2023-08-14</t>
        </is>
      </c>
      <c r="D472" s="11" t="inlineStr">
        <is>
          <t>2024-08-22</t>
        </is>
      </c>
      <c r="E472" s="11" t="n">
        <v>250</v>
      </c>
      <c r="F472" s="11" t="n">
        <v>51</v>
      </c>
      <c r="G472" s="11" t="n">
        <v>0</v>
      </c>
      <c r="H472" s="15">
        <f>IF(F472&gt;=E472,(E472-0.5)/E472,IF(G472&gt;0,(F472+0.5*G472)/E472,F472/E472))</f>
        <v/>
      </c>
      <c r="I472" s="11" t="inlineStr">
        <is>
          <t>中间分位</t>
        </is>
      </c>
      <c r="J472" s="11" t="inlineStr"/>
    </row>
    <row r="473">
      <c r="A473" s="6" t="inlineStr">
        <is>
          <t>2024-08-26</t>
        </is>
      </c>
      <c r="B473" s="16" t="n">
        <v>-0.02775757920436126</v>
      </c>
      <c r="C473" s="6" t="inlineStr">
        <is>
          <t>2023-08-15</t>
        </is>
      </c>
      <c r="D473" s="6" t="inlineStr">
        <is>
          <t>2024-08-23</t>
        </is>
      </c>
      <c r="E473" s="6" t="n">
        <v>250</v>
      </c>
      <c r="F473" s="6" t="n">
        <v>10</v>
      </c>
      <c r="G473" s="6" t="n">
        <v>0</v>
      </c>
      <c r="H473" s="10">
        <f>IF(F473&gt;=E473,(E473-0.5)/E473,IF(G473&gt;0,(F473+0.5*G473)/E473,F473/E473))</f>
        <v/>
      </c>
      <c r="I473" s="6" t="inlineStr">
        <is>
          <t>低分位</t>
        </is>
      </c>
      <c r="J473" s="6" t="inlineStr"/>
    </row>
    <row r="474">
      <c r="A474" s="11" t="inlineStr">
        <is>
          <t>2024-08-27</t>
        </is>
      </c>
      <c r="B474" s="17" t="n">
        <v>-0.01569417788871838</v>
      </c>
      <c r="C474" s="11" t="inlineStr">
        <is>
          <t>2023-08-16</t>
        </is>
      </c>
      <c r="D474" s="11" t="inlineStr">
        <is>
          <t>2024-08-26</t>
        </is>
      </c>
      <c r="E474" s="11" t="n">
        <v>250</v>
      </c>
      <c r="F474" s="11" t="n">
        <v>25</v>
      </c>
      <c r="G474" s="11" t="n">
        <v>0</v>
      </c>
      <c r="H474" s="15">
        <f>IF(F474&gt;=E474,(E474-0.5)/E474,IF(G474&gt;0,(F474+0.5*G474)/E474,F474/E474))</f>
        <v/>
      </c>
      <c r="I474" s="11" t="inlineStr">
        <is>
          <t>低分位</t>
        </is>
      </c>
      <c r="J474" s="11" t="inlineStr"/>
    </row>
    <row r="475">
      <c r="A475" s="6" t="inlineStr">
        <is>
          <t>2024-08-28</t>
        </is>
      </c>
      <c r="B475" s="16" t="n">
        <v>-0.0148</v>
      </c>
      <c r="C475" s="6" t="inlineStr">
        <is>
          <t>2023-08-17</t>
        </is>
      </c>
      <c r="D475" s="6" t="inlineStr">
        <is>
          <t>2024-08-27</t>
        </is>
      </c>
      <c r="E475" s="6" t="n">
        <v>250</v>
      </c>
      <c r="F475" s="6" t="n">
        <v>29</v>
      </c>
      <c r="G475" s="6" t="n">
        <v>0</v>
      </c>
      <c r="H475" s="10">
        <f>IF(F475&gt;=E475,(E475-0.5)/E475,IF(G475&gt;0,(F475+0.5*G475)/E475,F475/E475))</f>
        <v/>
      </c>
      <c r="I475" s="6" t="inlineStr">
        <is>
          <t>中间分位</t>
        </is>
      </c>
      <c r="J475" s="6" t="inlineStr"/>
    </row>
    <row r="476">
      <c r="A476" s="11" t="inlineStr">
        <is>
          <t>2024-08-29</t>
        </is>
      </c>
      <c r="B476" s="17" t="n">
        <v>-0.01124178415934042</v>
      </c>
      <c r="C476" s="11" t="inlineStr">
        <is>
          <t>2023-08-18</t>
        </is>
      </c>
      <c r="D476" s="11" t="inlineStr">
        <is>
          <t>2024-08-28</t>
        </is>
      </c>
      <c r="E476" s="11" t="n">
        <v>250</v>
      </c>
      <c r="F476" s="11" t="n">
        <v>36</v>
      </c>
      <c r="G476" s="11" t="n">
        <v>0</v>
      </c>
      <c r="H476" s="15">
        <f>IF(F476&gt;=E476,(E476-0.5)/E476,IF(G476&gt;0,(F476+0.5*G476)/E476,F476/E476))</f>
        <v/>
      </c>
      <c r="I476" s="11" t="inlineStr">
        <is>
          <t>中间分位</t>
        </is>
      </c>
      <c r="J476" s="11" t="inlineStr"/>
    </row>
    <row r="477">
      <c r="A477" s="6" t="inlineStr">
        <is>
          <t>2024-08-30</t>
        </is>
      </c>
      <c r="B477" s="16" t="n">
        <v>-0.01288949968547537</v>
      </c>
      <c r="C477" s="6" t="inlineStr">
        <is>
          <t>2023-08-21</t>
        </is>
      </c>
      <c r="D477" s="6" t="inlineStr">
        <is>
          <t>2024-08-29</t>
        </is>
      </c>
      <c r="E477" s="6" t="n">
        <v>250</v>
      </c>
      <c r="F477" s="6" t="n">
        <v>32</v>
      </c>
      <c r="G477" s="6" t="n">
        <v>0</v>
      </c>
      <c r="H477" s="10">
        <f>IF(F477&gt;=E477,(E477-0.5)/E477,IF(G477&gt;0,(F477+0.5*G477)/E477,F477/E477))</f>
        <v/>
      </c>
      <c r="I477" s="6" t="inlineStr">
        <is>
          <t>中间分位</t>
        </is>
      </c>
      <c r="J477" s="6" t="inlineStr"/>
    </row>
    <row r="478">
      <c r="A478" s="11" t="inlineStr">
        <is>
          <t>2024-09-02</t>
        </is>
      </c>
      <c r="B478" s="17" t="n">
        <v>0.001209677419354839</v>
      </c>
      <c r="C478" s="11" t="inlineStr">
        <is>
          <t>2023-08-22</t>
        </is>
      </c>
      <c r="D478" s="11" t="inlineStr">
        <is>
          <t>2024-08-30</t>
        </is>
      </c>
      <c r="E478" s="11" t="n">
        <v>250</v>
      </c>
      <c r="F478" s="11" t="n">
        <v>72</v>
      </c>
      <c r="G478" s="11" t="n">
        <v>0</v>
      </c>
      <c r="H478" s="15">
        <f>IF(F478&gt;=E478,(E478-0.5)/E478,IF(G478&gt;0,(F478+0.5*G478)/E478,F478/E478))</f>
        <v/>
      </c>
      <c r="I478" s="11" t="inlineStr">
        <is>
          <t>中间分位</t>
        </is>
      </c>
      <c r="J478" s="11" t="inlineStr"/>
    </row>
    <row r="479">
      <c r="A479" s="6" t="inlineStr">
        <is>
          <t>2024-09-03</t>
        </is>
      </c>
      <c r="B479" s="16" t="n">
        <v>-0.001626016260162602</v>
      </c>
      <c r="C479" s="6" t="inlineStr">
        <is>
          <t>2023-08-23</t>
        </is>
      </c>
      <c r="D479" s="6" t="inlineStr">
        <is>
          <t>2024-09-02</t>
        </is>
      </c>
      <c r="E479" s="6" t="n">
        <v>250</v>
      </c>
      <c r="F479" s="6" t="n">
        <v>59</v>
      </c>
      <c r="G479" s="6" t="n">
        <v>0</v>
      </c>
      <c r="H479" s="10">
        <f>IF(F479&gt;=E479,(E479-0.5)/E479,IF(G479&gt;0,(F479+0.5*G479)/E479,F479/E479))</f>
        <v/>
      </c>
      <c r="I479" s="6" t="inlineStr">
        <is>
          <t>中间分位</t>
        </is>
      </c>
      <c r="J479" s="6" t="inlineStr"/>
    </row>
    <row r="480">
      <c r="A480" s="11" t="inlineStr">
        <is>
          <t>2024-09-04</t>
        </is>
      </c>
      <c r="B480" s="17" t="n">
        <v>0.01747571230970732</v>
      </c>
      <c r="C480" s="11" t="inlineStr">
        <is>
          <t>2023-08-24</t>
        </is>
      </c>
      <c r="D480" s="11" t="inlineStr">
        <is>
          <t>2024-09-03</t>
        </is>
      </c>
      <c r="E480" s="11" t="n">
        <v>250</v>
      </c>
      <c r="F480" s="11" t="n">
        <v>133</v>
      </c>
      <c r="G480" s="11" t="n">
        <v>0</v>
      </c>
      <c r="H480" s="15">
        <f>IF(F480&gt;=E480,(E480-0.5)/E480,IF(G480&gt;0,(F480+0.5*G480)/E480,F480/E480))</f>
        <v/>
      </c>
      <c r="I480" s="11" t="inlineStr">
        <is>
          <t>中间分位</t>
        </is>
      </c>
      <c r="J480" s="11" t="inlineStr"/>
    </row>
    <row r="481">
      <c r="A481" s="6" t="inlineStr">
        <is>
          <t>2024-09-05</t>
        </is>
      </c>
      <c r="B481" s="16" t="n">
        <v>0.01896907216494845</v>
      </c>
      <c r="C481" s="6" t="inlineStr">
        <is>
          <t>2023-08-25</t>
        </is>
      </c>
      <c r="D481" s="6" t="inlineStr">
        <is>
          <t>2024-09-04</t>
        </is>
      </c>
      <c r="E481" s="6" t="n">
        <v>250</v>
      </c>
      <c r="F481" s="6" t="n">
        <v>136</v>
      </c>
      <c r="G481" s="6" t="n">
        <v>0</v>
      </c>
      <c r="H481" s="10">
        <f>IF(F481&gt;=E481,(E481-0.5)/E481,IF(G481&gt;0,(F481+0.5*G481)/E481,F481/E481))</f>
        <v/>
      </c>
      <c r="I481" s="6" t="inlineStr">
        <is>
          <t>中间分位</t>
        </is>
      </c>
      <c r="J481" s="6" t="inlineStr"/>
    </row>
    <row r="482">
      <c r="A482" s="11" t="inlineStr">
        <is>
          <t>2024-09-06</t>
        </is>
      </c>
      <c r="B482" s="17" t="n">
        <v>0.006215866176550718</v>
      </c>
      <c r="C482" s="11" t="inlineStr">
        <is>
          <t>2023-08-28</t>
        </is>
      </c>
      <c r="D482" s="11" t="inlineStr">
        <is>
          <t>2024-09-05</t>
        </is>
      </c>
      <c r="E482" s="11" t="n">
        <v>250</v>
      </c>
      <c r="F482" s="11" t="n">
        <v>89</v>
      </c>
      <c r="G482" s="11" t="n">
        <v>0</v>
      </c>
      <c r="H482" s="15">
        <f>IF(F482&gt;=E482,(E482-0.5)/E482,IF(G482&gt;0,(F482+0.5*G482)/E482,F482/E482))</f>
        <v/>
      </c>
      <c r="I482" s="11" t="inlineStr">
        <is>
          <t>中间分位</t>
        </is>
      </c>
      <c r="J482" s="11" t="inlineStr"/>
    </row>
    <row r="483">
      <c r="A483" s="6" t="inlineStr">
        <is>
          <t>2024-09-09</t>
        </is>
      </c>
      <c r="B483" s="16" t="n">
        <v>0.008311572911733024</v>
      </c>
      <c r="C483" s="6" t="inlineStr">
        <is>
          <t>2023-08-29</t>
        </is>
      </c>
      <c r="D483" s="6" t="inlineStr">
        <is>
          <t>2024-09-06</t>
        </is>
      </c>
      <c r="E483" s="6" t="n">
        <v>250</v>
      </c>
      <c r="F483" s="6" t="n">
        <v>97</v>
      </c>
      <c r="G483" s="6" t="n">
        <v>0</v>
      </c>
      <c r="H483" s="10">
        <f>IF(F483&gt;=E483,(E483-0.5)/E483,IF(G483&gt;0,(F483+0.5*G483)/E483,F483/E483))</f>
        <v/>
      </c>
      <c r="I483" s="6" t="inlineStr">
        <is>
          <t>中间分位</t>
        </is>
      </c>
      <c r="J483" s="6" t="inlineStr"/>
    </row>
    <row r="484">
      <c r="A484" s="11" t="inlineStr">
        <is>
          <t>2024-09-10</t>
        </is>
      </c>
      <c r="B484" s="17" t="n">
        <v>0.02310924369747899</v>
      </c>
      <c r="C484" s="11" t="inlineStr">
        <is>
          <t>2023-08-30</t>
        </is>
      </c>
      <c r="D484" s="11" t="inlineStr">
        <is>
          <t>2024-09-09</t>
        </is>
      </c>
      <c r="E484" s="11" t="n">
        <v>250</v>
      </c>
      <c r="F484" s="11" t="n">
        <v>148</v>
      </c>
      <c r="G484" s="11" t="n">
        <v>0</v>
      </c>
      <c r="H484" s="15">
        <f>IF(F484&gt;=E484,(E484-0.5)/E484,IF(G484&gt;0,(F484+0.5*G484)/E484,F484/E484))</f>
        <v/>
      </c>
      <c r="I484" s="11" t="inlineStr">
        <is>
          <t>中间分位</t>
        </is>
      </c>
      <c r="J484" s="11" t="inlineStr"/>
    </row>
    <row r="485">
      <c r="A485" s="6" t="inlineStr">
        <is>
          <t>2024-09-11</t>
        </is>
      </c>
      <c r="B485" s="16" t="n">
        <v>-0.00748663101604278</v>
      </c>
      <c r="C485" s="6" t="inlineStr">
        <is>
          <t>2023-08-31</t>
        </is>
      </c>
      <c r="D485" s="6" t="inlineStr">
        <is>
          <t>2024-09-10</t>
        </is>
      </c>
      <c r="E485" s="6" t="n">
        <v>250</v>
      </c>
      <c r="F485" s="6" t="n">
        <v>40</v>
      </c>
      <c r="G485" s="6" t="n">
        <v>0</v>
      </c>
      <c r="H485" s="10">
        <f>IF(F485&gt;=E485,(E485-0.5)/E485,IF(G485&gt;0,(F485+0.5*G485)/E485,F485/E485))</f>
        <v/>
      </c>
      <c r="I485" s="6" t="inlineStr">
        <is>
          <t>中间分位</t>
        </is>
      </c>
      <c r="J485" s="6" t="inlineStr"/>
    </row>
    <row r="486">
      <c r="A486" s="11" t="inlineStr">
        <is>
          <t>2024-09-12</t>
        </is>
      </c>
      <c r="B486" s="17" t="n">
        <v>-0.006398603020882982</v>
      </c>
      <c r="C486" s="11" t="inlineStr">
        <is>
          <t>2023-09-01</t>
        </is>
      </c>
      <c r="D486" s="11" t="inlineStr">
        <is>
          <t>2024-09-11</t>
        </is>
      </c>
      <c r="E486" s="11" t="n">
        <v>250</v>
      </c>
      <c r="F486" s="11" t="n">
        <v>41</v>
      </c>
      <c r="G486" s="11" t="n">
        <v>0</v>
      </c>
      <c r="H486" s="15">
        <f>IF(F486&gt;=E486,(E486-0.5)/E486,IF(G486&gt;0,(F486+0.5*G486)/E486,F486/E486))</f>
        <v/>
      </c>
      <c r="I486" s="11" t="inlineStr">
        <is>
          <t>中间分位</t>
        </is>
      </c>
      <c r="J486" s="11" t="inlineStr"/>
    </row>
    <row r="487">
      <c r="A487" s="6" t="inlineStr">
        <is>
          <t>2024-09-13</t>
        </is>
      </c>
      <c r="B487" s="16" t="n">
        <v>0.009489448547902386</v>
      </c>
      <c r="C487" s="6" t="inlineStr">
        <is>
          <t>2023-09-04</t>
        </is>
      </c>
      <c r="D487" s="6" t="inlineStr">
        <is>
          <t>2024-09-12</t>
        </is>
      </c>
      <c r="E487" s="6" t="n">
        <v>250</v>
      </c>
      <c r="F487" s="6" t="n">
        <v>98</v>
      </c>
      <c r="G487" s="6" t="n">
        <v>0</v>
      </c>
      <c r="H487" s="10">
        <f>IF(F487&gt;=E487,(E487-0.5)/E487,IF(G487&gt;0,(F487+0.5*G487)/E487,F487/E487))</f>
        <v/>
      </c>
      <c r="I487" s="6" t="inlineStr">
        <is>
          <t>中间分位</t>
        </is>
      </c>
      <c r="J487" s="6" t="inlineStr"/>
    </row>
    <row r="488">
      <c r="A488" s="11" t="inlineStr">
        <is>
          <t>2024-09-18</t>
        </is>
      </c>
      <c r="B488" s="17" t="n">
        <v>0.006524626613981104</v>
      </c>
      <c r="C488" s="11" t="inlineStr">
        <is>
          <t>2023-09-05</t>
        </is>
      </c>
      <c r="D488" s="11" t="inlineStr">
        <is>
          <t>2024-09-13</t>
        </is>
      </c>
      <c r="E488" s="11" t="n">
        <v>250</v>
      </c>
      <c r="F488" s="11" t="n">
        <v>87</v>
      </c>
      <c r="G488" s="11" t="n">
        <v>0</v>
      </c>
      <c r="H488" s="15">
        <f>IF(F488&gt;=E488,(E488-0.5)/E488,IF(G488&gt;0,(F488+0.5*G488)/E488,F488/E488))</f>
        <v/>
      </c>
      <c r="I488" s="11" t="inlineStr">
        <is>
          <t>中间分位</t>
        </is>
      </c>
      <c r="J488" s="11" t="inlineStr"/>
    </row>
    <row r="489">
      <c r="A489" s="6" t="inlineStr">
        <is>
          <t>2024-09-19</t>
        </is>
      </c>
      <c r="B489" s="16" t="n">
        <v>-0.004301173766587416</v>
      </c>
      <c r="C489" s="6" t="inlineStr">
        <is>
          <t>2023-09-06</t>
        </is>
      </c>
      <c r="D489" s="6" t="inlineStr">
        <is>
          <t>2024-09-18</t>
        </is>
      </c>
      <c r="E489" s="6" t="n">
        <v>250</v>
      </c>
      <c r="F489" s="6" t="n">
        <v>43</v>
      </c>
      <c r="G489" s="6" t="n">
        <v>0</v>
      </c>
      <c r="H489" s="10">
        <f>IF(F489&gt;=E489,(E489-0.5)/E489,IF(G489&gt;0,(F489+0.5*G489)/E489,F489/E489))</f>
        <v/>
      </c>
      <c r="I489" s="6" t="inlineStr">
        <is>
          <t>中间分位</t>
        </is>
      </c>
      <c r="J489" s="6" t="inlineStr"/>
    </row>
    <row r="490">
      <c r="A490" s="11" t="inlineStr">
        <is>
          <t>2024-09-20</t>
        </is>
      </c>
      <c r="B490" s="17" t="n">
        <v>0.02377049180327869</v>
      </c>
      <c r="C490" s="11" t="inlineStr">
        <is>
          <t>2023-09-07</t>
        </is>
      </c>
      <c r="D490" s="11" t="inlineStr">
        <is>
          <t>2024-09-19</t>
        </is>
      </c>
      <c r="E490" s="11" t="n">
        <v>250</v>
      </c>
      <c r="F490" s="11" t="n">
        <v>148</v>
      </c>
      <c r="G490" s="11" t="n">
        <v>0</v>
      </c>
      <c r="H490" s="15">
        <f>IF(F490&gt;=E490,(E490-0.5)/E490,IF(G490&gt;0,(F490+0.5*G490)/E490,F490/E490))</f>
        <v/>
      </c>
      <c r="I490" s="11" t="inlineStr">
        <is>
          <t>中间分位</t>
        </is>
      </c>
      <c r="J490" s="11" t="inlineStr"/>
    </row>
    <row r="491">
      <c r="A491" s="6" t="inlineStr">
        <is>
          <t>2024-09-23</t>
        </is>
      </c>
      <c r="B491" s="16" t="n">
        <v>0.02946058091286307</v>
      </c>
      <c r="C491" s="6" t="inlineStr">
        <is>
          <t>2023-09-08</t>
        </is>
      </c>
      <c r="D491" s="6" t="inlineStr">
        <is>
          <t>2024-09-20</t>
        </is>
      </c>
      <c r="E491" s="6" t="n">
        <v>250</v>
      </c>
      <c r="F491" s="6" t="n">
        <v>157</v>
      </c>
      <c r="G491" s="6" t="n">
        <v>0</v>
      </c>
      <c r="H491" s="10">
        <f>IF(F491&gt;=E491,(E491-0.5)/E491,IF(G491&gt;0,(F491+0.5*G491)/E491,F491/E491))</f>
        <v/>
      </c>
      <c r="I491" s="6" t="inlineStr">
        <is>
          <t>中间分位</t>
        </is>
      </c>
      <c r="J491" s="6" t="inlineStr"/>
    </row>
    <row r="492">
      <c r="A492" s="11" t="inlineStr">
        <is>
          <t>2024-09-24</t>
        </is>
      </c>
      <c r="B492" s="17" t="n">
        <v>-0.006722689075630253</v>
      </c>
      <c r="C492" s="11" t="inlineStr">
        <is>
          <t>2023-09-11</t>
        </is>
      </c>
      <c r="D492" s="11" t="inlineStr">
        <is>
          <t>2024-09-23</t>
        </is>
      </c>
      <c r="E492" s="11" t="n">
        <v>250</v>
      </c>
      <c r="F492" s="11" t="n">
        <v>35</v>
      </c>
      <c r="G492" s="11" t="n">
        <v>0</v>
      </c>
      <c r="H492" s="15">
        <f>IF(F492&gt;=E492,(E492-0.5)/E492,IF(G492&gt;0,(F492+0.5*G492)/E492,F492/E492))</f>
        <v/>
      </c>
      <c r="I492" s="11" t="inlineStr">
        <is>
          <t>中间分位</t>
        </is>
      </c>
      <c r="J492" s="11" t="inlineStr"/>
    </row>
    <row r="493">
      <c r="A493" s="6" t="inlineStr">
        <is>
          <t>2024-09-25</t>
        </is>
      </c>
      <c r="B493" s="16" t="n">
        <v>-0.008454080969725421</v>
      </c>
      <c r="C493" s="6" t="inlineStr">
        <is>
          <t>2023-09-12</t>
        </is>
      </c>
      <c r="D493" s="6" t="inlineStr">
        <is>
          <t>2024-09-24</t>
        </is>
      </c>
      <c r="E493" s="6" t="n">
        <v>250</v>
      </c>
      <c r="F493" s="6" t="n">
        <v>30</v>
      </c>
      <c r="G493" s="6" t="n">
        <v>0</v>
      </c>
      <c r="H493" s="10">
        <f>IF(F493&gt;=E493,(E493-0.5)/E493,IF(G493&gt;0,(F493+0.5*G493)/E493,F493/E493))</f>
        <v/>
      </c>
      <c r="I493" s="6" t="inlineStr">
        <is>
          <t>中间分位</t>
        </is>
      </c>
      <c r="J493" s="6" t="inlineStr"/>
    </row>
    <row r="494">
      <c r="A494" s="11" t="inlineStr">
        <is>
          <t>2024-09-26</t>
        </is>
      </c>
      <c r="B494" s="17" t="n">
        <v>0.01435996684591106</v>
      </c>
      <c r="C494" s="11" t="inlineStr">
        <is>
          <t>2023-09-13</t>
        </is>
      </c>
      <c r="D494" s="11" t="inlineStr">
        <is>
          <t>2024-09-25</t>
        </is>
      </c>
      <c r="E494" s="11" t="n">
        <v>250</v>
      </c>
      <c r="F494" s="11" t="n">
        <v>116</v>
      </c>
      <c r="G494" s="11" t="n">
        <v>0</v>
      </c>
      <c r="H494" s="15">
        <f>IF(F494&gt;=E494,(E494-0.5)/E494,IF(G494&gt;0,(F494+0.5*G494)/E494,F494/E494))</f>
        <v/>
      </c>
      <c r="I494" s="11" t="inlineStr">
        <is>
          <t>中间分位</t>
        </is>
      </c>
      <c r="J494" s="11" t="inlineStr"/>
    </row>
    <row r="495">
      <c r="A495" s="6" t="inlineStr">
        <is>
          <t>2024-09-27</t>
        </is>
      </c>
      <c r="B495" s="16" t="n">
        <v>-0.002937525349983407</v>
      </c>
      <c r="C495" s="6" t="inlineStr">
        <is>
          <t>2023-09-14</t>
        </is>
      </c>
      <c r="D495" s="6" t="inlineStr">
        <is>
          <t>2024-09-26</t>
        </is>
      </c>
      <c r="E495" s="6" t="n">
        <v>250</v>
      </c>
      <c r="F495" s="6" t="n">
        <v>45</v>
      </c>
      <c r="G495" s="6" t="n">
        <v>0</v>
      </c>
      <c r="H495" s="10">
        <f>IF(F495&gt;=E495,(E495-0.5)/E495,IF(G495&gt;0,(F495+0.5*G495)/E495,F495/E495))</f>
        <v/>
      </c>
      <c r="I495" s="6" t="inlineStr">
        <is>
          <t>中间分位</t>
        </is>
      </c>
      <c r="J495" s="6" t="inlineStr"/>
    </row>
    <row r="496">
      <c r="A496" s="11" t="inlineStr">
        <is>
          <t>2024-09-30</t>
        </is>
      </c>
      <c r="B496" s="17" t="n">
        <v>-0.002648580606989553</v>
      </c>
      <c r="C496" s="11" t="inlineStr">
        <is>
          <t>2023-09-15</t>
        </is>
      </c>
      <c r="D496" s="11" t="inlineStr">
        <is>
          <t>2024-09-27</t>
        </is>
      </c>
      <c r="E496" s="11" t="n">
        <v>250</v>
      </c>
      <c r="F496" s="11" t="n">
        <v>47</v>
      </c>
      <c r="G496" s="11" t="n">
        <v>0</v>
      </c>
      <c r="H496" s="15">
        <f>IF(F496&gt;=E496,(E496-0.5)/E496,IF(G496&gt;0,(F496+0.5*G496)/E496,F496/E496))</f>
        <v/>
      </c>
      <c r="I496" s="11" t="inlineStr">
        <is>
          <t>中间分位</t>
        </is>
      </c>
      <c r="J496" s="11" t="inlineStr"/>
    </row>
    <row r="497">
      <c r="A497" s="6" t="inlineStr">
        <is>
          <t>2024-10-08</t>
        </is>
      </c>
      <c r="B497" s="16" t="n">
        <v>0.004073714839961203</v>
      </c>
      <c r="C497" s="6" t="inlineStr">
        <is>
          <t>2023-09-18</t>
        </is>
      </c>
      <c r="D497" s="6" t="inlineStr">
        <is>
          <t>2024-09-30</t>
        </is>
      </c>
      <c r="E497" s="6" t="n">
        <v>250</v>
      </c>
      <c r="F497" s="6" t="n">
        <v>73</v>
      </c>
      <c r="G497" s="6" t="n">
        <v>0</v>
      </c>
      <c r="H497" s="10">
        <f>IF(F497&gt;=E497,(E497-0.5)/E497,IF(G497&gt;0,(F497+0.5*G497)/E497,F497/E497))</f>
        <v/>
      </c>
      <c r="I497" s="6" t="inlineStr">
        <is>
          <t>中间分位</t>
        </is>
      </c>
      <c r="J497" s="6" t="inlineStr"/>
    </row>
    <row r="498">
      <c r="A498" s="11" t="inlineStr">
        <is>
          <t>2024-10-09</t>
        </is>
      </c>
      <c r="B498" s="17" t="n">
        <v>0.0396172204988496</v>
      </c>
      <c r="C498" s="11" t="inlineStr">
        <is>
          <t>2023-09-19</t>
        </is>
      </c>
      <c r="D498" s="11" t="inlineStr">
        <is>
          <t>2024-10-08</t>
        </is>
      </c>
      <c r="E498" s="11" t="n">
        <v>250</v>
      </c>
      <c r="F498" s="11" t="n">
        <v>179</v>
      </c>
      <c r="G498" s="11" t="n">
        <v>0</v>
      </c>
      <c r="H498" s="15">
        <f>IF(F498&gt;=E498,(E498-0.5)/E498,IF(G498&gt;0,(F498+0.5*G498)/E498,F498/E498))</f>
        <v/>
      </c>
      <c r="I498" s="11" t="inlineStr">
        <is>
          <t>中间分位</t>
        </is>
      </c>
      <c r="J498" s="11" t="inlineStr"/>
    </row>
    <row r="499">
      <c r="A499" s="6" t="inlineStr">
        <is>
          <t>2024-10-10</t>
        </is>
      </c>
      <c r="B499" s="16" t="n">
        <v>0.03604651162790698</v>
      </c>
      <c r="C499" s="6" t="inlineStr">
        <is>
          <t>2023-09-20</t>
        </is>
      </c>
      <c r="D499" s="6" t="inlineStr">
        <is>
          <t>2024-10-09</t>
        </is>
      </c>
      <c r="E499" s="6" t="n">
        <v>250</v>
      </c>
      <c r="F499" s="6" t="n">
        <v>168</v>
      </c>
      <c r="G499" s="6" t="n">
        <v>0</v>
      </c>
      <c r="H499" s="10">
        <f>IF(F499&gt;=E499,(E499-0.5)/E499,IF(G499&gt;0,(F499+0.5*G499)/E499,F499/E499))</f>
        <v/>
      </c>
      <c r="I499" s="6" t="inlineStr">
        <is>
          <t>中间分位</t>
        </is>
      </c>
      <c r="J499" s="6" t="inlineStr"/>
    </row>
    <row r="500">
      <c r="A500" s="11" t="inlineStr">
        <is>
          <t>2024-10-11</t>
        </is>
      </c>
      <c r="B500" s="17" t="n">
        <v>0.001129366317747014</v>
      </c>
      <c r="C500" s="11" t="inlineStr">
        <is>
          <t>2023-09-21</t>
        </is>
      </c>
      <c r="D500" s="11" t="inlineStr">
        <is>
          <t>2024-10-10</t>
        </is>
      </c>
      <c r="E500" s="11" t="n">
        <v>250</v>
      </c>
      <c r="F500" s="11" t="n">
        <v>59</v>
      </c>
      <c r="G500" s="11" t="n">
        <v>0</v>
      </c>
      <c r="H500" s="15">
        <f>IF(F500&gt;=E500,(E500-0.5)/E500,IF(G500&gt;0,(F500+0.5*G500)/E500,F500/E500))</f>
        <v/>
      </c>
      <c r="I500" s="11" t="inlineStr">
        <is>
          <t>中间分位</t>
        </is>
      </c>
      <c r="J500" s="11" t="inlineStr"/>
    </row>
    <row r="501">
      <c r="A501" s="6" t="inlineStr">
        <is>
          <t>2024-10-14</t>
        </is>
      </c>
      <c r="B501" s="16" t="n">
        <v>0.0206413838780093</v>
      </c>
      <c r="C501" s="6" t="inlineStr">
        <is>
          <t>2023-09-22</t>
        </is>
      </c>
      <c r="D501" s="6" t="inlineStr">
        <is>
          <t>2024-10-11</t>
        </is>
      </c>
      <c r="E501" s="6" t="n">
        <v>250</v>
      </c>
      <c r="F501" s="6" t="n">
        <v>136</v>
      </c>
      <c r="G501" s="6" t="n">
        <v>0</v>
      </c>
      <c r="H501" s="10">
        <f>IF(F501&gt;=E501,(E501-0.5)/E501,IF(G501&gt;0,(F501+0.5*G501)/E501,F501/E501))</f>
        <v/>
      </c>
      <c r="I501" s="6" t="inlineStr">
        <is>
          <t>中间分位</t>
        </is>
      </c>
      <c r="J501" s="6" t="inlineStr"/>
    </row>
    <row r="502">
      <c r="A502" s="11" t="inlineStr">
        <is>
          <t>2024-10-15</t>
        </is>
      </c>
      <c r="B502" s="17" t="n">
        <v>0.02111553784860558</v>
      </c>
      <c r="C502" s="11" t="inlineStr">
        <is>
          <t>2023-09-25</t>
        </is>
      </c>
      <c r="D502" s="11" t="inlineStr">
        <is>
          <t>2024-10-14</t>
        </is>
      </c>
      <c r="E502" s="11" t="n">
        <v>250</v>
      </c>
      <c r="F502" s="11" t="n">
        <v>138</v>
      </c>
      <c r="G502" s="11" t="n">
        <v>0</v>
      </c>
      <c r="H502" s="15">
        <f>IF(F502&gt;=E502,(E502-0.5)/E502,IF(G502&gt;0,(F502+0.5*G502)/E502,F502/E502))</f>
        <v/>
      </c>
      <c r="I502" s="11" t="inlineStr">
        <is>
          <t>中间分位</t>
        </is>
      </c>
      <c r="J502" s="11" t="inlineStr"/>
    </row>
    <row r="503">
      <c r="A503" s="6" t="inlineStr">
        <is>
          <t>2024-10-16</t>
        </is>
      </c>
      <c r="B503" s="16" t="n">
        <v>0.01109989909182644</v>
      </c>
      <c r="C503" s="6" t="inlineStr">
        <is>
          <t>2023-09-26</t>
        </is>
      </c>
      <c r="D503" s="6" t="inlineStr">
        <is>
          <t>2024-10-15</t>
        </is>
      </c>
      <c r="E503" s="6" t="n">
        <v>250</v>
      </c>
      <c r="F503" s="6" t="n">
        <v>98</v>
      </c>
      <c r="G503" s="6" t="n">
        <v>0</v>
      </c>
      <c r="H503" s="10">
        <f>IF(F503&gt;=E503,(E503-0.5)/E503,IF(G503&gt;0,(F503+0.5*G503)/E503,F503/E503))</f>
        <v/>
      </c>
      <c r="I503" s="6" t="inlineStr">
        <is>
          <t>中间分位</t>
        </is>
      </c>
      <c r="J503" s="6" t="inlineStr"/>
    </row>
    <row r="504">
      <c r="A504" s="11" t="inlineStr">
        <is>
          <t>2024-10-17</t>
        </is>
      </c>
      <c r="B504" s="17" t="n">
        <v>0.01121304791029562</v>
      </c>
      <c r="C504" s="11" t="inlineStr">
        <is>
          <t>2023-09-27</t>
        </is>
      </c>
      <c r="D504" s="11" t="inlineStr">
        <is>
          <t>2024-10-16</t>
        </is>
      </c>
      <c r="E504" s="11" t="n">
        <v>250</v>
      </c>
      <c r="F504" s="11" t="n">
        <v>98</v>
      </c>
      <c r="G504" s="11" t="n">
        <v>0</v>
      </c>
      <c r="H504" s="15">
        <f>IF(F504&gt;=E504,(E504-0.5)/E504,IF(G504&gt;0,(F504+0.5*G504)/E504,F504/E504))</f>
        <v/>
      </c>
      <c r="I504" s="11" t="inlineStr">
        <is>
          <t>中间分位</t>
        </is>
      </c>
      <c r="J504" s="11" t="inlineStr"/>
    </row>
    <row r="505">
      <c r="A505" s="6" t="inlineStr">
        <is>
          <t>2024-10-18</t>
        </is>
      </c>
      <c r="B505" s="16" t="n">
        <v>0.009227938632376347</v>
      </c>
      <c r="C505" s="6" t="inlineStr">
        <is>
          <t>2023-09-28</t>
        </is>
      </c>
      <c r="D505" s="6" t="inlineStr">
        <is>
          <t>2024-10-17</t>
        </is>
      </c>
      <c r="E505" s="6" t="n">
        <v>250</v>
      </c>
      <c r="F505" s="6" t="n">
        <v>90</v>
      </c>
      <c r="G505" s="6" t="n">
        <v>0</v>
      </c>
      <c r="H505" s="10">
        <f>IF(F505&gt;=E505,(E505-0.5)/E505,IF(G505&gt;0,(F505+0.5*G505)/E505,F505/E505))</f>
        <v/>
      </c>
      <c r="I505" s="6" t="inlineStr">
        <is>
          <t>中间分位</t>
        </is>
      </c>
      <c r="J505" s="6" t="inlineStr"/>
    </row>
    <row r="506">
      <c r="A506" s="11" t="inlineStr">
        <is>
          <t>2024-10-21</t>
        </is>
      </c>
      <c r="B506" s="17" t="n">
        <v>0.02179839863560145</v>
      </c>
      <c r="C506" s="11" t="inlineStr">
        <is>
          <t>2023-10-09</t>
        </is>
      </c>
      <c r="D506" s="11" t="inlineStr">
        <is>
          <t>2024-10-18</t>
        </is>
      </c>
      <c r="E506" s="11" t="n">
        <v>250</v>
      </c>
      <c r="F506" s="11" t="n">
        <v>140</v>
      </c>
      <c r="G506" s="11" t="n">
        <v>0</v>
      </c>
      <c r="H506" s="15">
        <f>IF(F506&gt;=E506,(E506-0.5)/E506,IF(G506&gt;0,(F506+0.5*G506)/E506,F506/E506))</f>
        <v/>
      </c>
      <c r="I506" s="11" t="inlineStr">
        <is>
          <t>中间分位</t>
        </is>
      </c>
      <c r="J506" s="11" t="inlineStr"/>
    </row>
    <row r="507">
      <c r="A507" s="6" t="inlineStr">
        <is>
          <t>2024-10-22</t>
        </is>
      </c>
      <c r="B507" s="16" t="n">
        <v>-0.01041666666666667</v>
      </c>
      <c r="C507" s="6" t="inlineStr">
        <is>
          <t>2023-10-10</t>
        </is>
      </c>
      <c r="D507" s="6" t="inlineStr">
        <is>
          <t>2024-10-21</t>
        </is>
      </c>
      <c r="E507" s="6" t="n">
        <v>250</v>
      </c>
      <c r="F507" s="6" t="n">
        <v>19</v>
      </c>
      <c r="G507" s="6" t="n">
        <v>0</v>
      </c>
      <c r="H507" s="10">
        <f>IF(F507&gt;=E507,(E507-0.5)/E507,IF(G507&gt;0,(F507+0.5*G507)/E507,F507/E507))</f>
        <v/>
      </c>
      <c r="I507" s="6" t="inlineStr">
        <is>
          <t>低分位</t>
        </is>
      </c>
      <c r="J507" s="6" t="inlineStr"/>
    </row>
    <row r="508">
      <c r="A508" s="11" t="inlineStr">
        <is>
          <t>2024-10-23</t>
        </is>
      </c>
      <c r="B508" s="17" t="n">
        <v>-0.003033099264690669</v>
      </c>
      <c r="C508" s="11" t="inlineStr">
        <is>
          <t>2023-10-11</t>
        </is>
      </c>
      <c r="D508" s="11" t="inlineStr">
        <is>
          <t>2024-10-22</t>
        </is>
      </c>
      <c r="E508" s="11" t="n">
        <v>250</v>
      </c>
      <c r="F508" s="11" t="n">
        <v>40</v>
      </c>
      <c r="G508" s="11" t="n">
        <v>0</v>
      </c>
      <c r="H508" s="15">
        <f>IF(F508&gt;=E508,(E508-0.5)/E508,IF(G508&gt;0,(F508+0.5*G508)/E508,F508/E508))</f>
        <v/>
      </c>
      <c r="I508" s="11" t="inlineStr">
        <is>
          <t>中间分位</t>
        </is>
      </c>
      <c r="J508" s="11" t="inlineStr"/>
    </row>
    <row r="509">
      <c r="A509" s="6" t="inlineStr">
        <is>
          <t>2024-10-24</t>
        </is>
      </c>
      <c r="B509" s="16" t="n">
        <v>-0.01144178007137157</v>
      </c>
      <c r="C509" s="6" t="inlineStr">
        <is>
          <t>2023-10-12</t>
        </is>
      </c>
      <c r="D509" s="6" t="inlineStr">
        <is>
          <t>2024-10-23</t>
        </is>
      </c>
      <c r="E509" s="6" t="n">
        <v>250</v>
      </c>
      <c r="F509" s="6" t="n">
        <v>16</v>
      </c>
      <c r="G509" s="6" t="n">
        <v>0</v>
      </c>
      <c r="H509" s="10">
        <f>IF(F509&gt;=E509,(E509-0.5)/E509,IF(G509&gt;0,(F509+0.5*G509)/E509,F509/E509))</f>
        <v/>
      </c>
      <c r="I509" s="6" t="inlineStr">
        <is>
          <t>低分位</t>
        </is>
      </c>
      <c r="J509" s="6" t="inlineStr"/>
    </row>
    <row r="510">
      <c r="A510" s="11" t="inlineStr">
        <is>
          <t>2024-10-25</t>
        </is>
      </c>
      <c r="B510" s="17" t="n">
        <v>-0.005327868852459016</v>
      </c>
      <c r="C510" s="11" t="inlineStr">
        <is>
          <t>2023-10-13</t>
        </is>
      </c>
      <c r="D510" s="11" t="inlineStr">
        <is>
          <t>2024-10-24</t>
        </is>
      </c>
      <c r="E510" s="11" t="n">
        <v>250</v>
      </c>
      <c r="F510" s="11" t="n">
        <v>35</v>
      </c>
      <c r="G510" s="11" t="n">
        <v>0</v>
      </c>
      <c r="H510" s="15">
        <f>IF(F510&gt;=E510,(E510-0.5)/E510,IF(G510&gt;0,(F510+0.5*G510)/E510,F510/E510))</f>
        <v/>
      </c>
      <c r="I510" s="11" t="inlineStr">
        <is>
          <t>中间分位</t>
        </is>
      </c>
      <c r="J510" s="11" t="inlineStr"/>
    </row>
    <row r="511">
      <c r="A511" s="6" t="inlineStr">
        <is>
          <t>2024-10-28</t>
        </is>
      </c>
      <c r="B511" s="16" t="n">
        <v>-0.01805930910979095</v>
      </c>
      <c r="C511" s="6" t="inlineStr">
        <is>
          <t>2023-10-16</t>
        </is>
      </c>
      <c r="D511" s="6" t="inlineStr">
        <is>
          <t>2024-10-25</t>
        </is>
      </c>
      <c r="E511" s="6" t="n">
        <v>250</v>
      </c>
      <c r="F511" s="6" t="n">
        <v>6</v>
      </c>
      <c r="G511" s="6" t="n">
        <v>0</v>
      </c>
      <c r="H511" s="10">
        <f>IF(F511&gt;=E511,(E511-0.5)/E511,IF(G511&gt;0,(F511+0.5*G511)/E511,F511/E511))</f>
        <v/>
      </c>
      <c r="I511" s="6" t="inlineStr">
        <is>
          <t>低分位</t>
        </is>
      </c>
      <c r="J511" s="6" t="inlineStr"/>
    </row>
    <row r="512">
      <c r="A512" s="11" t="inlineStr">
        <is>
          <t>2024-10-29</t>
        </is>
      </c>
      <c r="B512" s="17" t="n">
        <v>0.01686746987951807</v>
      </c>
      <c r="C512" s="11" t="inlineStr">
        <is>
          <t>2023-10-17</t>
        </is>
      </c>
      <c r="D512" s="11" t="inlineStr">
        <is>
          <t>2024-10-28</t>
        </is>
      </c>
      <c r="E512" s="11" t="n">
        <v>250</v>
      </c>
      <c r="F512" s="11" t="n">
        <v>122</v>
      </c>
      <c r="G512" s="11" t="n">
        <v>0</v>
      </c>
      <c r="H512" s="15">
        <f>IF(F512&gt;=E512,(E512-0.5)/E512,IF(G512&gt;0,(F512+0.5*G512)/E512,F512/E512))</f>
        <v/>
      </c>
      <c r="I512" s="11" t="inlineStr">
        <is>
          <t>中间分位</t>
        </is>
      </c>
      <c r="J512" s="11" t="inlineStr"/>
    </row>
    <row r="513">
      <c r="A513" s="6" t="inlineStr">
        <is>
          <t>2024-10-30</t>
        </is>
      </c>
      <c r="B513" s="16" t="n">
        <v>0.0136917554020309</v>
      </c>
      <c r="C513" s="6" t="inlineStr">
        <is>
          <t>2023-10-18</t>
        </is>
      </c>
      <c r="D513" s="6" t="inlineStr">
        <is>
          <t>2024-10-29</t>
        </is>
      </c>
      <c r="E513" s="6" t="n">
        <v>250</v>
      </c>
      <c r="F513" s="6" t="n">
        <v>112</v>
      </c>
      <c r="G513" s="6" t="n">
        <v>0</v>
      </c>
      <c r="H513" s="10">
        <f>IF(F513&gt;=E513,(E513-0.5)/E513,IF(G513&gt;0,(F513+0.5*G513)/E513,F513/E513))</f>
        <v/>
      </c>
      <c r="I513" s="6" t="inlineStr">
        <is>
          <t>中间分位</t>
        </is>
      </c>
      <c r="J513" s="6" t="inlineStr"/>
    </row>
    <row r="514">
      <c r="A514" s="11" t="inlineStr">
        <is>
          <t>2024-10-31</t>
        </is>
      </c>
      <c r="B514" s="17" t="n">
        <v>-0.02172131147540984</v>
      </c>
      <c r="C514" s="11" t="inlineStr">
        <is>
          <t>2023-10-19</t>
        </is>
      </c>
      <c r="D514" s="11" t="inlineStr">
        <is>
          <t>2024-10-30</t>
        </is>
      </c>
      <c r="E514" s="11" t="n">
        <v>250</v>
      </c>
      <c r="F514" s="11" t="n">
        <v>6</v>
      </c>
      <c r="G514" s="11" t="n">
        <v>0</v>
      </c>
      <c r="H514" s="15">
        <f>IF(F514&gt;=E514,(E514-0.5)/E514,IF(G514&gt;0,(F514+0.5*G514)/E514,F514/E514))</f>
        <v/>
      </c>
      <c r="I514" s="11" t="inlineStr">
        <is>
          <t>低分位</t>
        </is>
      </c>
      <c r="J514" s="11" t="inlineStr"/>
    </row>
    <row r="515">
      <c r="A515" s="6" t="inlineStr">
        <is>
          <t>2024-11-01</t>
        </is>
      </c>
      <c r="B515" s="16" t="n">
        <v>0.002414486921529175</v>
      </c>
      <c r="C515" s="6" t="inlineStr">
        <is>
          <t>2023-10-20</t>
        </is>
      </c>
      <c r="D515" s="6" t="inlineStr">
        <is>
          <t>2024-10-31</t>
        </is>
      </c>
      <c r="E515" s="6" t="n">
        <v>250</v>
      </c>
      <c r="F515" s="6" t="n">
        <v>65</v>
      </c>
      <c r="G515" s="6" t="n">
        <v>0</v>
      </c>
      <c r="H515" s="10">
        <f>IF(F515&gt;=E515,(E515-0.5)/E515,IF(G515&gt;0,(F515+0.5*G515)/E515,F515/E515))</f>
        <v/>
      </c>
      <c r="I515" s="6" t="inlineStr">
        <is>
          <t>中间分位</t>
        </is>
      </c>
      <c r="J515" s="6" t="inlineStr"/>
    </row>
    <row r="516">
      <c r="A516" s="11" t="inlineStr">
        <is>
          <t>2024-11-04</t>
        </is>
      </c>
      <c r="B516" s="17" t="n">
        <v>-0.000404040404040404</v>
      </c>
      <c r="C516" s="11" t="inlineStr">
        <is>
          <t>2023-10-23</t>
        </is>
      </c>
      <c r="D516" s="11" t="inlineStr">
        <is>
          <t>2024-11-01</t>
        </is>
      </c>
      <c r="E516" s="11" t="n">
        <v>250</v>
      </c>
      <c r="F516" s="11" t="n">
        <v>56</v>
      </c>
      <c r="G516" s="11" t="n">
        <v>0</v>
      </c>
      <c r="H516" s="15">
        <f>IF(F516&gt;=E516,(E516-0.5)/E516,IF(G516&gt;0,(F516+0.5*G516)/E516,F516/E516))</f>
        <v/>
      </c>
      <c r="I516" s="11" t="inlineStr">
        <is>
          <t>中间分位</t>
        </is>
      </c>
      <c r="J516" s="11" t="inlineStr"/>
    </row>
    <row r="517">
      <c r="A517" s="6" t="inlineStr">
        <is>
          <t>2024-11-05</t>
        </is>
      </c>
      <c r="B517" s="16" t="n">
        <v>-0.01255060728744939</v>
      </c>
      <c r="C517" s="6" t="inlineStr">
        <is>
          <t>2023-10-24</t>
        </is>
      </c>
      <c r="D517" s="6" t="inlineStr">
        <is>
          <t>2024-11-04</t>
        </is>
      </c>
      <c r="E517" s="6" t="n">
        <v>250</v>
      </c>
      <c r="F517" s="6" t="n">
        <v>17</v>
      </c>
      <c r="G517" s="6" t="n">
        <v>0</v>
      </c>
      <c r="H517" s="10">
        <f>IF(F517&gt;=E517,(E517-0.5)/E517,IF(G517&gt;0,(F517+0.5*G517)/E517,F517/E517))</f>
        <v/>
      </c>
      <c r="I517" s="6" t="inlineStr">
        <is>
          <t>低分位</t>
        </is>
      </c>
      <c r="J517" s="6" t="inlineStr"/>
    </row>
    <row r="518">
      <c r="A518" s="11" t="inlineStr">
        <is>
          <t>2024-11-06</t>
        </is>
      </c>
      <c r="B518" s="17" t="n">
        <v>-0.003643724696356275</v>
      </c>
      <c r="C518" s="11" t="inlineStr">
        <is>
          <t>2023-10-25</t>
        </is>
      </c>
      <c r="D518" s="11" t="inlineStr">
        <is>
          <t>2024-11-05</t>
        </is>
      </c>
      <c r="E518" s="11" t="n">
        <v>250</v>
      </c>
      <c r="F518" s="11" t="n">
        <v>44</v>
      </c>
      <c r="G518" s="11" t="n">
        <v>0</v>
      </c>
      <c r="H518" s="15">
        <f>IF(F518&gt;=E518,(E518-0.5)/E518,IF(G518&gt;0,(F518+0.5*G518)/E518,F518/E518))</f>
        <v/>
      </c>
      <c r="I518" s="11" t="inlineStr">
        <is>
          <t>中间分位</t>
        </is>
      </c>
      <c r="J518" s="11" t="inlineStr"/>
    </row>
    <row r="519">
      <c r="A519" s="6" t="inlineStr">
        <is>
          <t>2024-11-07</t>
        </is>
      </c>
      <c r="B519" s="16" t="n">
        <v>-0.01619433198380567</v>
      </c>
      <c r="C519" s="6" t="inlineStr">
        <is>
          <t>2023-10-26</t>
        </is>
      </c>
      <c r="D519" s="6" t="inlineStr">
        <is>
          <t>2024-11-06</t>
        </is>
      </c>
      <c r="E519" s="6" t="n">
        <v>250</v>
      </c>
      <c r="F519" s="6" t="n">
        <v>9</v>
      </c>
      <c r="G519" s="6" t="n">
        <v>0</v>
      </c>
      <c r="H519" s="10">
        <f>IF(F519&gt;=E519,(E519-0.5)/E519,IF(G519&gt;0,(F519+0.5*G519)/E519,F519/E519))</f>
        <v/>
      </c>
      <c r="I519" s="6" t="inlineStr">
        <is>
          <t>低分位</t>
        </is>
      </c>
      <c r="J519" s="6" t="inlineStr"/>
    </row>
    <row r="520">
      <c r="A520" s="11" t="inlineStr">
        <is>
          <t>2024-11-08</t>
        </is>
      </c>
      <c r="B520" s="17" t="n">
        <v>-0.000732243104710764</v>
      </c>
      <c r="C520" s="11" t="inlineStr">
        <is>
          <t>2023-10-27</t>
        </is>
      </c>
      <c r="D520" s="11" t="inlineStr">
        <is>
          <t>2024-11-07</t>
        </is>
      </c>
      <c r="E520" s="11" t="n">
        <v>250</v>
      </c>
      <c r="F520" s="11" t="n">
        <v>58</v>
      </c>
      <c r="G520" s="11" t="n">
        <v>0</v>
      </c>
      <c r="H520" s="15">
        <f>IF(F520&gt;=E520,(E520-0.5)/E520,IF(G520&gt;0,(F520+0.5*G520)/E520,F520/E520))</f>
        <v/>
      </c>
      <c r="I520" s="11" t="inlineStr">
        <is>
          <t>中间分位</t>
        </is>
      </c>
      <c r="J520" s="11" t="inlineStr"/>
    </row>
    <row r="521">
      <c r="A521" s="6" t="inlineStr">
        <is>
          <t>2024-11-11</t>
        </is>
      </c>
      <c r="B521" s="16" t="n">
        <v>-0.0008048289738430583</v>
      </c>
      <c r="C521" s="6" t="inlineStr">
        <is>
          <t>2023-10-30</t>
        </is>
      </c>
      <c r="D521" s="6" t="inlineStr">
        <is>
          <t>2024-11-08</t>
        </is>
      </c>
      <c r="E521" s="6" t="n">
        <v>250</v>
      </c>
      <c r="F521" s="6" t="n">
        <v>56</v>
      </c>
      <c r="G521" s="6" t="n">
        <v>0</v>
      </c>
      <c r="H521" s="10">
        <f>IF(F521&gt;=E521,(E521-0.5)/E521,IF(G521&gt;0,(F521+0.5*G521)/E521,F521/E521))</f>
        <v/>
      </c>
      <c r="I521" s="6" t="inlineStr">
        <is>
          <t>中间分位</t>
        </is>
      </c>
      <c r="J521" s="6" t="inlineStr"/>
    </row>
    <row r="522">
      <c r="A522" s="11" t="inlineStr">
        <is>
          <t>2024-11-12</t>
        </is>
      </c>
      <c r="B522" s="17" t="n">
        <v>-0.006018253610749258</v>
      </c>
      <c r="C522" s="11" t="inlineStr">
        <is>
          <t>2023-10-31</t>
        </is>
      </c>
      <c r="D522" s="11" t="inlineStr">
        <is>
          <t>2024-11-11</t>
        </is>
      </c>
      <c r="E522" s="11" t="n">
        <v>250</v>
      </c>
      <c r="F522" s="11" t="n">
        <v>37</v>
      </c>
      <c r="G522" s="11" t="n">
        <v>0</v>
      </c>
      <c r="H522" s="15">
        <f>IF(F522&gt;=E522,(E522-0.5)/E522,IF(G522&gt;0,(F522+0.5*G522)/E522,F522/E522))</f>
        <v/>
      </c>
      <c r="I522" s="11" t="inlineStr">
        <is>
          <t>中间分位</t>
        </is>
      </c>
      <c r="J522" s="11" t="inlineStr"/>
    </row>
    <row r="523">
      <c r="A523" s="6" t="inlineStr">
        <is>
          <t>2024-11-13</t>
        </is>
      </c>
      <c r="B523" s="16" t="n">
        <v>-0.008906882591093117</v>
      </c>
      <c r="C523" s="6" t="inlineStr">
        <is>
          <t>2023-11-01</t>
        </is>
      </c>
      <c r="D523" s="6" t="inlineStr">
        <is>
          <t>2024-11-12</t>
        </is>
      </c>
      <c r="E523" s="6" t="n">
        <v>250</v>
      </c>
      <c r="F523" s="6" t="n">
        <v>30</v>
      </c>
      <c r="G523" s="6" t="n">
        <v>0</v>
      </c>
      <c r="H523" s="10">
        <f>IF(F523&gt;=E523,(E523-0.5)/E523,IF(G523&gt;0,(F523+0.5*G523)/E523,F523/E523))</f>
        <v/>
      </c>
      <c r="I523" s="6" t="inlineStr">
        <is>
          <t>中间分位</t>
        </is>
      </c>
      <c r="J523" s="6" t="inlineStr"/>
    </row>
    <row r="524">
      <c r="A524" s="11" t="inlineStr">
        <is>
          <t>2024-11-14</t>
        </is>
      </c>
      <c r="B524" s="17" t="n">
        <v>0.0008048289738430583</v>
      </c>
      <c r="C524" s="11" t="inlineStr">
        <is>
          <t>2023-11-02</t>
        </is>
      </c>
      <c r="D524" s="11" t="inlineStr">
        <is>
          <t>2024-11-13</t>
        </is>
      </c>
      <c r="E524" s="11" t="n">
        <v>250</v>
      </c>
      <c r="F524" s="11" t="n">
        <v>67</v>
      </c>
      <c r="G524" s="11" t="n">
        <v>0</v>
      </c>
      <c r="H524" s="15">
        <f>IF(F524&gt;=E524,(E524-0.5)/E524,IF(G524&gt;0,(F524+0.5*G524)/E524,F524/E524))</f>
        <v/>
      </c>
      <c r="I524" s="11" t="inlineStr">
        <is>
          <t>中间分位</t>
        </is>
      </c>
      <c r="J524" s="11" t="inlineStr"/>
    </row>
    <row r="525">
      <c r="A525" s="6" t="inlineStr">
        <is>
          <t>2024-11-15</t>
        </is>
      </c>
      <c r="B525" s="16" t="n">
        <v>-0.006060606060606061</v>
      </c>
      <c r="C525" s="6" t="inlineStr">
        <is>
          <t>2023-11-03</t>
        </is>
      </c>
      <c r="D525" s="6" t="inlineStr">
        <is>
          <t>2024-11-14</t>
        </is>
      </c>
      <c r="E525" s="6" t="n">
        <v>250</v>
      </c>
      <c r="F525" s="6" t="n">
        <v>38</v>
      </c>
      <c r="G525" s="6" t="n">
        <v>0</v>
      </c>
      <c r="H525" s="10">
        <f>IF(F525&gt;=E525,(E525-0.5)/E525,IF(G525&gt;0,(F525+0.5*G525)/E525,F525/E525))</f>
        <v/>
      </c>
      <c r="I525" s="6" t="inlineStr">
        <is>
          <t>中间分位</t>
        </is>
      </c>
      <c r="J525" s="6" t="inlineStr"/>
    </row>
    <row r="526">
      <c r="A526" s="11" t="inlineStr">
        <is>
          <t>2024-11-18</t>
        </is>
      </c>
      <c r="B526" s="17" t="n">
        <v>-0.012</v>
      </c>
      <c r="C526" s="11" t="inlineStr">
        <is>
          <t>2023-11-06</t>
        </is>
      </c>
      <c r="D526" s="11" t="inlineStr">
        <is>
          <t>2024-11-15</t>
        </is>
      </c>
      <c r="E526" s="11" t="n">
        <v>250</v>
      </c>
      <c r="F526" s="11" t="n">
        <v>18</v>
      </c>
      <c r="G526" s="11" t="n">
        <v>0</v>
      </c>
      <c r="H526" s="15">
        <f>IF(F526&gt;=E526,(E526-0.5)/E526,IF(G526&gt;0,(F526+0.5*G526)/E526,F526/E526))</f>
        <v/>
      </c>
      <c r="I526" s="11" t="inlineStr">
        <is>
          <t>低分位</t>
        </is>
      </c>
      <c r="J526" s="11" t="inlineStr"/>
    </row>
    <row r="527">
      <c r="A527" s="6" t="inlineStr">
        <is>
          <t>2024-11-19</t>
        </is>
      </c>
      <c r="B527" s="16" t="n">
        <v>-0.01832669322709163</v>
      </c>
      <c r="C527" s="6" t="inlineStr">
        <is>
          <t>2023-11-07</t>
        </is>
      </c>
      <c r="D527" s="6" t="inlineStr">
        <is>
          <t>2024-11-18</t>
        </is>
      </c>
      <c r="E527" s="6" t="n">
        <v>250</v>
      </c>
      <c r="F527" s="6" t="n">
        <v>7</v>
      </c>
      <c r="G527" s="6" t="n">
        <v>0</v>
      </c>
      <c r="H527" s="10">
        <f>IF(F527&gt;=E527,(E527-0.5)/E527,IF(G527&gt;0,(F527+0.5*G527)/E527,F527/E527))</f>
        <v/>
      </c>
      <c r="I527" s="6" t="inlineStr">
        <is>
          <t>低分位</t>
        </is>
      </c>
      <c r="J527" s="6" t="inlineStr"/>
    </row>
    <row r="528">
      <c r="A528" s="11" t="inlineStr">
        <is>
          <t>2024-11-20</t>
        </is>
      </c>
      <c r="B528" s="17" t="n">
        <v>-0.01663366336633663</v>
      </c>
      <c r="C528" s="11" t="inlineStr">
        <is>
          <t>2023-11-08</t>
        </is>
      </c>
      <c r="D528" s="11" t="inlineStr">
        <is>
          <t>2024-11-19</t>
        </is>
      </c>
      <c r="E528" s="11" t="n">
        <v>250</v>
      </c>
      <c r="F528" s="11" t="n">
        <v>10</v>
      </c>
      <c r="G528" s="11" t="n">
        <v>0</v>
      </c>
      <c r="H528" s="15">
        <f>IF(F528&gt;=E528,(E528-0.5)/E528,IF(G528&gt;0,(F528+0.5*G528)/E528,F528/E528))</f>
        <v/>
      </c>
      <c r="I528" s="11" t="inlineStr">
        <is>
          <t>低分位</t>
        </is>
      </c>
      <c r="J528" s="11" t="inlineStr"/>
    </row>
    <row r="529">
      <c r="A529" s="6" t="inlineStr">
        <is>
          <t>2024-11-21</t>
        </is>
      </c>
      <c r="B529" s="16" t="n">
        <v>-0.01013270986242581</v>
      </c>
      <c r="C529" s="6" t="inlineStr">
        <is>
          <t>2023-11-09</t>
        </is>
      </c>
      <c r="D529" s="6" t="inlineStr">
        <is>
          <t>2024-11-20</t>
        </is>
      </c>
      <c r="E529" s="6" t="n">
        <v>250</v>
      </c>
      <c r="F529" s="6" t="n">
        <v>27</v>
      </c>
      <c r="G529" s="6" t="n">
        <v>0</v>
      </c>
      <c r="H529" s="10">
        <f>IF(F529&gt;=E529,(E529-0.5)/E529,IF(G529&gt;0,(F529+0.5*G529)/E529,F529/E529))</f>
        <v/>
      </c>
      <c r="I529" s="6" t="inlineStr">
        <is>
          <t>中间分位</t>
        </is>
      </c>
      <c r="J529" s="6" t="inlineStr"/>
    </row>
    <row r="530">
      <c r="A530" s="11" t="inlineStr">
        <is>
          <t>2024-11-22</t>
        </is>
      </c>
      <c r="B530" s="17" t="n">
        <v>-0.02431372549019608</v>
      </c>
      <c r="C530" s="11" t="inlineStr">
        <is>
          <t>2023-11-10</t>
        </is>
      </c>
      <c r="D530" s="11" t="inlineStr">
        <is>
          <t>2024-11-21</t>
        </is>
      </c>
      <c r="E530" s="11" t="n">
        <v>250</v>
      </c>
      <c r="F530" s="11" t="n">
        <v>5</v>
      </c>
      <c r="G530" s="11" t="n">
        <v>0</v>
      </c>
      <c r="H530" s="15">
        <f>IF(F530&gt;=E530,(E530-0.5)/E530,IF(G530&gt;0,(F530+0.5*G530)/E530,F530/E530))</f>
        <v/>
      </c>
      <c r="I530" s="11" t="inlineStr">
        <is>
          <t>低分位</t>
        </is>
      </c>
      <c r="J530" s="11" t="inlineStr"/>
    </row>
    <row r="531">
      <c r="A531" s="6" t="inlineStr">
        <is>
          <t>2024-11-25</t>
        </is>
      </c>
      <c r="B531" s="16" t="n">
        <v>-0.001162790697674419</v>
      </c>
      <c r="C531" s="6" t="inlineStr">
        <is>
          <t>2023-11-13</t>
        </is>
      </c>
      <c r="D531" s="6" t="inlineStr">
        <is>
          <t>2024-11-22</t>
        </is>
      </c>
      <c r="E531" s="6" t="n">
        <v>250</v>
      </c>
      <c r="F531" s="6" t="n">
        <v>60</v>
      </c>
      <c r="G531" s="6" t="n">
        <v>0</v>
      </c>
      <c r="H531" s="10">
        <f>IF(F531&gt;=E531,(E531-0.5)/E531,IF(G531&gt;0,(F531+0.5*G531)/E531,F531/E531))</f>
        <v/>
      </c>
      <c r="I531" s="6" t="inlineStr">
        <is>
          <t>中间分位</t>
        </is>
      </c>
      <c r="J531" s="6" t="inlineStr"/>
    </row>
    <row r="532">
      <c r="A532" s="11" t="inlineStr">
        <is>
          <t>2024-11-26</t>
        </is>
      </c>
      <c r="B532" s="17" t="n">
        <v>-0.01640625</v>
      </c>
      <c r="C532" s="11" t="inlineStr">
        <is>
          <t>2023-11-14</t>
        </is>
      </c>
      <c r="D532" s="11" t="inlineStr">
        <is>
          <t>2024-11-25</t>
        </is>
      </c>
      <c r="E532" s="11" t="n">
        <v>250</v>
      </c>
      <c r="F532" s="11" t="n">
        <v>12</v>
      </c>
      <c r="G532" s="11" t="n">
        <v>0</v>
      </c>
      <c r="H532" s="15">
        <f>IF(F532&gt;=E532,(E532-0.5)/E532,IF(G532&gt;0,(F532+0.5*G532)/E532,F532/E532))</f>
        <v/>
      </c>
      <c r="I532" s="11" t="inlineStr">
        <is>
          <t>低分位</t>
        </is>
      </c>
      <c r="J532" s="11" t="inlineStr"/>
    </row>
    <row r="533">
      <c r="A533" s="6" t="inlineStr">
        <is>
          <t>2024-11-27</t>
        </is>
      </c>
      <c r="B533" s="16" t="n">
        <v>0.002067229563321995</v>
      </c>
      <c r="C533" s="6" t="inlineStr">
        <is>
          <t>2023-11-15</t>
        </is>
      </c>
      <c r="D533" s="6" t="inlineStr">
        <is>
          <t>2024-11-26</t>
        </is>
      </c>
      <c r="E533" s="6" t="n">
        <v>250</v>
      </c>
      <c r="F533" s="6" t="n">
        <v>76</v>
      </c>
      <c r="G533" s="6" t="n">
        <v>0</v>
      </c>
      <c r="H533" s="10">
        <f>IF(F533&gt;=E533,(E533-0.5)/E533,IF(G533&gt;0,(F533+0.5*G533)/E533,F533/E533))</f>
        <v/>
      </c>
      <c r="I533" s="6" t="inlineStr">
        <is>
          <t>中间分位</t>
        </is>
      </c>
      <c r="J533" s="6" t="inlineStr"/>
    </row>
    <row r="534">
      <c r="A534" s="11" t="inlineStr">
        <is>
          <t>2024-11-28</t>
        </is>
      </c>
      <c r="B534" s="17" t="n">
        <v>-0.001894734364518647</v>
      </c>
      <c r="C534" s="11" t="inlineStr">
        <is>
          <t>2023-11-16</t>
        </is>
      </c>
      <c r="D534" s="11" t="inlineStr">
        <is>
          <t>2024-11-27</t>
        </is>
      </c>
      <c r="E534" s="11" t="n">
        <v>250</v>
      </c>
      <c r="F534" s="11" t="n">
        <v>56</v>
      </c>
      <c r="G534" s="11" t="n">
        <v>0</v>
      </c>
      <c r="H534" s="15">
        <f>IF(F534&gt;=E534,(E534-0.5)/E534,IF(G534&gt;0,(F534+0.5*G534)/E534,F534/E534))</f>
        <v/>
      </c>
      <c r="I534" s="11" t="inlineStr">
        <is>
          <t>中间分位</t>
        </is>
      </c>
      <c r="J534" s="11" t="inlineStr"/>
    </row>
    <row r="535">
      <c r="A535" s="6" t="inlineStr">
        <is>
          <t>2024-11-29</t>
        </is>
      </c>
      <c r="B535" s="16" t="n">
        <v>-0.01090086789345751</v>
      </c>
      <c r="C535" s="6" t="inlineStr">
        <is>
          <t>2023-11-17</t>
        </is>
      </c>
      <c r="D535" s="6" t="inlineStr">
        <is>
          <t>2024-11-28</t>
        </is>
      </c>
      <c r="E535" s="6" t="n">
        <v>250</v>
      </c>
      <c r="F535" s="6" t="n">
        <v>27</v>
      </c>
      <c r="G535" s="6" t="n">
        <v>0</v>
      </c>
      <c r="H535" s="10">
        <f>IF(F535&gt;=E535,(E535-0.5)/E535,IF(G535&gt;0,(F535+0.5*G535)/E535,F535/E535))</f>
        <v/>
      </c>
      <c r="I535" s="6" t="inlineStr">
        <is>
          <t>中间分位</t>
        </is>
      </c>
      <c r="J535" s="6" t="inlineStr"/>
    </row>
    <row r="536">
      <c r="A536" s="11" t="inlineStr">
        <is>
          <t>2024-12-02</t>
        </is>
      </c>
      <c r="B536" s="17" t="n">
        <v>-0.00936651245789393</v>
      </c>
      <c r="C536" s="11" t="inlineStr">
        <is>
          <t>2023-11-20</t>
        </is>
      </c>
      <c r="D536" s="11" t="inlineStr">
        <is>
          <t>2024-11-29</t>
        </is>
      </c>
      <c r="E536" s="11" t="n">
        <v>250</v>
      </c>
      <c r="F536" s="11" t="n">
        <v>32</v>
      </c>
      <c r="G536" s="11" t="n">
        <v>0</v>
      </c>
      <c r="H536" s="15">
        <f>IF(F536&gt;=E536,(E536-0.5)/E536,IF(G536&gt;0,(F536+0.5*G536)/E536,F536/E536))</f>
        <v/>
      </c>
      <c r="I536" s="11" t="inlineStr">
        <is>
          <t>中间分位</t>
        </is>
      </c>
      <c r="J536" s="11" t="inlineStr"/>
    </row>
    <row r="537">
      <c r="A537" s="6" t="inlineStr">
        <is>
          <t>2024-12-03</t>
        </is>
      </c>
      <c r="B537" s="16" t="n">
        <v>-0.001508366907296479</v>
      </c>
      <c r="C537" s="6" t="inlineStr">
        <is>
          <t>2023-11-21</t>
        </is>
      </c>
      <c r="D537" s="6" t="inlineStr">
        <is>
          <t>2024-12-02</t>
        </is>
      </c>
      <c r="E537" s="6" t="n">
        <v>250</v>
      </c>
      <c r="F537" s="6" t="n">
        <v>61</v>
      </c>
      <c r="G537" s="6" t="n">
        <v>0</v>
      </c>
      <c r="H537" s="10">
        <f>IF(F537&gt;=E537,(E537-0.5)/E537,IF(G537&gt;0,(F537+0.5*G537)/E537,F537/E537))</f>
        <v/>
      </c>
      <c r="I537" s="6" t="inlineStr">
        <is>
          <t>中间分位</t>
        </is>
      </c>
      <c r="J537" s="6" t="inlineStr"/>
    </row>
    <row r="538">
      <c r="A538" s="11" t="inlineStr">
        <is>
          <t>2024-12-04</t>
        </is>
      </c>
      <c r="B538" s="17" t="n">
        <v>-0.004050453435716477</v>
      </c>
      <c r="C538" s="11" t="inlineStr">
        <is>
          <t>2023-11-22</t>
        </is>
      </c>
      <c r="D538" s="11" t="inlineStr">
        <is>
          <t>2024-12-03</t>
        </is>
      </c>
      <c r="E538" s="11" t="n">
        <v>250</v>
      </c>
      <c r="F538" s="11" t="n">
        <v>49</v>
      </c>
      <c r="G538" s="11" t="n">
        <v>0</v>
      </c>
      <c r="H538" s="15">
        <f>IF(F538&gt;=E538,(E538-0.5)/E538,IF(G538&gt;0,(F538+0.5*G538)/E538,F538/E538))</f>
        <v/>
      </c>
      <c r="I538" s="11" t="inlineStr">
        <is>
          <t>中间分位</t>
        </is>
      </c>
      <c r="J538" s="11" t="inlineStr"/>
    </row>
    <row r="539">
      <c r="A539" s="6" t="inlineStr">
        <is>
          <t>2024-12-05</t>
        </is>
      </c>
      <c r="B539" s="16" t="n">
        <v>-0.006707397266825284</v>
      </c>
      <c r="C539" s="6" t="inlineStr">
        <is>
          <t>2023-11-23</t>
        </is>
      </c>
      <c r="D539" s="6" t="inlineStr">
        <is>
          <t>2024-12-04</t>
        </is>
      </c>
      <c r="E539" s="6" t="n">
        <v>250</v>
      </c>
      <c r="F539" s="6" t="n">
        <v>41</v>
      </c>
      <c r="G539" s="6" t="n">
        <v>0</v>
      </c>
      <c r="H539" s="10">
        <f>IF(F539&gt;=E539,(E539-0.5)/E539,IF(G539&gt;0,(F539+0.5*G539)/E539,F539/E539))</f>
        <v/>
      </c>
      <c r="I539" s="6" t="inlineStr">
        <is>
          <t>中间分位</t>
        </is>
      </c>
      <c r="J539" s="6" t="inlineStr"/>
    </row>
    <row r="540">
      <c r="A540" s="11" t="inlineStr">
        <is>
          <t>2024-12-06</t>
        </is>
      </c>
      <c r="B540" s="17" t="n">
        <v>-0.0203423967774421</v>
      </c>
      <c r="C540" s="11" t="inlineStr">
        <is>
          <t>2023-11-24</t>
        </is>
      </c>
      <c r="D540" s="11" t="inlineStr">
        <is>
          <t>2024-12-05</t>
        </is>
      </c>
      <c r="E540" s="11" t="n">
        <v>250</v>
      </c>
      <c r="F540" s="11" t="n">
        <v>8</v>
      </c>
      <c r="G540" s="11" t="n">
        <v>0</v>
      </c>
      <c r="H540" s="15">
        <f>IF(F540&gt;=E540,(E540-0.5)/E540,IF(G540&gt;0,(F540+0.5*G540)/E540,F540/E540))</f>
        <v/>
      </c>
      <c r="I540" s="11" t="inlineStr">
        <is>
          <t>低分位</t>
        </is>
      </c>
      <c r="J540" s="11" t="inlineStr"/>
    </row>
    <row r="541">
      <c r="A541" s="6" t="inlineStr">
        <is>
          <t>2024-12-09</t>
        </is>
      </c>
      <c r="B541" s="16" t="n">
        <v>-0.02509014963041646</v>
      </c>
      <c r="C541" s="6" t="inlineStr">
        <is>
          <t>2023-11-27</t>
        </is>
      </c>
      <c r="D541" s="6" t="inlineStr">
        <is>
          <t>2024-12-06</t>
        </is>
      </c>
      <c r="E541" s="6" t="n">
        <v>250</v>
      </c>
      <c r="F541" s="6" t="n">
        <v>5</v>
      </c>
      <c r="G541" s="6" t="n">
        <v>0</v>
      </c>
      <c r="H541" s="10">
        <f>IF(F541&gt;=E541,(E541-0.5)/E541,IF(G541&gt;0,(F541+0.5*G541)/E541,F541/E541))</f>
        <v/>
      </c>
      <c r="I541" s="6" t="inlineStr">
        <is>
          <t>低分位</t>
        </is>
      </c>
      <c r="J541" s="6" t="inlineStr"/>
    </row>
    <row r="542">
      <c r="A542" s="11" t="inlineStr">
        <is>
          <t>2024-12-10</t>
        </is>
      </c>
      <c r="B542" s="17" t="n">
        <v>-0.02213438735177866</v>
      </c>
      <c r="C542" s="11" t="inlineStr">
        <is>
          <t>2023-11-28</t>
        </is>
      </c>
      <c r="D542" s="11" t="inlineStr">
        <is>
          <t>2024-12-09</t>
        </is>
      </c>
      <c r="E542" s="11" t="n">
        <v>250</v>
      </c>
      <c r="F542" s="11" t="n">
        <v>8</v>
      </c>
      <c r="G542" s="11" t="n">
        <v>0</v>
      </c>
      <c r="H542" s="15">
        <f>IF(F542&gt;=E542,(E542-0.5)/E542,IF(G542&gt;0,(F542+0.5*G542)/E542,F542/E542))</f>
        <v/>
      </c>
      <c r="I542" s="11" t="inlineStr">
        <is>
          <t>低分位</t>
        </is>
      </c>
      <c r="J542" s="11" t="inlineStr"/>
    </row>
    <row r="543">
      <c r="A543" s="6" t="inlineStr">
        <is>
          <t>2024-12-11</t>
        </is>
      </c>
      <c r="B543" s="16" t="n">
        <v>-0.02341533474863931</v>
      </c>
      <c r="C543" s="6" t="inlineStr">
        <is>
          <t>2023-11-29</t>
        </is>
      </c>
      <c r="D543" s="6" t="inlineStr">
        <is>
          <t>2024-12-10</t>
        </is>
      </c>
      <c r="E543" s="6" t="n">
        <v>250</v>
      </c>
      <c r="F543" s="6" t="n">
        <v>8</v>
      </c>
      <c r="G543" s="6" t="n">
        <v>0</v>
      </c>
      <c r="H543" s="10">
        <f>IF(F543&gt;=E543,(E543-0.5)/E543,IF(G543&gt;0,(F543+0.5*G543)/E543,F543/E543))</f>
        <v/>
      </c>
      <c r="I543" s="6" t="inlineStr">
        <is>
          <t>低分位</t>
        </is>
      </c>
      <c r="J543" s="6" t="inlineStr"/>
    </row>
    <row r="544">
      <c r="A544" s="11" t="inlineStr">
        <is>
          <t>2024-12-12</t>
        </is>
      </c>
      <c r="B544" s="17" t="n">
        <v>-0.027734375</v>
      </c>
      <c r="C544" s="11" t="inlineStr">
        <is>
          <t>2023-11-30</t>
        </is>
      </c>
      <c r="D544" s="11" t="inlineStr">
        <is>
          <t>2024-12-11</t>
        </is>
      </c>
      <c r="E544" s="11" t="n">
        <v>250</v>
      </c>
      <c r="F544" s="11" t="n">
        <v>2</v>
      </c>
      <c r="G544" s="11" t="n">
        <v>0</v>
      </c>
      <c r="H544" s="15">
        <f>IF(F544&gt;=E544,(E544-0.5)/E544,IF(G544&gt;0,(F544+0.5*G544)/E544,F544/E544))</f>
        <v/>
      </c>
      <c r="I544" s="11" t="inlineStr">
        <is>
          <t>低分位</t>
        </is>
      </c>
      <c r="J544" s="11" t="inlineStr"/>
    </row>
    <row r="545">
      <c r="A545" s="6" t="inlineStr">
        <is>
          <t>2024-12-13</t>
        </is>
      </c>
      <c r="B545" s="16" t="n">
        <v>-0.005458755003216698</v>
      </c>
      <c r="C545" s="6" t="inlineStr">
        <is>
          <t>2023-12-01</t>
        </is>
      </c>
      <c r="D545" s="6" t="inlineStr">
        <is>
          <t>2024-12-12</t>
        </is>
      </c>
      <c r="E545" s="6" t="n">
        <v>250</v>
      </c>
      <c r="F545" s="6" t="n">
        <v>48</v>
      </c>
      <c r="G545" s="6" t="n">
        <v>0</v>
      </c>
      <c r="H545" s="10">
        <f>IF(F545&gt;=E545,(E545-0.5)/E545,IF(G545&gt;0,(F545+0.5*G545)/E545,F545/E545))</f>
        <v/>
      </c>
      <c r="I545" s="6" t="inlineStr">
        <is>
          <t>中间分位</t>
        </is>
      </c>
      <c r="J545" s="6" t="inlineStr"/>
    </row>
    <row r="546">
      <c r="A546" s="11" t="inlineStr">
        <is>
          <t>2024-12-16</t>
        </is>
      </c>
      <c r="B546" s="17" t="n">
        <v>-0.007307692307692308</v>
      </c>
      <c r="C546" s="11" t="inlineStr">
        <is>
          <t>2023-12-04</t>
        </is>
      </c>
      <c r="D546" s="11" t="inlineStr">
        <is>
          <t>2024-12-13</t>
        </is>
      </c>
      <c r="E546" s="11" t="n">
        <v>250</v>
      </c>
      <c r="F546" s="11" t="n">
        <v>42</v>
      </c>
      <c r="G546" s="11" t="n">
        <v>0</v>
      </c>
      <c r="H546" s="15">
        <f>IF(F546&gt;=E546,(E546-0.5)/E546,IF(G546&gt;0,(F546+0.5*G546)/E546,F546/E546))</f>
        <v/>
      </c>
      <c r="I546" s="11" t="inlineStr">
        <is>
          <t>中间分位</t>
        </is>
      </c>
      <c r="J546" s="11" t="inlineStr"/>
    </row>
    <row r="547">
      <c r="A547" s="6" t="inlineStr">
        <is>
          <t>2024-12-17</t>
        </is>
      </c>
      <c r="B547" s="16" t="n">
        <v>0.006106870229007634</v>
      </c>
      <c r="C547" s="6" t="inlineStr">
        <is>
          <t>2023-12-05</t>
        </is>
      </c>
      <c r="D547" s="6" t="inlineStr">
        <is>
          <t>2024-12-16</t>
        </is>
      </c>
      <c r="E547" s="6" t="n">
        <v>250</v>
      </c>
      <c r="F547" s="6" t="n">
        <v>92</v>
      </c>
      <c r="G547" s="6" t="n">
        <v>0</v>
      </c>
      <c r="H547" s="10">
        <f>IF(F547&gt;=E547,(E547-0.5)/E547,IF(G547&gt;0,(F547+0.5*G547)/E547,F547/E547))</f>
        <v/>
      </c>
      <c r="I547" s="6" t="inlineStr">
        <is>
          <t>中间分位</t>
        </is>
      </c>
      <c r="J547" s="6" t="inlineStr"/>
    </row>
    <row r="548">
      <c r="A548" s="11" t="inlineStr">
        <is>
          <t>2024-12-18</t>
        </is>
      </c>
      <c r="B548" s="17" t="n">
        <v>0.006950580872705295</v>
      </c>
      <c r="C548" s="11" t="inlineStr">
        <is>
          <t>2023-12-06</t>
        </is>
      </c>
      <c r="D548" s="11" t="inlineStr">
        <is>
          <t>2024-12-17</t>
        </is>
      </c>
      <c r="E548" s="11" t="n">
        <v>250</v>
      </c>
      <c r="F548" s="11" t="n">
        <v>98</v>
      </c>
      <c r="G548" s="11" t="n">
        <v>0</v>
      </c>
      <c r="H548" s="15">
        <f>IF(F548&gt;=E548,(E548-0.5)/E548,IF(G548&gt;0,(F548+0.5*G548)/E548,F548/E548))</f>
        <v/>
      </c>
      <c r="I548" s="11" t="inlineStr">
        <is>
          <t>中间分位</t>
        </is>
      </c>
      <c r="J548" s="11" t="inlineStr"/>
    </row>
    <row r="549">
      <c r="A549" s="6" t="inlineStr">
        <is>
          <t>2024-12-19</t>
        </is>
      </c>
      <c r="B549" s="16" t="n">
        <v>0.004952380952380952</v>
      </c>
      <c r="C549" s="6" t="inlineStr">
        <is>
          <t>2023-12-07</t>
        </is>
      </c>
      <c r="D549" s="6" t="inlineStr">
        <is>
          <t>2024-12-18</t>
        </is>
      </c>
      <c r="E549" s="6" t="n">
        <v>250</v>
      </c>
      <c r="F549" s="6" t="n">
        <v>90</v>
      </c>
      <c r="G549" s="6" t="n">
        <v>0</v>
      </c>
      <c r="H549" s="10">
        <f>IF(F549&gt;=E549,(E549-0.5)/E549,IF(G549&gt;0,(F549+0.5*G549)/E549,F549/E549))</f>
        <v/>
      </c>
      <c r="I549" s="6" t="inlineStr">
        <is>
          <t>中间分位</t>
        </is>
      </c>
      <c r="J549" s="6" t="inlineStr"/>
    </row>
    <row r="550">
      <c r="A550" s="11" t="inlineStr">
        <is>
          <t>2024-12-20</t>
        </is>
      </c>
      <c r="B550" s="17" t="n">
        <v>0.01219047619047619</v>
      </c>
      <c r="C550" s="11" t="inlineStr">
        <is>
          <t>2023-12-08</t>
        </is>
      </c>
      <c r="D550" s="11" t="inlineStr">
        <is>
          <t>2024-12-19</t>
        </is>
      </c>
      <c r="E550" s="11" t="n">
        <v>250</v>
      </c>
      <c r="F550" s="11" t="n">
        <v>118</v>
      </c>
      <c r="G550" s="11" t="n">
        <v>0</v>
      </c>
      <c r="H550" s="15">
        <f>IF(F550&gt;=E550,(E550-0.5)/E550,IF(G550&gt;0,(F550+0.5*G550)/E550,F550/E550))</f>
        <v/>
      </c>
      <c r="I550" s="11" t="inlineStr">
        <is>
          <t>中间分位</t>
        </is>
      </c>
      <c r="J550" s="11" t="inlineStr"/>
    </row>
    <row r="551">
      <c r="A551" s="6" t="inlineStr">
        <is>
          <t>2024-12-23</t>
        </is>
      </c>
      <c r="B551" s="16" t="n">
        <v>0.01264280615734183</v>
      </c>
      <c r="C551" s="6" t="inlineStr">
        <is>
          <t>2023-12-11</t>
        </is>
      </c>
      <c r="D551" s="6" t="inlineStr">
        <is>
          <t>2024-12-20</t>
        </is>
      </c>
      <c r="E551" s="6" t="n">
        <v>250</v>
      </c>
      <c r="F551" s="6" t="n">
        <v>119</v>
      </c>
      <c r="G551" s="6" t="n">
        <v>0</v>
      </c>
      <c r="H551" s="10">
        <f>IF(F551&gt;=E551,(E551-0.5)/E551,IF(G551&gt;0,(F551+0.5*G551)/E551,F551/E551))</f>
        <v/>
      </c>
      <c r="I551" s="6" t="inlineStr">
        <is>
          <t>中间分位</t>
        </is>
      </c>
      <c r="J551" s="6" t="inlineStr"/>
    </row>
    <row r="552">
      <c r="A552" s="11" t="inlineStr">
        <is>
          <t>2024-12-24</t>
        </is>
      </c>
      <c r="B552" s="17" t="n">
        <v>0.03264680504028514</v>
      </c>
      <c r="C552" s="11" t="inlineStr">
        <is>
          <t>2023-12-12</t>
        </is>
      </c>
      <c r="D552" s="11" t="inlineStr">
        <is>
          <t>2024-12-23</t>
        </is>
      </c>
      <c r="E552" s="11" t="n">
        <v>250</v>
      </c>
      <c r="F552" s="11" t="n">
        <v>163</v>
      </c>
      <c r="G552" s="11" t="n">
        <v>0</v>
      </c>
      <c r="H552" s="15">
        <f>IF(F552&gt;=E552,(E552-0.5)/E552,IF(G552&gt;0,(F552+0.5*G552)/E552,F552/E552))</f>
        <v/>
      </c>
      <c r="I552" s="11" t="inlineStr">
        <is>
          <t>中间分位</t>
        </is>
      </c>
      <c r="J552" s="11" t="inlineStr"/>
    </row>
    <row r="553">
      <c r="A553" s="6" t="inlineStr">
        <is>
          <t>2024-12-25</t>
        </is>
      </c>
      <c r="B553" s="16" t="n">
        <v>0.0381861488654367</v>
      </c>
      <c r="C553" s="6" t="inlineStr">
        <is>
          <t>2023-12-13</t>
        </is>
      </c>
      <c r="D553" s="6" t="inlineStr">
        <is>
          <t>2024-12-24</t>
        </is>
      </c>
      <c r="E553" s="6" t="n">
        <v>250</v>
      </c>
      <c r="F553" s="6" t="n">
        <v>172</v>
      </c>
      <c r="G553" s="6" t="n">
        <v>0</v>
      </c>
      <c r="H553" s="10">
        <f>IF(F553&gt;=E553,(E553-0.5)/E553,IF(G553&gt;0,(F553+0.5*G553)/E553,F553/E553))</f>
        <v/>
      </c>
      <c r="I553" s="6" t="inlineStr">
        <is>
          <t>中间分位</t>
        </is>
      </c>
      <c r="J553" s="6" t="inlineStr"/>
    </row>
    <row r="554">
      <c r="A554" s="11" t="inlineStr">
        <is>
          <t>2024-12-26</t>
        </is>
      </c>
      <c r="B554" s="17" t="n">
        <v>0.03211678832116788</v>
      </c>
      <c r="C554" s="11" t="inlineStr">
        <is>
          <t>2023-12-14</t>
        </is>
      </c>
      <c r="D554" s="11" t="inlineStr">
        <is>
          <t>2024-12-25</t>
        </is>
      </c>
      <c r="E554" s="11" t="n">
        <v>250</v>
      </c>
      <c r="F554" s="11" t="n">
        <v>162</v>
      </c>
      <c r="G554" s="11" t="n">
        <v>0</v>
      </c>
      <c r="H554" s="15">
        <f>IF(F554&gt;=E554,(E554-0.5)/E554,IF(G554&gt;0,(F554+0.5*G554)/E554,F554/E554))</f>
        <v/>
      </c>
      <c r="I554" s="11" t="inlineStr">
        <is>
          <t>中间分位</t>
        </is>
      </c>
      <c r="J554" s="11" t="inlineStr"/>
    </row>
    <row r="555">
      <c r="A555" s="6" t="inlineStr">
        <is>
          <t>2024-12-27</t>
        </is>
      </c>
      <c r="B555" s="16" t="n">
        <v>0.04109090909090909</v>
      </c>
      <c r="C555" s="6" t="inlineStr">
        <is>
          <t>2023-12-15</t>
        </is>
      </c>
      <c r="D555" s="6" t="inlineStr">
        <is>
          <t>2024-12-26</t>
        </is>
      </c>
      <c r="E555" s="6" t="n">
        <v>250</v>
      </c>
      <c r="F555" s="6" t="n">
        <v>183</v>
      </c>
      <c r="G555" s="6" t="n">
        <v>0</v>
      </c>
      <c r="H555" s="10">
        <f>IF(F555&gt;=E555,(E555-0.5)/E555,IF(G555&gt;0,(F555+0.5*G555)/E555,F555/E555))</f>
        <v/>
      </c>
      <c r="I555" s="6" t="inlineStr">
        <is>
          <t>中间分位</t>
        </is>
      </c>
      <c r="J555" s="6" t="inlineStr"/>
    </row>
    <row r="556">
      <c r="A556" s="11" t="inlineStr">
        <is>
          <t>2024-12-30</t>
        </is>
      </c>
      <c r="B556" s="17" t="n">
        <v>0.01389180836901245</v>
      </c>
      <c r="C556" s="11" t="inlineStr">
        <is>
          <t>2023-12-18</t>
        </is>
      </c>
      <c r="D556" s="11" t="inlineStr">
        <is>
          <t>2024-12-27</t>
        </is>
      </c>
      <c r="E556" s="11" t="n">
        <v>250</v>
      </c>
      <c r="F556" s="11" t="n">
        <v>121</v>
      </c>
      <c r="G556" s="11" t="n">
        <v>0</v>
      </c>
      <c r="H556" s="15">
        <f>IF(F556&gt;=E556,(E556-0.5)/E556,IF(G556&gt;0,(F556+0.5*G556)/E556,F556/E556))</f>
        <v/>
      </c>
      <c r="I556" s="11" t="inlineStr">
        <is>
          <t>中间分位</t>
        </is>
      </c>
      <c r="J556" s="11" t="inlineStr"/>
    </row>
    <row r="557">
      <c r="A557" s="6" t="inlineStr">
        <is>
          <t>2024-12-31</t>
        </is>
      </c>
      <c r="B557" s="16" t="n">
        <v>0.01559819799477754</v>
      </c>
      <c r="C557" s="6" t="inlineStr">
        <is>
          <t>2023-12-19</t>
        </is>
      </c>
      <c r="D557" s="6" t="inlineStr">
        <is>
          <t>2024-12-30</t>
        </is>
      </c>
      <c r="E557" s="6" t="n">
        <v>250</v>
      </c>
      <c r="F557" s="6" t="n">
        <v>127</v>
      </c>
      <c r="G557" s="6" t="n">
        <v>0</v>
      </c>
      <c r="H557" s="10">
        <f>IF(F557&gt;=E557,(E557-0.5)/E557,IF(G557&gt;0,(F557+0.5*G557)/E557,F557/E557))</f>
        <v/>
      </c>
      <c r="I557" s="6" t="inlineStr">
        <is>
          <t>中间分位</t>
        </is>
      </c>
      <c r="J557" s="6" t="inlineStr"/>
    </row>
    <row r="558">
      <c r="A558" s="11" t="inlineStr">
        <is>
          <t>2025-01-02</t>
        </is>
      </c>
      <c r="B558" s="17" t="n">
        <v>0.01860908593243013</v>
      </c>
      <c r="C558" s="11" t="inlineStr">
        <is>
          <t>2023-12-20</t>
        </is>
      </c>
      <c r="D558" s="11" t="inlineStr">
        <is>
          <t>2024-12-31</t>
        </is>
      </c>
      <c r="E558" s="11" t="n">
        <v>250</v>
      </c>
      <c r="F558" s="11" t="n">
        <v>137</v>
      </c>
      <c r="G558" s="11" t="n">
        <v>0</v>
      </c>
      <c r="H558" s="15">
        <f>IF(F558&gt;=E558,(E558-0.5)/E558,IF(G558&gt;0,(F558+0.5*G558)/E558,F558/E558))</f>
        <v/>
      </c>
      <c r="I558" s="11" t="inlineStr">
        <is>
          <t>中间分位</t>
        </is>
      </c>
      <c r="J558" s="11" t="inlineStr"/>
    </row>
    <row r="559">
      <c r="A559" s="6" t="inlineStr">
        <is>
          <t>2025-01-03</t>
        </is>
      </c>
      <c r="B559" s="16" t="n">
        <v>0.04323952834839179</v>
      </c>
      <c r="C559" s="6" t="inlineStr">
        <is>
          <t>2023-12-21</t>
        </is>
      </c>
      <c r="D559" s="6" t="inlineStr">
        <is>
          <t>2025-01-02</t>
        </is>
      </c>
      <c r="E559" s="6" t="n">
        <v>250</v>
      </c>
      <c r="F559" s="6" t="n">
        <v>188</v>
      </c>
      <c r="G559" s="6" t="n">
        <v>0</v>
      </c>
      <c r="H559" s="10">
        <f>IF(F559&gt;=E559,(E559-0.5)/E559,IF(G559&gt;0,(F559+0.5*G559)/E559,F559/E559))</f>
        <v/>
      </c>
      <c r="I559" s="6" t="inlineStr">
        <is>
          <t>中间分位</t>
        </is>
      </c>
      <c r="J559" s="6" t="inlineStr"/>
    </row>
    <row r="560">
      <c r="A560" s="11" t="inlineStr">
        <is>
          <t>2025-01-06</t>
        </is>
      </c>
      <c r="B560" s="17" t="n">
        <v>0.05781818181818182</v>
      </c>
      <c r="C560" s="11" t="inlineStr">
        <is>
          <t>2023-12-22</t>
        </is>
      </c>
      <c r="D560" s="11" t="inlineStr">
        <is>
          <t>2025-01-03</t>
        </is>
      </c>
      <c r="E560" s="11" t="n">
        <v>250</v>
      </c>
      <c r="F560" s="11" t="n">
        <v>217</v>
      </c>
      <c r="G560" s="11" t="n">
        <v>0</v>
      </c>
      <c r="H560" s="15">
        <f>IF(F560&gt;=E560,(E560-0.5)/E560,IF(G560&gt;0,(F560+0.5*G560)/E560,F560/E560))</f>
        <v/>
      </c>
      <c r="I560" s="11" t="inlineStr">
        <is>
          <t>中间分位</t>
        </is>
      </c>
      <c r="J560" s="11" t="inlineStr"/>
    </row>
    <row r="561">
      <c r="A561" s="6" t="inlineStr">
        <is>
          <t>2025-01-07</t>
        </is>
      </c>
      <c r="B561" s="16" t="n">
        <v>0.03160403698193252</v>
      </c>
      <c r="C561" s="6" t="inlineStr">
        <is>
          <t>2023-12-25</t>
        </is>
      </c>
      <c r="D561" s="6" t="inlineStr">
        <is>
          <t>2025-01-06</t>
        </is>
      </c>
      <c r="E561" s="6" t="n">
        <v>250</v>
      </c>
      <c r="F561" s="6" t="n">
        <v>158</v>
      </c>
      <c r="G561" s="6" t="n">
        <v>0</v>
      </c>
      <c r="H561" s="10">
        <f>IF(F561&gt;=E561,(E561-0.5)/E561,IF(G561&gt;0,(F561+0.5*G561)/E561,F561/E561))</f>
        <v/>
      </c>
      <c r="I561" s="6" t="inlineStr">
        <is>
          <t>中间分位</t>
        </is>
      </c>
      <c r="J561" s="6" t="inlineStr"/>
    </row>
    <row r="562">
      <c r="A562" s="11" t="inlineStr">
        <is>
          <t>2025-01-08</t>
        </is>
      </c>
      <c r="B562" s="17" t="n">
        <v>0.02705614346152551</v>
      </c>
      <c r="C562" s="11" t="inlineStr">
        <is>
          <t>2023-12-26</t>
        </is>
      </c>
      <c r="D562" s="11" t="inlineStr">
        <is>
          <t>2025-01-07</t>
        </is>
      </c>
      <c r="E562" s="11" t="n">
        <v>250</v>
      </c>
      <c r="F562" s="11" t="n">
        <v>152</v>
      </c>
      <c r="G562" s="11" t="n">
        <v>0</v>
      </c>
      <c r="H562" s="15">
        <f>IF(F562&gt;=E562,(E562-0.5)/E562,IF(G562&gt;0,(F562+0.5*G562)/E562,F562/E562))</f>
        <v/>
      </c>
      <c r="I562" s="11" t="inlineStr">
        <is>
          <t>中间分位</t>
        </is>
      </c>
      <c r="J562" s="11" t="inlineStr"/>
    </row>
    <row r="563">
      <c r="A563" s="6" t="inlineStr">
        <is>
          <t>2025-01-09</t>
        </is>
      </c>
      <c r="B563" s="16" t="n">
        <v>0.03694858890091618</v>
      </c>
      <c r="C563" s="6" t="inlineStr">
        <is>
          <t>2023-12-27</t>
        </is>
      </c>
      <c r="D563" s="6" t="inlineStr">
        <is>
          <t>2025-01-08</t>
        </is>
      </c>
      <c r="E563" s="6" t="n">
        <v>250</v>
      </c>
      <c r="F563" s="6" t="n">
        <v>168</v>
      </c>
      <c r="G563" s="6" t="n">
        <v>0</v>
      </c>
      <c r="H563" s="10">
        <f>IF(F563&gt;=E563,(E563-0.5)/E563,IF(G563&gt;0,(F563+0.5*G563)/E563,F563/E563))</f>
        <v/>
      </c>
      <c r="I563" s="6" t="inlineStr">
        <is>
          <t>中间分位</t>
        </is>
      </c>
      <c r="J563" s="6" t="inlineStr"/>
    </row>
    <row r="564">
      <c r="A564" s="11" t="inlineStr">
        <is>
          <t>2025-01-10</t>
        </is>
      </c>
      <c r="B564" s="17" t="n">
        <v>0.02923149986724853</v>
      </c>
      <c r="C564" s="11" t="inlineStr">
        <is>
          <t>2023-12-28</t>
        </is>
      </c>
      <c r="D564" s="11" t="inlineStr">
        <is>
          <t>2025-01-09</t>
        </is>
      </c>
      <c r="E564" s="11" t="n">
        <v>250</v>
      </c>
      <c r="F564" s="11" t="n">
        <v>151</v>
      </c>
      <c r="G564" s="11" t="n">
        <v>0</v>
      </c>
      <c r="H564" s="15">
        <f>IF(F564&gt;=E564,(E564-0.5)/E564,IF(G564&gt;0,(F564+0.5*G564)/E564,F564/E564))</f>
        <v/>
      </c>
      <c r="I564" s="11" t="inlineStr">
        <is>
          <t>中间分位</t>
        </is>
      </c>
      <c r="J564" s="11" t="inlineStr"/>
    </row>
    <row r="565">
      <c r="A565" s="6" t="inlineStr">
        <is>
          <t>2025-01-13</t>
        </is>
      </c>
      <c r="B565" s="16" t="n">
        <v>0.02145164939925737</v>
      </c>
      <c r="C565" s="6" t="inlineStr">
        <is>
          <t>2023-12-29</t>
        </is>
      </c>
      <c r="D565" s="6" t="inlineStr">
        <is>
          <t>2025-01-10</t>
        </is>
      </c>
      <c r="E565" s="6" t="n">
        <v>250</v>
      </c>
      <c r="F565" s="6" t="n">
        <v>140</v>
      </c>
      <c r="G565" s="6" t="n">
        <v>0</v>
      </c>
      <c r="H565" s="10">
        <f>IF(F565&gt;=E565,(E565-0.5)/E565,IF(G565&gt;0,(F565+0.5*G565)/E565,F565/E565))</f>
        <v/>
      </c>
      <c r="I565" s="6" t="inlineStr">
        <is>
          <t>中间分位</t>
        </is>
      </c>
      <c r="J565" s="6" t="inlineStr"/>
    </row>
    <row r="566">
      <c r="A566" s="11" t="inlineStr">
        <is>
          <t>2025-01-14</t>
        </is>
      </c>
      <c r="B566" s="17" t="n">
        <v>0.02145164939925737</v>
      </c>
      <c r="C566" s="11" t="inlineStr">
        <is>
          <t>2024-01-02</t>
        </is>
      </c>
      <c r="D566" s="11" t="inlineStr">
        <is>
          <t>2025-01-13</t>
        </is>
      </c>
      <c r="E566" s="11" t="n">
        <v>250</v>
      </c>
      <c r="F566" s="11" t="n">
        <v>139</v>
      </c>
      <c r="G566" s="11" t="n">
        <v>1</v>
      </c>
      <c r="H566" s="15">
        <f>IF(F566&gt;=E566,(E566-0.5)/E566,IF(G566&gt;0,(F566+0.5*G566)/E566,F566/E566))</f>
        <v/>
      </c>
      <c r="I566" s="11" t="inlineStr">
        <is>
          <t>中间分位</t>
        </is>
      </c>
      <c r="J566" s="11" t="inlineStr"/>
    </row>
    <row r="567">
      <c r="A567" s="6" t="inlineStr">
        <is>
          <t>2025-01-15</t>
        </is>
      </c>
      <c r="B567" s="16" t="n">
        <v>0.03006577001311018</v>
      </c>
      <c r="C567" s="6" t="inlineStr">
        <is>
          <t>2024-01-03</t>
        </is>
      </c>
      <c r="D567" s="6" t="inlineStr">
        <is>
          <t>2025-01-14</t>
        </is>
      </c>
      <c r="E567" s="6" t="n">
        <v>250</v>
      </c>
      <c r="F567" s="6" t="n">
        <v>153</v>
      </c>
      <c r="G567" s="6" t="n">
        <v>0</v>
      </c>
      <c r="H567" s="10">
        <f>IF(F567&gt;=E567,(E567-0.5)/E567,IF(G567&gt;0,(F567+0.5*G567)/E567,F567/E567))</f>
        <v/>
      </c>
      <c r="I567" s="6" t="inlineStr">
        <is>
          <t>中间分位</t>
        </is>
      </c>
      <c r="J567" s="6" t="inlineStr"/>
    </row>
    <row r="568">
      <c r="A568" s="11" t="inlineStr">
        <is>
          <t>2025-01-16</t>
        </is>
      </c>
      <c r="B568" s="17" t="n">
        <v>0.04625759774768384</v>
      </c>
      <c r="C568" s="11" t="inlineStr">
        <is>
          <t>2024-01-04</t>
        </is>
      </c>
      <c r="D568" s="11" t="inlineStr">
        <is>
          <t>2025-01-15</t>
        </is>
      </c>
      <c r="E568" s="11" t="n">
        <v>250</v>
      </c>
      <c r="F568" s="11" t="n">
        <v>197</v>
      </c>
      <c r="G568" s="11" t="n">
        <v>0</v>
      </c>
      <c r="H568" s="15">
        <f>IF(F568&gt;=E568,(E568-0.5)/E568,IF(G568&gt;0,(F568+0.5*G568)/E568,F568/E568))</f>
        <v/>
      </c>
      <c r="I568" s="11" t="inlineStr">
        <is>
          <t>中间分位</t>
        </is>
      </c>
      <c r="J568" s="11" t="inlineStr"/>
    </row>
    <row r="569">
      <c r="A569" s="6" t="inlineStr">
        <is>
          <t>2025-01-17</t>
        </is>
      </c>
      <c r="B569" s="16" t="n">
        <v>0.03911439114391144</v>
      </c>
      <c r="C569" s="6" t="inlineStr">
        <is>
          <t>2024-01-05</t>
        </is>
      </c>
      <c r="D569" s="6" t="inlineStr">
        <is>
          <t>2025-01-16</t>
        </is>
      </c>
      <c r="E569" s="6" t="n">
        <v>250</v>
      </c>
      <c r="F569" s="6" t="n">
        <v>170</v>
      </c>
      <c r="G569" s="6" t="n">
        <v>0</v>
      </c>
      <c r="H569" s="10">
        <f>IF(F569&gt;=E569,(E569-0.5)/E569,IF(G569&gt;0,(F569+0.5*G569)/E569,F569/E569))</f>
        <v/>
      </c>
      <c r="I569" s="6" t="inlineStr">
        <is>
          <t>中间分位</t>
        </is>
      </c>
      <c r="J569" s="6" t="inlineStr"/>
    </row>
    <row r="570">
      <c r="A570" s="11" t="inlineStr">
        <is>
          <t>2025-01-20</t>
        </is>
      </c>
      <c r="B570" s="17" t="n">
        <v>0.04222447261140354</v>
      </c>
      <c r="C570" s="11" t="inlineStr">
        <is>
          <t>2024-01-08</t>
        </is>
      </c>
      <c r="D570" s="11" t="inlineStr">
        <is>
          <t>2025-01-17</t>
        </is>
      </c>
      <c r="E570" s="11" t="n">
        <v>250</v>
      </c>
      <c r="F570" s="11" t="n">
        <v>182</v>
      </c>
      <c r="G570" s="11" t="n">
        <v>0</v>
      </c>
      <c r="H570" s="15">
        <f>IF(F570&gt;=E570,(E570-0.5)/E570,IF(G570&gt;0,(F570+0.5*G570)/E570,F570/E570))</f>
        <v/>
      </c>
      <c r="I570" s="11" t="inlineStr">
        <is>
          <t>中间分位</t>
        </is>
      </c>
      <c r="J570" s="11" t="inlineStr"/>
    </row>
    <row r="571">
      <c r="A571" s="6" t="inlineStr">
        <is>
          <t>2025-01-21</t>
        </is>
      </c>
      <c r="B571" s="16" t="n">
        <v>0.02563581869530718</v>
      </c>
      <c r="C571" s="6" t="inlineStr">
        <is>
          <t>2024-01-09</t>
        </is>
      </c>
      <c r="D571" s="6" t="inlineStr">
        <is>
          <t>2025-01-20</t>
        </is>
      </c>
      <c r="E571" s="6" t="n">
        <v>250</v>
      </c>
      <c r="F571" s="6" t="n">
        <v>142</v>
      </c>
      <c r="G571" s="6" t="n">
        <v>0</v>
      </c>
      <c r="H571" s="10">
        <f>IF(F571&gt;=E571,(E571-0.5)/E571,IF(G571&gt;0,(F571+0.5*G571)/E571,F571/E571))</f>
        <v/>
      </c>
      <c r="I571" s="6" t="inlineStr">
        <is>
          <t>中间分位</t>
        </is>
      </c>
      <c r="J571" s="6" t="inlineStr"/>
    </row>
    <row r="572">
      <c r="A572" s="11" t="inlineStr">
        <is>
          <t>2025-01-22</t>
        </is>
      </c>
      <c r="B572" s="17" t="n">
        <v>0.03338431993024733</v>
      </c>
      <c r="C572" s="11" t="inlineStr">
        <is>
          <t>2024-01-10</t>
        </is>
      </c>
      <c r="D572" s="11" t="inlineStr">
        <is>
          <t>2025-01-21</t>
        </is>
      </c>
      <c r="E572" s="11" t="n">
        <v>250</v>
      </c>
      <c r="F572" s="11" t="n">
        <v>157</v>
      </c>
      <c r="G572" s="11" t="n">
        <v>0</v>
      </c>
      <c r="H572" s="15">
        <f>IF(F572&gt;=E572,(E572-0.5)/E572,IF(G572&gt;0,(F572+0.5*G572)/E572,F572/E572))</f>
        <v/>
      </c>
      <c r="I572" s="11" t="inlineStr">
        <is>
          <t>中间分位</t>
        </is>
      </c>
      <c r="J572" s="11" t="inlineStr"/>
    </row>
    <row r="573">
      <c r="A573" s="6" t="inlineStr">
        <is>
          <t>2025-01-23</t>
        </is>
      </c>
      <c r="B573" s="16" t="n">
        <v>0.03682097959770441</v>
      </c>
      <c r="C573" s="6" t="inlineStr">
        <is>
          <t>2024-01-11</t>
        </is>
      </c>
      <c r="D573" s="6" t="inlineStr">
        <is>
          <t>2025-01-22</t>
        </is>
      </c>
      <c r="E573" s="6" t="n">
        <v>250</v>
      </c>
      <c r="F573" s="6" t="n">
        <v>165</v>
      </c>
      <c r="G573" s="6" t="n">
        <v>0</v>
      </c>
      <c r="H573" s="10">
        <f>IF(F573&gt;=E573,(E573-0.5)/E573,IF(G573&gt;0,(F573+0.5*G573)/E573,F573/E573))</f>
        <v/>
      </c>
      <c r="I573" s="6" t="inlineStr">
        <is>
          <t>中间分位</t>
        </is>
      </c>
      <c r="J573" s="6" t="inlineStr"/>
    </row>
    <row r="574">
      <c r="A574" s="11" t="inlineStr">
        <is>
          <t>2025-01-24</t>
        </is>
      </c>
      <c r="B574" s="17" t="n">
        <v>0.02813688212927757</v>
      </c>
      <c r="C574" s="11" t="inlineStr">
        <is>
          <t>2024-01-12</t>
        </is>
      </c>
      <c r="D574" s="11" t="inlineStr">
        <is>
          <t>2025-01-23</t>
        </is>
      </c>
      <c r="E574" s="11" t="n">
        <v>250</v>
      </c>
      <c r="F574" s="11" t="n">
        <v>145</v>
      </c>
      <c r="G574" s="11" t="n">
        <v>0</v>
      </c>
      <c r="H574" s="15">
        <f>IF(F574&gt;=E574,(E574-0.5)/E574,IF(G574&gt;0,(F574+0.5*G574)/E574,F574/E574))</f>
        <v/>
      </c>
      <c r="I574" s="11" t="inlineStr">
        <is>
          <t>中间分位</t>
        </is>
      </c>
      <c r="J574" s="11" t="inlineStr"/>
    </row>
    <row r="575">
      <c r="A575" s="6" t="inlineStr">
        <is>
          <t>2025-01-27</t>
        </is>
      </c>
      <c r="B575" s="16" t="n">
        <v>0.03104524950395132</v>
      </c>
      <c r="C575" s="6" t="inlineStr">
        <is>
          <t>2024-01-15</t>
        </is>
      </c>
      <c r="D575" s="6" t="inlineStr">
        <is>
          <t>2025-01-24</t>
        </is>
      </c>
      <c r="E575" s="6" t="n">
        <v>250</v>
      </c>
      <c r="F575" s="6" t="n">
        <v>151</v>
      </c>
      <c r="G575" s="6" t="n">
        <v>0</v>
      </c>
      <c r="H575" s="10">
        <f>IF(F575&gt;=E575,(E575-0.5)/E575,IF(G575&gt;0,(F575+0.5*G575)/E575,F575/E575))</f>
        <v/>
      </c>
      <c r="I575" s="6" t="inlineStr">
        <is>
          <t>中间分位</t>
        </is>
      </c>
      <c r="J575" s="6" t="inlineStr"/>
    </row>
    <row r="576">
      <c r="A576" s="11" t="inlineStr">
        <is>
          <t>2025-02-05</t>
        </is>
      </c>
      <c r="B576" s="17" t="n">
        <v>0.02535444243369261</v>
      </c>
      <c r="C576" s="11" t="inlineStr">
        <is>
          <t>2024-01-16</t>
        </is>
      </c>
      <c r="D576" s="11" t="inlineStr">
        <is>
          <t>2025-01-27</t>
        </is>
      </c>
      <c r="E576" s="11" t="n">
        <v>250</v>
      </c>
      <c r="F576" s="11" t="n">
        <v>139</v>
      </c>
      <c r="G576" s="11" t="n">
        <v>0</v>
      </c>
      <c r="H576" s="15">
        <f>IF(F576&gt;=E576,(E576-0.5)/E576,IF(G576&gt;0,(F576+0.5*G576)/E576,F576/E576))</f>
        <v/>
      </c>
      <c r="I576" s="11" t="inlineStr">
        <is>
          <t>中间分位</t>
        </is>
      </c>
      <c r="J576" s="11" t="inlineStr"/>
    </row>
    <row r="577">
      <c r="A577" s="6" t="inlineStr">
        <is>
          <t>2025-02-06</t>
        </is>
      </c>
      <c r="B577" s="16" t="n">
        <v>0.02763696939317763</v>
      </c>
      <c r="C577" s="6" t="inlineStr">
        <is>
          <t>2024-01-17</t>
        </is>
      </c>
      <c r="D577" s="6" t="inlineStr">
        <is>
          <t>2025-02-05</t>
        </is>
      </c>
      <c r="E577" s="6" t="n">
        <v>250</v>
      </c>
      <c r="F577" s="6" t="n">
        <v>145</v>
      </c>
      <c r="G577" s="6" t="n">
        <v>0</v>
      </c>
      <c r="H577" s="10">
        <f>IF(F577&gt;=E577,(E577-0.5)/E577,IF(G577&gt;0,(F577+0.5*G577)/E577,F577/E577))</f>
        <v/>
      </c>
      <c r="I577" s="6" t="inlineStr">
        <is>
          <t>中间分位</t>
        </is>
      </c>
      <c r="J577" s="6" t="inlineStr"/>
    </row>
    <row r="578">
      <c r="A578" s="11" t="inlineStr">
        <is>
          <t>2025-02-07</t>
        </is>
      </c>
      <c r="B578" s="17" t="n">
        <v>0.02339622641509434</v>
      </c>
      <c r="C578" s="11" t="inlineStr">
        <is>
          <t>2024-01-18</t>
        </is>
      </c>
      <c r="D578" s="11" t="inlineStr">
        <is>
          <t>2025-02-06</t>
        </is>
      </c>
      <c r="E578" s="11" t="n">
        <v>250</v>
      </c>
      <c r="F578" s="11" t="n">
        <v>137</v>
      </c>
      <c r="G578" s="11" t="n">
        <v>0</v>
      </c>
      <c r="H578" s="15">
        <f>IF(F578&gt;=E578,(E578-0.5)/E578,IF(G578&gt;0,(F578+0.5*G578)/E578,F578/E578))</f>
        <v/>
      </c>
      <c r="I578" s="11" t="inlineStr">
        <is>
          <t>中间分位</t>
        </is>
      </c>
      <c r="J578" s="11" t="inlineStr"/>
    </row>
    <row r="579">
      <c r="A579" s="6" t="inlineStr">
        <is>
          <t>2025-02-10</t>
        </is>
      </c>
      <c r="B579" s="16" t="n">
        <v>0.01924284645208843</v>
      </c>
      <c r="C579" s="6" t="inlineStr">
        <is>
          <t>2024-01-19</t>
        </is>
      </c>
      <c r="D579" s="6" t="inlineStr">
        <is>
          <t>2025-02-07</t>
        </is>
      </c>
      <c r="E579" s="6" t="n">
        <v>250</v>
      </c>
      <c r="F579" s="6" t="n">
        <v>128</v>
      </c>
      <c r="G579" s="6" t="n">
        <v>0</v>
      </c>
      <c r="H579" s="10">
        <f>IF(F579&gt;=E579,(E579-0.5)/E579,IF(G579&gt;0,(F579+0.5*G579)/E579,F579/E579))</f>
        <v/>
      </c>
      <c r="I579" s="6" t="inlineStr">
        <is>
          <t>中间分位</t>
        </is>
      </c>
      <c r="J579" s="6" t="inlineStr"/>
    </row>
    <row r="580">
      <c r="A580" s="11" t="inlineStr">
        <is>
          <t>2025-02-11</t>
        </is>
      </c>
      <c r="B580" s="17" t="n">
        <v>0.02887246903854267</v>
      </c>
      <c r="C580" s="11" t="inlineStr">
        <is>
          <t>2024-01-22</t>
        </is>
      </c>
      <c r="D580" s="11" t="inlineStr">
        <is>
          <t>2025-02-10</t>
        </is>
      </c>
      <c r="E580" s="11" t="n">
        <v>250</v>
      </c>
      <c r="F580" s="11" t="n">
        <v>148</v>
      </c>
      <c r="G580" s="11" t="n">
        <v>0</v>
      </c>
      <c r="H580" s="15">
        <f>IF(F580&gt;=E580,(E580-0.5)/E580,IF(G580&gt;0,(F580+0.5*G580)/E580,F580/E580))</f>
        <v/>
      </c>
      <c r="I580" s="11" t="inlineStr">
        <is>
          <t>中间分位</t>
        </is>
      </c>
      <c r="J580" s="11" t="inlineStr"/>
    </row>
    <row r="581">
      <c r="A581" s="6" t="inlineStr">
        <is>
          <t>2025-02-12</t>
        </is>
      </c>
      <c r="B581" s="16" t="n">
        <v>0.02740537095490766</v>
      </c>
      <c r="C581" s="6" t="inlineStr">
        <is>
          <t>2024-01-23</t>
        </is>
      </c>
      <c r="D581" s="6" t="inlineStr">
        <is>
          <t>2025-02-11</t>
        </is>
      </c>
      <c r="E581" s="6" t="n">
        <v>250</v>
      </c>
      <c r="F581" s="6" t="n">
        <v>145</v>
      </c>
      <c r="G581" s="6" t="n">
        <v>0</v>
      </c>
      <c r="H581" s="10">
        <f>IF(F581&gt;=E581,(E581-0.5)/E581,IF(G581&gt;0,(F581+0.5*G581)/E581,F581/E581))</f>
        <v/>
      </c>
      <c r="I581" s="6" t="inlineStr">
        <is>
          <t>中间分位</t>
        </is>
      </c>
      <c r="J581" s="6" t="inlineStr"/>
    </row>
    <row r="582">
      <c r="A582" s="11" t="inlineStr">
        <is>
          <t>2025-02-13</t>
        </is>
      </c>
      <c r="B582" s="17" t="n">
        <v>0.03712121212121212</v>
      </c>
      <c r="C582" s="11" t="inlineStr">
        <is>
          <t>2024-01-24</t>
        </is>
      </c>
      <c r="D582" s="11" t="inlineStr">
        <is>
          <t>2025-02-12</t>
        </is>
      </c>
      <c r="E582" s="11" t="n">
        <v>250</v>
      </c>
      <c r="F582" s="11" t="n">
        <v>170</v>
      </c>
      <c r="G582" s="11" t="n">
        <v>0</v>
      </c>
      <c r="H582" s="15">
        <f>IF(F582&gt;=E582,(E582-0.5)/E582,IF(G582&gt;0,(F582+0.5*G582)/E582,F582/E582))</f>
        <v/>
      </c>
      <c r="I582" s="11" t="inlineStr">
        <is>
          <t>中间分位</t>
        </is>
      </c>
      <c r="J582" s="11" t="inlineStr"/>
    </row>
    <row r="583">
      <c r="A583" s="6" t="inlineStr">
        <is>
          <t>2025-02-14</t>
        </is>
      </c>
      <c r="B583" s="16" t="n">
        <v>0.03001724157793078</v>
      </c>
      <c r="C583" s="6" t="inlineStr">
        <is>
          <t>2024-01-25</t>
        </is>
      </c>
      <c r="D583" s="6" t="inlineStr">
        <is>
          <t>2025-02-13</t>
        </is>
      </c>
      <c r="E583" s="6" t="n">
        <v>250</v>
      </c>
      <c r="F583" s="6" t="n">
        <v>152</v>
      </c>
      <c r="G583" s="6" t="n">
        <v>0</v>
      </c>
      <c r="H583" s="10">
        <f>IF(F583&gt;=E583,(E583-0.5)/E583,IF(G583&gt;0,(F583+0.5*G583)/E583,F583/E583))</f>
        <v/>
      </c>
      <c r="I583" s="6" t="inlineStr">
        <is>
          <t>中间分位</t>
        </is>
      </c>
      <c r="J583" s="6" t="inlineStr"/>
    </row>
    <row r="584">
      <c r="A584" s="11" t="inlineStr">
        <is>
          <t>2025-02-17</t>
        </is>
      </c>
      <c r="B584" s="17" t="n">
        <v>0.009048492628949746</v>
      </c>
      <c r="C584" s="11" t="inlineStr">
        <is>
          <t>2024-01-26</t>
        </is>
      </c>
      <c r="D584" s="11" t="inlineStr">
        <is>
          <t>2025-02-14</t>
        </is>
      </c>
      <c r="E584" s="11" t="n">
        <v>250</v>
      </c>
      <c r="F584" s="11" t="n">
        <v>99</v>
      </c>
      <c r="G584" s="11" t="n">
        <v>0</v>
      </c>
      <c r="H584" s="15">
        <f>IF(F584&gt;=E584,(E584-0.5)/E584,IF(G584&gt;0,(F584+0.5*G584)/E584,F584/E584))</f>
        <v/>
      </c>
      <c r="I584" s="11" t="inlineStr">
        <is>
          <t>中间分位</t>
        </is>
      </c>
      <c r="J584" s="11" t="inlineStr"/>
    </row>
    <row r="585">
      <c r="A585" s="6" t="inlineStr">
        <is>
          <t>2025-02-18</t>
        </is>
      </c>
      <c r="B585" s="16" t="n">
        <v>0.02084126855880916</v>
      </c>
      <c r="C585" s="6" t="inlineStr">
        <is>
          <t>2024-01-29</t>
        </is>
      </c>
      <c r="D585" s="6" t="inlineStr">
        <is>
          <t>2025-02-17</t>
        </is>
      </c>
      <c r="E585" s="6" t="n">
        <v>250</v>
      </c>
      <c r="F585" s="6" t="n">
        <v>131</v>
      </c>
      <c r="G585" s="6" t="n">
        <v>0</v>
      </c>
      <c r="H585" s="10">
        <f>IF(F585&gt;=E585,(E585-0.5)/E585,IF(G585&gt;0,(F585+0.5*G585)/E585,F585/E585))</f>
        <v/>
      </c>
      <c r="I585" s="6" t="inlineStr">
        <is>
          <t>中间分位</t>
        </is>
      </c>
      <c r="J585" s="6" t="inlineStr"/>
    </row>
    <row r="586">
      <c r="A586" s="11" t="inlineStr">
        <is>
          <t>2025-02-19</t>
        </is>
      </c>
      <c r="B586" s="17" t="n">
        <v>0.02092176257256186</v>
      </c>
      <c r="C586" s="11" t="inlineStr">
        <is>
          <t>2024-01-30</t>
        </is>
      </c>
      <c r="D586" s="11" t="inlineStr">
        <is>
          <t>2025-02-18</t>
        </is>
      </c>
      <c r="E586" s="11" t="n">
        <v>250</v>
      </c>
      <c r="F586" s="11" t="n">
        <v>132</v>
      </c>
      <c r="G586" s="11" t="n">
        <v>0</v>
      </c>
      <c r="H586" s="15">
        <f>IF(F586&gt;=E586,(E586-0.5)/E586,IF(G586&gt;0,(F586+0.5*G586)/E586,F586/E586))</f>
        <v/>
      </c>
      <c r="I586" s="11" t="inlineStr">
        <is>
          <t>中间分位</t>
        </is>
      </c>
      <c r="J586" s="11" t="inlineStr"/>
    </row>
    <row r="587">
      <c r="A587" s="6" t="inlineStr">
        <is>
          <t>2025-02-20</t>
        </is>
      </c>
      <c r="B587" s="16" t="n">
        <v>0.0127906976744186</v>
      </c>
      <c r="C587" s="6" t="inlineStr">
        <is>
          <t>2024-01-31</t>
        </is>
      </c>
      <c r="D587" s="6" t="inlineStr">
        <is>
          <t>2025-02-19</t>
        </is>
      </c>
      <c r="E587" s="6" t="n">
        <v>250</v>
      </c>
      <c r="F587" s="6" t="n">
        <v>113</v>
      </c>
      <c r="G587" s="6" t="n">
        <v>0</v>
      </c>
      <c r="H587" s="10">
        <f>IF(F587&gt;=E587,(E587-0.5)/E587,IF(G587&gt;0,(F587+0.5*G587)/E587,F587/E587))</f>
        <v/>
      </c>
      <c r="I587" s="6" t="inlineStr">
        <is>
          <t>中间分位</t>
        </is>
      </c>
      <c r="J587" s="6" t="inlineStr"/>
    </row>
    <row r="588">
      <c r="A588" s="11" t="inlineStr">
        <is>
          <t>2025-02-21</t>
        </is>
      </c>
      <c r="B588" s="17" t="n">
        <v>0.0184971098265896</v>
      </c>
      <c r="C588" s="11" t="inlineStr">
        <is>
          <t>2024-02-01</t>
        </is>
      </c>
      <c r="D588" s="11" t="inlineStr">
        <is>
          <t>2025-02-20</t>
        </is>
      </c>
      <c r="E588" s="11" t="n">
        <v>250</v>
      </c>
      <c r="F588" s="11" t="n">
        <v>126</v>
      </c>
      <c r="G588" s="11" t="n">
        <v>0</v>
      </c>
      <c r="H588" s="15">
        <f>IF(F588&gt;=E588,(E588-0.5)/E588,IF(G588&gt;0,(F588+0.5*G588)/E588,F588/E588))</f>
        <v/>
      </c>
      <c r="I588" s="11" t="inlineStr">
        <is>
          <t>中间分位</t>
        </is>
      </c>
      <c r="J588" s="11" t="inlineStr"/>
    </row>
    <row r="589">
      <c r="A589" s="6" t="inlineStr">
        <is>
          <t>2025-02-24</t>
        </is>
      </c>
      <c r="B589" s="16" t="n">
        <v>0.01167288219741141</v>
      </c>
      <c r="C589" s="6" t="inlineStr">
        <is>
          <t>2024-02-02</t>
        </is>
      </c>
      <c r="D589" s="6" t="inlineStr">
        <is>
          <t>2025-02-21</t>
        </is>
      </c>
      <c r="E589" s="6" t="n">
        <v>250</v>
      </c>
      <c r="F589" s="6" t="n">
        <v>109</v>
      </c>
      <c r="G589" s="6" t="n">
        <v>0</v>
      </c>
      <c r="H589" s="10">
        <f>IF(F589&gt;=E589,(E589-0.5)/E589,IF(G589&gt;0,(F589+0.5*G589)/E589,F589/E589))</f>
        <v/>
      </c>
      <c r="I589" s="6" t="inlineStr">
        <is>
          <t>中间分位</t>
        </is>
      </c>
      <c r="J589" s="6" t="inlineStr"/>
    </row>
    <row r="590">
      <c r="A590" s="11" t="inlineStr">
        <is>
          <t>2025-02-25</t>
        </is>
      </c>
      <c r="B590" s="17" t="n">
        <v>0.02991601516997475</v>
      </c>
      <c r="C590" s="11" t="inlineStr">
        <is>
          <t>2024-02-05</t>
        </is>
      </c>
      <c r="D590" s="11" t="inlineStr">
        <is>
          <t>2025-02-24</t>
        </is>
      </c>
      <c r="E590" s="11" t="n">
        <v>250</v>
      </c>
      <c r="F590" s="11" t="n">
        <v>157</v>
      </c>
      <c r="G590" s="11" t="n">
        <v>0</v>
      </c>
      <c r="H590" s="15">
        <f>IF(F590&gt;=E590,(E590-0.5)/E590,IF(G590&gt;0,(F590+0.5*G590)/E590,F590/E590))</f>
        <v/>
      </c>
      <c r="I590" s="11" t="inlineStr">
        <is>
          <t>中间分位</t>
        </is>
      </c>
      <c r="J590" s="11" t="inlineStr"/>
    </row>
    <row r="591">
      <c r="A591" s="6" t="inlineStr">
        <is>
          <t>2025-02-26</t>
        </is>
      </c>
      <c r="B591" s="16" t="n">
        <v>0.01319727943703967</v>
      </c>
      <c r="C591" s="6" t="inlineStr">
        <is>
          <t>2024-02-06</t>
        </is>
      </c>
      <c r="D591" s="6" t="inlineStr">
        <is>
          <t>2025-02-25</t>
        </is>
      </c>
      <c r="E591" s="6" t="n">
        <v>250</v>
      </c>
      <c r="F591" s="6" t="n">
        <v>116</v>
      </c>
      <c r="G591" s="6" t="n">
        <v>0</v>
      </c>
      <c r="H591" s="10">
        <f>IF(F591&gt;=E591,(E591-0.5)/E591,IF(G591&gt;0,(F591+0.5*G591)/E591,F591/E591))</f>
        <v/>
      </c>
      <c r="I591" s="6" t="inlineStr">
        <is>
          <t>中间分位</t>
        </is>
      </c>
      <c r="J591" s="6" t="inlineStr"/>
    </row>
    <row r="592">
      <c r="A592" s="11" t="inlineStr">
        <is>
          <t>2025-02-27</t>
        </is>
      </c>
      <c r="B592" s="17" t="n">
        <v>0.005504488482059517</v>
      </c>
      <c r="C592" s="11" t="inlineStr">
        <is>
          <t>2024-02-07</t>
        </is>
      </c>
      <c r="D592" s="11" t="inlineStr">
        <is>
          <t>2025-02-26</t>
        </is>
      </c>
      <c r="E592" s="11" t="n">
        <v>250</v>
      </c>
      <c r="F592" s="11" t="n">
        <v>88</v>
      </c>
      <c r="G592" s="11" t="n">
        <v>0</v>
      </c>
      <c r="H592" s="15">
        <f>IF(F592&gt;=E592,(E592-0.5)/E592,IF(G592&gt;0,(F592+0.5*G592)/E592,F592/E592))</f>
        <v/>
      </c>
      <c r="I592" s="11" t="inlineStr">
        <is>
          <t>中间分位</t>
        </is>
      </c>
      <c r="J592" s="11" t="inlineStr"/>
    </row>
    <row r="593">
      <c r="A593" s="6" t="inlineStr">
        <is>
          <t>2025-02-28</t>
        </is>
      </c>
      <c r="B593" s="16" t="n">
        <v>0.01828659501854474</v>
      </c>
      <c r="C593" s="6" t="inlineStr">
        <is>
          <t>2024-02-08</t>
        </is>
      </c>
      <c r="D593" s="6" t="inlineStr">
        <is>
          <t>2025-02-27</t>
        </is>
      </c>
      <c r="E593" s="6" t="n">
        <v>250</v>
      </c>
      <c r="F593" s="6" t="n">
        <v>129</v>
      </c>
      <c r="G593" s="6" t="n">
        <v>0</v>
      </c>
      <c r="H593" s="10">
        <f>IF(F593&gt;=E593,(E593-0.5)/E593,IF(G593&gt;0,(F593+0.5*G593)/E593,F593/E593))</f>
        <v/>
      </c>
      <c r="I593" s="6" t="inlineStr">
        <is>
          <t>中间分位</t>
        </is>
      </c>
      <c r="J593" s="6" t="inlineStr"/>
    </row>
    <row r="594">
      <c r="A594" s="11" t="inlineStr">
        <is>
          <t>2025-03-03</t>
        </is>
      </c>
      <c r="B594" s="17" t="n">
        <v>0.008812667115477509</v>
      </c>
      <c r="C594" s="11" t="inlineStr">
        <is>
          <t>2024-02-19</t>
        </is>
      </c>
      <c r="D594" s="11" t="inlineStr">
        <is>
          <t>2025-02-28</t>
        </is>
      </c>
      <c r="E594" s="11" t="n">
        <v>250</v>
      </c>
      <c r="F594" s="11" t="n">
        <v>100</v>
      </c>
      <c r="G594" s="11" t="n">
        <v>0</v>
      </c>
      <c r="H594" s="15">
        <f>IF(F594&gt;=E594,(E594-0.5)/E594,IF(G594&gt;0,(F594+0.5*G594)/E594,F594/E594))</f>
        <v/>
      </c>
      <c r="I594" s="11" t="inlineStr">
        <is>
          <t>中间分位</t>
        </is>
      </c>
      <c r="J594" s="11" t="inlineStr"/>
    </row>
    <row r="595">
      <c r="A595" s="6" t="inlineStr">
        <is>
          <t>2025-03-04</t>
        </is>
      </c>
      <c r="B595" s="16" t="n">
        <v>0.0140573412450788</v>
      </c>
      <c r="C595" s="6" t="inlineStr">
        <is>
          <t>2024-02-20</t>
        </is>
      </c>
      <c r="D595" s="6" t="inlineStr">
        <is>
          <t>2025-03-03</t>
        </is>
      </c>
      <c r="E595" s="6" t="n">
        <v>250</v>
      </c>
      <c r="F595" s="6" t="n">
        <v>121</v>
      </c>
      <c r="G595" s="6" t="n">
        <v>0</v>
      </c>
      <c r="H595" s="10">
        <f>IF(F595&gt;=E595,(E595-0.5)/E595,IF(G595&gt;0,(F595+0.5*G595)/E595,F595/E595))</f>
        <v/>
      </c>
      <c r="I595" s="6" t="inlineStr">
        <is>
          <t>中间分位</t>
        </is>
      </c>
      <c r="J595" s="6" t="inlineStr"/>
    </row>
    <row r="596">
      <c r="A596" s="11" t="inlineStr">
        <is>
          <t>2025-03-05</t>
        </is>
      </c>
      <c r="B596" s="17" t="n">
        <v>0.02226415094339623</v>
      </c>
      <c r="C596" s="11" t="inlineStr">
        <is>
          <t>2024-02-21</t>
        </is>
      </c>
      <c r="D596" s="11" t="inlineStr">
        <is>
          <t>2025-03-04</t>
        </is>
      </c>
      <c r="E596" s="11" t="n">
        <v>250</v>
      </c>
      <c r="F596" s="11" t="n">
        <v>145</v>
      </c>
      <c r="G596" s="11" t="n">
        <v>0</v>
      </c>
      <c r="H596" s="15">
        <f>IF(F596&gt;=E596,(E596-0.5)/E596,IF(G596&gt;0,(F596+0.5*G596)/E596,F596/E596))</f>
        <v/>
      </c>
      <c r="I596" s="11" t="inlineStr">
        <is>
          <t>中间分位</t>
        </is>
      </c>
      <c r="J596" s="11" t="inlineStr"/>
    </row>
    <row r="597">
      <c r="A597" s="6" t="inlineStr">
        <is>
          <t>2025-03-06</t>
        </is>
      </c>
      <c r="B597" s="16" t="n">
        <v>0.02767219959382339</v>
      </c>
      <c r="C597" s="6" t="inlineStr">
        <is>
          <t>2024-02-22</t>
        </is>
      </c>
      <c r="D597" s="6" t="inlineStr">
        <is>
          <t>2025-03-05</t>
        </is>
      </c>
      <c r="E597" s="6" t="n">
        <v>250</v>
      </c>
      <c r="F597" s="6" t="n">
        <v>159</v>
      </c>
      <c r="G597" s="6" t="n">
        <v>0</v>
      </c>
      <c r="H597" s="10">
        <f>IF(F597&gt;=E597,(E597-0.5)/E597,IF(G597&gt;0,(F597+0.5*G597)/E597,F597/E597))</f>
        <v/>
      </c>
      <c r="I597" s="6" t="inlineStr">
        <is>
          <t>中间分位</t>
        </is>
      </c>
      <c r="J597" s="6" t="inlineStr"/>
    </row>
    <row r="598">
      <c r="A598" s="11" t="inlineStr">
        <is>
          <t>2025-03-07</t>
        </is>
      </c>
      <c r="B598" s="17" t="n">
        <v>0.02195782075140516</v>
      </c>
      <c r="C598" s="11" t="inlineStr">
        <is>
          <t>2024-02-23</t>
        </is>
      </c>
      <c r="D598" s="11" t="inlineStr">
        <is>
          <t>2025-03-06</t>
        </is>
      </c>
      <c r="E598" s="11" t="n">
        <v>250</v>
      </c>
      <c r="F598" s="11" t="n">
        <v>145</v>
      </c>
      <c r="G598" s="11" t="n">
        <v>0</v>
      </c>
      <c r="H598" s="15">
        <f>IF(F598&gt;=E598,(E598-0.5)/E598,IF(G598&gt;0,(F598+0.5*G598)/E598,F598/E598))</f>
        <v/>
      </c>
      <c r="I598" s="11" t="inlineStr">
        <is>
          <t>中间分位</t>
        </is>
      </c>
      <c r="J598" s="11" t="inlineStr"/>
    </row>
    <row r="599">
      <c r="A599" s="6" t="inlineStr">
        <is>
          <t>2025-03-10</t>
        </is>
      </c>
      <c r="B599" s="16" t="n">
        <v>0.02928625752574771</v>
      </c>
      <c r="C599" s="6" t="inlineStr">
        <is>
          <t>2024-02-26</t>
        </is>
      </c>
      <c r="D599" s="6" t="inlineStr">
        <is>
          <t>2025-03-07</t>
        </is>
      </c>
      <c r="E599" s="6" t="n">
        <v>250</v>
      </c>
      <c r="F599" s="6" t="n">
        <v>164</v>
      </c>
      <c r="G599" s="6" t="n">
        <v>0</v>
      </c>
      <c r="H599" s="10">
        <f>IF(F599&gt;=E599,(E599-0.5)/E599,IF(G599&gt;0,(F599+0.5*G599)/E599,F599/E599))</f>
        <v/>
      </c>
      <c r="I599" s="6" t="inlineStr">
        <is>
          <t>中间分位</t>
        </is>
      </c>
      <c r="J599" s="6" t="inlineStr"/>
    </row>
    <row r="600">
      <c r="A600" s="11" t="inlineStr">
        <is>
          <t>2025-03-11</t>
        </is>
      </c>
      <c r="B600" s="17" t="n">
        <v>0.0300355541235665</v>
      </c>
      <c r="C600" s="11" t="inlineStr">
        <is>
          <t>2024-02-27</t>
        </is>
      </c>
      <c r="D600" s="11" t="inlineStr">
        <is>
          <t>2025-03-10</t>
        </is>
      </c>
      <c r="E600" s="11" t="n">
        <v>250</v>
      </c>
      <c r="F600" s="11" t="n">
        <v>168</v>
      </c>
      <c r="G600" s="11" t="n">
        <v>0</v>
      </c>
      <c r="H600" s="15">
        <f>IF(F600&gt;=E600,(E600-0.5)/E600,IF(G600&gt;0,(F600+0.5*G600)/E600,F600/E600))</f>
        <v/>
      </c>
      <c r="I600" s="11" t="inlineStr">
        <is>
          <t>中间分位</t>
        </is>
      </c>
      <c r="J600" s="11" t="inlineStr"/>
    </row>
    <row r="601">
      <c r="A601" s="6" t="inlineStr">
        <is>
          <t>2025-03-12</t>
        </is>
      </c>
      <c r="B601" s="16" t="n">
        <v>0.05393258426966292</v>
      </c>
      <c r="C601" s="6" t="inlineStr">
        <is>
          <t>2024-02-28</t>
        </is>
      </c>
      <c r="D601" s="6" t="inlineStr">
        <is>
          <t>2025-03-11</t>
        </is>
      </c>
      <c r="E601" s="6" t="n">
        <v>250</v>
      </c>
      <c r="F601" s="6" t="n">
        <v>214</v>
      </c>
      <c r="G601" s="6" t="n">
        <v>0</v>
      </c>
      <c r="H601" s="10">
        <f>IF(F601&gt;=E601,(E601-0.5)/E601,IF(G601&gt;0,(F601+0.5*G601)/E601,F601/E601))</f>
        <v/>
      </c>
      <c r="I601" s="6" t="inlineStr">
        <is>
          <t>中间分位</t>
        </is>
      </c>
      <c r="J601" s="6" t="inlineStr"/>
    </row>
    <row r="602">
      <c r="A602" s="11" t="inlineStr">
        <is>
          <t>2025-03-13</t>
        </is>
      </c>
      <c r="B602" s="17" t="n">
        <v>0.03337686119687665</v>
      </c>
      <c r="C602" s="11" t="inlineStr">
        <is>
          <t>2024-02-29</t>
        </is>
      </c>
      <c r="D602" s="11" t="inlineStr">
        <is>
          <t>2025-03-12</t>
        </is>
      </c>
      <c r="E602" s="11" t="n">
        <v>250</v>
      </c>
      <c r="F602" s="11" t="n">
        <v>177</v>
      </c>
      <c r="G602" s="11" t="n">
        <v>0</v>
      </c>
      <c r="H602" s="15">
        <f>IF(F602&gt;=E602,(E602-0.5)/E602,IF(G602&gt;0,(F602+0.5*G602)/E602,F602/E602))</f>
        <v/>
      </c>
      <c r="I602" s="11" t="inlineStr">
        <is>
          <t>中间分位</t>
        </is>
      </c>
      <c r="J602" s="11" t="inlineStr"/>
    </row>
    <row r="603">
      <c r="A603" s="6" t="inlineStr">
        <is>
          <t>2025-03-14</t>
        </is>
      </c>
      <c r="B603" s="16" t="n">
        <v>0.01420293494348122</v>
      </c>
      <c r="C603" s="6" t="inlineStr">
        <is>
          <t>2024-03-01</t>
        </is>
      </c>
      <c r="D603" s="6" t="inlineStr">
        <is>
          <t>2025-03-13</t>
        </is>
      </c>
      <c r="E603" s="6" t="n">
        <v>250</v>
      </c>
      <c r="F603" s="6" t="n">
        <v>122</v>
      </c>
      <c r="G603" s="6" t="n">
        <v>0</v>
      </c>
      <c r="H603" s="10">
        <f>IF(F603&gt;=E603,(E603-0.5)/E603,IF(G603&gt;0,(F603+0.5*G603)/E603,F603/E603))</f>
        <v/>
      </c>
      <c r="I603" s="6" t="inlineStr">
        <is>
          <t>中间分位</t>
        </is>
      </c>
      <c r="J603" s="6" t="inlineStr"/>
    </row>
    <row r="604">
      <c r="A604" s="11" t="inlineStr">
        <is>
          <t>2025-03-17</t>
        </is>
      </c>
      <c r="B604" s="17" t="n">
        <v>0.03375278073678703</v>
      </c>
      <c r="C604" s="11" t="inlineStr">
        <is>
          <t>2024-03-04</t>
        </is>
      </c>
      <c r="D604" s="11" t="inlineStr">
        <is>
          <t>2025-03-14</t>
        </is>
      </c>
      <c r="E604" s="11" t="n">
        <v>250</v>
      </c>
      <c r="F604" s="11" t="n">
        <v>180</v>
      </c>
      <c r="G604" s="11" t="n">
        <v>0</v>
      </c>
      <c r="H604" s="15">
        <f>IF(F604&gt;=E604,(E604-0.5)/E604,IF(G604&gt;0,(F604+0.5*G604)/E604,F604/E604))</f>
        <v/>
      </c>
      <c r="I604" s="11" t="inlineStr">
        <is>
          <t>中间分位</t>
        </is>
      </c>
      <c r="J604" s="11" t="inlineStr"/>
    </row>
    <row r="605">
      <c r="A605" s="6" t="inlineStr">
        <is>
          <t>2025-03-18</t>
        </is>
      </c>
      <c r="B605" s="16" t="n">
        <v>0.05168539325842696</v>
      </c>
      <c r="C605" s="6" t="inlineStr">
        <is>
          <t>2024-03-05</t>
        </is>
      </c>
      <c r="D605" s="6" t="inlineStr">
        <is>
          <t>2025-03-17</t>
        </is>
      </c>
      <c r="E605" s="6" t="n">
        <v>250</v>
      </c>
      <c r="F605" s="6" t="n">
        <v>215</v>
      </c>
      <c r="G605" s="6" t="n">
        <v>0</v>
      </c>
      <c r="H605" s="10">
        <f>IF(F605&gt;=E605,(E605-0.5)/E605,IF(G605&gt;0,(F605+0.5*G605)/E605,F605/E605))</f>
        <v/>
      </c>
      <c r="I605" s="6" t="inlineStr">
        <is>
          <t>中间分位</t>
        </is>
      </c>
      <c r="J605" s="6" t="inlineStr"/>
    </row>
    <row r="606">
      <c r="A606" s="11" t="inlineStr">
        <is>
          <t>2025-03-19</t>
        </is>
      </c>
      <c r="B606" s="17" t="n">
        <v>0.04414562744662173</v>
      </c>
      <c r="C606" s="11" t="inlineStr">
        <is>
          <t>2024-03-06</t>
        </is>
      </c>
      <c r="D606" s="11" t="inlineStr">
        <is>
          <t>2025-03-18</t>
        </is>
      </c>
      <c r="E606" s="11" t="n">
        <v>250</v>
      </c>
      <c r="F606" s="11" t="n">
        <v>206</v>
      </c>
      <c r="G606" s="11" t="n">
        <v>0</v>
      </c>
      <c r="H606" s="15">
        <f>IF(F606&gt;=E606,(E606-0.5)/E606,IF(G606&gt;0,(F606+0.5*G606)/E606,F606/E606))</f>
        <v/>
      </c>
      <c r="I606" s="11" t="inlineStr">
        <is>
          <t>中间分位</t>
        </is>
      </c>
      <c r="J606" s="11" t="inlineStr"/>
    </row>
    <row r="607">
      <c r="A607" s="6" t="inlineStr">
        <is>
          <t>2025-03-20</t>
        </is>
      </c>
      <c r="B607" s="16" t="n">
        <v>0.04097319297088441</v>
      </c>
      <c r="C607" s="6" t="inlineStr">
        <is>
          <t>2024-03-07</t>
        </is>
      </c>
      <c r="D607" s="6" t="inlineStr">
        <is>
          <t>2025-03-19</t>
        </is>
      </c>
      <c r="E607" s="6" t="n">
        <v>250</v>
      </c>
      <c r="F607" s="6" t="n">
        <v>198</v>
      </c>
      <c r="G607" s="6" t="n">
        <v>0</v>
      </c>
      <c r="H607" s="10">
        <f>IF(F607&gt;=E607,(E607-0.5)/E607,IF(G607&gt;0,(F607+0.5*G607)/E607,F607/E607))</f>
        <v/>
      </c>
      <c r="I607" s="6" t="inlineStr">
        <is>
          <t>中间分位</t>
        </is>
      </c>
      <c r="J607" s="6" t="inlineStr"/>
    </row>
    <row r="608">
      <c r="A608" s="11" t="inlineStr">
        <is>
          <t>2025-03-21</t>
        </is>
      </c>
      <c r="B608" s="17" t="n">
        <v>0.05202715493083213</v>
      </c>
      <c r="C608" s="11" t="inlineStr">
        <is>
          <t>2024-03-08</t>
        </is>
      </c>
      <c r="D608" s="11" t="inlineStr">
        <is>
          <t>2025-03-20</t>
        </is>
      </c>
      <c r="E608" s="11" t="n">
        <v>250</v>
      </c>
      <c r="F608" s="11" t="n">
        <v>218</v>
      </c>
      <c r="G608" s="11" t="n">
        <v>0</v>
      </c>
      <c r="H608" s="15">
        <f>IF(F608&gt;=E608,(E608-0.5)/E608,IF(G608&gt;0,(F608+0.5*G608)/E608,F608/E608))</f>
        <v/>
      </c>
      <c r="I608" s="11" t="inlineStr">
        <is>
          <t>中间分位</t>
        </is>
      </c>
      <c r="J608" s="11" t="inlineStr"/>
    </row>
    <row r="609">
      <c r="A609" s="6" t="inlineStr">
        <is>
          <t>2025-03-24</t>
        </is>
      </c>
      <c r="B609" s="16" t="n">
        <v>0.03977848465390083</v>
      </c>
      <c r="C609" s="6" t="inlineStr">
        <is>
          <t>2024-03-11</t>
        </is>
      </c>
      <c r="D609" s="6" t="inlineStr">
        <is>
          <t>2025-03-21</t>
        </is>
      </c>
      <c r="E609" s="6" t="n">
        <v>250</v>
      </c>
      <c r="F609" s="6" t="n">
        <v>196</v>
      </c>
      <c r="G609" s="6" t="n">
        <v>0</v>
      </c>
      <c r="H609" s="10">
        <f>IF(F609&gt;=E609,(E609-0.5)/E609,IF(G609&gt;0,(F609+0.5*G609)/E609,F609/E609))</f>
        <v/>
      </c>
      <c r="I609" s="6" t="inlineStr">
        <is>
          <t>中间分位</t>
        </is>
      </c>
      <c r="J609" s="6" t="inlineStr"/>
    </row>
    <row r="610">
      <c r="A610" s="11" t="inlineStr">
        <is>
          <t>2025-03-25</t>
        </is>
      </c>
      <c r="B610" s="17" t="n">
        <v>0.06286764705882353</v>
      </c>
      <c r="C610" s="11" t="inlineStr">
        <is>
          <t>2024-03-12</t>
        </is>
      </c>
      <c r="D610" s="11" t="inlineStr">
        <is>
          <t>2025-03-24</t>
        </is>
      </c>
      <c r="E610" s="11" t="n">
        <v>250</v>
      </c>
      <c r="F610" s="11" t="n">
        <v>235</v>
      </c>
      <c r="G610" s="11" t="n">
        <v>0</v>
      </c>
      <c r="H610" s="15">
        <f>IF(F610&gt;=E610,(E610-0.5)/E610,IF(G610&gt;0,(F610+0.5*G610)/E610,F610/E610))</f>
        <v/>
      </c>
      <c r="I610" s="11" t="inlineStr">
        <is>
          <t>高分位</t>
        </is>
      </c>
      <c r="J610" s="11" t="inlineStr"/>
    </row>
    <row r="611">
      <c r="A611" s="6" t="inlineStr">
        <is>
          <t>2025-03-26</t>
        </is>
      </c>
      <c r="B611" s="16" t="n">
        <v>0.04389754118321425</v>
      </c>
      <c r="C611" s="6" t="inlineStr">
        <is>
          <t>2024-03-13</t>
        </is>
      </c>
      <c r="D611" s="6" t="inlineStr">
        <is>
          <t>2025-03-25</t>
        </is>
      </c>
      <c r="E611" s="6" t="n">
        <v>250</v>
      </c>
      <c r="F611" s="6" t="n">
        <v>208</v>
      </c>
      <c r="G611" s="6" t="n">
        <v>0</v>
      </c>
      <c r="H611" s="10">
        <f>IF(F611&gt;=E611,(E611-0.5)/E611,IF(G611&gt;0,(F611+0.5*G611)/E611,F611/E611))</f>
        <v/>
      </c>
      <c r="I611" s="6" t="inlineStr">
        <is>
          <t>中间分位</t>
        </is>
      </c>
      <c r="J611" s="6" t="inlineStr"/>
    </row>
    <row r="612">
      <c r="A612" s="11" t="inlineStr">
        <is>
          <t>2025-03-27</t>
        </is>
      </c>
      <c r="B612" s="17" t="n">
        <v>0.04336044371951014</v>
      </c>
      <c r="C612" s="11" t="inlineStr">
        <is>
          <t>2024-03-14</t>
        </is>
      </c>
      <c r="D612" s="11" t="inlineStr">
        <is>
          <t>2025-03-26</t>
        </is>
      </c>
      <c r="E612" s="11" t="n">
        <v>250</v>
      </c>
      <c r="F612" s="11" t="n">
        <v>208</v>
      </c>
      <c r="G612" s="11" t="n">
        <v>0</v>
      </c>
      <c r="H612" s="15">
        <f>IF(F612&gt;=E612,(E612-0.5)/E612,IF(G612&gt;0,(F612+0.5*G612)/E612,F612/E612))</f>
        <v/>
      </c>
      <c r="I612" s="11" t="inlineStr">
        <is>
          <t>中间分位</t>
        </is>
      </c>
      <c r="J612" s="11" t="inlineStr"/>
    </row>
    <row r="613">
      <c r="A613" s="6" t="inlineStr">
        <is>
          <t>2025-03-28</t>
        </is>
      </c>
      <c r="B613" s="16" t="n">
        <v>0.05539033457249071</v>
      </c>
      <c r="C613" s="6" t="inlineStr">
        <is>
          <t>2024-03-15</t>
        </is>
      </c>
      <c r="D613" s="6" t="inlineStr">
        <is>
          <t>2025-03-27</t>
        </is>
      </c>
      <c r="E613" s="6" t="n">
        <v>250</v>
      </c>
      <c r="F613" s="6" t="n">
        <v>226</v>
      </c>
      <c r="G613" s="6" t="n">
        <v>0</v>
      </c>
      <c r="H613" s="10">
        <f>IF(F613&gt;=E613,(E613-0.5)/E613,IF(G613&gt;0,(F613+0.5*G613)/E613,F613/E613))</f>
        <v/>
      </c>
      <c r="I613" s="6" t="inlineStr">
        <is>
          <t>高分位</t>
        </is>
      </c>
      <c r="J613" s="6" t="inlineStr"/>
    </row>
    <row r="614">
      <c r="A614" s="11" t="inlineStr">
        <is>
          <t>2025-03-31</t>
        </is>
      </c>
      <c r="B614" s="17" t="n">
        <v>0.06599803328347467</v>
      </c>
      <c r="C614" s="11" t="inlineStr">
        <is>
          <t>2024-03-18</t>
        </is>
      </c>
      <c r="D614" s="11" t="inlineStr">
        <is>
          <t>2025-03-28</t>
        </is>
      </c>
      <c r="E614" s="11" t="n">
        <v>250</v>
      </c>
      <c r="F614" s="11" t="n">
        <v>238</v>
      </c>
      <c r="G614" s="11" t="n">
        <v>0</v>
      </c>
      <c r="H614" s="15">
        <f>IF(F614&gt;=E614,(E614-0.5)/E614,IF(G614&gt;0,(F614+0.5*G614)/E614,F614/E614))</f>
        <v/>
      </c>
      <c r="I614" s="11" t="inlineStr">
        <is>
          <t>高分位</t>
        </is>
      </c>
      <c r="J614" s="11" t="inlineStr"/>
    </row>
    <row r="615">
      <c r="A615" s="6" t="inlineStr">
        <is>
          <t>2025-04-01</t>
        </is>
      </c>
      <c r="B615" s="16" t="n">
        <v>0.04015444015444015</v>
      </c>
      <c r="C615" s="6" t="inlineStr">
        <is>
          <t>2024-03-19</t>
        </is>
      </c>
      <c r="D615" s="6" t="inlineStr">
        <is>
          <t>2025-03-31</t>
        </is>
      </c>
      <c r="E615" s="6" t="n">
        <v>250</v>
      </c>
      <c r="F615" s="6" t="n">
        <v>197</v>
      </c>
      <c r="G615" s="6" t="n">
        <v>0</v>
      </c>
      <c r="H615" s="10">
        <f>IF(F615&gt;=E615,(E615-0.5)/E615,IF(G615&gt;0,(F615+0.5*G615)/E615,F615/E615))</f>
        <v/>
      </c>
      <c r="I615" s="6" t="inlineStr">
        <is>
          <t>中间分位</t>
        </is>
      </c>
      <c r="J615" s="6" t="inlineStr"/>
    </row>
    <row r="616">
      <c r="A616" s="11" t="inlineStr">
        <is>
          <t>2025-04-02</t>
        </is>
      </c>
      <c r="B616" s="17" t="n">
        <v>0.03720930232558139</v>
      </c>
      <c r="C616" s="11" t="inlineStr">
        <is>
          <t>2024-03-20</t>
        </is>
      </c>
      <c r="D616" s="11" t="inlineStr">
        <is>
          <t>2025-04-01</t>
        </is>
      </c>
      <c r="E616" s="11" t="n">
        <v>250</v>
      </c>
      <c r="F616" s="11" t="n">
        <v>189</v>
      </c>
      <c r="G616" s="11" t="n">
        <v>0</v>
      </c>
      <c r="H616" s="15">
        <f>IF(F616&gt;=E616,(E616-0.5)/E616,IF(G616&gt;0,(F616+0.5*G616)/E616,F616/E616))</f>
        <v/>
      </c>
      <c r="I616" s="11" t="inlineStr">
        <is>
          <t>中间分位</t>
        </is>
      </c>
      <c r="J616" s="11" t="inlineStr"/>
    </row>
    <row r="617">
      <c r="A617" s="6" t="inlineStr">
        <is>
          <t>2025-04-03</t>
        </is>
      </c>
      <c r="B617" s="16" t="n">
        <v>0.04699029126213592</v>
      </c>
      <c r="C617" s="6" t="inlineStr">
        <is>
          <t>2024-03-21</t>
        </is>
      </c>
      <c r="D617" s="6" t="inlineStr">
        <is>
          <t>2025-04-02</t>
        </is>
      </c>
      <c r="E617" s="6" t="n">
        <v>250</v>
      </c>
      <c r="F617" s="6" t="n">
        <v>219</v>
      </c>
      <c r="G617" s="6" t="n">
        <v>0</v>
      </c>
      <c r="H617" s="10">
        <f>IF(F617&gt;=E617,(E617-0.5)/E617,IF(G617&gt;0,(F617+0.5*G617)/E617,F617/E617))</f>
        <v/>
      </c>
      <c r="I617" s="6" t="inlineStr">
        <is>
          <t>中间分位</t>
        </is>
      </c>
      <c r="J617" s="6" t="inlineStr"/>
    </row>
    <row r="618">
      <c r="A618" s="11" t="inlineStr">
        <is>
          <t>2025-04-07</t>
        </is>
      </c>
      <c r="B618" s="17" t="n">
        <v>0.06823529411764706</v>
      </c>
      <c r="C618" s="11" t="inlineStr">
        <is>
          <t>2024-03-22</t>
        </is>
      </c>
      <c r="D618" s="11" t="inlineStr">
        <is>
          <t>2025-04-03</t>
        </is>
      </c>
      <c r="E618" s="11" t="n">
        <v>250</v>
      </c>
      <c r="F618" s="11" t="n">
        <v>240</v>
      </c>
      <c r="G618" s="11" t="n">
        <v>0</v>
      </c>
      <c r="H618" s="15">
        <f>IF(F618&gt;=E618,(E618-0.5)/E618,IF(G618&gt;0,(F618+0.5*G618)/E618,F618/E618))</f>
        <v/>
      </c>
      <c r="I618" s="11" t="inlineStr">
        <is>
          <t>高分位</t>
        </is>
      </c>
      <c r="J618" s="11" t="inlineStr"/>
    </row>
    <row r="619">
      <c r="A619" s="6" t="inlineStr">
        <is>
          <t>2025-04-09</t>
        </is>
      </c>
      <c r="B619" s="16" t="n">
        <v>0.05825825825825826</v>
      </c>
      <c r="C619" s="6" t="inlineStr">
        <is>
          <t>2024-03-25</t>
        </is>
      </c>
      <c r="D619" s="6" t="inlineStr">
        <is>
          <t>2025-04-07</t>
        </is>
      </c>
      <c r="E619" s="6" t="n">
        <v>250</v>
      </c>
      <c r="F619" s="6" t="n">
        <v>231</v>
      </c>
      <c r="G619" s="6" t="n">
        <v>0</v>
      </c>
      <c r="H619" s="10">
        <f>IF(F619&gt;=E619,(E619-0.5)/E619,IF(G619&gt;0,(F619+0.5*G619)/E619,F619/E619))</f>
        <v/>
      </c>
      <c r="I619" s="6" t="inlineStr">
        <is>
          <t>高分位</t>
        </is>
      </c>
      <c r="J619" s="6" t="inlineStr"/>
    </row>
    <row r="620">
      <c r="A620" s="11" t="inlineStr">
        <is>
          <t>2025-04-10</t>
        </is>
      </c>
      <c r="B620" s="17" t="n">
        <v>0.06194331983805668</v>
      </c>
      <c r="C620" s="11" t="inlineStr">
        <is>
          <t>2024-03-26</t>
        </is>
      </c>
      <c r="D620" s="11" t="inlineStr">
        <is>
          <t>2025-04-09</t>
        </is>
      </c>
      <c r="E620" s="11" t="n">
        <v>250</v>
      </c>
      <c r="F620" s="11" t="n">
        <v>234</v>
      </c>
      <c r="G620" s="11" t="n">
        <v>0</v>
      </c>
      <c r="H620" s="15">
        <f>IF(F620&gt;=E620,(E620-0.5)/E620,IF(G620&gt;0,(F620+0.5*G620)/E620,F620/E620))</f>
        <v/>
      </c>
      <c r="I620" s="11" t="inlineStr">
        <is>
          <t>高分位</t>
        </is>
      </c>
      <c r="J620" s="11" t="inlineStr"/>
    </row>
    <row r="621">
      <c r="A621" s="6" t="inlineStr">
        <is>
          <t>2025-04-11</t>
        </is>
      </c>
      <c r="B621" s="16" t="n">
        <v>0.0896551724137931</v>
      </c>
      <c r="C621" s="6" t="inlineStr">
        <is>
          <t>2024-03-27</t>
        </is>
      </c>
      <c r="D621" s="6" t="inlineStr">
        <is>
          <t>2025-04-10</t>
        </is>
      </c>
      <c r="E621" s="6" t="n">
        <v>250</v>
      </c>
      <c r="F621" s="6" t="n">
        <v>247</v>
      </c>
      <c r="G621" s="6" t="n">
        <v>0</v>
      </c>
      <c r="H621" s="10">
        <f>IF(F621&gt;=E621,(E621-0.5)/E621,IF(G621&gt;0,(F621+0.5*G621)/E621,F621/E621))</f>
        <v/>
      </c>
      <c r="I621" s="6" t="inlineStr">
        <is>
          <t>高分位</t>
        </is>
      </c>
      <c r="J621" s="6" t="inlineStr"/>
    </row>
    <row r="622">
      <c r="A622" s="11" t="inlineStr">
        <is>
          <t>2025-04-14</t>
        </is>
      </c>
      <c r="B622" s="17" t="n">
        <v>0.07915407854984895</v>
      </c>
      <c r="C622" s="11" t="inlineStr">
        <is>
          <t>2024-03-28</t>
        </is>
      </c>
      <c r="D622" s="11" t="inlineStr">
        <is>
          <t>2025-04-11</t>
        </is>
      </c>
      <c r="E622" s="11" t="n">
        <v>250</v>
      </c>
      <c r="F622" s="11" t="n">
        <v>246</v>
      </c>
      <c r="G622" s="11" t="n">
        <v>0</v>
      </c>
      <c r="H622" s="15">
        <f>IF(F622&gt;=E622,(E622-0.5)/E622,IF(G622&gt;0,(F622+0.5*G622)/E622,F622/E622))</f>
        <v/>
      </c>
      <c r="I622" s="11" t="inlineStr">
        <is>
          <t>高分位</t>
        </is>
      </c>
      <c r="J622" s="11" t="inlineStr"/>
    </row>
    <row r="623">
      <c r="A623" s="6" t="inlineStr">
        <is>
          <t>2025-04-15</t>
        </is>
      </c>
      <c r="B623" s="16" t="n">
        <v>0.07391967463141841</v>
      </c>
      <c r="C623" s="6" t="inlineStr">
        <is>
          <t>2024-03-29</t>
        </is>
      </c>
      <c r="D623" s="6" t="inlineStr">
        <is>
          <t>2025-04-14</t>
        </is>
      </c>
      <c r="E623" s="6" t="n">
        <v>250</v>
      </c>
      <c r="F623" s="6" t="n">
        <v>241</v>
      </c>
      <c r="G623" s="6" t="n">
        <v>0</v>
      </c>
      <c r="H623" s="10">
        <f>IF(F623&gt;=E623,(E623-0.5)/E623,IF(G623&gt;0,(F623+0.5*G623)/E623,F623/E623))</f>
        <v/>
      </c>
      <c r="I623" s="6" t="inlineStr">
        <is>
          <t>高分位</t>
        </is>
      </c>
      <c r="J623" s="6" t="inlineStr"/>
    </row>
    <row r="624">
      <c r="A624" s="11" t="inlineStr">
        <is>
          <t>2025-04-16</t>
        </is>
      </c>
      <c r="B624" s="17" t="n">
        <v>0.07437340153452686</v>
      </c>
      <c r="C624" s="11" t="inlineStr">
        <is>
          <t>2024-04-01</t>
        </is>
      </c>
      <c r="D624" s="11" t="inlineStr">
        <is>
          <t>2025-04-15</t>
        </is>
      </c>
      <c r="E624" s="11" t="n">
        <v>250</v>
      </c>
      <c r="F624" s="11" t="n">
        <v>241</v>
      </c>
      <c r="G624" s="11" t="n">
        <v>0</v>
      </c>
      <c r="H624" s="15">
        <f>IF(F624&gt;=E624,(E624-0.5)/E624,IF(G624&gt;0,(F624+0.5*G624)/E624,F624/E624))</f>
        <v/>
      </c>
      <c r="I624" s="11" t="inlineStr">
        <is>
          <t>高分位</t>
        </is>
      </c>
      <c r="J624" s="11" t="inlineStr"/>
    </row>
    <row r="625">
      <c r="A625" s="6" t="inlineStr">
        <is>
          <t>2025-04-17</t>
        </is>
      </c>
      <c r="B625" s="16" t="n">
        <v>0.08653061224489796</v>
      </c>
      <c r="C625" s="6" t="inlineStr">
        <is>
          <t>2024-04-02</t>
        </is>
      </c>
      <c r="D625" s="6" t="inlineStr">
        <is>
          <t>2025-04-16</t>
        </is>
      </c>
      <c r="E625" s="6" t="n">
        <v>250</v>
      </c>
      <c r="F625" s="6" t="n">
        <v>246</v>
      </c>
      <c r="G625" s="6" t="n">
        <v>0</v>
      </c>
      <c r="H625" s="10">
        <f>IF(F625&gt;=E625,(E625-0.5)/E625,IF(G625&gt;0,(F625+0.5*G625)/E625,F625/E625))</f>
        <v/>
      </c>
      <c r="I625" s="6" t="inlineStr">
        <is>
          <t>高分位</t>
        </is>
      </c>
      <c r="J625" s="6" t="inlineStr"/>
    </row>
    <row r="626">
      <c r="A626" s="11" t="inlineStr">
        <is>
          <t>2025-04-18</t>
        </is>
      </c>
      <c r="B626" s="17" t="n">
        <v>0.05730629225169007</v>
      </c>
      <c r="C626" s="11" t="inlineStr">
        <is>
          <t>2024-04-03</t>
        </is>
      </c>
      <c r="D626" s="11" t="inlineStr">
        <is>
          <t>2025-04-17</t>
        </is>
      </c>
      <c r="E626" s="11" t="n">
        <v>250</v>
      </c>
      <c r="F626" s="11" t="n">
        <v>225</v>
      </c>
      <c r="G626" s="11" t="n">
        <v>0</v>
      </c>
      <c r="H626" s="15">
        <f>IF(F626&gt;=E626,(E626-0.5)/E626,IF(G626&gt;0,(F626+0.5*G626)/E626,F626/E626))</f>
        <v/>
      </c>
      <c r="I626" s="11" t="inlineStr">
        <is>
          <t>高分位</t>
        </is>
      </c>
      <c r="J626" s="11" t="inlineStr"/>
    </row>
    <row r="627">
      <c r="A627" s="6" t="inlineStr">
        <is>
          <t>2025-04-21</t>
        </is>
      </c>
      <c r="B627" s="16" t="n">
        <v>0.05748316934230968</v>
      </c>
      <c r="C627" s="6" t="inlineStr">
        <is>
          <t>2024-04-08</t>
        </is>
      </c>
      <c r="D627" s="6" t="inlineStr">
        <is>
          <t>2025-04-18</t>
        </is>
      </c>
      <c r="E627" s="6" t="n">
        <v>250</v>
      </c>
      <c r="F627" s="6" t="n">
        <v>226</v>
      </c>
      <c r="G627" s="6" t="n">
        <v>0</v>
      </c>
      <c r="H627" s="10">
        <f>IF(F627&gt;=E627,(E627-0.5)/E627,IF(G627&gt;0,(F627+0.5*G627)/E627,F627/E627))</f>
        <v/>
      </c>
      <c r="I627" s="6" t="inlineStr">
        <is>
          <t>高分位</t>
        </is>
      </c>
      <c r="J627" s="6" t="inlineStr"/>
    </row>
    <row r="628">
      <c r="A628" s="11" t="inlineStr">
        <is>
          <t>2025-04-22</t>
        </is>
      </c>
      <c r="B628" s="17" t="n">
        <v>0.06466632177961718</v>
      </c>
      <c r="C628" s="11" t="inlineStr">
        <is>
          <t>2024-04-09</t>
        </is>
      </c>
      <c r="D628" s="11" t="inlineStr">
        <is>
          <t>2025-04-21</t>
        </is>
      </c>
      <c r="E628" s="11" t="n">
        <v>250</v>
      </c>
      <c r="F628" s="11" t="n">
        <v>233</v>
      </c>
      <c r="G628" s="11" t="n">
        <v>0</v>
      </c>
      <c r="H628" s="15">
        <f>IF(F628&gt;=E628,(E628-0.5)/E628,IF(G628&gt;0,(F628+0.5*G628)/E628,F628/E628))</f>
        <v/>
      </c>
      <c r="I628" s="11" t="inlineStr">
        <is>
          <t>高分位</t>
        </is>
      </c>
      <c r="J628" s="11" t="inlineStr"/>
    </row>
    <row r="629">
      <c r="A629" s="6" t="inlineStr">
        <is>
          <t>2025-04-23</t>
        </is>
      </c>
      <c r="B629" s="16" t="n">
        <v>0.03765690376569038</v>
      </c>
      <c r="C629" s="6" t="inlineStr">
        <is>
          <t>2024-04-10</t>
        </is>
      </c>
      <c r="D629" s="6" t="inlineStr">
        <is>
          <t>2025-04-22</t>
        </is>
      </c>
      <c r="E629" s="6" t="n">
        <v>250</v>
      </c>
      <c r="F629" s="6" t="n">
        <v>188</v>
      </c>
      <c r="G629" s="6" t="n">
        <v>0</v>
      </c>
      <c r="H629" s="10">
        <f>IF(F629&gt;=E629,(E629-0.5)/E629,IF(G629&gt;0,(F629+0.5*G629)/E629,F629/E629))</f>
        <v/>
      </c>
      <c r="I629" s="6" t="inlineStr">
        <is>
          <t>中间分位</t>
        </is>
      </c>
      <c r="J629" s="6" t="inlineStr"/>
    </row>
    <row r="630">
      <c r="A630" s="11" t="inlineStr">
        <is>
          <t>2025-04-24</t>
        </is>
      </c>
      <c r="B630" s="17" t="n">
        <v>0.05802469135802469</v>
      </c>
      <c r="C630" s="11" t="inlineStr">
        <is>
          <t>2024-04-11</t>
        </is>
      </c>
      <c r="D630" s="11" t="inlineStr">
        <is>
          <t>2025-04-23</t>
        </is>
      </c>
      <c r="E630" s="11" t="n">
        <v>250</v>
      </c>
      <c r="F630" s="11" t="n">
        <v>226</v>
      </c>
      <c r="G630" s="11" t="n">
        <v>0</v>
      </c>
      <c r="H630" s="15">
        <f>IF(F630&gt;=E630,(E630-0.5)/E630,IF(G630&gt;0,(F630+0.5*G630)/E630,F630/E630))</f>
        <v/>
      </c>
      <c r="I630" s="11" t="inlineStr">
        <is>
          <t>高分位</t>
        </is>
      </c>
      <c r="J630" s="11" t="inlineStr"/>
    </row>
    <row r="631">
      <c r="A631" s="6" t="inlineStr">
        <is>
          <t>2025-04-25</t>
        </is>
      </c>
      <c r="B631" s="16" t="n">
        <v>0.05454545454545454</v>
      </c>
      <c r="C631" s="6" t="inlineStr">
        <is>
          <t>2024-04-12</t>
        </is>
      </c>
      <c r="D631" s="6" t="inlineStr">
        <is>
          <t>2025-04-24</t>
        </is>
      </c>
      <c r="E631" s="6" t="n">
        <v>250</v>
      </c>
      <c r="F631" s="6" t="n">
        <v>218</v>
      </c>
      <c r="G631" s="6" t="n">
        <v>0</v>
      </c>
      <c r="H631" s="10">
        <f>IF(F631&gt;=E631,(E631-0.5)/E631,IF(G631&gt;0,(F631+0.5*G631)/E631,F631/E631))</f>
        <v/>
      </c>
      <c r="I631" s="6" t="inlineStr">
        <is>
          <t>中间分位</t>
        </is>
      </c>
      <c r="J631" s="6" t="inlineStr"/>
    </row>
    <row r="632">
      <c r="A632" s="11" t="inlineStr">
        <is>
          <t>2025-04-28</t>
        </is>
      </c>
      <c r="B632" s="17" t="n">
        <v>0.04889346371590324</v>
      </c>
      <c r="C632" s="11" t="inlineStr">
        <is>
          <t>2024-04-15</t>
        </is>
      </c>
      <c r="D632" s="11" t="inlineStr">
        <is>
          <t>2025-04-25</t>
        </is>
      </c>
      <c r="E632" s="11" t="n">
        <v>250</v>
      </c>
      <c r="F632" s="11" t="n">
        <v>213</v>
      </c>
      <c r="G632" s="11" t="n">
        <v>0</v>
      </c>
      <c r="H632" s="15">
        <f>IF(F632&gt;=E632,(E632-0.5)/E632,IF(G632&gt;0,(F632+0.5*G632)/E632,F632/E632))</f>
        <v/>
      </c>
      <c r="I632" s="11" t="inlineStr">
        <is>
          <t>中间分位</t>
        </is>
      </c>
      <c r="J632" s="11" t="inlineStr"/>
    </row>
    <row r="633">
      <c r="A633" s="6" t="inlineStr">
        <is>
          <t>2025-04-29</t>
        </is>
      </c>
      <c r="B633" s="16" t="n">
        <v>0.07067822539520653</v>
      </c>
      <c r="C633" s="6" t="inlineStr">
        <is>
          <t>2024-04-16</t>
        </is>
      </c>
      <c r="D633" s="6" t="inlineStr">
        <is>
          <t>2025-04-28</t>
        </is>
      </c>
      <c r="E633" s="6" t="n">
        <v>250</v>
      </c>
      <c r="F633" s="6" t="n">
        <v>237</v>
      </c>
      <c r="G633" s="6" t="n">
        <v>0</v>
      </c>
      <c r="H633" s="10">
        <f>IF(F633&gt;=E633,(E633-0.5)/E633,IF(G633&gt;0,(F633+0.5*G633)/E633,F633/E633))</f>
        <v/>
      </c>
      <c r="I633" s="6" t="inlineStr">
        <is>
          <t>高分位</t>
        </is>
      </c>
      <c r="J633" s="6" t="inlineStr"/>
    </row>
    <row r="634">
      <c r="A634" s="11" t="inlineStr">
        <is>
          <t>2025-04-30</t>
        </is>
      </c>
      <c r="B634" s="17" t="n">
        <v>0.07651282051282052</v>
      </c>
      <c r="C634" s="11" t="inlineStr">
        <is>
          <t>2024-04-17</t>
        </is>
      </c>
      <c r="D634" s="11" t="inlineStr">
        <is>
          <t>2025-04-29</t>
        </is>
      </c>
      <c r="E634" s="11" t="n">
        <v>250</v>
      </c>
      <c r="F634" s="11" t="n">
        <v>240</v>
      </c>
      <c r="G634" s="11" t="n">
        <v>0</v>
      </c>
      <c r="H634" s="15">
        <f>IF(F634&gt;=E634,(E634-0.5)/E634,IF(G634&gt;0,(F634+0.5*G634)/E634,F634/E634))</f>
        <v/>
      </c>
      <c r="I634" s="11" t="inlineStr">
        <is>
          <t>高分位</t>
        </is>
      </c>
      <c r="J634" s="11" t="inlineStr"/>
    </row>
    <row r="635">
      <c r="A635" s="6" t="inlineStr">
        <is>
          <t>2025-05-06</t>
        </is>
      </c>
      <c r="B635" s="16" t="n">
        <v>0.09057377049180328</v>
      </c>
      <c r="C635" s="6" t="inlineStr">
        <is>
          <t>2024-04-18</t>
        </is>
      </c>
      <c r="D635" s="6" t="inlineStr">
        <is>
          <t>2025-04-30</t>
        </is>
      </c>
      <c r="E635" s="6" t="n">
        <v>250</v>
      </c>
      <c r="F635" s="6" t="n">
        <v>247</v>
      </c>
      <c r="G635" s="6" t="n">
        <v>0</v>
      </c>
      <c r="H635" s="10">
        <f>IF(F635&gt;=E635,(E635-0.5)/E635,IF(G635&gt;0,(F635+0.5*G635)/E635,F635/E635))</f>
        <v/>
      </c>
      <c r="I635" s="6" t="inlineStr">
        <is>
          <t>高分位</t>
        </is>
      </c>
      <c r="J635" s="6" t="inlineStr"/>
    </row>
    <row r="636">
      <c r="A636" s="11" t="inlineStr">
        <is>
          <t>2025-05-07</t>
        </is>
      </c>
      <c r="B636" s="17" t="n">
        <v>0.07812660833762224</v>
      </c>
      <c r="C636" s="11" t="inlineStr">
        <is>
          <t>2024-04-19</t>
        </is>
      </c>
      <c r="D636" s="11" t="inlineStr">
        <is>
          <t>2025-05-06</t>
        </is>
      </c>
      <c r="E636" s="11" t="n">
        <v>250</v>
      </c>
      <c r="F636" s="11" t="n">
        <v>241</v>
      </c>
      <c r="G636" s="11" t="n">
        <v>0</v>
      </c>
      <c r="H636" s="15">
        <f>IF(F636&gt;=E636,(E636-0.5)/E636,IF(G636&gt;0,(F636+0.5*G636)/E636,F636/E636))</f>
        <v/>
      </c>
      <c r="I636" s="11" t="inlineStr">
        <is>
          <t>高分位</t>
        </is>
      </c>
      <c r="J636" s="11" t="inlineStr"/>
    </row>
    <row r="637">
      <c r="A637" s="6" t="inlineStr">
        <is>
          <t>2025-05-08</t>
        </is>
      </c>
      <c r="B637" s="16" t="n">
        <v>0.08049792531120332</v>
      </c>
      <c r="C637" s="6" t="inlineStr">
        <is>
          <t>2024-04-22</t>
        </is>
      </c>
      <c r="D637" s="6" t="inlineStr">
        <is>
          <t>2025-05-07</t>
        </is>
      </c>
      <c r="E637" s="6" t="n">
        <v>250</v>
      </c>
      <c r="F637" s="6" t="n">
        <v>244</v>
      </c>
      <c r="G637" s="6" t="n">
        <v>0</v>
      </c>
      <c r="H637" s="10">
        <f>IF(F637&gt;=E637,(E637-0.5)/E637,IF(G637&gt;0,(F637+0.5*G637)/E637,F637/E637))</f>
        <v/>
      </c>
      <c r="I637" s="6" t="inlineStr">
        <is>
          <t>高分位</t>
        </is>
      </c>
      <c r="J637" s="6" t="inlineStr"/>
    </row>
    <row r="638">
      <c r="A638" s="11" t="inlineStr">
        <is>
          <t>2025-05-09</t>
        </is>
      </c>
      <c r="B638" s="17" t="n">
        <v>0.06820083682008368</v>
      </c>
      <c r="C638" s="11" t="inlineStr">
        <is>
          <t>2024-04-23</t>
        </is>
      </c>
      <c r="D638" s="11" t="inlineStr">
        <is>
          <t>2025-05-08</t>
        </is>
      </c>
      <c r="E638" s="11" t="n">
        <v>250</v>
      </c>
      <c r="F638" s="11" t="n">
        <v>229</v>
      </c>
      <c r="G638" s="11" t="n">
        <v>0</v>
      </c>
      <c r="H638" s="15">
        <f>IF(F638&gt;=E638,(E638-0.5)/E638,IF(G638&gt;0,(F638+0.5*G638)/E638,F638/E638))</f>
        <v/>
      </c>
      <c r="I638" s="11" t="inlineStr">
        <is>
          <t>高分位</t>
        </is>
      </c>
      <c r="J638" s="11" t="inlineStr"/>
    </row>
    <row r="639">
      <c r="A639" s="6" t="inlineStr">
        <is>
          <t>2025-05-12</t>
        </is>
      </c>
      <c r="B639" s="16" t="n">
        <v>0.05515088449531737</v>
      </c>
      <c r="C639" s="6" t="inlineStr">
        <is>
          <t>2024-04-24</t>
        </is>
      </c>
      <c r="D639" s="6" t="inlineStr">
        <is>
          <t>2025-05-09</t>
        </is>
      </c>
      <c r="E639" s="6" t="n">
        <v>250</v>
      </c>
      <c r="F639" s="6" t="n">
        <v>215</v>
      </c>
      <c r="G639" s="6" t="n">
        <v>0</v>
      </c>
      <c r="H639" s="10">
        <f>IF(F639&gt;=E639,(E639-0.5)/E639,IF(G639&gt;0,(F639+0.5*G639)/E639,F639/E639))</f>
        <v/>
      </c>
      <c r="I639" s="6" t="inlineStr">
        <is>
          <t>中间分位</t>
        </is>
      </c>
      <c r="J639" s="6" t="inlineStr"/>
    </row>
    <row r="640">
      <c r="A640" s="11" t="inlineStr">
        <is>
          <t>2025-05-13</t>
        </is>
      </c>
      <c r="B640" s="17" t="n">
        <v>0.04640998959417274</v>
      </c>
      <c r="C640" s="11" t="inlineStr">
        <is>
          <t>2024-04-25</t>
        </is>
      </c>
      <c r="D640" s="11" t="inlineStr">
        <is>
          <t>2025-05-12</t>
        </is>
      </c>
      <c r="E640" s="11" t="n">
        <v>250</v>
      </c>
      <c r="F640" s="11" t="n">
        <v>207</v>
      </c>
      <c r="G640" s="11" t="n">
        <v>0</v>
      </c>
      <c r="H640" s="15">
        <f>IF(F640&gt;=E640,(E640-0.5)/E640,IF(G640&gt;0,(F640+0.5*G640)/E640,F640/E640))</f>
        <v/>
      </c>
      <c r="I640" s="11" t="inlineStr">
        <is>
          <t>中间分位</t>
        </is>
      </c>
      <c r="J640" s="11" t="inlineStr"/>
    </row>
    <row r="641">
      <c r="A641" s="6" t="inlineStr">
        <is>
          <t>2025-05-14</t>
        </is>
      </c>
      <c r="B641" s="16" t="n">
        <v>0.03616912888436067</v>
      </c>
      <c r="C641" s="6" t="inlineStr">
        <is>
          <t>2024-04-26</t>
        </is>
      </c>
      <c r="D641" s="6" t="inlineStr">
        <is>
          <t>2025-05-13</t>
        </is>
      </c>
      <c r="E641" s="6" t="n">
        <v>250</v>
      </c>
      <c r="F641" s="6" t="n">
        <v>182</v>
      </c>
      <c r="G641" s="6" t="n">
        <v>0</v>
      </c>
      <c r="H641" s="10">
        <f>IF(F641&gt;=E641,(E641-0.5)/E641,IF(G641&gt;0,(F641+0.5*G641)/E641,F641/E641))</f>
        <v/>
      </c>
      <c r="I641" s="6" t="inlineStr">
        <is>
          <t>中间分位</t>
        </is>
      </c>
      <c r="J641" s="6" t="inlineStr"/>
    </row>
    <row r="642">
      <c r="A642" s="11" t="inlineStr">
        <is>
          <t>2025-05-15</t>
        </is>
      </c>
      <c r="B642" s="17" t="n">
        <v>0.07982151710461081</v>
      </c>
      <c r="C642" s="11" t="inlineStr">
        <is>
          <t>2024-04-29</t>
        </is>
      </c>
      <c r="D642" s="11" t="inlineStr">
        <is>
          <t>2025-05-14</t>
        </is>
      </c>
      <c r="E642" s="11" t="n">
        <v>250</v>
      </c>
      <c r="F642" s="11" t="n">
        <v>243</v>
      </c>
      <c r="G642" s="11" t="n">
        <v>0</v>
      </c>
      <c r="H642" s="15">
        <f>IF(F642&gt;=E642,(E642-0.5)/E642,IF(G642&gt;0,(F642+0.5*G642)/E642,F642/E642))</f>
        <v/>
      </c>
      <c r="I642" s="11" t="inlineStr">
        <is>
          <t>高分位</t>
        </is>
      </c>
      <c r="J642" s="11" t="inlineStr"/>
    </row>
    <row r="643">
      <c r="A643" s="6" t="inlineStr">
        <is>
          <t>2025-05-16</t>
        </is>
      </c>
      <c r="B643" s="16" t="n">
        <v>0.05862957238536837</v>
      </c>
      <c r="C643" s="6" t="inlineStr">
        <is>
          <t>2024-04-30</t>
        </is>
      </c>
      <c r="D643" s="6" t="inlineStr">
        <is>
          <t>2025-05-15</t>
        </is>
      </c>
      <c r="E643" s="6" t="n">
        <v>250</v>
      </c>
      <c r="F643" s="6" t="n">
        <v>223</v>
      </c>
      <c r="G643" s="6" t="n">
        <v>0</v>
      </c>
      <c r="H643" s="10">
        <f>IF(F643&gt;=E643,(E643-0.5)/E643,IF(G643&gt;0,(F643+0.5*G643)/E643,F643/E643))</f>
        <v/>
      </c>
      <c r="I643" s="6" t="inlineStr">
        <is>
          <t>中间分位</t>
        </is>
      </c>
      <c r="J643" s="6" t="inlineStr"/>
    </row>
    <row r="644">
      <c r="A644" s="11" t="inlineStr">
        <is>
          <t>2025-05-19</t>
        </is>
      </c>
      <c r="B644" s="17" t="n">
        <v>0.06357547655847501</v>
      </c>
      <c r="C644" s="11" t="inlineStr">
        <is>
          <t>2024-05-06</t>
        </is>
      </c>
      <c r="D644" s="11" t="inlineStr">
        <is>
          <t>2025-05-16</t>
        </is>
      </c>
      <c r="E644" s="11" t="n">
        <v>250</v>
      </c>
      <c r="F644" s="11" t="n">
        <v>227</v>
      </c>
      <c r="G644" s="11" t="n">
        <v>0</v>
      </c>
      <c r="H644" s="15">
        <f>IF(F644&gt;=E644,(E644-0.5)/E644,IF(G644&gt;0,(F644+0.5*G644)/E644,F644/E644))</f>
        <v/>
      </c>
      <c r="I644" s="11" t="inlineStr">
        <is>
          <t>高分位</t>
        </is>
      </c>
      <c r="J644" s="11" t="inlineStr"/>
    </row>
    <row r="645">
      <c r="A645" s="6" t="inlineStr">
        <is>
          <t>2025-05-20</t>
        </is>
      </c>
      <c r="B645" s="16" t="n">
        <v>0.04507936507936508</v>
      </c>
      <c r="C645" s="6" t="inlineStr">
        <is>
          <t>2024-05-07</t>
        </is>
      </c>
      <c r="D645" s="6" t="inlineStr">
        <is>
          <t>2025-05-19</t>
        </is>
      </c>
      <c r="E645" s="6" t="n">
        <v>250</v>
      </c>
      <c r="F645" s="6" t="n">
        <v>200</v>
      </c>
      <c r="G645" s="6" t="n">
        <v>0</v>
      </c>
      <c r="H645" s="10">
        <f>IF(F645&gt;=E645,(E645-0.5)/E645,IF(G645&gt;0,(F645+0.5*G645)/E645,F645/E645))</f>
        <v/>
      </c>
      <c r="I645" s="6" t="inlineStr">
        <is>
          <t>中间分位</t>
        </is>
      </c>
      <c r="J645" s="6" t="inlineStr"/>
    </row>
    <row r="646">
      <c r="A646" s="11" t="inlineStr">
        <is>
          <t>2025-05-21</t>
        </is>
      </c>
      <c r="B646" s="17" t="n">
        <v>0.02470461868958109</v>
      </c>
      <c r="C646" s="11" t="inlineStr">
        <is>
          <t>2024-05-08</t>
        </is>
      </c>
      <c r="D646" s="11" t="inlineStr">
        <is>
          <t>2025-05-20</t>
        </is>
      </c>
      <c r="E646" s="11" t="n">
        <v>250</v>
      </c>
      <c r="F646" s="11" t="n">
        <v>150</v>
      </c>
      <c r="G646" s="11" t="n">
        <v>0</v>
      </c>
      <c r="H646" s="15">
        <f>IF(F646&gt;=E646,(E646-0.5)/E646,IF(G646&gt;0,(F646+0.5*G646)/E646,F646/E646))</f>
        <v/>
      </c>
      <c r="I646" s="11" t="inlineStr">
        <is>
          <t>中间分位</t>
        </is>
      </c>
      <c r="J646" s="11" t="inlineStr"/>
    </row>
    <row r="647">
      <c r="A647" s="6" t="inlineStr">
        <is>
          <t>2025-05-22</t>
        </is>
      </c>
      <c r="B647" s="16" t="n">
        <v>0.0345718901453958</v>
      </c>
      <c r="C647" s="6" t="inlineStr">
        <is>
          <t>2024-05-09</t>
        </is>
      </c>
      <c r="D647" s="6" t="inlineStr">
        <is>
          <t>2025-05-21</t>
        </is>
      </c>
      <c r="E647" s="6" t="n">
        <v>250</v>
      </c>
      <c r="F647" s="6" t="n">
        <v>178</v>
      </c>
      <c r="G647" s="6" t="n">
        <v>0</v>
      </c>
      <c r="H647" s="10">
        <f>IF(F647&gt;=E647,(E647-0.5)/E647,IF(G647&gt;0,(F647+0.5*G647)/E647,F647/E647))</f>
        <v/>
      </c>
      <c r="I647" s="6" t="inlineStr">
        <is>
          <t>中间分位</t>
        </is>
      </c>
      <c r="J647" s="6" t="inlineStr"/>
    </row>
    <row r="648">
      <c r="A648" s="11" t="inlineStr">
        <is>
          <t>2025-05-23</t>
        </is>
      </c>
      <c r="B648" s="17" t="n">
        <v>0.03913513513513513</v>
      </c>
      <c r="C648" s="11" t="inlineStr">
        <is>
          <t>2024-05-10</t>
        </is>
      </c>
      <c r="D648" s="11" t="inlineStr">
        <is>
          <t>2025-05-22</t>
        </is>
      </c>
      <c r="E648" s="11" t="n">
        <v>250</v>
      </c>
      <c r="F648" s="11" t="n">
        <v>188</v>
      </c>
      <c r="G648" s="11" t="n">
        <v>0</v>
      </c>
      <c r="H648" s="15">
        <f>IF(F648&gt;=E648,(E648-0.5)/E648,IF(G648&gt;0,(F648+0.5*G648)/E648,F648/E648))</f>
        <v/>
      </c>
      <c r="I648" s="11" t="inlineStr">
        <is>
          <t>中间分位</t>
        </is>
      </c>
      <c r="J648" s="11" t="inlineStr"/>
    </row>
    <row r="649">
      <c r="A649" s="6" t="inlineStr">
        <is>
          <t>2025-05-26</t>
        </is>
      </c>
      <c r="B649" s="16" t="n">
        <v>0.03304347826086956</v>
      </c>
      <c r="C649" s="6" t="inlineStr">
        <is>
          <t>2024-05-13</t>
        </is>
      </c>
      <c r="D649" s="6" t="inlineStr">
        <is>
          <t>2025-05-23</t>
        </is>
      </c>
      <c r="E649" s="6" t="n">
        <v>250</v>
      </c>
      <c r="F649" s="6" t="n">
        <v>174</v>
      </c>
      <c r="G649" s="6" t="n">
        <v>0</v>
      </c>
      <c r="H649" s="10">
        <f>IF(F649&gt;=E649,(E649-0.5)/E649,IF(G649&gt;0,(F649+0.5*G649)/E649,F649/E649))</f>
        <v/>
      </c>
      <c r="I649" s="6" t="inlineStr">
        <is>
          <t>中间分位</t>
        </is>
      </c>
      <c r="J649" s="6" t="inlineStr"/>
    </row>
    <row r="650">
      <c r="A650" s="11" t="inlineStr">
        <is>
          <t>2025-05-28</t>
        </is>
      </c>
      <c r="B650" s="17" t="n">
        <v>0.02118691070438159</v>
      </c>
      <c r="C650" s="11" t="inlineStr">
        <is>
          <t>2024-05-14</t>
        </is>
      </c>
      <c r="D650" s="11" t="inlineStr">
        <is>
          <t>2025-05-26</t>
        </is>
      </c>
      <c r="E650" s="11" t="n">
        <v>250</v>
      </c>
      <c r="F650" s="11" t="n">
        <v>142</v>
      </c>
      <c r="G650" s="11" t="n">
        <v>0</v>
      </c>
      <c r="H650" s="15">
        <f>IF(F650&gt;=E650,(E650-0.5)/E650,IF(G650&gt;0,(F650+0.5*G650)/E650,F650/E650))</f>
        <v/>
      </c>
      <c r="I650" s="11" t="inlineStr">
        <is>
          <t>中间分位</t>
        </is>
      </c>
      <c r="J650" s="11" t="inlineStr"/>
    </row>
    <row r="651">
      <c r="A651" s="6" t="inlineStr">
        <is>
          <t>2025-05-29</t>
        </is>
      </c>
      <c r="B651" s="16" t="n">
        <v>0.01257651641624931</v>
      </c>
      <c r="C651" s="6" t="inlineStr">
        <is>
          <t>2024-05-15</t>
        </is>
      </c>
      <c r="D651" s="6" t="inlineStr">
        <is>
          <t>2025-05-28</t>
        </is>
      </c>
      <c r="E651" s="6" t="n">
        <v>250</v>
      </c>
      <c r="F651" s="6" t="n">
        <v>114</v>
      </c>
      <c r="G651" s="6" t="n">
        <v>0</v>
      </c>
      <c r="H651" s="10">
        <f>IF(F651&gt;=E651,(E651-0.5)/E651,IF(G651&gt;0,(F651+0.5*G651)/E651,F651/E651))</f>
        <v/>
      </c>
      <c r="I651" s="6" t="inlineStr">
        <is>
          <t>中间分位</t>
        </is>
      </c>
      <c r="J651" s="6" t="inlineStr"/>
    </row>
    <row r="652">
      <c r="A652" s="11" t="inlineStr">
        <is>
          <t>2025-05-30</t>
        </is>
      </c>
      <c r="B652" s="17" t="n">
        <v>0.01735647530040053</v>
      </c>
      <c r="C652" s="11" t="inlineStr">
        <is>
          <t>2024-05-16</t>
        </is>
      </c>
      <c r="D652" s="11" t="inlineStr">
        <is>
          <t>2025-05-29</t>
        </is>
      </c>
      <c r="E652" s="11" t="n">
        <v>250</v>
      </c>
      <c r="F652" s="11" t="n">
        <v>129</v>
      </c>
      <c r="G652" s="11" t="n">
        <v>0</v>
      </c>
      <c r="H652" s="15">
        <f>IF(F652&gt;=E652,(E652-0.5)/E652,IF(G652&gt;0,(F652+0.5*G652)/E652,F652/E652))</f>
        <v/>
      </c>
      <c r="I652" s="11" t="inlineStr">
        <is>
          <t>中间分位</t>
        </is>
      </c>
      <c r="J652" s="11" t="inlineStr"/>
    </row>
    <row r="653">
      <c r="A653" s="6" t="inlineStr">
        <is>
          <t>2025-06-03</t>
        </is>
      </c>
      <c r="B653" s="16" t="n">
        <v>0.01111111111111111</v>
      </c>
      <c r="C653" s="6" t="inlineStr">
        <is>
          <t>2024-05-17</t>
        </is>
      </c>
      <c r="D653" s="6" t="inlineStr">
        <is>
          <t>2025-05-30</t>
        </is>
      </c>
      <c r="E653" s="6" t="n">
        <v>250</v>
      </c>
      <c r="F653" s="6" t="n">
        <v>107</v>
      </c>
      <c r="G653" s="6" t="n">
        <v>0</v>
      </c>
      <c r="H653" s="10">
        <f>IF(F653&gt;=E653,(E653-0.5)/E653,IF(G653&gt;0,(F653+0.5*G653)/E653,F653/E653))</f>
        <v/>
      </c>
      <c r="I653" s="6" t="inlineStr">
        <is>
          <t>中间分位</t>
        </is>
      </c>
      <c r="J653" s="6" t="inlineStr"/>
    </row>
    <row r="654">
      <c r="A654" s="11" t="inlineStr">
        <is>
          <t>2025-06-04</t>
        </is>
      </c>
      <c r="B654" s="17" t="n">
        <v>0.01003052769297863</v>
      </c>
      <c r="C654" s="11" t="inlineStr">
        <is>
          <t>2024-05-20</t>
        </is>
      </c>
      <c r="D654" s="11" t="inlineStr">
        <is>
          <t>2025-06-03</t>
        </is>
      </c>
      <c r="E654" s="11" t="n">
        <v>250</v>
      </c>
      <c r="F654" s="11" t="n">
        <v>105</v>
      </c>
      <c r="G654" s="11" t="n">
        <v>0</v>
      </c>
      <c r="H654" s="15">
        <f>IF(F654&gt;=E654,(E654-0.5)/E654,IF(G654&gt;0,(F654+0.5*G654)/E654,F654/E654))</f>
        <v/>
      </c>
      <c r="I654" s="11" t="inlineStr">
        <is>
          <t>中间分位</t>
        </is>
      </c>
      <c r="J654" s="11" t="inlineStr"/>
    </row>
    <row r="655">
      <c r="A655" s="6" t="inlineStr">
        <is>
          <t>2025-06-05</t>
        </is>
      </c>
      <c r="B655" s="16" t="n">
        <v>0.01482773658962058</v>
      </c>
      <c r="C655" s="6" t="inlineStr">
        <is>
          <t>2024-05-21</t>
        </is>
      </c>
      <c r="D655" s="6" t="inlineStr">
        <is>
          <t>2025-06-04</t>
        </is>
      </c>
      <c r="E655" s="6" t="n">
        <v>250</v>
      </c>
      <c r="F655" s="6" t="n">
        <v>126</v>
      </c>
      <c r="G655" s="6" t="n">
        <v>0</v>
      </c>
      <c r="H655" s="10">
        <f>IF(F655&gt;=E655,(E655-0.5)/E655,IF(G655&gt;0,(F655+0.5*G655)/E655,F655/E655))</f>
        <v/>
      </c>
      <c r="I655" s="6" t="inlineStr">
        <is>
          <t>中间分位</t>
        </is>
      </c>
      <c r="J655" s="6" t="inlineStr"/>
    </row>
    <row r="656">
      <c r="A656" s="11" t="inlineStr">
        <is>
          <t>2025-06-06</t>
        </is>
      </c>
      <c r="B656" s="17" t="n">
        <v>0.01650738488271069</v>
      </c>
      <c r="C656" s="11" t="inlineStr">
        <is>
          <t>2024-05-22</t>
        </is>
      </c>
      <c r="D656" s="11" t="inlineStr">
        <is>
          <t>2025-06-05</t>
        </is>
      </c>
      <c r="E656" s="11" t="n">
        <v>250</v>
      </c>
      <c r="F656" s="11" t="n">
        <v>130</v>
      </c>
      <c r="G656" s="11" t="n">
        <v>0</v>
      </c>
      <c r="H656" s="15">
        <f>IF(F656&gt;=E656,(E656-0.5)/E656,IF(G656&gt;0,(F656+0.5*G656)/E656,F656/E656))</f>
        <v/>
      </c>
      <c r="I656" s="11" t="inlineStr">
        <is>
          <t>中间分位</t>
        </is>
      </c>
      <c r="J656" s="11" t="inlineStr"/>
    </row>
    <row r="657">
      <c r="A657" s="6" t="inlineStr">
        <is>
          <t>2025-06-09</t>
        </is>
      </c>
      <c r="B657" s="16" t="n">
        <v>0.01556420233463035</v>
      </c>
      <c r="C657" s="6" t="inlineStr">
        <is>
          <t>2024-05-23</t>
        </is>
      </c>
      <c r="D657" s="6" t="inlineStr">
        <is>
          <t>2025-06-06</t>
        </is>
      </c>
      <c r="E657" s="6" t="n">
        <v>250</v>
      </c>
      <c r="F657" s="6" t="n">
        <v>129</v>
      </c>
      <c r="G657" s="6" t="n">
        <v>0</v>
      </c>
      <c r="H657" s="10">
        <f>IF(F657&gt;=E657,(E657-0.5)/E657,IF(G657&gt;0,(F657+0.5*G657)/E657,F657/E657))</f>
        <v/>
      </c>
      <c r="I657" s="6" t="inlineStr">
        <is>
          <t>中间分位</t>
        </is>
      </c>
      <c r="J657" s="6" t="inlineStr"/>
    </row>
    <row r="658">
      <c r="A658" s="11" t="inlineStr">
        <is>
          <t>2025-06-10</t>
        </is>
      </c>
      <c r="B658" s="17" t="n">
        <v>0.0235950235950236</v>
      </c>
      <c r="C658" s="11" t="inlineStr">
        <is>
          <t>2024-05-24</t>
        </is>
      </c>
      <c r="D658" s="11" t="inlineStr">
        <is>
          <t>2025-06-09</t>
        </is>
      </c>
      <c r="E658" s="11" t="n">
        <v>250</v>
      </c>
      <c r="F658" s="11" t="n">
        <v>157</v>
      </c>
      <c r="G658" s="11" t="n">
        <v>0</v>
      </c>
      <c r="H658" s="15">
        <f>IF(F658&gt;=E658,(E658-0.5)/E658,IF(G658&gt;0,(F658+0.5*G658)/E658,F658/E658))</f>
        <v/>
      </c>
      <c r="I658" s="11" t="inlineStr">
        <is>
          <t>中间分位</t>
        </is>
      </c>
      <c r="J658" s="11" t="inlineStr"/>
    </row>
    <row r="659">
      <c r="A659" s="6" t="inlineStr">
        <is>
          <t>2025-06-11</t>
        </is>
      </c>
      <c r="B659" s="16" t="n">
        <v>0.04037005887300252</v>
      </c>
      <c r="C659" s="6" t="inlineStr">
        <is>
          <t>2024-05-27</t>
        </is>
      </c>
      <c r="D659" s="6" t="inlineStr">
        <is>
          <t>2025-06-10</t>
        </is>
      </c>
      <c r="E659" s="6" t="n">
        <v>250</v>
      </c>
      <c r="F659" s="6" t="n">
        <v>201</v>
      </c>
      <c r="G659" s="6" t="n">
        <v>0</v>
      </c>
      <c r="H659" s="10">
        <f>IF(F659&gt;=E659,(E659-0.5)/E659,IF(G659&gt;0,(F659+0.5*G659)/E659,F659/E659))</f>
        <v/>
      </c>
      <c r="I659" s="6" t="inlineStr">
        <is>
          <t>中间分位</t>
        </is>
      </c>
      <c r="J659" s="6" t="inlineStr"/>
    </row>
    <row r="660">
      <c r="A660" s="11" t="inlineStr">
        <is>
          <t>2025-06-12</t>
        </is>
      </c>
      <c r="B660" s="17" t="n">
        <v>0.03089293271265341</v>
      </c>
      <c r="C660" s="11" t="inlineStr">
        <is>
          <t>2024-05-28</t>
        </is>
      </c>
      <c r="D660" s="11" t="inlineStr">
        <is>
          <t>2025-06-11</t>
        </is>
      </c>
      <c r="E660" s="11" t="n">
        <v>250</v>
      </c>
      <c r="F660" s="11" t="n">
        <v>177</v>
      </c>
      <c r="G660" s="11" t="n">
        <v>0</v>
      </c>
      <c r="H660" s="15">
        <f>IF(F660&gt;=E660,(E660-0.5)/E660,IF(G660&gt;0,(F660+0.5*G660)/E660,F660/E660))</f>
        <v/>
      </c>
      <c r="I660" s="11" t="inlineStr">
        <is>
          <t>中间分位</t>
        </is>
      </c>
      <c r="J660" s="11" t="inlineStr"/>
    </row>
    <row r="661">
      <c r="A661" s="6" t="inlineStr">
        <is>
          <t>2025-06-13</t>
        </is>
      </c>
      <c r="B661" s="16" t="n">
        <v>-0.01143099068585944</v>
      </c>
      <c r="C661" s="6" t="inlineStr">
        <is>
          <t>2024-05-29</t>
        </is>
      </c>
      <c r="D661" s="6" t="inlineStr">
        <is>
          <t>2025-06-12</t>
        </is>
      </c>
      <c r="E661" s="6" t="n">
        <v>250</v>
      </c>
      <c r="F661" s="6" t="n">
        <v>28</v>
      </c>
      <c r="G661" s="6" t="n">
        <v>0</v>
      </c>
      <c r="H661" s="10">
        <f>IF(F661&gt;=E661,(E661-0.5)/E661,IF(G661&gt;0,(F661+0.5*G661)/E661,F661/E661))</f>
        <v/>
      </c>
      <c r="I661" s="6" t="inlineStr">
        <is>
          <t>中间分位</t>
        </is>
      </c>
      <c r="J661" s="6" t="inlineStr"/>
    </row>
    <row r="662">
      <c r="A662" s="11" t="inlineStr">
        <is>
          <t>2025-06-16</t>
        </is>
      </c>
      <c r="B662" s="17" t="n">
        <v>0.008051529790660225</v>
      </c>
      <c r="C662" s="11" t="inlineStr">
        <is>
          <t>2024-05-30</t>
        </is>
      </c>
      <c r="D662" s="11" t="inlineStr">
        <is>
          <t>2025-06-13</t>
        </is>
      </c>
      <c r="E662" s="11" t="n">
        <v>250</v>
      </c>
      <c r="F662" s="11" t="n">
        <v>99</v>
      </c>
      <c r="G662" s="11" t="n">
        <v>0</v>
      </c>
      <c r="H662" s="15">
        <f>IF(F662&gt;=E662,(E662-0.5)/E662,IF(G662&gt;0,(F662+0.5*G662)/E662,F662/E662))</f>
        <v/>
      </c>
      <c r="I662" s="11" t="inlineStr">
        <is>
          <t>中间分位</t>
        </is>
      </c>
      <c r="J662" s="11" t="inlineStr"/>
    </row>
    <row r="663">
      <c r="A663" s="6" t="inlineStr">
        <is>
          <t>2025-06-17</t>
        </is>
      </c>
      <c r="B663" s="16" t="n">
        <v>0.05467847516365037</v>
      </c>
      <c r="C663" s="6" t="inlineStr">
        <is>
          <t>2024-05-31</t>
        </is>
      </c>
      <c r="D663" s="6" t="inlineStr">
        <is>
          <t>2025-06-16</t>
        </is>
      </c>
      <c r="E663" s="6" t="n">
        <v>250</v>
      </c>
      <c r="F663" s="6" t="n">
        <v>222</v>
      </c>
      <c r="G663" s="6" t="n">
        <v>0</v>
      </c>
      <c r="H663" s="10">
        <f>IF(F663&gt;=E663,(E663-0.5)/E663,IF(G663&gt;0,(F663+0.5*G663)/E663,F663/E663))</f>
        <v/>
      </c>
      <c r="I663" s="6" t="inlineStr">
        <is>
          <t>中间分位</t>
        </is>
      </c>
      <c r="J663" s="6" t="inlineStr"/>
    </row>
    <row r="664">
      <c r="A664" s="11" t="inlineStr">
        <is>
          <t>2025-06-18</t>
        </is>
      </c>
      <c r="B664" s="17" t="n">
        <v>0.04875283446712018</v>
      </c>
      <c r="C664" s="11" t="inlineStr">
        <is>
          <t>2024-06-03</t>
        </is>
      </c>
      <c r="D664" s="11" t="inlineStr">
        <is>
          <t>2025-06-17</t>
        </is>
      </c>
      <c r="E664" s="11" t="n">
        <v>250</v>
      </c>
      <c r="F664" s="11" t="n">
        <v>217</v>
      </c>
      <c r="G664" s="11" t="n">
        <v>0</v>
      </c>
      <c r="H664" s="15">
        <f>IF(F664&gt;=E664,(E664-0.5)/E664,IF(G664&gt;0,(F664+0.5*G664)/E664,F664/E664))</f>
        <v/>
      </c>
      <c r="I664" s="11" t="inlineStr">
        <is>
          <t>中间分位</t>
        </is>
      </c>
      <c r="J664" s="11" t="inlineStr"/>
    </row>
    <row r="665">
      <c r="A665" s="6" t="inlineStr">
        <is>
          <t>2025-06-19</t>
        </is>
      </c>
      <c r="B665" s="16" t="n">
        <v>0.06266126059712496</v>
      </c>
      <c r="C665" s="6" t="inlineStr">
        <is>
          <t>2024-06-04</t>
        </is>
      </c>
      <c r="D665" s="6" t="inlineStr">
        <is>
          <t>2025-06-18</t>
        </is>
      </c>
      <c r="E665" s="6" t="n">
        <v>250</v>
      </c>
      <c r="F665" s="6" t="n">
        <v>233</v>
      </c>
      <c r="G665" s="6" t="n">
        <v>0</v>
      </c>
      <c r="H665" s="10">
        <f>IF(F665&gt;=E665,(E665-0.5)/E665,IF(G665&gt;0,(F665+0.5*G665)/E665,F665/E665))</f>
        <v/>
      </c>
      <c r="I665" s="6" t="inlineStr">
        <is>
          <t>高分位</t>
        </is>
      </c>
      <c r="J665" s="6" t="inlineStr"/>
    </row>
    <row r="666">
      <c r="A666" s="11" t="inlineStr">
        <is>
          <t>2025-06-20</t>
        </is>
      </c>
      <c r="B666" s="17" t="n">
        <v>0.08502170767004341</v>
      </c>
      <c r="C666" s="11" t="inlineStr">
        <is>
          <t>2024-06-05</t>
        </is>
      </c>
      <c r="D666" s="11" t="inlineStr">
        <is>
          <t>2025-06-19</t>
        </is>
      </c>
      <c r="E666" s="11" t="n">
        <v>250</v>
      </c>
      <c r="F666" s="11" t="n">
        <v>247</v>
      </c>
      <c r="G666" s="11" t="n">
        <v>0</v>
      </c>
      <c r="H666" s="15">
        <f>IF(F666&gt;=E666,(E666-0.5)/E666,IF(G666&gt;0,(F666+0.5*G666)/E666,F666/E666))</f>
        <v/>
      </c>
      <c r="I666" s="11" t="inlineStr">
        <is>
          <t>高分位</t>
        </is>
      </c>
      <c r="J666" s="11" t="inlineStr"/>
    </row>
    <row r="667">
      <c r="A667" s="6" t="inlineStr">
        <is>
          <t>2025-06-23</t>
        </is>
      </c>
      <c r="B667" s="16" t="n">
        <v>0.0886260236578708</v>
      </c>
      <c r="C667" s="6" t="inlineStr">
        <is>
          <t>2024-06-06</t>
        </is>
      </c>
      <c r="D667" s="6" t="inlineStr">
        <is>
          <t>2025-06-20</t>
        </is>
      </c>
      <c r="E667" s="6" t="n">
        <v>250</v>
      </c>
      <c r="F667" s="6" t="n">
        <v>248</v>
      </c>
      <c r="G667" s="6" t="n">
        <v>0</v>
      </c>
      <c r="H667" s="10">
        <f>IF(F667&gt;=E667,(E667-0.5)/E667,IF(G667&gt;0,(F667+0.5*G667)/E667,F667/E667))</f>
        <v/>
      </c>
      <c r="I667" s="6" t="inlineStr">
        <is>
          <t>高分位</t>
        </is>
      </c>
      <c r="J667" s="6" t="inlineStr"/>
    </row>
    <row r="668">
      <c r="A668" s="11" t="inlineStr">
        <is>
          <t>2025-06-24</t>
        </is>
      </c>
      <c r="B668" s="17" t="n">
        <v>0.1253129791200185</v>
      </c>
      <c r="C668" s="11" t="inlineStr">
        <is>
          <t>2024-06-07</t>
        </is>
      </c>
      <c r="D668" s="11" t="inlineStr">
        <is>
          <t>2025-06-23</t>
        </is>
      </c>
      <c r="E668" s="11" t="n">
        <v>250</v>
      </c>
      <c r="F668" s="11" t="n">
        <v>250</v>
      </c>
      <c r="G668" s="11" t="n">
        <v>0</v>
      </c>
      <c r="H668" s="15">
        <f>IF(F668&gt;=E668,(E668-0.5)/E668,IF(G668&gt;0,(F668+0.5*G668)/E668,F668/E668))</f>
        <v/>
      </c>
      <c r="I668" s="11" t="inlineStr">
        <is>
          <t>高分位</t>
        </is>
      </c>
      <c r="J668" s="11" t="inlineStr"/>
    </row>
    <row r="669">
      <c r="A669" s="6" t="inlineStr">
        <is>
          <t>2025-06-25</t>
        </is>
      </c>
      <c r="B669" s="16" t="n">
        <v>0.100001129233213</v>
      </c>
      <c r="C669" s="6" t="inlineStr">
        <is>
          <t>2024-06-11</t>
        </is>
      </c>
      <c r="D669" s="6" t="inlineStr">
        <is>
          <t>2025-06-24</t>
        </is>
      </c>
      <c r="E669" s="6" t="n">
        <v>250</v>
      </c>
      <c r="F669" s="6" t="n">
        <v>249</v>
      </c>
      <c r="G669" s="6" t="n">
        <v>0</v>
      </c>
      <c r="H669" s="10">
        <f>IF(F669&gt;=E669,(E669-0.5)/E669,IF(G669&gt;0,(F669+0.5*G669)/E669,F669/E669))</f>
        <v/>
      </c>
      <c r="I669" s="6" t="inlineStr">
        <is>
          <t>高分位</t>
        </is>
      </c>
      <c r="J669" s="6" t="inlineStr"/>
    </row>
    <row r="670">
      <c r="A670" s="11" t="inlineStr">
        <is>
          <t>2025-06-26</t>
        </is>
      </c>
      <c r="B670" s="17" t="n">
        <v>0.08677696879474962</v>
      </c>
      <c r="C670" s="11" t="inlineStr">
        <is>
          <t>2024-06-12</t>
        </is>
      </c>
      <c r="D670" s="11" t="inlineStr">
        <is>
          <t>2025-06-25</t>
        </is>
      </c>
      <c r="E670" s="11" t="n">
        <v>250</v>
      </c>
      <c r="F670" s="11" t="n">
        <v>245</v>
      </c>
      <c r="G670" s="11" t="n">
        <v>0</v>
      </c>
      <c r="H670" s="15">
        <f>IF(F670&gt;=E670,(E670-0.5)/E670,IF(G670&gt;0,(F670+0.5*G670)/E670,F670/E670))</f>
        <v/>
      </c>
      <c r="I670" s="11" t="inlineStr">
        <is>
          <t>高分位</t>
        </is>
      </c>
      <c r="J670" s="11" t="inlineStr"/>
    </row>
    <row r="671">
      <c r="A671" s="6" t="inlineStr">
        <is>
          <t>2025-06-27</t>
        </is>
      </c>
      <c r="B671" s="16" t="n">
        <v>0.1300807392677846</v>
      </c>
      <c r="C671" s="6" t="inlineStr">
        <is>
          <t>2024-06-13</t>
        </is>
      </c>
      <c r="D671" s="6" t="inlineStr">
        <is>
          <t>2025-06-26</t>
        </is>
      </c>
      <c r="E671" s="6" t="n">
        <v>250</v>
      </c>
      <c r="F671" s="6" t="n">
        <v>250</v>
      </c>
      <c r="G671" s="6" t="n">
        <v>0</v>
      </c>
      <c r="H671" s="10">
        <f>IF(F671&gt;=E671,(E671-0.5)/E671,IF(G671&gt;0,(F671+0.5*G671)/E671,F671/E671))</f>
        <v/>
      </c>
      <c r="I671" s="6" t="inlineStr">
        <is>
          <t>高分位</t>
        </is>
      </c>
      <c r="J671" s="6" t="inlineStr"/>
    </row>
    <row r="672">
      <c r="A672" s="11" t="inlineStr">
        <is>
          <t>2025-06-30</t>
        </is>
      </c>
      <c r="B672" s="17" t="n">
        <v>0.1453175534759838</v>
      </c>
      <c r="C672" s="11" t="inlineStr">
        <is>
          <t>2024-06-14</t>
        </is>
      </c>
      <c r="D672" s="11" t="inlineStr">
        <is>
          <t>2025-06-27</t>
        </is>
      </c>
      <c r="E672" s="11" t="n">
        <v>250</v>
      </c>
      <c r="F672" s="11" t="n">
        <v>250</v>
      </c>
      <c r="G672" s="11" t="n">
        <v>0</v>
      </c>
      <c r="H672" s="15">
        <f>IF(F672&gt;=E672,(E672-0.5)/E672,IF(G672&gt;0,(F672+0.5*G672)/E672,F672/E672))</f>
        <v/>
      </c>
      <c r="I672" s="11" t="inlineStr">
        <is>
          <t>高分位</t>
        </is>
      </c>
      <c r="J672" s="11" t="inlineStr"/>
    </row>
    <row r="673">
      <c r="A673" s="6" t="inlineStr">
        <is>
          <t>2025-07-01</t>
        </is>
      </c>
      <c r="B673" s="16" t="n">
        <v>0.1500891265597148</v>
      </c>
      <c r="C673" s="6" t="inlineStr">
        <is>
          <t>2024-06-17</t>
        </is>
      </c>
      <c r="D673" s="6" t="inlineStr">
        <is>
          <t>2025-06-30</t>
        </is>
      </c>
      <c r="E673" s="6" t="n">
        <v>250</v>
      </c>
      <c r="F673" s="6" t="n">
        <v>250</v>
      </c>
      <c r="G673" s="6" t="n">
        <v>0</v>
      </c>
      <c r="H673" s="10">
        <f>IF(F673&gt;=E673,(E673-0.5)/E673,IF(G673&gt;0,(F673+0.5*G673)/E673,F673/E673))</f>
        <v/>
      </c>
      <c r="I673" s="6" t="inlineStr">
        <is>
          <t>高分位</t>
        </is>
      </c>
      <c r="J673" s="6" t="inlineStr"/>
    </row>
    <row r="674">
      <c r="A674" s="11" t="inlineStr">
        <is>
          <t>2025-07-02</t>
        </is>
      </c>
      <c r="B674" s="17" t="n">
        <v>0.04980237154150197</v>
      </c>
      <c r="C674" s="11" t="inlineStr">
        <is>
          <t>2024-06-18</t>
        </is>
      </c>
      <c r="D674" s="11" t="inlineStr">
        <is>
          <t>2025-07-01</t>
        </is>
      </c>
      <c r="E674" s="11" t="n">
        <v>250</v>
      </c>
      <c r="F674" s="11" t="n">
        <v>210</v>
      </c>
      <c r="G674" s="11" t="n">
        <v>0</v>
      </c>
      <c r="H674" s="15">
        <f>IF(F674&gt;=E674,(E674-0.5)/E674,IF(G674&gt;0,(F674+0.5*G674)/E674,F674/E674))</f>
        <v/>
      </c>
      <c r="I674" s="11" t="inlineStr">
        <is>
          <t>中间分位</t>
        </is>
      </c>
      <c r="J674" s="11" t="inlineStr"/>
    </row>
    <row r="675">
      <c r="A675" s="6" t="inlineStr">
        <is>
          <t>2025-07-03</t>
        </is>
      </c>
      <c r="B675" s="16" t="n">
        <v>0.02595699523469433</v>
      </c>
      <c r="C675" s="6" t="inlineStr">
        <is>
          <t>2024-06-19</t>
        </is>
      </c>
      <c r="D675" s="6" t="inlineStr">
        <is>
          <t>2025-07-02</t>
        </is>
      </c>
      <c r="E675" s="6" t="n">
        <v>250</v>
      </c>
      <c r="F675" s="6" t="n">
        <v>159</v>
      </c>
      <c r="G675" s="6" t="n">
        <v>0</v>
      </c>
      <c r="H675" s="10">
        <f>IF(F675&gt;=E675,(E675-0.5)/E675,IF(G675&gt;0,(F675+0.5*G675)/E675,F675/E675))</f>
        <v/>
      </c>
      <c r="I675" s="6" t="inlineStr">
        <is>
          <t>中间分位</t>
        </is>
      </c>
      <c r="J675" s="6" t="inlineStr"/>
    </row>
    <row r="676">
      <c r="A676" s="11" t="inlineStr">
        <is>
          <t>2025-07-04</t>
        </is>
      </c>
      <c r="B676" s="17" t="n">
        <v>0.03038190585125517</v>
      </c>
      <c r="C676" s="11" t="inlineStr">
        <is>
          <t>2024-06-20</t>
        </is>
      </c>
      <c r="D676" s="11" t="inlineStr">
        <is>
          <t>2025-07-03</t>
        </is>
      </c>
      <c r="E676" s="11" t="n">
        <v>250</v>
      </c>
      <c r="F676" s="11" t="n">
        <v>172</v>
      </c>
      <c r="G676" s="11" t="n">
        <v>0</v>
      </c>
      <c r="H676" s="15">
        <f>IF(F676&gt;=E676,(E676-0.5)/E676,IF(G676&gt;0,(F676+0.5*G676)/E676,F676/E676))</f>
        <v/>
      </c>
      <c r="I676" s="11" t="inlineStr">
        <is>
          <t>中间分位</t>
        </is>
      </c>
      <c r="J676" s="11" t="inlineStr"/>
    </row>
    <row r="677">
      <c r="A677" s="6" t="inlineStr">
        <is>
          <t>2025-07-07</t>
        </is>
      </c>
      <c r="B677" s="16" t="n">
        <v>0.02267620020429009</v>
      </c>
      <c r="C677" s="6" t="inlineStr">
        <is>
          <t>2024-06-21</t>
        </is>
      </c>
      <c r="D677" s="6" t="inlineStr">
        <is>
          <t>2025-07-04</t>
        </is>
      </c>
      <c r="E677" s="6" t="n">
        <v>250</v>
      </c>
      <c r="F677" s="6" t="n">
        <v>150</v>
      </c>
      <c r="G677" s="6" t="n">
        <v>0</v>
      </c>
      <c r="H677" s="10">
        <f>IF(F677&gt;=E677,(E677-0.5)/E677,IF(G677&gt;0,(F677+0.5*G677)/E677,F677/E677))</f>
        <v/>
      </c>
      <c r="I677" s="6" t="inlineStr">
        <is>
          <t>中间分位</t>
        </is>
      </c>
      <c r="J677" s="6" t="inlineStr"/>
    </row>
    <row r="678">
      <c r="A678" s="11" t="inlineStr">
        <is>
          <t>2025-07-08</t>
        </is>
      </c>
      <c r="B678" s="17" t="n">
        <v>0.02076894191051157</v>
      </c>
      <c r="C678" s="11" t="inlineStr">
        <is>
          <t>2024-06-24</t>
        </is>
      </c>
      <c r="D678" s="11" t="inlineStr">
        <is>
          <t>2025-07-07</t>
        </is>
      </c>
      <c r="E678" s="11" t="n">
        <v>250</v>
      </c>
      <c r="F678" s="11" t="n">
        <v>139</v>
      </c>
      <c r="G678" s="11" t="n">
        <v>0</v>
      </c>
      <c r="H678" s="15">
        <f>IF(F678&gt;=E678,(E678-0.5)/E678,IF(G678&gt;0,(F678+0.5*G678)/E678,F678/E678))</f>
        <v/>
      </c>
      <c r="I678" s="11" t="inlineStr">
        <is>
          <t>中间分位</t>
        </is>
      </c>
      <c r="J678" s="11" t="inlineStr"/>
    </row>
    <row r="679">
      <c r="A679" s="6" t="inlineStr">
        <is>
          <t>2025-07-09</t>
        </is>
      </c>
      <c r="B679" s="16" t="n">
        <v>0.01576763485477178</v>
      </c>
      <c r="C679" s="6" t="inlineStr">
        <is>
          <t>2024-06-25</t>
        </is>
      </c>
      <c r="D679" s="6" t="inlineStr">
        <is>
          <t>2025-07-08</t>
        </is>
      </c>
      <c r="E679" s="6" t="n">
        <v>250</v>
      </c>
      <c r="F679" s="6" t="n">
        <v>125</v>
      </c>
      <c r="G679" s="6" t="n">
        <v>0</v>
      </c>
      <c r="H679" s="10">
        <f>IF(F679&gt;=E679,(E679-0.5)/E679,IF(G679&gt;0,(F679+0.5*G679)/E679,F679/E679))</f>
        <v/>
      </c>
      <c r="I679" s="6" t="inlineStr">
        <is>
          <t>中间分位</t>
        </is>
      </c>
      <c r="J679" s="6" t="inlineStr"/>
    </row>
    <row r="680">
      <c r="A680" s="11" t="inlineStr">
        <is>
          <t>2025-07-10</t>
        </is>
      </c>
      <c r="B680" s="17" t="n">
        <v>-0.003208761970104546</v>
      </c>
      <c r="C680" s="11" t="inlineStr">
        <is>
          <t>2024-06-26</t>
        </is>
      </c>
      <c r="D680" s="11" t="inlineStr">
        <is>
          <t>2025-07-09</t>
        </is>
      </c>
      <c r="E680" s="11" t="n">
        <v>250</v>
      </c>
      <c r="F680" s="11" t="n">
        <v>56</v>
      </c>
      <c r="G680" s="11" t="n">
        <v>0</v>
      </c>
      <c r="H680" s="15">
        <f>IF(F680&gt;=E680,(E680-0.5)/E680,IF(G680&gt;0,(F680+0.5*G680)/E680,F680/E680))</f>
        <v/>
      </c>
      <c r="I680" s="11" t="inlineStr">
        <is>
          <t>中间分位</t>
        </is>
      </c>
      <c r="J680" s="11" t="inlineStr"/>
    </row>
    <row r="681">
      <c r="A681" s="6" t="inlineStr">
        <is>
          <t>2025-07-11</t>
        </is>
      </c>
      <c r="B681" s="16" t="n">
        <v>0.01147028154327424</v>
      </c>
      <c r="C681" s="6" t="inlineStr">
        <is>
          <t>2024-06-27</t>
        </is>
      </c>
      <c r="D681" s="6" t="inlineStr">
        <is>
          <t>2025-07-10</t>
        </is>
      </c>
      <c r="E681" s="6" t="n">
        <v>250</v>
      </c>
      <c r="F681" s="6" t="n">
        <v>107</v>
      </c>
      <c r="G681" s="6" t="n">
        <v>0</v>
      </c>
      <c r="H681" s="10">
        <f>IF(F681&gt;=E681,(E681-0.5)/E681,IF(G681&gt;0,(F681+0.5*G681)/E681,F681/E681))</f>
        <v/>
      </c>
      <c r="I681" s="6" t="inlineStr">
        <is>
          <t>中间分位</t>
        </is>
      </c>
      <c r="J681" s="6" t="inlineStr"/>
    </row>
    <row r="682">
      <c r="A682" s="11" t="inlineStr">
        <is>
          <t>2025-07-14</t>
        </is>
      </c>
      <c r="B682" s="17" t="n">
        <v>-0.007429582942653039</v>
      </c>
      <c r="C682" s="11" t="inlineStr">
        <is>
          <t>2024-06-28</t>
        </is>
      </c>
      <c r="D682" s="11" t="inlineStr">
        <is>
          <t>2025-07-11</t>
        </is>
      </c>
      <c r="E682" s="11" t="n">
        <v>250</v>
      </c>
      <c r="F682" s="11" t="n">
        <v>41</v>
      </c>
      <c r="G682" s="11" t="n">
        <v>0</v>
      </c>
      <c r="H682" s="15">
        <f>IF(F682&gt;=E682,(E682-0.5)/E682,IF(G682&gt;0,(F682+0.5*G682)/E682,F682/E682))</f>
        <v/>
      </c>
      <c r="I682" s="11" t="inlineStr">
        <is>
          <t>中间分位</t>
        </is>
      </c>
      <c r="J682" s="11" t="inlineStr"/>
    </row>
    <row r="683">
      <c r="A683" s="6" t="inlineStr">
        <is>
          <t>2025-07-15</t>
        </is>
      </c>
      <c r="B683" s="16" t="n">
        <v>0.001673640167364017</v>
      </c>
      <c r="C683" s="6" t="inlineStr">
        <is>
          <t>2024-07-01</t>
        </is>
      </c>
      <c r="D683" s="6" t="inlineStr">
        <is>
          <t>2025-07-14</t>
        </is>
      </c>
      <c r="E683" s="6" t="n">
        <v>250</v>
      </c>
      <c r="F683" s="6" t="n">
        <v>77</v>
      </c>
      <c r="G683" s="6" t="n">
        <v>0</v>
      </c>
      <c r="H683" s="10">
        <f>IF(F683&gt;=E683,(E683-0.5)/E683,IF(G683&gt;0,(F683+0.5*G683)/E683,F683/E683))</f>
        <v/>
      </c>
      <c r="I683" s="6" t="inlineStr">
        <is>
          <t>中间分位</t>
        </is>
      </c>
      <c r="J683" s="6" t="inlineStr"/>
    </row>
    <row r="684">
      <c r="A684" s="11" t="inlineStr">
        <is>
          <t>2025-07-16</t>
        </is>
      </c>
      <c r="B684" s="17" t="n">
        <v>0.009623430962343096</v>
      </c>
      <c r="C684" s="11" t="inlineStr">
        <is>
          <t>2024-07-02</t>
        </is>
      </c>
      <c r="D684" s="11" t="inlineStr">
        <is>
          <t>2025-07-15</t>
        </is>
      </c>
      <c r="E684" s="11" t="n">
        <v>250</v>
      </c>
      <c r="F684" s="11" t="n">
        <v>100</v>
      </c>
      <c r="G684" s="11" t="n">
        <v>0</v>
      </c>
      <c r="H684" s="15">
        <f>IF(F684&gt;=E684,(E684-0.5)/E684,IF(G684&gt;0,(F684+0.5*G684)/E684,F684/E684))</f>
        <v/>
      </c>
      <c r="I684" s="11" t="inlineStr">
        <is>
          <t>中间分位</t>
        </is>
      </c>
      <c r="J684" s="11" t="inlineStr"/>
    </row>
    <row r="685">
      <c r="A685" s="6" t="inlineStr">
        <is>
          <t>2025-07-17</t>
        </is>
      </c>
      <c r="B685" s="16" t="n">
        <v>0.003640302812732242</v>
      </c>
      <c r="C685" s="6" t="inlineStr">
        <is>
          <t>2024-07-03</t>
        </is>
      </c>
      <c r="D685" s="6" t="inlineStr">
        <is>
          <t>2025-07-16</t>
        </is>
      </c>
      <c r="E685" s="6" t="n">
        <v>250</v>
      </c>
      <c r="F685" s="6" t="n">
        <v>81</v>
      </c>
      <c r="G685" s="6" t="n">
        <v>0</v>
      </c>
      <c r="H685" s="10">
        <f>IF(F685&gt;=E685,(E685-0.5)/E685,IF(G685&gt;0,(F685+0.5*G685)/E685,F685/E685))</f>
        <v/>
      </c>
      <c r="I685" s="6" t="inlineStr">
        <is>
          <t>中间分位</t>
        </is>
      </c>
      <c r="J685" s="6" t="inlineStr"/>
    </row>
    <row r="686">
      <c r="A686" s="11" t="inlineStr">
        <is>
          <t>2025-07-18</t>
        </is>
      </c>
      <c r="B686" s="17" t="n">
        <v>0.01115120397044743</v>
      </c>
      <c r="C686" s="11" t="inlineStr">
        <is>
          <t>2024-07-04</t>
        </is>
      </c>
      <c r="D686" s="11" t="inlineStr">
        <is>
          <t>2025-07-17</t>
        </is>
      </c>
      <c r="E686" s="11" t="n">
        <v>250</v>
      </c>
      <c r="F686" s="11" t="n">
        <v>105</v>
      </c>
      <c r="G686" s="11" t="n">
        <v>0</v>
      </c>
      <c r="H686" s="15">
        <f>IF(F686&gt;=E686,(E686-0.5)/E686,IF(G686&gt;0,(F686+0.5*G686)/E686,F686/E686))</f>
        <v/>
      </c>
      <c r="I686" s="11" t="inlineStr">
        <is>
          <t>中间分位</t>
        </is>
      </c>
      <c r="J686" s="11" t="inlineStr"/>
    </row>
    <row r="687">
      <c r="A687" s="6" t="inlineStr">
        <is>
          <t>2025-07-21</t>
        </is>
      </c>
      <c r="B687" s="16" t="n">
        <v>-0.01160980644728174</v>
      </c>
      <c r="C687" s="6" t="inlineStr">
        <is>
          <t>2024-07-05</t>
        </is>
      </c>
      <c r="D687" s="6" t="inlineStr">
        <is>
          <t>2025-07-18</t>
        </is>
      </c>
      <c r="E687" s="6" t="n">
        <v>250</v>
      </c>
      <c r="F687" s="6" t="n">
        <v>26</v>
      </c>
      <c r="G687" s="6" t="n">
        <v>0</v>
      </c>
      <c r="H687" s="10">
        <f>IF(F687&gt;=E687,(E687-0.5)/E687,IF(G687&gt;0,(F687+0.5*G687)/E687,F687/E687))</f>
        <v/>
      </c>
      <c r="I687" s="6" t="inlineStr">
        <is>
          <t>中间分位</t>
        </is>
      </c>
      <c r="J687" s="6" t="inlineStr"/>
    </row>
    <row r="688">
      <c r="A688" s="11" t="inlineStr">
        <is>
          <t>2025-07-22</t>
        </is>
      </c>
      <c r="B688" s="17" t="n">
        <v>-0.02162162162162162</v>
      </c>
      <c r="C688" s="11" t="inlineStr">
        <is>
          <t>2024-07-08</t>
        </is>
      </c>
      <c r="D688" s="11" t="inlineStr">
        <is>
          <t>2025-07-21</t>
        </is>
      </c>
      <c r="E688" s="11" t="n">
        <v>250</v>
      </c>
      <c r="F688" s="11" t="n">
        <v>11</v>
      </c>
      <c r="G688" s="11" t="n">
        <v>0</v>
      </c>
      <c r="H688" s="15">
        <f>IF(F688&gt;=E688,(E688-0.5)/E688,IF(G688&gt;0,(F688+0.5*G688)/E688,F688/E688))</f>
        <v/>
      </c>
      <c r="I688" s="11" t="inlineStr">
        <is>
          <t>低分位</t>
        </is>
      </c>
      <c r="J688" s="11" t="inlineStr"/>
    </row>
    <row r="689">
      <c r="A689" s="6" t="inlineStr">
        <is>
          <t>2025-07-23</t>
        </is>
      </c>
      <c r="B689" s="16" t="n">
        <v>0.009176724899623149</v>
      </c>
      <c r="C689" s="6" t="inlineStr">
        <is>
          <t>2024-07-09</t>
        </is>
      </c>
      <c r="D689" s="6" t="inlineStr">
        <is>
          <t>2025-07-22</t>
        </is>
      </c>
      <c r="E689" s="6" t="n">
        <v>250</v>
      </c>
      <c r="F689" s="6" t="n">
        <v>96</v>
      </c>
      <c r="G689" s="6" t="n">
        <v>0</v>
      </c>
      <c r="H689" s="10">
        <f>IF(F689&gt;=E689,(E689-0.5)/E689,IF(G689&gt;0,(F689+0.5*G689)/E689,F689/E689))</f>
        <v/>
      </c>
      <c r="I689" s="6" t="inlineStr">
        <is>
          <t>中间分位</t>
        </is>
      </c>
      <c r="J689" s="6" t="inlineStr"/>
    </row>
    <row r="690">
      <c r="A690" s="11" t="inlineStr">
        <is>
          <t>2025-07-24</t>
        </is>
      </c>
      <c r="B690" s="17" t="n">
        <v>-0.03154103079233166</v>
      </c>
      <c r="C690" s="11" t="inlineStr">
        <is>
          <t>2024-07-10</t>
        </is>
      </c>
      <c r="D690" s="11" t="inlineStr">
        <is>
          <t>2025-07-23</t>
        </is>
      </c>
      <c r="E690" s="11" t="n">
        <v>250</v>
      </c>
      <c r="F690" s="11" t="n">
        <v>1</v>
      </c>
      <c r="G690" s="11" t="n">
        <v>0</v>
      </c>
      <c r="H690" s="15">
        <f>IF(F690&gt;=E690,(E690-0.5)/E690,IF(G690&gt;0,(F690+0.5*G690)/E690,F690/E690))</f>
        <v/>
      </c>
      <c r="I690" s="11" t="inlineStr">
        <is>
          <t>低分位</t>
        </is>
      </c>
      <c r="J690" s="11" t="inlineStr"/>
    </row>
    <row r="691">
      <c r="A691" s="6" t="inlineStr">
        <is>
          <t>2025-07-25</t>
        </is>
      </c>
      <c r="B691" s="16" t="n">
        <v>-0.02432934689346405</v>
      </c>
      <c r="C691" s="6" t="inlineStr">
        <is>
          <t>2024-07-11</t>
        </is>
      </c>
      <c r="D691" s="6" t="inlineStr">
        <is>
          <t>2025-07-24</t>
        </is>
      </c>
      <c r="E691" s="6" t="n">
        <v>250</v>
      </c>
      <c r="F691" s="6" t="n">
        <v>7</v>
      </c>
      <c r="G691" s="6" t="n">
        <v>0</v>
      </c>
      <c r="H691" s="10">
        <f>IF(F691&gt;=E691,(E691-0.5)/E691,IF(G691&gt;0,(F691+0.5*G691)/E691,F691/E691))</f>
        <v/>
      </c>
      <c r="I691" s="6" t="inlineStr">
        <is>
          <t>低分位</t>
        </is>
      </c>
      <c r="J691" s="6" t="inlineStr"/>
    </row>
    <row r="692">
      <c r="A692" s="11" t="inlineStr">
        <is>
          <t>2025-07-28</t>
        </is>
      </c>
      <c r="B692" s="17" t="n">
        <v>0.03129747307256807</v>
      </c>
      <c r="C692" s="11" t="inlineStr">
        <is>
          <t>2024-07-12</t>
        </is>
      </c>
      <c r="D692" s="11" t="inlineStr">
        <is>
          <t>2025-07-25</t>
        </is>
      </c>
      <c r="E692" s="11" t="n">
        <v>250</v>
      </c>
      <c r="F692" s="11" t="n">
        <v>174</v>
      </c>
      <c r="G692" s="11" t="n">
        <v>0</v>
      </c>
      <c r="H692" s="15">
        <f>IF(F692&gt;=E692,(E692-0.5)/E692,IF(G692&gt;0,(F692+0.5*G692)/E692,F692/E692))</f>
        <v/>
      </c>
      <c r="I692" s="11" t="inlineStr">
        <is>
          <t>中间分位</t>
        </is>
      </c>
      <c r="J692" s="11" t="inlineStr"/>
    </row>
    <row r="693">
      <c r="A693" s="6" t="inlineStr">
        <is>
          <t>2025-07-29</t>
        </is>
      </c>
      <c r="B693" s="16" t="n">
        <v>-0.01734587251828631</v>
      </c>
      <c r="C693" s="6" t="inlineStr">
        <is>
          <t>2024-07-15</t>
        </is>
      </c>
      <c r="D693" s="6" t="inlineStr">
        <is>
          <t>2025-07-28</t>
        </is>
      </c>
      <c r="E693" s="6" t="n">
        <v>250</v>
      </c>
      <c r="F693" s="6" t="n">
        <v>16</v>
      </c>
      <c r="G693" s="6" t="n">
        <v>0</v>
      </c>
      <c r="H693" s="10">
        <f>IF(F693&gt;=E693,(E693-0.5)/E693,IF(G693&gt;0,(F693+0.5*G693)/E693,F693/E693))</f>
        <v/>
      </c>
      <c r="I693" s="6" t="inlineStr">
        <is>
          <t>低分位</t>
        </is>
      </c>
      <c r="J693" s="6" t="inlineStr"/>
    </row>
    <row r="694">
      <c r="A694" s="11" t="inlineStr">
        <is>
          <t>2025-07-30</t>
        </is>
      </c>
      <c r="B694" s="17" t="n">
        <v>-0.005821205821205822</v>
      </c>
      <c r="C694" s="11" t="inlineStr">
        <is>
          <t>2024-07-16</t>
        </is>
      </c>
      <c r="D694" s="11" t="inlineStr">
        <is>
          <t>2025-07-29</t>
        </is>
      </c>
      <c r="E694" s="11" t="n">
        <v>250</v>
      </c>
      <c r="F694" s="11" t="n">
        <v>48</v>
      </c>
      <c r="G694" s="11" t="n">
        <v>0</v>
      </c>
      <c r="H694" s="15">
        <f>IF(F694&gt;=E694,(E694-0.5)/E694,IF(G694&gt;0,(F694+0.5*G694)/E694,F694/E694))</f>
        <v/>
      </c>
      <c r="I694" s="11" t="inlineStr">
        <is>
          <t>中间分位</t>
        </is>
      </c>
      <c r="J694" s="11" t="inlineStr"/>
    </row>
    <row r="695">
      <c r="A695" s="6" t="inlineStr">
        <is>
          <t>2025-07-31</t>
        </is>
      </c>
      <c r="B695" s="16" t="n">
        <v>0.004828958856608474</v>
      </c>
      <c r="C695" s="6" t="inlineStr">
        <is>
          <t>2024-07-17</t>
        </is>
      </c>
      <c r="D695" s="6" t="inlineStr">
        <is>
          <t>2025-07-30</t>
        </is>
      </c>
      <c r="E695" s="6" t="n">
        <v>250</v>
      </c>
      <c r="F695" s="6" t="n">
        <v>80</v>
      </c>
      <c r="G695" s="6" t="n">
        <v>0</v>
      </c>
      <c r="H695" s="10">
        <f>IF(F695&gt;=E695,(E695-0.5)/E695,IF(G695&gt;0,(F695+0.5*G695)/E695,F695/E695))</f>
        <v/>
      </c>
      <c r="I695" s="6" t="inlineStr">
        <is>
          <t>中间分位</t>
        </is>
      </c>
      <c r="J695" s="6" t="inlineStr"/>
    </row>
    <row r="696">
      <c r="A696" s="11" t="inlineStr">
        <is>
          <t>2025-08-01</t>
        </is>
      </c>
      <c r="B696" s="17" t="n">
        <v>0.0001378832003944295</v>
      </c>
      <c r="C696" s="11" t="inlineStr">
        <is>
          <t>2024-07-18</t>
        </is>
      </c>
      <c r="D696" s="11" t="inlineStr">
        <is>
          <t>2025-07-31</t>
        </is>
      </c>
      <c r="E696" s="11" t="n">
        <v>250</v>
      </c>
      <c r="F696" s="11" t="n">
        <v>70</v>
      </c>
      <c r="G696" s="11" t="n">
        <v>0</v>
      </c>
      <c r="H696" s="15">
        <f>IF(F696&gt;=E696,(E696-0.5)/E696,IF(G696&gt;0,(F696+0.5*G696)/E696,F696/E696))</f>
        <v/>
      </c>
      <c r="I696" s="11" t="inlineStr">
        <is>
          <t>中间分位</t>
        </is>
      </c>
      <c r="J696" s="11" t="inlineStr"/>
    </row>
    <row r="697">
      <c r="A697" s="6" t="inlineStr">
        <is>
          <t>2025-08-04</t>
        </is>
      </c>
      <c r="B697" s="16" t="n">
        <v>-0.0003474009802567419</v>
      </c>
      <c r="C697" s="6" t="inlineStr">
        <is>
          <t>2024-07-19</t>
        </is>
      </c>
      <c r="D697" s="6" t="inlineStr">
        <is>
          <t>2025-08-01</t>
        </is>
      </c>
      <c r="E697" s="6" t="n">
        <v>250</v>
      </c>
      <c r="F697" s="6" t="n">
        <v>70</v>
      </c>
      <c r="G697" s="6" t="n">
        <v>0</v>
      </c>
      <c r="H697" s="10">
        <f>IF(F697&gt;=E697,(E697-0.5)/E697,IF(G697&gt;0,(F697+0.5*G697)/E697,F697/E697))</f>
        <v/>
      </c>
      <c r="I697" s="6" t="inlineStr">
        <is>
          <t>中间分位</t>
        </is>
      </c>
      <c r="J697" s="6" t="inlineStr"/>
    </row>
    <row r="698">
      <c r="A698" s="11" t="inlineStr">
        <is>
          <t>2025-08-05</t>
        </is>
      </c>
      <c r="B698" s="17" t="n">
        <v>-0.008910570200729851</v>
      </c>
      <c r="C698" s="11" t="inlineStr">
        <is>
          <t>2024-07-22</t>
        </is>
      </c>
      <c r="D698" s="11" t="inlineStr">
        <is>
          <t>2025-08-04</t>
        </is>
      </c>
      <c r="E698" s="11" t="n">
        <v>250</v>
      </c>
      <c r="F698" s="11" t="n">
        <v>38</v>
      </c>
      <c r="G698" s="11" t="n">
        <v>0</v>
      </c>
      <c r="H698" s="15">
        <f>IF(F698&gt;=E698,(E698-0.5)/E698,IF(G698&gt;0,(F698+0.5*G698)/E698,F698/E698))</f>
        <v/>
      </c>
      <c r="I698" s="11" t="inlineStr">
        <is>
          <t>中间分位</t>
        </is>
      </c>
      <c r="J698" s="11" t="inlineStr"/>
    </row>
    <row r="699">
      <c r="A699" s="6" t="inlineStr">
        <is>
          <t>2025-08-06</t>
        </is>
      </c>
      <c r="B699" s="16" t="n">
        <v>-0.006722689075630253</v>
      </c>
      <c r="C699" s="6" t="inlineStr">
        <is>
          <t>2024-07-23</t>
        </is>
      </c>
      <c r="D699" s="6" t="inlineStr">
        <is>
          <t>2025-08-05</t>
        </is>
      </c>
      <c r="E699" s="6" t="n">
        <v>250</v>
      </c>
      <c r="F699" s="6" t="n">
        <v>44</v>
      </c>
      <c r="G699" s="6" t="n">
        <v>1</v>
      </c>
      <c r="H699" s="10">
        <f>IF(F699&gt;=E699,(E699-0.5)/E699,IF(G699&gt;0,(F699+0.5*G699)/E699,F699/E699))</f>
        <v/>
      </c>
      <c r="I699" s="6" t="inlineStr">
        <is>
          <t>中间分位</t>
        </is>
      </c>
      <c r="J699" s="6" t="inlineStr"/>
    </row>
    <row r="700">
      <c r="A700" s="11" t="inlineStr">
        <is>
          <t>2025-08-07</t>
        </is>
      </c>
      <c r="B700" s="17" t="n">
        <v>-0.001959443299920699</v>
      </c>
      <c r="C700" s="11" t="inlineStr">
        <is>
          <t>2024-07-24</t>
        </is>
      </c>
      <c r="D700" s="11" t="inlineStr">
        <is>
          <t>2025-08-06</t>
        </is>
      </c>
      <c r="E700" s="11" t="n">
        <v>250</v>
      </c>
      <c r="F700" s="11" t="n">
        <v>62</v>
      </c>
      <c r="G700" s="11" t="n">
        <v>0</v>
      </c>
      <c r="H700" s="15">
        <f>IF(F700&gt;=E700,(E700-0.5)/E700,IF(G700&gt;0,(F700+0.5*G700)/E700,F700/E700))</f>
        <v/>
      </c>
      <c r="I700" s="11" t="inlineStr">
        <is>
          <t>中间分位</t>
        </is>
      </c>
      <c r="J700" s="11" t="inlineStr"/>
    </row>
    <row r="701">
      <c r="A701" s="6" t="inlineStr">
        <is>
          <t>2025-08-08</t>
        </is>
      </c>
      <c r="B701" s="16" t="n">
        <v>-0.0009114468483680062</v>
      </c>
      <c r="C701" s="6" t="inlineStr">
        <is>
          <t>2024-07-25</t>
        </is>
      </c>
      <c r="D701" s="6" t="inlineStr">
        <is>
          <t>2025-08-07</t>
        </is>
      </c>
      <c r="E701" s="6" t="n">
        <v>250</v>
      </c>
      <c r="F701" s="6" t="n">
        <v>68</v>
      </c>
      <c r="G701" s="6" t="n">
        <v>0</v>
      </c>
      <c r="H701" s="10">
        <f>IF(F701&gt;=E701,(E701-0.5)/E701,IF(G701&gt;0,(F701+0.5*G701)/E701,F701/E701))</f>
        <v/>
      </c>
      <c r="I701" s="6" t="inlineStr">
        <is>
          <t>中间分位</t>
        </is>
      </c>
      <c r="J701" s="6" t="inlineStr"/>
    </row>
    <row r="702">
      <c r="A702" s="11" t="inlineStr">
        <is>
          <t>2025-08-11</t>
        </is>
      </c>
      <c r="B702" s="17" t="n">
        <v>-0.04485079866965476</v>
      </c>
      <c r="C702" s="11" t="inlineStr">
        <is>
          <t>2024-07-26</t>
        </is>
      </c>
      <c r="D702" s="11" t="inlineStr">
        <is>
          <t>2025-08-08</t>
        </is>
      </c>
      <c r="E702" s="11" t="n">
        <v>250</v>
      </c>
      <c r="F702" s="11" t="n">
        <v>0</v>
      </c>
      <c r="G702" s="11" t="n">
        <v>0</v>
      </c>
      <c r="H702" s="15">
        <f>IF(F702&gt;=E702,(E702-0.5)/E702,IF(G702&gt;0,(F702+0.5*G702)/E702,F702/E702))</f>
        <v/>
      </c>
      <c r="I702" s="11" t="inlineStr">
        <is>
          <t>低分位</t>
        </is>
      </c>
      <c r="J702" s="11" t="inlineStr"/>
    </row>
    <row r="703">
      <c r="A703" s="6" t="inlineStr">
        <is>
          <t>2025-08-12</t>
        </is>
      </c>
      <c r="B703" s="16" t="n">
        <v>-0.04763903462749213</v>
      </c>
      <c r="C703" s="6" t="inlineStr">
        <is>
          <t>2024-07-29</t>
        </is>
      </c>
      <c r="D703" s="6" t="inlineStr">
        <is>
          <t>2025-08-11</t>
        </is>
      </c>
      <c r="E703" s="6" t="n">
        <v>250</v>
      </c>
      <c r="F703" s="6" t="n">
        <v>0</v>
      </c>
      <c r="G703" s="6" t="n">
        <v>0</v>
      </c>
      <c r="H703" s="10">
        <f>IF(F703&gt;=E703,(E703-0.5)/E703,IF(G703&gt;0,(F703+0.5*G703)/E703,F703/E703))</f>
        <v/>
      </c>
      <c r="I703" s="6" t="inlineStr">
        <is>
          <t>低分位</t>
        </is>
      </c>
      <c r="J703" s="6" t="inlineStr"/>
    </row>
    <row r="704">
      <c r="A704" s="11" t="inlineStr">
        <is>
          <t>2025-08-13</t>
        </is>
      </c>
      <c r="B704" s="17" t="n">
        <v>-0.03977484827004785</v>
      </c>
      <c r="C704" s="11" t="inlineStr">
        <is>
          <t>2024-07-30</t>
        </is>
      </c>
      <c r="D704" s="11" t="inlineStr">
        <is>
          <t>2025-08-12</t>
        </is>
      </c>
      <c r="E704" s="11" t="n">
        <v>250</v>
      </c>
      <c r="F704" s="11" t="n">
        <v>2</v>
      </c>
      <c r="G704" s="11" t="n">
        <v>0</v>
      </c>
      <c r="H704" s="15">
        <f>IF(F704&gt;=E704,(E704-0.5)/E704,IF(G704&gt;0,(F704+0.5*G704)/E704,F704/E704))</f>
        <v/>
      </c>
      <c r="I704" s="11" t="inlineStr">
        <is>
          <t>低分位</t>
        </is>
      </c>
      <c r="J704" s="11" t="inlineStr"/>
    </row>
    <row r="705">
      <c r="A705" s="6" t="inlineStr">
        <is>
          <t>2025-08-14</t>
        </is>
      </c>
      <c r="B705" s="16" t="n">
        <v>-0.02598458705700429</v>
      </c>
      <c r="C705" s="6" t="inlineStr">
        <is>
          <t>2024-07-31</t>
        </is>
      </c>
      <c r="D705" s="6" t="inlineStr">
        <is>
          <t>2025-08-13</t>
        </is>
      </c>
      <c r="E705" s="6" t="n">
        <v>250</v>
      </c>
      <c r="F705" s="6" t="n">
        <v>8</v>
      </c>
      <c r="G705" s="6" t="n">
        <v>0</v>
      </c>
      <c r="H705" s="10">
        <f>IF(F705&gt;=E705,(E705-0.5)/E705,IF(G705&gt;0,(F705+0.5*G705)/E705,F705/E705))</f>
        <v/>
      </c>
      <c r="I705" s="6" t="inlineStr">
        <is>
          <t>低分位</t>
        </is>
      </c>
      <c r="J705" s="6" t="inlineStr"/>
    </row>
    <row r="706">
      <c r="A706" s="11" t="inlineStr">
        <is>
          <t>2025-08-15</t>
        </is>
      </c>
      <c r="B706" s="17" t="n">
        <v>-0.02783944909169163</v>
      </c>
      <c r="C706" s="11" t="inlineStr">
        <is>
          <t>2024-08-01</t>
        </is>
      </c>
      <c r="D706" s="11" t="inlineStr">
        <is>
          <t>2025-08-14</t>
        </is>
      </c>
      <c r="E706" s="11" t="n">
        <v>250</v>
      </c>
      <c r="F706" s="11" t="n">
        <v>5</v>
      </c>
      <c r="G706" s="11" t="n">
        <v>0</v>
      </c>
      <c r="H706" s="15">
        <f>IF(F706&gt;=E706,(E706-0.5)/E706,IF(G706&gt;0,(F706+0.5*G706)/E706,F706/E706))</f>
        <v/>
      </c>
      <c r="I706" s="11" t="inlineStr">
        <is>
          <t>低分位</t>
        </is>
      </c>
      <c r="J706" s="11" t="inlineStr"/>
    </row>
    <row r="707">
      <c r="A707" s="6" t="inlineStr">
        <is>
          <t>2025-08-18</t>
        </is>
      </c>
      <c r="B707" s="16" t="n">
        <v>-0.02466290044604483</v>
      </c>
      <c r="C707" s="6" t="inlineStr">
        <is>
          <t>2024-08-02</t>
        </is>
      </c>
      <c r="D707" s="6" t="inlineStr">
        <is>
          <t>2025-08-15</t>
        </is>
      </c>
      <c r="E707" s="6" t="n">
        <v>250</v>
      </c>
      <c r="F707" s="6" t="n">
        <v>11</v>
      </c>
      <c r="G707" s="6" t="n">
        <v>0</v>
      </c>
      <c r="H707" s="10">
        <f>IF(F707&gt;=E707,(E707-0.5)/E707,IF(G707&gt;0,(F707+0.5*G707)/E707,F707/E707))</f>
        <v/>
      </c>
      <c r="I707" s="6" t="inlineStr">
        <is>
          <t>低分位</t>
        </is>
      </c>
      <c r="J707" s="6" t="inlineStr"/>
    </row>
    <row r="708">
      <c r="A708" s="11" t="inlineStr">
        <is>
          <t>2025-08-19</t>
        </is>
      </c>
      <c r="B708" s="17" t="n">
        <v>-0.03119460725329607</v>
      </c>
      <c r="C708" s="11" t="inlineStr">
        <is>
          <t>2024-08-05</t>
        </is>
      </c>
      <c r="D708" s="11" t="inlineStr">
        <is>
          <t>2025-08-18</t>
        </is>
      </c>
      <c r="E708" s="11" t="n">
        <v>250</v>
      </c>
      <c r="F708" s="11" t="n">
        <v>5</v>
      </c>
      <c r="G708" s="11" t="n">
        <v>0</v>
      </c>
      <c r="H708" s="15">
        <f>IF(F708&gt;=E708,(E708-0.5)/E708,IF(G708&gt;0,(F708+0.5*G708)/E708,F708/E708))</f>
        <v/>
      </c>
      <c r="I708" s="11" t="inlineStr">
        <is>
          <t>低分位</t>
        </is>
      </c>
      <c r="J708" s="11" t="inlineStr"/>
    </row>
    <row r="709">
      <c r="A709" s="6" t="inlineStr">
        <is>
          <t>2025-08-20</t>
        </is>
      </c>
      <c r="B709" s="16" t="n">
        <v>-0.05314836618629082</v>
      </c>
      <c r="C709" s="6" t="inlineStr">
        <is>
          <t>2024-08-06</t>
        </is>
      </c>
      <c r="D709" s="6" t="inlineStr">
        <is>
          <t>2025-08-19</t>
        </is>
      </c>
      <c r="E709" s="6" t="n">
        <v>250</v>
      </c>
      <c r="F709" s="6" t="n">
        <v>0</v>
      </c>
      <c r="G709" s="6" t="n">
        <v>0</v>
      </c>
      <c r="H709" s="10">
        <f>IF(F709&gt;=E709,(E709-0.5)/E709,IF(G709&gt;0,(F709+0.5*G709)/E709,F709/E709))</f>
        <v/>
      </c>
      <c r="I709" s="6" t="inlineStr">
        <is>
          <t>低分位</t>
        </is>
      </c>
      <c r="J709" s="6" t="inlineStr"/>
    </row>
    <row r="710">
      <c r="A710" s="11" t="inlineStr">
        <is>
          <t>2025-08-21</t>
        </is>
      </c>
      <c r="B710" s="17" t="n">
        <v>-0.04978354978354978</v>
      </c>
      <c r="C710" s="11" t="inlineStr">
        <is>
          <t>2024-08-07</t>
        </is>
      </c>
      <c r="D710" s="11" t="inlineStr">
        <is>
          <t>2025-08-20</t>
        </is>
      </c>
      <c r="E710" s="11" t="n">
        <v>250</v>
      </c>
      <c r="F710" s="11" t="n">
        <v>1</v>
      </c>
      <c r="G710" s="11" t="n">
        <v>0</v>
      </c>
      <c r="H710" s="15">
        <f>IF(F710&gt;=E710,(E710-0.5)/E710,IF(G710&gt;0,(F710+0.5*G710)/E710,F710/E710))</f>
        <v/>
      </c>
      <c r="I710" s="11" t="inlineStr">
        <is>
          <t>低分位</t>
        </is>
      </c>
      <c r="J710" s="11" t="inlineStr"/>
    </row>
    <row r="711">
      <c r="A711" s="6" t="inlineStr">
        <is>
          <t>2025-08-22</t>
        </is>
      </c>
      <c r="B711" s="16" t="n">
        <v>-0.041653131672752</v>
      </c>
      <c r="C711" s="6" t="inlineStr">
        <is>
          <t>2024-08-08</t>
        </is>
      </c>
      <c r="D711" s="6" t="inlineStr">
        <is>
          <t>2025-08-21</t>
        </is>
      </c>
      <c r="E711" s="6" t="n">
        <v>250</v>
      </c>
      <c r="F711" s="6" t="n">
        <v>4</v>
      </c>
      <c r="G711" s="6" t="n">
        <v>0</v>
      </c>
      <c r="H711" s="10">
        <f>IF(F711&gt;=E711,(E711-0.5)/E711,IF(G711&gt;0,(F711+0.5*G711)/E711,F711/E711))</f>
        <v/>
      </c>
      <c r="I711" s="6" t="inlineStr">
        <is>
          <t>低分位</t>
        </is>
      </c>
      <c r="J711" s="6" t="inlineStr"/>
    </row>
    <row r="712">
      <c r="A712" s="11" t="inlineStr">
        <is>
          <t>2025-08-25</t>
        </is>
      </c>
      <c r="B712" s="17" t="n">
        <v>-0.05162689804772234</v>
      </c>
      <c r="C712" s="11" t="inlineStr">
        <is>
          <t>2024-08-09</t>
        </is>
      </c>
      <c r="D712" s="11" t="inlineStr">
        <is>
          <t>2025-08-22</t>
        </is>
      </c>
      <c r="E712" s="11" t="n">
        <v>250</v>
      </c>
      <c r="F712" s="11" t="n">
        <v>1</v>
      </c>
      <c r="G712" s="11" t="n">
        <v>0</v>
      </c>
      <c r="H712" s="15">
        <f>IF(F712&gt;=E712,(E712-0.5)/E712,IF(G712&gt;0,(F712+0.5*G712)/E712,F712/E712))</f>
        <v/>
      </c>
      <c r="I712" s="11" t="inlineStr">
        <is>
          <t>低分位</t>
        </is>
      </c>
      <c r="J712" s="11" t="inlineStr"/>
    </row>
    <row r="713">
      <c r="A713" s="6" t="inlineStr">
        <is>
          <t>2025-08-26</t>
        </is>
      </c>
      <c r="B713" s="16" t="n">
        <v>-0.03829329726402129</v>
      </c>
      <c r="C713" s="6" t="inlineStr">
        <is>
          <t>2024-08-12</t>
        </is>
      </c>
      <c r="D713" s="6" t="inlineStr">
        <is>
          <t>2025-08-25</t>
        </is>
      </c>
      <c r="E713" s="6" t="n">
        <v>250</v>
      </c>
      <c r="F713" s="6" t="n">
        <v>7</v>
      </c>
      <c r="G713" s="6" t="n">
        <v>0</v>
      </c>
      <c r="H713" s="10">
        <f>IF(F713&gt;=E713,(E713-0.5)/E713,IF(G713&gt;0,(F713+0.5*G713)/E713,F713/E713))</f>
        <v/>
      </c>
      <c r="I713" s="6" t="inlineStr">
        <is>
          <t>低分位</t>
        </is>
      </c>
      <c r="J713" s="6" t="inlineStr"/>
    </row>
    <row r="714">
      <c r="A714" s="11" t="inlineStr">
        <is>
          <t>2025-08-27</t>
        </is>
      </c>
      <c r="B714" s="17" t="n">
        <v>-0.03279966211950346</v>
      </c>
      <c r="C714" s="11" t="inlineStr">
        <is>
          <t>2024-08-13</t>
        </is>
      </c>
      <c r="D714" s="11" t="inlineStr">
        <is>
          <t>2025-08-26</t>
        </is>
      </c>
      <c r="E714" s="11" t="n">
        <v>250</v>
      </c>
      <c r="F714" s="11" t="n">
        <v>8</v>
      </c>
      <c r="G714" s="11" t="n">
        <v>0</v>
      </c>
      <c r="H714" s="15">
        <f>IF(F714&gt;=E714,(E714-0.5)/E714,IF(G714&gt;0,(F714+0.5*G714)/E714,F714/E714))</f>
        <v/>
      </c>
      <c r="I714" s="11" t="inlineStr">
        <is>
          <t>低分位</t>
        </is>
      </c>
      <c r="J714" s="11" t="inlineStr"/>
    </row>
    <row r="715">
      <c r="A715" s="6" t="inlineStr">
        <is>
          <t>2025-08-28</t>
        </is>
      </c>
      <c r="B715" s="16" t="n">
        <v>-0.05388445020806779</v>
      </c>
      <c r="C715" s="6" t="inlineStr">
        <is>
          <t>2024-08-14</t>
        </is>
      </c>
      <c r="D715" s="6" t="inlineStr">
        <is>
          <t>2025-08-27</t>
        </is>
      </c>
      <c r="E715" s="6" t="n">
        <v>250</v>
      </c>
      <c r="F715" s="6" t="n">
        <v>0</v>
      </c>
      <c r="G715" s="6" t="n">
        <v>0</v>
      </c>
      <c r="H715" s="10">
        <f>IF(F715&gt;=E715,(E715-0.5)/E715,IF(G715&gt;0,(F715+0.5*G715)/E715,F715/E715))</f>
        <v/>
      </c>
      <c r="I715" s="6" t="inlineStr">
        <is>
          <t>低分位</t>
        </is>
      </c>
      <c r="J715" s="6" t="inlineStr"/>
    </row>
    <row r="716">
      <c r="A716" s="11" t="inlineStr">
        <is>
          <t>2025-08-29</t>
        </is>
      </c>
      <c r="B716" s="17" t="n">
        <v>-0.05128170876691469</v>
      </c>
      <c r="C716" s="11" t="inlineStr">
        <is>
          <t>2024-08-15</t>
        </is>
      </c>
      <c r="D716" s="11" t="inlineStr">
        <is>
          <t>2025-08-28</t>
        </is>
      </c>
      <c r="E716" s="11" t="n">
        <v>250</v>
      </c>
      <c r="F716" s="11" t="n">
        <v>3</v>
      </c>
      <c r="G716" s="11" t="n">
        <v>0</v>
      </c>
      <c r="H716" s="15">
        <f>IF(F716&gt;=E716,(E716-0.5)/E716,IF(G716&gt;0,(F716+0.5*G716)/E716,F716/E716))</f>
        <v/>
      </c>
      <c r="I716" s="11" t="inlineStr">
        <is>
          <t>低分位</t>
        </is>
      </c>
      <c r="J716" s="11" t="inlineStr"/>
    </row>
    <row r="717">
      <c r="A717" s="6" t="inlineStr">
        <is>
          <t>2025-09-01</t>
        </is>
      </c>
      <c r="B717" s="16" t="n">
        <v>-0.06791204165976367</v>
      </c>
      <c r="C717" s="6" t="inlineStr">
        <is>
          <t>2024-08-16</t>
        </is>
      </c>
      <c r="D717" s="6" t="inlineStr">
        <is>
          <t>2025-08-29</t>
        </is>
      </c>
      <c r="E717" s="6" t="n">
        <v>250</v>
      </c>
      <c r="F717" s="6" t="n">
        <v>0</v>
      </c>
      <c r="G717" s="6" t="n">
        <v>0</v>
      </c>
      <c r="H717" s="10">
        <f>IF(F717&gt;=E717,(E717-0.5)/E717,IF(G717&gt;0,(F717+0.5*G717)/E717,F717/E717))</f>
        <v/>
      </c>
      <c r="I717" s="6" t="inlineStr">
        <is>
          <t>低分位</t>
        </is>
      </c>
      <c r="J717" s="6" t="inlineStr"/>
    </row>
    <row r="718">
      <c r="A718" s="11" t="inlineStr">
        <is>
          <t>2025-09-02</t>
        </is>
      </c>
      <c r="B718" s="17" t="n">
        <v>-0.05266427908917026</v>
      </c>
      <c r="C718" s="11" t="inlineStr">
        <is>
          <t>2024-08-19</t>
        </is>
      </c>
      <c r="D718" s="11" t="inlineStr">
        <is>
          <t>2025-09-01</t>
        </is>
      </c>
      <c r="E718" s="11" t="n">
        <v>250</v>
      </c>
      <c r="F718" s="11" t="n">
        <v>3</v>
      </c>
      <c r="G718" s="11" t="n">
        <v>0</v>
      </c>
      <c r="H718" s="15">
        <f>IF(F718&gt;=E718,(E718-0.5)/E718,IF(G718&gt;0,(F718+0.5*G718)/E718,F718/E718))</f>
        <v/>
      </c>
      <c r="I718" s="11" t="inlineStr">
        <is>
          <t>低分位</t>
        </is>
      </c>
      <c r="J718" s="11" t="inlineStr"/>
    </row>
    <row r="719">
      <c r="A719" s="6" t="inlineStr">
        <is>
          <t>2025-09-03</t>
        </is>
      </c>
      <c r="B719" s="16" t="n">
        <v>-0.06378702822920994</v>
      </c>
      <c r="C719" s="6" t="inlineStr">
        <is>
          <t>2024-08-20</t>
        </is>
      </c>
      <c r="D719" s="6" t="inlineStr">
        <is>
          <t>2025-09-02</t>
        </is>
      </c>
      <c r="E719" s="6" t="n">
        <v>250</v>
      </c>
      <c r="F719" s="6" t="n">
        <v>1</v>
      </c>
      <c r="G719" s="6" t="n">
        <v>0</v>
      </c>
      <c r="H719" s="10">
        <f>IF(F719&gt;=E719,(E719-0.5)/E719,IF(G719&gt;0,(F719+0.5*G719)/E719,F719/E719))</f>
        <v/>
      </c>
      <c r="I719" s="6" t="inlineStr">
        <is>
          <t>低分位</t>
        </is>
      </c>
      <c r="J719" s="6" t="inlineStr"/>
    </row>
    <row r="720">
      <c r="A720" s="11" t="inlineStr">
        <is>
          <t>2025-09-04</t>
        </is>
      </c>
      <c r="B720" s="17" t="n">
        <v>-0.06003129276566532</v>
      </c>
      <c r="C720" s="11" t="inlineStr">
        <is>
          <t>2024-08-21</t>
        </is>
      </c>
      <c r="D720" s="11" t="inlineStr">
        <is>
          <t>2025-09-03</t>
        </is>
      </c>
      <c r="E720" s="11" t="n">
        <v>250</v>
      </c>
      <c r="F720" s="11" t="n">
        <v>2</v>
      </c>
      <c r="G720" s="11" t="n">
        <v>0</v>
      </c>
      <c r="H720" s="15">
        <f>IF(F720&gt;=E720,(E720-0.5)/E720,IF(G720&gt;0,(F720+0.5*G720)/E720,F720/E720))</f>
        <v/>
      </c>
      <c r="I720" s="11" t="inlineStr">
        <is>
          <t>低分位</t>
        </is>
      </c>
      <c r="J720" s="11" t="inlineStr"/>
    </row>
    <row r="721">
      <c r="A721" s="6" t="inlineStr">
        <is>
          <t>2025-09-05</t>
        </is>
      </c>
      <c r="B721" s="16" t="n">
        <v>-0.07532627135624691</v>
      </c>
      <c r="C721" s="6" t="inlineStr">
        <is>
          <t>2024-08-22</t>
        </is>
      </c>
      <c r="D721" s="6" t="inlineStr">
        <is>
          <t>2025-09-04</t>
        </is>
      </c>
      <c r="E721" s="6" t="n">
        <v>250</v>
      </c>
      <c r="F721" s="6" t="n">
        <v>0</v>
      </c>
      <c r="G721" s="6" t="n">
        <v>0</v>
      </c>
      <c r="H721" s="10">
        <f>IF(F721&gt;=E721,(E721-0.5)/E721,IF(G721&gt;0,(F721+0.5*G721)/E721,F721/E721))</f>
        <v/>
      </c>
      <c r="I721" s="6" t="inlineStr">
        <is>
          <t>低分位</t>
        </is>
      </c>
      <c r="J721" s="6" t="inlineStr"/>
    </row>
    <row r="722">
      <c r="A722" s="11" t="inlineStr">
        <is>
          <t>2025-09-08</t>
        </is>
      </c>
      <c r="B722" s="17" t="n">
        <v>-0.06001311810254131</v>
      </c>
      <c r="C722" s="11" t="inlineStr">
        <is>
          <t>2024-08-23</t>
        </is>
      </c>
      <c r="D722" s="11" t="inlineStr">
        <is>
          <t>2025-09-05</t>
        </is>
      </c>
      <c r="E722" s="11" t="n">
        <v>250</v>
      </c>
      <c r="F722" s="11" t="n">
        <v>4</v>
      </c>
      <c r="G722" s="11" t="n">
        <v>0</v>
      </c>
      <c r="H722" s="15">
        <f>IF(F722&gt;=E722,(E722-0.5)/E722,IF(G722&gt;0,(F722+0.5*G722)/E722,F722/E722))</f>
        <v/>
      </c>
      <c r="I722" s="11" t="inlineStr">
        <is>
          <t>低分位</t>
        </is>
      </c>
      <c r="J722" s="11" t="inlineStr"/>
    </row>
    <row r="723">
      <c r="A723" s="6" t="inlineStr">
        <is>
          <t>2025-09-09</t>
        </is>
      </c>
      <c r="B723" s="16" t="n">
        <v>-0.05561107026988955</v>
      </c>
      <c r="C723" s="6" t="inlineStr">
        <is>
          <t>2024-08-26</t>
        </is>
      </c>
      <c r="D723" s="6" t="inlineStr">
        <is>
          <t>2025-09-08</t>
        </is>
      </c>
      <c r="E723" s="6" t="n">
        <v>250</v>
      </c>
      <c r="F723" s="6" t="n">
        <v>5</v>
      </c>
      <c r="G723" s="6" t="n">
        <v>0</v>
      </c>
      <c r="H723" s="10">
        <f>IF(F723&gt;=E723,(E723-0.5)/E723,IF(G723&gt;0,(F723+0.5*G723)/E723,F723/E723))</f>
        <v/>
      </c>
      <c r="I723" s="6" t="inlineStr">
        <is>
          <t>低分位</t>
        </is>
      </c>
      <c r="J723" s="6" t="inlineStr"/>
    </row>
    <row r="724">
      <c r="A724" s="11" t="inlineStr">
        <is>
          <t>2025-09-10</t>
        </is>
      </c>
      <c r="B724" s="17" t="n">
        <v>-0.05670748036508431</v>
      </c>
      <c r="C724" s="11" t="inlineStr">
        <is>
          <t>2024-08-27</t>
        </is>
      </c>
      <c r="D724" s="11" t="inlineStr">
        <is>
          <t>2025-09-09</t>
        </is>
      </c>
      <c r="E724" s="11" t="n">
        <v>250</v>
      </c>
      <c r="F724" s="11" t="n">
        <v>5</v>
      </c>
      <c r="G724" s="11" t="n">
        <v>0</v>
      </c>
      <c r="H724" s="15">
        <f>IF(F724&gt;=E724,(E724-0.5)/E724,IF(G724&gt;0,(F724+0.5*G724)/E724,F724/E724))</f>
        <v/>
      </c>
      <c r="I724" s="11" t="inlineStr">
        <is>
          <t>低分位</t>
        </is>
      </c>
      <c r="J724" s="11" t="inlineStr"/>
    </row>
    <row r="725">
      <c r="A725" s="6" t="inlineStr">
        <is>
          <t>2025-09-11</t>
        </is>
      </c>
      <c r="B725" s="16" t="n">
        <v>-0.03933085728467738</v>
      </c>
      <c r="C725" s="6" t="inlineStr">
        <is>
          <t>2024-08-28</t>
        </is>
      </c>
      <c r="D725" s="6" t="inlineStr">
        <is>
          <t>2025-09-10</t>
        </is>
      </c>
      <c r="E725" s="6" t="n">
        <v>250</v>
      </c>
      <c r="F725" s="6" t="n">
        <v>17</v>
      </c>
      <c r="G725" s="6" t="n">
        <v>0</v>
      </c>
      <c r="H725" s="10">
        <f>IF(F725&gt;=E725,(E725-0.5)/E725,IF(G725&gt;0,(F725+0.5*G725)/E725,F725/E725))</f>
        <v/>
      </c>
      <c r="I725" s="6" t="inlineStr">
        <is>
          <t>低分位</t>
        </is>
      </c>
      <c r="J725" s="6" t="inlineStr"/>
    </row>
    <row r="726">
      <c r="A726" s="11" t="inlineStr">
        <is>
          <t>2025-09-12</t>
        </is>
      </c>
      <c r="B726" s="17" t="n">
        <v>-0.0388646288209607</v>
      </c>
      <c r="C726" s="11" t="inlineStr">
        <is>
          <t>2024-08-29</t>
        </is>
      </c>
      <c r="D726" s="11" t="inlineStr">
        <is>
          <t>2025-09-11</t>
        </is>
      </c>
      <c r="E726" s="11" t="n">
        <v>250</v>
      </c>
      <c r="F726" s="11" t="n">
        <v>18</v>
      </c>
      <c r="G726" s="11" t="n">
        <v>0</v>
      </c>
      <c r="H726" s="15">
        <f>IF(F726&gt;=E726,(E726-0.5)/E726,IF(G726&gt;0,(F726+0.5*G726)/E726,F726/E726))</f>
        <v/>
      </c>
      <c r="I726" s="11" t="inlineStr">
        <is>
          <t>低分位</t>
        </is>
      </c>
      <c r="J726" s="11" t="inlineStr"/>
    </row>
    <row r="727">
      <c r="A727" s="6" t="inlineStr">
        <is>
          <t>2025-09-15</t>
        </is>
      </c>
      <c r="B727" s="16" t="n">
        <v>-0.04705178011912618</v>
      </c>
      <c r="C727" s="6" t="inlineStr">
        <is>
          <t>2024-08-30</t>
        </is>
      </c>
      <c r="D727" s="6" t="inlineStr">
        <is>
          <t>2025-09-12</t>
        </is>
      </c>
      <c r="E727" s="6" t="n">
        <v>250</v>
      </c>
      <c r="F727" s="6" t="n">
        <v>14</v>
      </c>
      <c r="G727" s="6" t="n">
        <v>0</v>
      </c>
      <c r="H727" s="10">
        <f>IF(F727&gt;=E727,(E727-0.5)/E727,IF(G727&gt;0,(F727+0.5*G727)/E727,F727/E727))</f>
        <v/>
      </c>
      <c r="I727" s="6" t="inlineStr">
        <is>
          <t>低分位</t>
        </is>
      </c>
      <c r="J727" s="6" t="inlineStr"/>
    </row>
    <row r="728">
      <c r="A728" s="11" t="inlineStr">
        <is>
          <t>2025-09-16</t>
        </is>
      </c>
      <c r="B728" s="17" t="n">
        <v>-0.03485838779956427</v>
      </c>
      <c r="C728" s="11" t="inlineStr">
        <is>
          <t>2024-09-02</t>
        </is>
      </c>
      <c r="D728" s="11" t="inlineStr">
        <is>
          <t>2025-09-15</t>
        </is>
      </c>
      <c r="E728" s="11" t="n">
        <v>250</v>
      </c>
      <c r="F728" s="11" t="n">
        <v>21</v>
      </c>
      <c r="G728" s="11" t="n">
        <v>0</v>
      </c>
      <c r="H728" s="15">
        <f>IF(F728&gt;=E728,(E728-0.5)/E728,IF(G728&gt;0,(F728+0.5*G728)/E728,F728/E728))</f>
        <v/>
      </c>
      <c r="I728" s="11" t="inlineStr">
        <is>
          <t>低分位</t>
        </is>
      </c>
      <c r="J728" s="11" t="inlineStr"/>
    </row>
    <row r="729">
      <c r="A729" s="6" t="inlineStr">
        <is>
          <t>2025-09-17</t>
        </is>
      </c>
      <c r="B729" s="16" t="n">
        <v>-0.03906554072078612</v>
      </c>
      <c r="C729" s="6" t="inlineStr">
        <is>
          <t>2024-09-03</t>
        </is>
      </c>
      <c r="D729" s="6" t="inlineStr">
        <is>
          <t>2025-09-16</t>
        </is>
      </c>
      <c r="E729" s="6" t="n">
        <v>250</v>
      </c>
      <c r="F729" s="6" t="n">
        <v>19</v>
      </c>
      <c r="G729" s="6" t="n">
        <v>0</v>
      </c>
      <c r="H729" s="10">
        <f>IF(F729&gt;=E729,(E729-0.5)/E729,IF(G729&gt;0,(F729+0.5*G729)/E729,F729/E729))</f>
        <v/>
      </c>
      <c r="I729" s="6" t="inlineStr">
        <is>
          <t>低分位</t>
        </is>
      </c>
      <c r="J729" s="6" t="inlineStr"/>
    </row>
    <row r="730">
      <c r="A730" s="11" t="inlineStr">
        <is>
          <t>2025-09-18</t>
        </is>
      </c>
      <c r="B730" s="17" t="n">
        <v>-0.02782037239868565</v>
      </c>
      <c r="C730" s="11" t="inlineStr">
        <is>
          <t>2024-09-04</t>
        </is>
      </c>
      <c r="D730" s="11" t="inlineStr">
        <is>
          <t>2025-09-17</t>
        </is>
      </c>
      <c r="E730" s="11" t="n">
        <v>250</v>
      </c>
      <c r="F730" s="11" t="n">
        <v>27</v>
      </c>
      <c r="G730" s="11" t="n">
        <v>0</v>
      </c>
      <c r="H730" s="15">
        <f>IF(F730&gt;=E730,(E730-0.5)/E730,IF(G730&gt;0,(F730+0.5*G730)/E730,F730/E730))</f>
        <v/>
      </c>
      <c r="I730" s="11" t="inlineStr">
        <is>
          <t>中间分位</t>
        </is>
      </c>
      <c r="J730" s="11" t="inlineStr"/>
    </row>
    <row r="731">
      <c r="A731" s="6" t="inlineStr">
        <is>
          <t>2025-09-19</t>
        </is>
      </c>
      <c r="B731" s="16" t="n">
        <v>-0.04391887410630198</v>
      </c>
      <c r="C731" s="6" t="inlineStr">
        <is>
          <t>2024-09-05</t>
        </is>
      </c>
      <c r="D731" s="6" t="inlineStr">
        <is>
          <t>2025-09-18</t>
        </is>
      </c>
      <c r="E731" s="6" t="n">
        <v>250</v>
      </c>
      <c r="F731" s="6" t="n">
        <v>16</v>
      </c>
      <c r="G731" s="6" t="n">
        <v>0</v>
      </c>
      <c r="H731" s="10">
        <f>IF(F731&gt;=E731,(E731-0.5)/E731,IF(G731&gt;0,(F731+0.5*G731)/E731,F731/E731))</f>
        <v/>
      </c>
      <c r="I731" s="6" t="inlineStr">
        <is>
          <t>低分位</t>
        </is>
      </c>
      <c r="J731" s="6" t="inlineStr"/>
    </row>
    <row r="732">
      <c r="A732" s="11" t="inlineStr">
        <is>
          <t>2025-09-22</t>
        </is>
      </c>
      <c r="B732" s="17" t="n">
        <v>-0.03801945181255526</v>
      </c>
      <c r="C732" s="11" t="inlineStr">
        <is>
          <t>2024-09-06</t>
        </is>
      </c>
      <c r="D732" s="11" t="inlineStr">
        <is>
          <t>2025-09-19</t>
        </is>
      </c>
      <c r="E732" s="11" t="n">
        <v>250</v>
      </c>
      <c r="F732" s="11" t="n">
        <v>23</v>
      </c>
      <c r="G732" s="11" t="n">
        <v>0</v>
      </c>
      <c r="H732" s="15">
        <f>IF(F732&gt;=E732,(E732-0.5)/E732,IF(G732&gt;0,(F732+0.5*G732)/E732,F732/E732))</f>
        <v/>
      </c>
      <c r="I732" s="11" t="inlineStr">
        <is>
          <t>低分位</t>
        </is>
      </c>
      <c r="J732" s="11" t="inlineStr"/>
    </row>
    <row r="733">
      <c r="A733" s="6" t="inlineStr">
        <is>
          <t>2025-09-23</t>
        </is>
      </c>
      <c r="B733" s="16" t="n">
        <v>-0.03902439024390244</v>
      </c>
      <c r="C733" s="6" t="inlineStr">
        <is>
          <t>2024-09-09</t>
        </is>
      </c>
      <c r="D733" s="6" t="inlineStr">
        <is>
          <t>2025-09-22</t>
        </is>
      </c>
      <c r="E733" s="6" t="n">
        <v>250</v>
      </c>
      <c r="F733" s="6" t="n">
        <v>21</v>
      </c>
      <c r="G733" s="6" t="n">
        <v>0</v>
      </c>
      <c r="H733" s="10">
        <f>IF(F733&gt;=E733,(E733-0.5)/E733,IF(G733&gt;0,(F733+0.5*G733)/E733,F733/E733))</f>
        <v/>
      </c>
      <c r="I733" s="6" t="inlineStr">
        <is>
          <t>低分位</t>
        </is>
      </c>
      <c r="J733" s="6" t="inlineStr"/>
    </row>
    <row r="734">
      <c r="A734" s="11" t="inlineStr">
        <is>
          <t>2025-09-24</t>
        </is>
      </c>
      <c r="B734" s="17" t="n">
        <v>-0.04257206208425721</v>
      </c>
      <c r="C734" s="11" t="inlineStr">
        <is>
          <t>2024-09-10</t>
        </is>
      </c>
      <c r="D734" s="11" t="inlineStr">
        <is>
          <t>2025-09-23</t>
        </is>
      </c>
      <c r="E734" s="11" t="n">
        <v>250</v>
      </c>
      <c r="F734" s="11" t="n">
        <v>17</v>
      </c>
      <c r="G734" s="11" t="n">
        <v>0</v>
      </c>
      <c r="H734" s="15">
        <f>IF(F734&gt;=E734,(E734-0.5)/E734,IF(G734&gt;0,(F734+0.5*G734)/E734,F734/E734))</f>
        <v/>
      </c>
      <c r="I734" s="11" t="inlineStr">
        <is>
          <t>低分位</t>
        </is>
      </c>
      <c r="J734" s="11" t="inlineStr"/>
    </row>
    <row r="735">
      <c r="A735" s="6" t="inlineStr">
        <is>
          <t>2025-09-25</t>
        </is>
      </c>
      <c r="B735" s="16" t="n">
        <v>-0.04201680672268908</v>
      </c>
      <c r="C735" s="6" t="inlineStr">
        <is>
          <t>2024-09-11</t>
        </is>
      </c>
      <c r="D735" s="6" t="inlineStr">
        <is>
          <t>2025-09-24</t>
        </is>
      </c>
      <c r="E735" s="6" t="n">
        <v>250</v>
      </c>
      <c r="F735" s="6" t="n">
        <v>18</v>
      </c>
      <c r="G735" s="6" t="n">
        <v>0</v>
      </c>
      <c r="H735" s="10">
        <f>IF(F735&gt;=E735,(E735-0.5)/E735,IF(G735&gt;0,(F735+0.5*G735)/E735,F735/E735))</f>
        <v/>
      </c>
      <c r="I735" s="6" t="inlineStr">
        <is>
          <t>低分位</t>
        </is>
      </c>
      <c r="J735" s="6" t="inlineStr"/>
    </row>
    <row r="736">
      <c r="A736" s="11" t="inlineStr">
        <is>
          <t>2025-09-26</t>
        </is>
      </c>
      <c r="B736" s="17" t="n">
        <v>-0.04492512479201331</v>
      </c>
      <c r="C736" s="11" t="inlineStr">
        <is>
          <t>2024-09-12</t>
        </is>
      </c>
      <c r="D736" s="11" t="inlineStr">
        <is>
          <t>2025-09-25</t>
        </is>
      </c>
      <c r="E736" s="11" t="n">
        <v>250</v>
      </c>
      <c r="F736" s="11" t="n">
        <v>15</v>
      </c>
      <c r="G736" s="11" t="n">
        <v>0</v>
      </c>
      <c r="H736" s="15">
        <f>IF(F736&gt;=E736,(E736-0.5)/E736,IF(G736&gt;0,(F736+0.5*G736)/E736,F736/E736))</f>
        <v/>
      </c>
      <c r="I736" s="11" t="inlineStr">
        <is>
          <t>低分位</t>
        </is>
      </c>
      <c r="J736" s="11" t="inlineStr"/>
    </row>
    <row r="737">
      <c r="A737" s="6" t="inlineStr">
        <is>
          <t>2025-09-29</t>
        </is>
      </c>
      <c r="B737" s="16" t="n">
        <v>-0.04207620099392601</v>
      </c>
      <c r="C737" s="6" t="inlineStr">
        <is>
          <t>2024-09-13</t>
        </is>
      </c>
      <c r="D737" s="6" t="inlineStr">
        <is>
          <t>2025-09-26</t>
        </is>
      </c>
      <c r="E737" s="6" t="n">
        <v>250</v>
      </c>
      <c r="F737" s="6" t="n">
        <v>19</v>
      </c>
      <c r="G737" s="6" t="n">
        <v>0</v>
      </c>
      <c r="H737" s="10">
        <f>IF(F737&gt;=E737,(E737-0.5)/E737,IF(G737&gt;0,(F737+0.5*G737)/E737,F737/E737))</f>
        <v/>
      </c>
      <c r="I737" s="6" t="inlineStr">
        <is>
          <t>低分位</t>
        </is>
      </c>
      <c r="J737" s="6" t="inlineStr"/>
    </row>
    <row r="738">
      <c r="A738" s="11" t="inlineStr">
        <is>
          <t>2025-09-30</t>
        </is>
      </c>
      <c r="B738" s="17" t="n">
        <v>-0.03008849557522124</v>
      </c>
      <c r="C738" s="11" t="inlineStr">
        <is>
          <t>2024-09-18</t>
        </is>
      </c>
      <c r="D738" s="11" t="inlineStr">
        <is>
          <t>2025-09-29</t>
        </is>
      </c>
      <c r="E738" s="11" t="n">
        <v>250</v>
      </c>
      <c r="F738" s="11" t="n">
        <v>33</v>
      </c>
      <c r="G738" s="11" t="n">
        <v>0</v>
      </c>
      <c r="H738" s="15">
        <f>IF(F738&gt;=E738,(E738-0.5)/E738,IF(G738&gt;0,(F738+0.5*G738)/E738,F738/E738))</f>
        <v/>
      </c>
      <c r="I738" s="11" t="inlineStr">
        <is>
          <t>中间分位</t>
        </is>
      </c>
      <c r="J738" s="11" t="inlineStr"/>
    </row>
    <row r="739">
      <c r="A739" s="6" t="inlineStr">
        <is>
          <t>2025-10-09</t>
        </is>
      </c>
      <c r="B739" s="16" t="n">
        <v>-0.02346368715083799</v>
      </c>
      <c r="C739" s="6" t="inlineStr">
        <is>
          <t>2024-09-19</t>
        </is>
      </c>
      <c r="D739" s="6" t="inlineStr">
        <is>
          <t>2025-09-30</t>
        </is>
      </c>
      <c r="E739" s="6" t="n">
        <v>250</v>
      </c>
      <c r="F739" s="6" t="n">
        <v>42</v>
      </c>
      <c r="G739" s="6" t="n">
        <v>0</v>
      </c>
      <c r="H739" s="10">
        <f>IF(F739&gt;=E739,(E739-0.5)/E739,IF(G739&gt;0,(F739+0.5*G739)/E739,F739/E739))</f>
        <v/>
      </c>
      <c r="I739" s="6" t="inlineStr">
        <is>
          <t>中间分位</t>
        </is>
      </c>
      <c r="J739" s="6" t="inlineStr"/>
    </row>
    <row r="740">
      <c r="A740" s="11" t="inlineStr">
        <is>
          <t>2025-10-10</t>
        </is>
      </c>
      <c r="B740" s="17" t="n">
        <v>-0.04094754653130288</v>
      </c>
      <c r="C740" s="11" t="inlineStr">
        <is>
          <t>2024-09-20</t>
        </is>
      </c>
      <c r="D740" s="11" t="inlineStr">
        <is>
          <t>2025-10-09</t>
        </is>
      </c>
      <c r="E740" s="11" t="n">
        <v>250</v>
      </c>
      <c r="F740" s="11" t="n">
        <v>22</v>
      </c>
      <c r="G740" s="11" t="n">
        <v>0</v>
      </c>
      <c r="H740" s="15">
        <f>IF(F740&gt;=E740,(E740-0.5)/E740,IF(G740&gt;0,(F740+0.5*G740)/E740,F740/E740))</f>
        <v/>
      </c>
      <c r="I740" s="11" t="inlineStr">
        <is>
          <t>低分位</t>
        </is>
      </c>
      <c r="J740" s="11" t="inlineStr"/>
    </row>
    <row r="741">
      <c r="A741" s="6" t="inlineStr">
        <is>
          <t>2025-10-13</t>
        </is>
      </c>
      <c r="B741" s="16" t="n">
        <v>-0.04437012263099219</v>
      </c>
      <c r="C741" s="6" t="inlineStr">
        <is>
          <t>2024-09-23</t>
        </is>
      </c>
      <c r="D741" s="6" t="inlineStr">
        <is>
          <t>2025-10-10</t>
        </is>
      </c>
      <c r="E741" s="6" t="n">
        <v>250</v>
      </c>
      <c r="F741" s="6" t="n">
        <v>17</v>
      </c>
      <c r="G741" s="6" t="n">
        <v>0</v>
      </c>
      <c r="H741" s="10">
        <f>IF(F741&gt;=E741,(E741-0.5)/E741,IF(G741&gt;0,(F741+0.5*G741)/E741,F741/E741))</f>
        <v/>
      </c>
      <c r="I741" s="6" t="inlineStr">
        <is>
          <t>低分位</t>
        </is>
      </c>
      <c r="J741" s="6" t="inlineStr"/>
    </row>
    <row r="742">
      <c r="A742" s="11" t="inlineStr">
        <is>
          <t>2025-10-14</t>
        </is>
      </c>
      <c r="B742" s="17" t="n">
        <v>0.006444565811032222</v>
      </c>
      <c r="C742" s="11" t="inlineStr">
        <is>
          <t>2024-09-24</t>
        </is>
      </c>
      <c r="D742" s="11" t="inlineStr">
        <is>
          <t>2025-10-13</t>
        </is>
      </c>
      <c r="E742" s="11" t="n">
        <v>250</v>
      </c>
      <c r="F742" s="11" t="n">
        <v>105</v>
      </c>
      <c r="G742" s="11" t="n">
        <v>0</v>
      </c>
      <c r="H742" s="15">
        <f>IF(F742&gt;=E742,(E742-0.5)/E742,IF(G742&gt;0,(F742+0.5*G742)/E742,F742/E742))</f>
        <v/>
      </c>
      <c r="I742" s="11" t="inlineStr">
        <is>
          <t>中间分位</t>
        </is>
      </c>
      <c r="J742" s="11" t="inlineStr"/>
    </row>
    <row r="743">
      <c r="A743" s="6" t="inlineStr">
        <is>
          <t>2025-10-15</t>
        </is>
      </c>
      <c r="B743" s="16" t="n">
        <v>-0.0168141592920354</v>
      </c>
      <c r="C743" s="6" t="inlineStr">
        <is>
          <t>2024-09-25</t>
        </is>
      </c>
      <c r="D743" s="6" t="inlineStr">
        <is>
          <t>2025-10-14</t>
        </is>
      </c>
      <c r="E743" s="6" t="n">
        <v>250</v>
      </c>
      <c r="F743" s="6" t="n">
        <v>53</v>
      </c>
      <c r="G743" s="6" t="n">
        <v>0</v>
      </c>
      <c r="H743" s="10">
        <f>IF(F743&gt;=E743,(E743-0.5)/E743,IF(G743&gt;0,(F743+0.5*G743)/E743,F743/E743))</f>
        <v/>
      </c>
      <c r="I743" s="6" t="inlineStr">
        <is>
          <t>中间分位</t>
        </is>
      </c>
      <c r="J743" s="6" t="inlineStr"/>
    </row>
    <row r="744">
      <c r="A744" s="11" t="inlineStr">
        <is>
          <t>2025-10-16</t>
        </is>
      </c>
      <c r="B744" s="17" t="n">
        <v>0.0004310344827586207</v>
      </c>
      <c r="C744" s="11" t="inlineStr">
        <is>
          <t>2024-09-26</t>
        </is>
      </c>
      <c r="D744" s="11" t="inlineStr">
        <is>
          <t>2025-10-15</t>
        </is>
      </c>
      <c r="E744" s="11" t="n">
        <v>250</v>
      </c>
      <c r="F744" s="11" t="n">
        <v>93</v>
      </c>
      <c r="G744" s="11" t="n">
        <v>0</v>
      </c>
      <c r="H744" s="15">
        <f>IF(F744&gt;=E744,(E744-0.5)/E744,IF(G744&gt;0,(F744+0.5*G744)/E744,F744/E744))</f>
        <v/>
      </c>
      <c r="I744" s="11" t="inlineStr">
        <is>
          <t>中间分位</t>
        </is>
      </c>
      <c r="J744" s="11" t="inlineStr"/>
    </row>
    <row r="745">
      <c r="A745" s="6" t="inlineStr">
        <is>
          <t>2025-10-17</t>
        </is>
      </c>
      <c r="B745" s="16" t="n">
        <v>0.02237521514629948</v>
      </c>
      <c r="C745" s="6" t="inlineStr">
        <is>
          <t>2024-09-27</t>
        </is>
      </c>
      <c r="D745" s="6" t="inlineStr">
        <is>
          <t>2025-10-16</t>
        </is>
      </c>
      <c r="E745" s="6" t="n">
        <v>250</v>
      </c>
      <c r="F745" s="6" t="n">
        <v>151</v>
      </c>
      <c r="G745" s="6" t="n">
        <v>0</v>
      </c>
      <c r="H745" s="10">
        <f>IF(F745&gt;=E745,(E745-0.5)/E745,IF(G745&gt;0,(F745+0.5*G745)/E745,F745/E745))</f>
        <v/>
      </c>
      <c r="I745" s="6" t="inlineStr">
        <is>
          <t>中间分位</t>
        </is>
      </c>
      <c r="J745" s="6" t="inlineStr"/>
    </row>
    <row r="746">
      <c r="A746" s="11" t="inlineStr">
        <is>
          <t>2025-10-20</t>
        </is>
      </c>
      <c r="B746" s="17" t="n">
        <v>-0.00221141088014153</v>
      </c>
      <c r="C746" s="11" t="inlineStr">
        <is>
          <t>2024-09-30</t>
        </is>
      </c>
      <c r="D746" s="11" t="inlineStr">
        <is>
          <t>2025-10-17</t>
        </is>
      </c>
      <c r="E746" s="11" t="n">
        <v>250</v>
      </c>
      <c r="F746" s="11" t="n">
        <v>82</v>
      </c>
      <c r="G746" s="11" t="n">
        <v>0</v>
      </c>
      <c r="H746" s="15">
        <f>IF(F746&gt;=E746,(E746-0.5)/E746,IF(G746&gt;0,(F746+0.5*G746)/E746,F746/E746))</f>
        <v/>
      </c>
      <c r="I746" s="11" t="inlineStr">
        <is>
          <t>中间分位</t>
        </is>
      </c>
      <c r="J746" s="11" t="inlineStr"/>
    </row>
    <row r="747">
      <c r="A747" s="6" t="inlineStr">
        <is>
          <t>2025-10-21</t>
        </is>
      </c>
      <c r="B747" s="16" t="n">
        <v>0.009606986899563319</v>
      </c>
      <c r="C747" s="6" t="inlineStr">
        <is>
          <t>2024-10-08</t>
        </is>
      </c>
      <c r="D747" s="6" t="inlineStr">
        <is>
          <t>2025-10-20</t>
        </is>
      </c>
      <c r="E747" s="6" t="n">
        <v>250</v>
      </c>
      <c r="F747" s="6" t="n">
        <v>111</v>
      </c>
      <c r="G747" s="6" t="n">
        <v>0</v>
      </c>
      <c r="H747" s="10">
        <f>IF(F747&gt;=E747,(E747-0.5)/E747,IF(G747&gt;0,(F747+0.5*G747)/E747,F747/E747))</f>
        <v/>
      </c>
      <c r="I747" s="6" t="inlineStr">
        <is>
          <t>中间分位</t>
        </is>
      </c>
      <c r="J747" s="6" t="inlineStr"/>
    </row>
    <row r="748">
      <c r="A748" s="11" t="inlineStr">
        <is>
          <t>2025-10-22</t>
        </is>
      </c>
      <c r="B748" s="17" t="n">
        <v>0.001766004415011038</v>
      </c>
      <c r="C748" s="11" t="inlineStr">
        <is>
          <t>2024-10-09</t>
        </is>
      </c>
      <c r="D748" s="11" t="inlineStr">
        <is>
          <t>2025-10-21</t>
        </is>
      </c>
      <c r="E748" s="11" t="n">
        <v>250</v>
      </c>
      <c r="F748" s="11" t="n">
        <v>96</v>
      </c>
      <c r="G748" s="11" t="n">
        <v>0</v>
      </c>
      <c r="H748" s="15">
        <f>IF(F748&gt;=E748,(E748-0.5)/E748,IF(G748&gt;0,(F748+0.5*G748)/E748,F748/E748))</f>
        <v/>
      </c>
      <c r="I748" s="11" t="inlineStr">
        <is>
          <t>中间分位</t>
        </is>
      </c>
      <c r="J748" s="11" t="inlineStr"/>
    </row>
    <row r="749">
      <c r="A749" s="6" t="inlineStr">
        <is>
          <t>2025-10-23</t>
        </is>
      </c>
      <c r="B749" s="16" t="n">
        <v>-0.02504472271914132</v>
      </c>
      <c r="C749" s="6" t="inlineStr">
        <is>
          <t>2024-10-10</t>
        </is>
      </c>
      <c r="D749" s="6" t="inlineStr">
        <is>
          <t>2025-10-22</t>
        </is>
      </c>
      <c r="E749" s="6" t="n">
        <v>250</v>
      </c>
      <c r="F749" s="6" t="n">
        <v>41</v>
      </c>
      <c r="G749" s="6" t="n">
        <v>0</v>
      </c>
      <c r="H749" s="10">
        <f>IF(F749&gt;=E749,(E749-0.5)/E749,IF(G749&gt;0,(F749+0.5*G749)/E749,F749/E749))</f>
        <v/>
      </c>
      <c r="I749" s="6" t="inlineStr">
        <is>
          <t>中间分位</t>
        </is>
      </c>
      <c r="J749" s="6" t="inlineStr"/>
    </row>
    <row r="750">
      <c r="A750" s="11" t="inlineStr">
        <is>
          <t>2025-10-24</t>
        </is>
      </c>
      <c r="B750" s="17" t="n">
        <v>-0.007092198581560284</v>
      </c>
      <c r="C750" s="11" t="inlineStr">
        <is>
          <t>2024-10-11</t>
        </is>
      </c>
      <c r="D750" s="11" t="inlineStr">
        <is>
          <t>2025-10-23</t>
        </is>
      </c>
      <c r="E750" s="11" t="n">
        <v>250</v>
      </c>
      <c r="F750" s="11" t="n">
        <v>71</v>
      </c>
      <c r="G750" s="11" t="n">
        <v>0</v>
      </c>
      <c r="H750" s="15">
        <f>IF(F750&gt;=E750,(E750-0.5)/E750,IF(G750&gt;0,(F750+0.5*G750)/E750,F750/E750))</f>
        <v/>
      </c>
      <c r="I750" s="11" t="inlineStr">
        <is>
          <t>中间分位</t>
        </is>
      </c>
      <c r="J750" s="11" t="inlineStr"/>
    </row>
    <row r="751">
      <c r="A751" s="6" t="inlineStr">
        <is>
          <t>2025-10-27</t>
        </is>
      </c>
      <c r="B751" s="16" t="n">
        <v>-0.01340482573726542</v>
      </c>
      <c r="C751" s="6" t="inlineStr">
        <is>
          <t>2024-10-14</t>
        </is>
      </c>
      <c r="D751" s="6" t="inlineStr">
        <is>
          <t>2025-10-24</t>
        </is>
      </c>
      <c r="E751" s="6" t="n">
        <v>250</v>
      </c>
      <c r="F751" s="6" t="n">
        <v>58</v>
      </c>
      <c r="G751" s="6" t="n">
        <v>0</v>
      </c>
      <c r="H751" s="10">
        <f>IF(F751&gt;=E751,(E751-0.5)/E751,IF(G751&gt;0,(F751+0.5*G751)/E751,F751/E751))</f>
        <v/>
      </c>
      <c r="I751" s="6" t="inlineStr">
        <is>
          <t>中间分位</t>
        </is>
      </c>
      <c r="J751" s="6" t="inlineStr"/>
    </row>
    <row r="752">
      <c r="A752" s="11" t="inlineStr">
        <is>
          <t>2025-10-28</t>
        </is>
      </c>
      <c r="B752" s="17" t="n">
        <v>-0.006738544474393531</v>
      </c>
      <c r="C752" s="11" t="inlineStr">
        <is>
          <t>2024-10-15</t>
        </is>
      </c>
      <c r="D752" s="11" t="inlineStr">
        <is>
          <t>2025-10-27</t>
        </is>
      </c>
      <c r="E752" s="11" t="n">
        <v>250</v>
      </c>
      <c r="F752" s="11" t="n">
        <v>73</v>
      </c>
      <c r="G752" s="11" t="n">
        <v>0</v>
      </c>
      <c r="H752" s="15">
        <f>IF(F752&gt;=E752,(E752-0.5)/E752,IF(G752&gt;0,(F752+0.5*G752)/E752,F752/E752))</f>
        <v/>
      </c>
      <c r="I752" s="11" t="inlineStr">
        <is>
          <t>中间分位</t>
        </is>
      </c>
      <c r="J752" s="11" t="inlineStr"/>
    </row>
    <row r="753">
      <c r="A753" s="6" t="inlineStr">
        <is>
          <t>2025-10-29</t>
        </is>
      </c>
      <c r="B753" s="16" t="n">
        <v>-0.0235827664399093</v>
      </c>
      <c r="C753" s="6" t="inlineStr">
        <is>
          <t>2024-10-16</t>
        </is>
      </c>
      <c r="D753" s="6" t="inlineStr">
        <is>
          <t>2025-10-28</t>
        </is>
      </c>
      <c r="E753" s="6" t="n">
        <v>250</v>
      </c>
      <c r="F753" s="6" t="n">
        <v>45</v>
      </c>
      <c r="G753" s="6" t="n">
        <v>0</v>
      </c>
      <c r="H753" s="10">
        <f>IF(F753&gt;=E753,(E753-0.5)/E753,IF(G753&gt;0,(F753+0.5*G753)/E753,F753/E753))</f>
        <v/>
      </c>
      <c r="I753" s="6" t="inlineStr">
        <is>
          <t>中间分位</t>
        </is>
      </c>
      <c r="J753" s="6" t="inlineStr"/>
    </row>
    <row r="754">
      <c r="A754" s="11" t="inlineStr">
        <is>
          <t>2025-10-30</t>
        </is>
      </c>
      <c r="B754" s="17" t="n">
        <v>0.001808318264014466</v>
      </c>
      <c r="C754" s="11" t="inlineStr">
        <is>
          <t>2024-10-17</t>
        </is>
      </c>
      <c r="D754" s="11" t="inlineStr">
        <is>
          <t>2025-10-29</t>
        </is>
      </c>
      <c r="E754" s="11" t="n">
        <v>250</v>
      </c>
      <c r="F754" s="11" t="n">
        <v>101</v>
      </c>
      <c r="G754" s="11" t="n">
        <v>0</v>
      </c>
      <c r="H754" s="15">
        <f>IF(F754&gt;=E754,(E754-0.5)/E754,IF(G754&gt;0,(F754+0.5*G754)/E754,F754/E754))</f>
        <v/>
      </c>
      <c r="I754" s="11" t="inlineStr">
        <is>
          <t>中间分位</t>
        </is>
      </c>
      <c r="J754" s="11" t="inlineStr"/>
    </row>
    <row r="755">
      <c r="A755" s="6" t="inlineStr">
        <is>
          <t>2025-10-31</t>
        </is>
      </c>
      <c r="B755" s="16" t="n">
        <v>-0.001838235294117647</v>
      </c>
      <c r="C755" s="6" t="inlineStr">
        <is>
          <t>2024-10-18</t>
        </is>
      </c>
      <c r="D755" s="6" t="inlineStr">
        <is>
          <t>2025-10-30</t>
        </is>
      </c>
      <c r="E755" s="6" t="n">
        <v>250</v>
      </c>
      <c r="F755" s="6" t="n">
        <v>89</v>
      </c>
      <c r="G755" s="6" t="n">
        <v>0</v>
      </c>
      <c r="H755" s="10">
        <f>IF(F755&gt;=E755,(E755-0.5)/E755,IF(G755&gt;0,(F755+0.5*G755)/E755,F755/E755))</f>
        <v/>
      </c>
      <c r="I755" s="6" t="inlineStr">
        <is>
          <t>中间分位</t>
        </is>
      </c>
      <c r="J755" s="6" t="inlineStr"/>
    </row>
    <row r="756">
      <c r="A756" s="11" t="inlineStr">
        <is>
          <t>2025-11-03</t>
        </is>
      </c>
      <c r="B756" s="17" t="n">
        <v>0.005568445475638051</v>
      </c>
      <c r="C756" s="11" t="inlineStr">
        <is>
          <t>2024-10-21</t>
        </is>
      </c>
      <c r="D756" s="11" t="inlineStr">
        <is>
          <t>2025-10-31</t>
        </is>
      </c>
      <c r="E756" s="11" t="n">
        <v>250</v>
      </c>
      <c r="F756" s="11" t="n">
        <v>109</v>
      </c>
      <c r="G756" s="11" t="n">
        <v>0</v>
      </c>
      <c r="H756" s="15">
        <f>IF(F756&gt;=E756,(E756-0.5)/E756,IF(G756&gt;0,(F756+0.5*G756)/E756,F756/E756))</f>
        <v/>
      </c>
      <c r="I756" s="11" t="inlineStr">
        <is>
          <t>中间分位</t>
        </is>
      </c>
      <c r="J756" s="11" t="inlineStr"/>
    </row>
    <row r="757">
      <c r="A757" s="6" t="inlineStr">
        <is>
          <t>2025-11-04</t>
        </is>
      </c>
      <c r="B757" s="16" t="n">
        <v>-0.006184586108468126</v>
      </c>
      <c r="C757" s="6" t="inlineStr">
        <is>
          <t>2024-10-22</t>
        </is>
      </c>
      <c r="D757" s="6" t="inlineStr">
        <is>
          <t>2025-11-03</t>
        </is>
      </c>
      <c r="E757" s="6" t="n">
        <v>250</v>
      </c>
      <c r="F757" s="6" t="n">
        <v>77</v>
      </c>
      <c r="G757" s="6" t="n">
        <v>0</v>
      </c>
      <c r="H757" s="10">
        <f>IF(F757&gt;=E757,(E757-0.5)/E757,IF(G757&gt;0,(F757+0.5*G757)/E757,F757/E757))</f>
        <v/>
      </c>
      <c r="I757" s="6" t="inlineStr">
        <is>
          <t>中间分位</t>
        </is>
      </c>
      <c r="J757" s="6" t="inlineStr"/>
    </row>
    <row r="758">
      <c r="A758" s="11" t="inlineStr">
        <is>
          <t>2025-11-05</t>
        </is>
      </c>
      <c r="B758" s="17" t="n">
        <v>-0.03081367356764564</v>
      </c>
      <c r="C758" s="11" t="inlineStr">
        <is>
          <t>2024-10-23</t>
        </is>
      </c>
      <c r="D758" s="11" t="inlineStr">
        <is>
          <t>2025-11-04</t>
        </is>
      </c>
      <c r="E758" s="11" t="n">
        <v>250</v>
      </c>
      <c r="F758" s="11" t="n">
        <v>35</v>
      </c>
      <c r="G758" s="11" t="n">
        <v>0</v>
      </c>
      <c r="H758" s="15">
        <f>IF(F758&gt;=E758,(E758-0.5)/E758,IF(G758&gt;0,(F758+0.5*G758)/E758,F758/E758))</f>
        <v/>
      </c>
      <c r="I758" s="11" t="inlineStr">
        <is>
          <t>中间分位</t>
        </is>
      </c>
      <c r="J758" s="11" t="inlineStr"/>
    </row>
    <row r="759">
      <c r="A759" s="6" t="inlineStr">
        <is>
          <t>2025-11-06</t>
        </is>
      </c>
      <c r="B759" s="16" t="n">
        <v>-0.0250844187168355</v>
      </c>
      <c r="C759" s="6" t="inlineStr">
        <is>
          <t>2024-10-24</t>
        </is>
      </c>
      <c r="D759" s="6" t="inlineStr">
        <is>
          <t>2025-11-05</t>
        </is>
      </c>
      <c r="E759" s="6" t="n">
        <v>250</v>
      </c>
      <c r="F759" s="6" t="n">
        <v>42</v>
      </c>
      <c r="G759" s="6" t="n">
        <v>0</v>
      </c>
      <c r="H759" s="10">
        <f>IF(F759&gt;=E759,(E759-0.5)/E759,IF(G759&gt;0,(F759+0.5*G759)/E759,F759/E759))</f>
        <v/>
      </c>
      <c r="I759" s="6" t="inlineStr">
        <is>
          <t>中间分位</t>
        </is>
      </c>
      <c r="J759" s="6" t="inlineStr"/>
    </row>
    <row r="760">
      <c r="A760" s="11" t="inlineStr">
        <is>
          <t>2025-11-07</t>
        </is>
      </c>
      <c r="B760" s="17" t="n">
        <v>-0.007633587786259542</v>
      </c>
      <c r="C760" s="11" t="inlineStr">
        <is>
          <t>2024-10-25</t>
        </is>
      </c>
      <c r="D760" s="11" t="inlineStr">
        <is>
          <t>2025-11-06</t>
        </is>
      </c>
      <c r="E760" s="11" t="n">
        <v>250</v>
      </c>
      <c r="F760" s="11" t="n">
        <v>71</v>
      </c>
      <c r="G760" s="11" t="n">
        <v>0</v>
      </c>
      <c r="H760" s="15">
        <f>IF(F760&gt;=E760,(E760-0.5)/E760,IF(G760&gt;0,(F760+0.5*G760)/E760,F760/E760))</f>
        <v/>
      </c>
      <c r="I760" s="11" t="inlineStr">
        <is>
          <t>中间分位</t>
        </is>
      </c>
      <c r="J760" s="11" t="inlineStr"/>
    </row>
    <row r="761">
      <c r="A761" s="6" t="inlineStr">
        <is>
          <t>2025-11-10</t>
        </is>
      </c>
      <c r="B761" s="16" t="n">
        <v>-0.006708193579300431</v>
      </c>
      <c r="C761" s="6" t="inlineStr">
        <is>
          <t>2024-10-28</t>
        </is>
      </c>
      <c r="D761" s="6" t="inlineStr">
        <is>
          <t>2025-11-07</t>
        </is>
      </c>
      <c r="E761" s="6" t="n">
        <v>250</v>
      </c>
      <c r="F761" s="6" t="n">
        <v>77</v>
      </c>
      <c r="G761" s="6" t="n">
        <v>0</v>
      </c>
      <c r="H761" s="10">
        <f>IF(F761&gt;=E761,(E761-0.5)/E761,IF(G761&gt;0,(F761+0.5*G761)/E761,F761/E761))</f>
        <v/>
      </c>
      <c r="I761" s="6" t="inlineStr">
        <is>
          <t>中间分位</t>
        </is>
      </c>
      <c r="J761" s="6" t="inlineStr"/>
    </row>
    <row r="762">
      <c r="A762" s="11" t="inlineStr">
        <is>
          <t>2025-11-11</t>
        </is>
      </c>
      <c r="B762" s="17" t="n">
        <v>-0.00725689404934688</v>
      </c>
      <c r="C762" s="11" t="inlineStr">
        <is>
          <t>2024-10-29</t>
        </is>
      </c>
      <c r="D762" s="11" t="inlineStr">
        <is>
          <t>2025-11-10</t>
        </is>
      </c>
      <c r="E762" s="11" t="n">
        <v>250</v>
      </c>
      <c r="F762" s="11" t="n">
        <v>73</v>
      </c>
      <c r="G762" s="11" t="n">
        <v>0</v>
      </c>
      <c r="H762" s="15">
        <f>IF(F762&gt;=E762,(E762-0.5)/E762,IF(G762&gt;0,(F762+0.5*G762)/E762,F762/E762))</f>
        <v/>
      </c>
      <c r="I762" s="11" t="inlineStr">
        <is>
          <t>中间分位</t>
        </is>
      </c>
      <c r="J762" s="11" t="inlineStr"/>
    </row>
    <row r="763">
      <c r="A763" s="6" t="inlineStr">
        <is>
          <t>2025-11-12</t>
        </is>
      </c>
      <c r="B763" s="16" t="n">
        <v>-0.01835748792270531</v>
      </c>
      <c r="C763" s="6" t="inlineStr">
        <is>
          <t>2024-10-30</t>
        </is>
      </c>
      <c r="D763" s="6" t="inlineStr">
        <is>
          <t>2025-11-11</t>
        </is>
      </c>
      <c r="E763" s="6" t="n">
        <v>250</v>
      </c>
      <c r="F763" s="6" t="n">
        <v>54</v>
      </c>
      <c r="G763" s="6" t="n">
        <v>0</v>
      </c>
      <c r="H763" s="10">
        <f>IF(F763&gt;=E763,(E763-0.5)/E763,IF(G763&gt;0,(F763+0.5*G763)/E763,F763/E763))</f>
        <v/>
      </c>
      <c r="I763" s="6" t="inlineStr">
        <is>
          <t>中间分位</t>
        </is>
      </c>
      <c r="J763" s="6" t="inlineStr"/>
    </row>
    <row r="764">
      <c r="A764" s="11" t="inlineStr">
        <is>
          <t>2025-11-13</t>
        </is>
      </c>
      <c r="B764" s="17" t="n">
        <v>-0.01203079884504331</v>
      </c>
      <c r="C764" s="11" t="inlineStr">
        <is>
          <t>2024-10-31</t>
        </is>
      </c>
      <c r="D764" s="11" t="inlineStr">
        <is>
          <t>2025-11-12</t>
        </is>
      </c>
      <c r="E764" s="11" t="n">
        <v>250</v>
      </c>
      <c r="F764" s="11" t="n">
        <v>63</v>
      </c>
      <c r="G764" s="11" t="n">
        <v>0</v>
      </c>
      <c r="H764" s="15">
        <f>IF(F764&gt;=E764,(E764-0.5)/E764,IF(G764&gt;0,(F764+0.5*G764)/E764,F764/E764))</f>
        <v/>
      </c>
      <c r="I764" s="11" t="inlineStr">
        <is>
          <t>中间分位</t>
        </is>
      </c>
      <c r="J764" s="11" t="inlineStr"/>
    </row>
    <row r="765">
      <c r="A765" s="6" t="inlineStr">
        <is>
          <t>2025-11-14</t>
        </is>
      </c>
      <c r="B765" s="16" t="n">
        <v>0.01106833493743985</v>
      </c>
      <c r="C765" s="6" t="inlineStr">
        <is>
          <t>2024-11-01</t>
        </is>
      </c>
      <c r="D765" s="6" t="inlineStr">
        <is>
          <t>2025-11-13</t>
        </is>
      </c>
      <c r="E765" s="6" t="n">
        <v>250</v>
      </c>
      <c r="F765" s="6" t="n">
        <v>122</v>
      </c>
      <c r="G765" s="6" t="n">
        <v>0</v>
      </c>
      <c r="H765" s="10">
        <f>IF(F765&gt;=E765,(E765-0.5)/E765,IF(G765&gt;0,(F765+0.5*G765)/E765,F765/E765))</f>
        <v/>
      </c>
      <c r="I765" s="6" t="inlineStr">
        <is>
          <t>中间分位</t>
        </is>
      </c>
      <c r="J765" s="6" t="inlineStr"/>
    </row>
    <row r="766">
      <c r="A766" s="11" t="inlineStr">
        <is>
          <t>2025-11-17</t>
        </is>
      </c>
      <c r="B766" s="17" t="n">
        <v>0.01980676328502416</v>
      </c>
      <c r="C766" s="11" t="inlineStr">
        <is>
          <t>2024-11-04</t>
        </is>
      </c>
      <c r="D766" s="11" t="inlineStr">
        <is>
          <t>2025-11-14</t>
        </is>
      </c>
      <c r="E766" s="11" t="n">
        <v>250</v>
      </c>
      <c r="F766" s="11" t="n">
        <v>144</v>
      </c>
      <c r="G766" s="11" t="n">
        <v>0</v>
      </c>
      <c r="H766" s="15">
        <f>IF(F766&gt;=E766,(E766-0.5)/E766,IF(G766&gt;0,(F766+0.5*G766)/E766,F766/E766))</f>
        <v/>
      </c>
      <c r="I766" s="11" t="inlineStr">
        <is>
          <t>中间分位</t>
        </is>
      </c>
      <c r="J766" s="11" t="inlineStr"/>
    </row>
    <row r="767">
      <c r="A767" s="6" t="inlineStr">
        <is>
          <t>2025-11-18</t>
        </is>
      </c>
      <c r="B767" s="16" t="n">
        <v>-0.004950495049504951</v>
      </c>
      <c r="C767" s="6" t="inlineStr">
        <is>
          <t>2024-11-05</t>
        </is>
      </c>
      <c r="D767" s="6" t="inlineStr">
        <is>
          <t>2025-11-17</t>
        </is>
      </c>
      <c r="E767" s="6" t="n">
        <v>250</v>
      </c>
      <c r="F767" s="6" t="n">
        <v>85</v>
      </c>
      <c r="G767" s="6" t="n">
        <v>0</v>
      </c>
      <c r="H767" s="10">
        <f>IF(F767&gt;=E767,(E767-0.5)/E767,IF(G767&gt;0,(F767+0.5*G767)/E767,F767/E767))</f>
        <v/>
      </c>
      <c r="I767" s="6" t="inlineStr">
        <is>
          <t>中间分位</t>
        </is>
      </c>
      <c r="J767" s="6" t="inlineStr"/>
    </row>
    <row r="768">
      <c r="A768" s="11" t="inlineStr">
        <is>
          <t>2025-11-19</t>
        </is>
      </c>
      <c r="B768" s="17" t="n">
        <v>-0.003489531405782652</v>
      </c>
      <c r="C768" s="11" t="inlineStr">
        <is>
          <t>2024-11-06</t>
        </is>
      </c>
      <c r="D768" s="11" t="inlineStr">
        <is>
          <t>2025-11-18</t>
        </is>
      </c>
      <c r="E768" s="11" t="n">
        <v>250</v>
      </c>
      <c r="F768" s="11" t="n">
        <v>87</v>
      </c>
      <c r="G768" s="11" t="n">
        <v>0</v>
      </c>
      <c r="H768" s="15">
        <f>IF(F768&gt;=E768,(E768-0.5)/E768,IF(G768&gt;0,(F768+0.5*G768)/E768,F768/E768))</f>
        <v/>
      </c>
      <c r="I768" s="11" t="inlineStr">
        <is>
          <t>中间分位</t>
        </is>
      </c>
      <c r="J768" s="11" t="inlineStr"/>
    </row>
    <row r="769">
      <c r="A769" s="6" t="inlineStr">
        <is>
          <t>2025-11-20</t>
        </is>
      </c>
      <c r="B769" s="16" t="n">
        <v>-0.008504252126063032</v>
      </c>
      <c r="C769" s="6" t="inlineStr">
        <is>
          <t>2024-11-07</t>
        </is>
      </c>
      <c r="D769" s="6" t="inlineStr">
        <is>
          <t>2025-11-19</t>
        </is>
      </c>
      <c r="E769" s="6" t="n">
        <v>250</v>
      </c>
      <c r="F769" s="6" t="n">
        <v>70</v>
      </c>
      <c r="G769" s="6" t="n">
        <v>0</v>
      </c>
      <c r="H769" s="10">
        <f>IF(F769&gt;=E769,(E769-0.5)/E769,IF(G769&gt;0,(F769+0.5*G769)/E769,F769/E769))</f>
        <v/>
      </c>
      <c r="I769" s="6" t="inlineStr">
        <is>
          <t>中间分位</t>
        </is>
      </c>
      <c r="J769" s="6" t="inlineStr"/>
    </row>
    <row r="770">
      <c r="A770" s="11" t="inlineStr">
        <is>
          <t>2025-11-21</t>
        </is>
      </c>
      <c r="B770" s="17" t="n">
        <v>-0.000999000999000999</v>
      </c>
      <c r="C770" s="11" t="inlineStr">
        <is>
          <t>2024-11-08</t>
        </is>
      </c>
      <c r="D770" s="11" t="inlineStr">
        <is>
          <t>2025-11-20</t>
        </is>
      </c>
      <c r="E770" s="11" t="n">
        <v>250</v>
      </c>
      <c r="F770" s="11" t="n">
        <v>94</v>
      </c>
      <c r="G770" s="11" t="n">
        <v>0</v>
      </c>
      <c r="H770" s="15">
        <f>IF(F770&gt;=E770,(E770-0.5)/E770,IF(G770&gt;0,(F770+0.5*G770)/E770,F770/E770))</f>
        <v/>
      </c>
      <c r="I770" s="11" t="inlineStr">
        <is>
          <t>中间分位</t>
        </is>
      </c>
      <c r="J770" s="11" t="inlineStr"/>
    </row>
    <row r="771">
      <c r="A771" s="6" t="inlineStr">
        <is>
          <t>2025-11-24</t>
        </is>
      </c>
      <c r="B771" s="16" t="n">
        <v>-0.04110275689223058</v>
      </c>
      <c r="C771" s="6" t="inlineStr">
        <is>
          <t>2024-11-11</t>
        </is>
      </c>
      <c r="D771" s="6" t="inlineStr">
        <is>
          <t>2025-11-21</t>
        </is>
      </c>
      <c r="E771" s="6" t="n">
        <v>250</v>
      </c>
      <c r="F771" s="6" t="n">
        <v>23</v>
      </c>
      <c r="G771" s="6" t="n">
        <v>0</v>
      </c>
      <c r="H771" s="10">
        <f>IF(F771&gt;=E771,(E771-0.5)/E771,IF(G771&gt;0,(F771+0.5*G771)/E771,F771/E771))</f>
        <v/>
      </c>
      <c r="I771" s="6" t="inlineStr">
        <is>
          <t>低分位</t>
        </is>
      </c>
      <c r="J771" s="6" t="inlineStr"/>
    </row>
    <row r="772">
      <c r="A772" s="11" t="inlineStr">
        <is>
          <t>2025-11-25</t>
        </is>
      </c>
      <c r="B772" s="17" t="n">
        <v>-0.000484027105517909</v>
      </c>
      <c r="C772" s="11" t="inlineStr">
        <is>
          <t>2024-11-12</t>
        </is>
      </c>
      <c r="D772" s="11" t="inlineStr">
        <is>
          <t>2025-11-24</t>
        </is>
      </c>
      <c r="E772" s="11" t="n">
        <v>250</v>
      </c>
      <c r="F772" s="11" t="n">
        <v>97</v>
      </c>
      <c r="G772" s="11" t="n">
        <v>0</v>
      </c>
      <c r="H772" s="15">
        <f>IF(F772&gt;=E772,(E772-0.5)/E772,IF(G772&gt;0,(F772+0.5*G772)/E772,F772/E772))</f>
        <v/>
      </c>
      <c r="I772" s="11" t="inlineStr">
        <is>
          <t>中间分位</t>
        </is>
      </c>
      <c r="J772" s="11" t="inlineStr"/>
    </row>
    <row r="773">
      <c r="A773" s="6" t="inlineStr">
        <is>
          <t>2025-11-26</t>
        </is>
      </c>
      <c r="B773" s="16" t="n">
        <v>-0.01897810218978102</v>
      </c>
      <c r="C773" s="6" t="inlineStr">
        <is>
          <t>2024-11-13</t>
        </is>
      </c>
      <c r="D773" s="6" t="inlineStr">
        <is>
          <t>2025-11-25</t>
        </is>
      </c>
      <c r="E773" s="6" t="n">
        <v>250</v>
      </c>
      <c r="F773" s="6" t="n">
        <v>54</v>
      </c>
      <c r="G773" s="6" t="n">
        <v>0</v>
      </c>
      <c r="H773" s="10">
        <f>IF(F773&gt;=E773,(E773-0.5)/E773,IF(G773&gt;0,(F773+0.5*G773)/E773,F773/E773))</f>
        <v/>
      </c>
      <c r="I773" s="6" t="inlineStr">
        <is>
          <t>中间分位</t>
        </is>
      </c>
      <c r="J773" s="6" t="inlineStr"/>
    </row>
    <row r="774">
      <c r="A774" s="11" t="inlineStr">
        <is>
          <t>2025-11-27</t>
        </is>
      </c>
      <c r="B774" s="17" t="n">
        <v>-0.01675187695089867</v>
      </c>
      <c r="C774" s="11" t="inlineStr">
        <is>
          <t>2024-11-14</t>
        </is>
      </c>
      <c r="D774" s="11" t="inlineStr">
        <is>
          <t>2025-11-26</t>
        </is>
      </c>
      <c r="E774" s="11" t="n">
        <v>250</v>
      </c>
      <c r="F774" s="11" t="n">
        <v>59</v>
      </c>
      <c r="G774" s="11" t="n">
        <v>0</v>
      </c>
      <c r="H774" s="15">
        <f>IF(F774&gt;=E774,(E774-0.5)/E774,IF(G774&gt;0,(F774+0.5*G774)/E774,F774/E774))</f>
        <v/>
      </c>
      <c r="I774" s="11" t="inlineStr">
        <is>
          <t>中间分位</t>
        </is>
      </c>
      <c r="J774" s="11" t="inlineStr"/>
    </row>
    <row r="775">
      <c r="A775" s="6" t="inlineStr">
        <is>
          <t>2025-11-28</t>
        </is>
      </c>
      <c r="B775" s="16" t="n">
        <v>-0.01505707616018409</v>
      </c>
      <c r="C775" s="6" t="inlineStr">
        <is>
          <t>2024-11-15</t>
        </is>
      </c>
      <c r="D775" s="6" t="inlineStr">
        <is>
          <t>2025-11-27</t>
        </is>
      </c>
      <c r="E775" s="6" t="n">
        <v>250</v>
      </c>
      <c r="F775" s="6" t="n">
        <v>62</v>
      </c>
      <c r="G775" s="6" t="n">
        <v>0</v>
      </c>
      <c r="H775" s="10">
        <f>IF(F775&gt;=E775,(E775-0.5)/E775,IF(G775&gt;0,(F775+0.5*G775)/E775,F775/E775))</f>
        <v/>
      </c>
      <c r="I775" s="6" t="inlineStr">
        <is>
          <t>中间分位</t>
        </is>
      </c>
      <c r="J775" s="6" t="inlineStr"/>
    </row>
    <row r="776">
      <c r="A776" s="11" t="inlineStr">
        <is>
          <t>2025-12-01</t>
        </is>
      </c>
      <c r="B776" s="17" t="n">
        <v>-0.007547169811320755</v>
      </c>
      <c r="C776" s="11" t="inlineStr">
        <is>
          <t>2024-11-18</t>
        </is>
      </c>
      <c r="D776" s="11" t="inlineStr">
        <is>
          <t>2025-11-28</t>
        </is>
      </c>
      <c r="E776" s="11" t="n">
        <v>250</v>
      </c>
      <c r="F776" s="11" t="n">
        <v>74</v>
      </c>
      <c r="G776" s="11" t="n">
        <v>0</v>
      </c>
      <c r="H776" s="15">
        <f>IF(F776&gt;=E776,(E776-0.5)/E776,IF(G776&gt;0,(F776+0.5*G776)/E776,F776/E776))</f>
        <v/>
      </c>
      <c r="I776" s="11" t="inlineStr">
        <is>
          <t>中间分位</t>
        </is>
      </c>
      <c r="J776" s="11" t="inlineStr"/>
    </row>
    <row r="777">
      <c r="A777" s="6" t="inlineStr">
        <is>
          <t>2025-12-02</t>
        </is>
      </c>
      <c r="B777" s="16" t="n">
        <v>-0.003294117647058824</v>
      </c>
      <c r="C777" s="6" t="inlineStr">
        <is>
          <t>2024-11-19</t>
        </is>
      </c>
      <c r="D777" s="6" t="inlineStr">
        <is>
          <t>2025-12-01</t>
        </is>
      </c>
      <c r="E777" s="6" t="n">
        <v>250</v>
      </c>
      <c r="F777" s="6" t="n">
        <v>88</v>
      </c>
      <c r="G777" s="6" t="n">
        <v>0</v>
      </c>
      <c r="H777" s="10">
        <f>IF(F777&gt;=E777,(E777-0.5)/E777,IF(G777&gt;0,(F777+0.5*G777)/E777,F777/E777))</f>
        <v/>
      </c>
      <c r="I777" s="6" t="inlineStr">
        <is>
          <t>中间分位</t>
        </is>
      </c>
      <c r="J777" s="6" t="inlineStr"/>
    </row>
    <row r="778">
      <c r="A778" s="11" t="inlineStr">
        <is>
          <t>2025-12-03</t>
        </is>
      </c>
      <c r="B778" s="17" t="n">
        <v>-0.0002350176263219741</v>
      </c>
      <c r="C778" s="11" t="inlineStr">
        <is>
          <t>2024-11-20</t>
        </is>
      </c>
      <c r="D778" s="11" t="inlineStr">
        <is>
          <t>2025-12-02</t>
        </is>
      </c>
      <c r="E778" s="11" t="n">
        <v>250</v>
      </c>
      <c r="F778" s="11" t="n">
        <v>99</v>
      </c>
      <c r="G778" s="11" t="n">
        <v>0</v>
      </c>
      <c r="H778" s="15">
        <f>IF(F778&gt;=E778,(E778-0.5)/E778,IF(G778&gt;0,(F778+0.5*G778)/E778,F778/E778))</f>
        <v/>
      </c>
      <c r="I778" s="11" t="inlineStr">
        <is>
          <t>中间分位</t>
        </is>
      </c>
      <c r="J778" s="11" t="inlineStr"/>
    </row>
    <row r="779">
      <c r="A779" s="6" t="inlineStr">
        <is>
          <t>2025-12-04</t>
        </is>
      </c>
      <c r="B779" s="16" t="n">
        <v>0.0009456264775413711</v>
      </c>
      <c r="C779" s="6" t="inlineStr">
        <is>
          <t>2024-11-21</t>
        </is>
      </c>
      <c r="D779" s="6" t="inlineStr">
        <is>
          <t>2025-12-03</t>
        </is>
      </c>
      <c r="E779" s="6" t="n">
        <v>250</v>
      </c>
      <c r="F779" s="6" t="n">
        <v>101</v>
      </c>
      <c r="G779" s="6" t="n">
        <v>0</v>
      </c>
      <c r="H779" s="10">
        <f>IF(F779&gt;=E779,(E779-0.5)/E779,IF(G779&gt;0,(F779+0.5*G779)/E779,F779/E779))</f>
        <v/>
      </c>
      <c r="I779" s="6" t="inlineStr">
        <is>
          <t>中间分位</t>
        </is>
      </c>
      <c r="J779" s="6" t="inlineStr"/>
    </row>
    <row r="780">
      <c r="A780" s="11" t="inlineStr">
        <is>
          <t>2025-12-05</t>
        </is>
      </c>
      <c r="B780" s="17" t="n">
        <v>0.01095238095238095</v>
      </c>
      <c r="C780" s="11" t="inlineStr">
        <is>
          <t>2024-11-22</t>
        </is>
      </c>
      <c r="D780" s="11" t="inlineStr">
        <is>
          <t>2025-12-04</t>
        </is>
      </c>
      <c r="E780" s="11" t="n">
        <v>250</v>
      </c>
      <c r="F780" s="11" t="n">
        <v>120</v>
      </c>
      <c r="G780" s="11" t="n">
        <v>0</v>
      </c>
      <c r="H780" s="15">
        <f>IF(F780&gt;=E780,(E780-0.5)/E780,IF(G780&gt;0,(F780+0.5*G780)/E780,F780/E780))</f>
        <v/>
      </c>
      <c r="I780" s="11" t="inlineStr">
        <is>
          <t>中间分位</t>
        </is>
      </c>
      <c r="J780" s="11" t="inlineStr"/>
    </row>
    <row r="781">
      <c r="A781" s="6" t="inlineStr">
        <is>
          <t>2025-12-08</t>
        </is>
      </c>
      <c r="B781" s="16" t="n">
        <v>-0.00513392964543648</v>
      </c>
      <c r="C781" s="6" t="inlineStr">
        <is>
          <t>2024-11-25</t>
        </is>
      </c>
      <c r="D781" s="6" t="inlineStr">
        <is>
          <t>2025-12-05</t>
        </is>
      </c>
      <c r="E781" s="6" t="n">
        <v>250</v>
      </c>
      <c r="F781" s="6" t="n">
        <v>81</v>
      </c>
      <c r="G781" s="6" t="n">
        <v>0</v>
      </c>
      <c r="H781" s="10">
        <f>IF(F781&gt;=E781,(E781-0.5)/E781,IF(G781&gt;0,(F781+0.5*G781)/E781,F781/E781))</f>
        <v/>
      </c>
      <c r="I781" s="6" t="inlineStr">
        <is>
          <t>中间分位</t>
        </is>
      </c>
      <c r="J781" s="6" t="inlineStr"/>
    </row>
    <row r="782">
      <c r="A782" s="11" t="inlineStr">
        <is>
          <t>2025-12-09</t>
        </is>
      </c>
      <c r="B782" s="17" t="n">
        <v>0.01148325358851675</v>
      </c>
      <c r="C782" s="11" t="inlineStr">
        <is>
          <t>2024-11-26</t>
        </is>
      </c>
      <c r="D782" s="11" t="inlineStr">
        <is>
          <t>2025-12-08</t>
        </is>
      </c>
      <c r="E782" s="11" t="n">
        <v>250</v>
      </c>
      <c r="F782" s="11" t="n">
        <v>124</v>
      </c>
      <c r="G782" s="11" t="n">
        <v>0</v>
      </c>
      <c r="H782" s="15">
        <f>IF(F782&gt;=E782,(E782-0.5)/E782,IF(G782&gt;0,(F782+0.5*G782)/E782,F782/E782))</f>
        <v/>
      </c>
      <c r="I782" s="11" t="inlineStr">
        <is>
          <t>中间分位</t>
        </is>
      </c>
      <c r="J782" s="11" t="inlineStr"/>
    </row>
    <row r="783">
      <c r="A783" s="6" t="inlineStr">
        <is>
          <t>2025-12-10</t>
        </is>
      </c>
      <c r="B783" s="16" t="n">
        <v>-0.02355769230769231</v>
      </c>
      <c r="C783" s="6" t="inlineStr">
        <is>
          <t>2024-11-27</t>
        </is>
      </c>
      <c r="D783" s="6" t="inlineStr">
        <is>
          <t>2025-12-09</t>
        </is>
      </c>
      <c r="E783" s="6" t="n">
        <v>250</v>
      </c>
      <c r="F783" s="6" t="n">
        <v>48</v>
      </c>
      <c r="G783" s="6" t="n">
        <v>0</v>
      </c>
      <c r="H783" s="10">
        <f>IF(F783&gt;=E783,(E783-0.5)/E783,IF(G783&gt;0,(F783+0.5*G783)/E783,F783/E783))</f>
        <v/>
      </c>
      <c r="I783" s="6" t="inlineStr">
        <is>
          <t>中间分位</t>
        </is>
      </c>
      <c r="J783" s="6" t="inlineStr"/>
    </row>
    <row r="784">
      <c r="A784" s="11" t="inlineStr">
        <is>
          <t>2025-12-11</t>
        </is>
      </c>
      <c r="B784" s="17" t="n">
        <v>-0.01923076923076923</v>
      </c>
      <c r="C784" s="11" t="inlineStr">
        <is>
          <t>2024-11-28</t>
        </is>
      </c>
      <c r="D784" s="11" t="inlineStr">
        <is>
          <t>2025-12-10</t>
        </is>
      </c>
      <c r="E784" s="11" t="n">
        <v>250</v>
      </c>
      <c r="F784" s="11" t="n">
        <v>54</v>
      </c>
      <c r="G784" s="11" t="n">
        <v>0</v>
      </c>
      <c r="H784" s="15">
        <f>IF(F784&gt;=E784,(E784-0.5)/E784,IF(G784&gt;0,(F784+0.5*G784)/E784,F784/E784))</f>
        <v/>
      </c>
      <c r="I784" s="11" t="inlineStr">
        <is>
          <t>中间分位</t>
        </is>
      </c>
      <c r="J784" s="11" t="inlineStr"/>
    </row>
    <row r="785">
      <c r="A785" s="6" t="inlineStr">
        <is>
          <t>2025-12-12</t>
        </is>
      </c>
      <c r="B785" s="16" t="n">
        <v>0.002457025810652181</v>
      </c>
      <c r="C785" s="6" t="inlineStr">
        <is>
          <t>2024-11-29</t>
        </is>
      </c>
      <c r="D785" s="6" t="inlineStr">
        <is>
          <t>2025-12-11</t>
        </is>
      </c>
      <c r="E785" s="6" t="n">
        <v>250</v>
      </c>
      <c r="F785" s="6" t="n">
        <v>103</v>
      </c>
      <c r="G785" s="6" t="n">
        <v>0</v>
      </c>
      <c r="H785" s="10">
        <f>IF(F785&gt;=E785,(E785-0.5)/E785,IF(G785&gt;0,(F785+0.5*G785)/E785,F785/E785))</f>
        <v/>
      </c>
      <c r="I785" s="6" t="inlineStr">
        <is>
          <t>中间分位</t>
        </is>
      </c>
      <c r="J785" s="6" t="inlineStr"/>
    </row>
    <row r="786">
      <c r="A786" s="11" t="inlineStr">
        <is>
          <t>2025-12-15</t>
        </is>
      </c>
      <c r="B786" s="17" t="n">
        <v>-0.008628426796085156</v>
      </c>
      <c r="C786" s="11" t="inlineStr">
        <is>
          <t>2024-12-02</t>
        </is>
      </c>
      <c r="D786" s="11" t="inlineStr">
        <is>
          <t>2025-12-12</t>
        </is>
      </c>
      <c r="E786" s="11" t="n">
        <v>250</v>
      </c>
      <c r="F786" s="11" t="n">
        <v>67</v>
      </c>
      <c r="G786" s="11" t="n">
        <v>0</v>
      </c>
      <c r="H786" s="15">
        <f>IF(F786&gt;=E786,(E786-0.5)/E786,IF(G786&gt;0,(F786+0.5*G786)/E786,F786/E786))</f>
        <v/>
      </c>
      <c r="I786" s="11" t="inlineStr">
        <is>
          <t>中间分位</t>
        </is>
      </c>
      <c r="J786" s="11" t="inlineStr"/>
    </row>
    <row r="787">
      <c r="A787" s="6" t="inlineStr">
        <is>
          <t>2025-12-16</t>
        </is>
      </c>
      <c r="B787" s="16" t="n">
        <v>-0.01260404280618312</v>
      </c>
      <c r="C787" s="6" t="inlineStr">
        <is>
          <t>2024-12-03</t>
        </is>
      </c>
      <c r="D787" s="6" t="inlineStr">
        <is>
          <t>2025-12-15</t>
        </is>
      </c>
      <c r="E787" s="6" t="n">
        <v>250</v>
      </c>
      <c r="F787" s="6" t="n">
        <v>62</v>
      </c>
      <c r="G787" s="6" t="n">
        <v>0</v>
      </c>
      <c r="H787" s="10">
        <f>IF(F787&gt;=E787,(E787-0.5)/E787,IF(G787&gt;0,(F787+0.5*G787)/E787,F787/E787))</f>
        <v/>
      </c>
      <c r="I787" s="6" t="inlineStr">
        <is>
          <t>中间分位</t>
        </is>
      </c>
      <c r="J787" s="6" t="inlineStr"/>
    </row>
    <row r="788">
      <c r="A788" s="11" t="inlineStr">
        <is>
          <t>2025-12-17</t>
        </is>
      </c>
      <c r="B788" s="17" t="n">
        <v>-0.02019088358183531</v>
      </c>
      <c r="C788" s="11" t="inlineStr">
        <is>
          <t>2024-12-04</t>
        </is>
      </c>
      <c r="D788" s="11" t="inlineStr">
        <is>
          <t>2025-12-16</t>
        </is>
      </c>
      <c r="E788" s="11" t="n">
        <v>250</v>
      </c>
      <c r="F788" s="11" t="n">
        <v>54</v>
      </c>
      <c r="G788" s="11" t="n">
        <v>0</v>
      </c>
      <c r="H788" s="15">
        <f>IF(F788&gt;=E788,(E788-0.5)/E788,IF(G788&gt;0,(F788+0.5*G788)/E788,F788/E788))</f>
        <v/>
      </c>
      <c r="I788" s="11" t="inlineStr">
        <is>
          <t>中间分位</t>
        </is>
      </c>
      <c r="J788" s="11" t="inlineStr"/>
    </row>
    <row r="789">
      <c r="A789" s="6" t="inlineStr">
        <is>
          <t>2025-12-18</t>
        </is>
      </c>
      <c r="B789" s="16" t="n">
        <v>-0.02225545101026487</v>
      </c>
      <c r="C789" s="6" t="inlineStr">
        <is>
          <t>2024-12-05</t>
        </is>
      </c>
      <c r="D789" s="6" t="inlineStr">
        <is>
          <t>2025-12-17</t>
        </is>
      </c>
      <c r="E789" s="6" t="n">
        <v>250</v>
      </c>
      <c r="F789" s="6" t="n">
        <v>51</v>
      </c>
      <c r="G789" s="6" t="n">
        <v>0</v>
      </c>
      <c r="H789" s="10">
        <f>IF(F789&gt;=E789,(E789-0.5)/E789,IF(G789&gt;0,(F789+0.5*G789)/E789,F789/E789))</f>
        <v/>
      </c>
      <c r="I789" s="6" t="inlineStr">
        <is>
          <t>中间分位</t>
        </is>
      </c>
      <c r="J789" s="6" t="inlineStr"/>
    </row>
    <row r="790">
      <c r="A790" s="11" t="inlineStr">
        <is>
          <t>2025-12-19</t>
        </is>
      </c>
      <c r="B790" s="17" t="n">
        <v>0.00440324449594438</v>
      </c>
      <c r="C790" s="11" t="inlineStr">
        <is>
          <t>2024-12-06</t>
        </is>
      </c>
      <c r="D790" s="11" t="inlineStr">
        <is>
          <t>2025-12-18</t>
        </is>
      </c>
      <c r="E790" s="11" t="n">
        <v>250</v>
      </c>
      <c r="F790" s="11" t="n">
        <v>104</v>
      </c>
      <c r="G790" s="11" t="n">
        <v>0</v>
      </c>
      <c r="H790" s="15">
        <f>IF(F790&gt;=E790,(E790-0.5)/E790,IF(G790&gt;0,(F790+0.5*G790)/E790,F790/E790))</f>
        <v/>
      </c>
      <c r="I790" s="11" t="inlineStr">
        <is>
          <t>中间分位</t>
        </is>
      </c>
      <c r="J790" s="11" t="inlineStr"/>
    </row>
    <row r="791">
      <c r="A791" s="6" t="inlineStr">
        <is>
          <t>2025-12-22</t>
        </is>
      </c>
      <c r="B791" s="16" t="n">
        <v>-0.007009345794392523</v>
      </c>
      <c r="C791" s="6" t="inlineStr">
        <is>
          <t>2024-12-09</t>
        </is>
      </c>
      <c r="D791" s="6" t="inlineStr">
        <is>
          <t>2025-12-19</t>
        </is>
      </c>
      <c r="E791" s="6" t="n">
        <v>250</v>
      </c>
      <c r="F791" s="6" t="n">
        <v>76</v>
      </c>
      <c r="G791" s="6" t="n">
        <v>0</v>
      </c>
      <c r="H791" s="10">
        <f>IF(F791&gt;=E791,(E791-0.5)/E791,IF(G791&gt;0,(F791+0.5*G791)/E791,F791/E791))</f>
        <v/>
      </c>
      <c r="I791" s="6" t="inlineStr">
        <is>
          <t>中间分位</t>
        </is>
      </c>
      <c r="J791" s="6" t="inlineStr"/>
    </row>
    <row r="792">
      <c r="A792" s="11" t="inlineStr">
        <is>
          <t>2025-12-23</t>
        </is>
      </c>
      <c r="B792" s="17" t="n">
        <v>-0.007476635514018692</v>
      </c>
      <c r="C792" s="11" t="inlineStr">
        <is>
          <t>2024-12-10</t>
        </is>
      </c>
      <c r="D792" s="11" t="inlineStr">
        <is>
          <t>2025-12-22</t>
        </is>
      </c>
      <c r="E792" s="11" t="n">
        <v>250</v>
      </c>
      <c r="F792" s="11" t="n">
        <v>71</v>
      </c>
      <c r="G792" s="11" t="n">
        <v>0</v>
      </c>
      <c r="H792" s="15">
        <f>IF(F792&gt;=E792,(E792-0.5)/E792,IF(G792&gt;0,(F792+0.5*G792)/E792,F792/E792))</f>
        <v/>
      </c>
      <c r="I792" s="11" t="inlineStr">
        <is>
          <t>中间分位</t>
        </is>
      </c>
      <c r="J792" s="11" t="inlineStr"/>
    </row>
    <row r="793">
      <c r="A793" s="6" t="inlineStr">
        <is>
          <t>2025-12-24</t>
        </is>
      </c>
      <c r="B793" s="16" t="n">
        <v>-0.009842711883319463</v>
      </c>
      <c r="C793" s="6" t="inlineStr">
        <is>
          <t>2024-12-11</t>
        </is>
      </c>
      <c r="D793" s="6" t="inlineStr">
        <is>
          <t>2025-12-23</t>
        </is>
      </c>
      <c r="E793" s="6" t="n">
        <v>250</v>
      </c>
      <c r="F793" s="6" t="n">
        <v>65</v>
      </c>
      <c r="G793" s="6" t="n">
        <v>0</v>
      </c>
      <c r="H793" s="10">
        <f>IF(F793&gt;=E793,(E793-0.5)/E793,IF(G793&gt;0,(F793+0.5*G793)/E793,F793/E793))</f>
        <v/>
      </c>
      <c r="I793" s="6" t="inlineStr">
        <is>
          <t>中间分位</t>
        </is>
      </c>
      <c r="J793" s="6" t="inlineStr"/>
    </row>
    <row r="794">
      <c r="A794" s="11" t="inlineStr">
        <is>
          <t>2025-12-25</t>
        </is>
      </c>
      <c r="B794" s="17" t="n">
        <v>-0.000925925925925926</v>
      </c>
      <c r="C794" s="11" t="inlineStr">
        <is>
          <t>2024-12-12</t>
        </is>
      </c>
      <c r="D794" s="11" t="inlineStr">
        <is>
          <t>2025-12-24</t>
        </is>
      </c>
      <c r="E794" s="11" t="n">
        <v>250</v>
      </c>
      <c r="F794" s="11" t="n">
        <v>91</v>
      </c>
      <c r="G794" s="11" t="n">
        <v>0</v>
      </c>
      <c r="H794" s="15">
        <f>IF(F794&gt;=E794,(E794-0.5)/E794,IF(G794&gt;0,(F794+0.5*G794)/E794,F794/E794))</f>
        <v/>
      </c>
      <c r="I794" s="11" t="inlineStr">
        <is>
          <t>中间分位</t>
        </is>
      </c>
      <c r="J794" s="11" t="inlineStr"/>
    </row>
    <row r="795">
      <c r="A795" s="6" t="inlineStr">
        <is>
          <t>2025-12-26</t>
        </is>
      </c>
      <c r="B795" s="16" t="n">
        <v>-0.005116279069767441</v>
      </c>
      <c r="C795" s="6" t="inlineStr">
        <is>
          <t>2024-12-13</t>
        </is>
      </c>
      <c r="D795" s="6" t="inlineStr">
        <is>
          <t>2025-12-25</t>
        </is>
      </c>
      <c r="E795" s="6" t="n">
        <v>250</v>
      </c>
      <c r="F795" s="6" t="n">
        <v>82</v>
      </c>
      <c r="G795" s="6" t="n">
        <v>0</v>
      </c>
      <c r="H795" s="10">
        <f>IF(F795&gt;=E795,(E795-0.5)/E795,IF(G795&gt;0,(F795+0.5*G795)/E795,F795/E795))</f>
        <v/>
      </c>
      <c r="I795" s="6" t="inlineStr">
        <is>
          <t>中间分位</t>
        </is>
      </c>
      <c r="J795" s="6" t="inlineStr"/>
    </row>
    <row r="796">
      <c r="A796" s="11" t="inlineStr">
        <is>
          <t>2025-12-29</t>
        </is>
      </c>
      <c r="B796" s="17" t="n">
        <v>-0.005504450555330663</v>
      </c>
      <c r="C796" s="11" t="inlineStr">
        <is>
          <t>2024-12-16</t>
        </is>
      </c>
      <c r="D796" s="11" t="inlineStr">
        <is>
          <t>2025-12-26</t>
        </is>
      </c>
      <c r="E796" s="11" t="n">
        <v>250</v>
      </c>
      <c r="F796" s="11" t="n">
        <v>80</v>
      </c>
      <c r="G796" s="11" t="n">
        <v>0</v>
      </c>
      <c r="H796" s="15">
        <f>IF(F796&gt;=E796,(E796-0.5)/E796,IF(G796&gt;0,(F796+0.5*G796)/E796,F796/E796))</f>
        <v/>
      </c>
      <c r="I796" s="11" t="inlineStr">
        <is>
          <t>中间分位</t>
        </is>
      </c>
      <c r="J796" s="11" t="inlineStr"/>
    </row>
    <row r="797">
      <c r="A797" s="6" t="inlineStr">
        <is>
          <t>2025-12-30</t>
        </is>
      </c>
      <c r="B797" s="16" t="n">
        <v>-0.0300951178412103</v>
      </c>
      <c r="C797" s="6" t="inlineStr">
        <is>
          <t>2024-12-17</t>
        </is>
      </c>
      <c r="D797" s="6" t="inlineStr">
        <is>
          <t>2025-12-29</t>
        </is>
      </c>
      <c r="E797" s="6" t="n">
        <v>250</v>
      </c>
      <c r="F797" s="6" t="n">
        <v>37</v>
      </c>
      <c r="G797" s="6" t="n">
        <v>0</v>
      </c>
      <c r="H797" s="10">
        <f>IF(F797&gt;=E797,(E797-0.5)/E797,IF(G797&gt;0,(F797+0.5*G797)/E797,F797/E797))</f>
        <v/>
      </c>
      <c r="I797" s="6" t="inlineStr">
        <is>
          <t>中间分位</t>
        </is>
      </c>
      <c r="J797" s="6" t="inlineStr"/>
    </row>
    <row r="798">
      <c r="A798" s="11" t="inlineStr">
        <is>
          <t>2025-12-31</t>
        </is>
      </c>
      <c r="B798" s="17" t="n">
        <v>-0.007272727272727273</v>
      </c>
      <c r="C798" s="11" t="inlineStr">
        <is>
          <t>2024-12-18</t>
        </is>
      </c>
      <c r="D798" s="11" t="inlineStr">
        <is>
          <t>2025-12-30</t>
        </is>
      </c>
      <c r="E798" s="11" t="n">
        <v>250</v>
      </c>
      <c r="F798" s="11" t="n">
        <v>72</v>
      </c>
      <c r="G798" s="11" t="n">
        <v>0</v>
      </c>
      <c r="H798" s="15">
        <f>IF(F798&gt;=E798,(E798-0.5)/E798,IF(G798&gt;0,(F798+0.5*G798)/E798,F798/E798))</f>
        <v/>
      </c>
      <c r="I798" s="11" t="inlineStr">
        <is>
          <t>中间分位</t>
        </is>
      </c>
      <c r="J798" s="11" t="inlineStr"/>
    </row>
    <row r="799">
      <c r="A799" s="6" t="inlineStr">
        <is>
          <t>2026-01-05</t>
        </is>
      </c>
      <c r="B799" s="16" t="n">
        <v>0.0133630289532294</v>
      </c>
      <c r="C799" s="6" t="inlineStr">
        <is>
          <t>2024-12-19</t>
        </is>
      </c>
      <c r="D799" s="6" t="inlineStr">
        <is>
          <t>2025-12-31</t>
        </is>
      </c>
      <c r="E799" s="6" t="n">
        <v>250</v>
      </c>
      <c r="F799" s="6" t="n">
        <v>130</v>
      </c>
      <c r="G799" s="6" t="n">
        <v>0</v>
      </c>
      <c r="H799" s="10">
        <f>IF(F799&gt;=E799,(E799-0.5)/E799,IF(G799&gt;0,(F799+0.5*G799)/E799,F799/E799))</f>
        <v/>
      </c>
      <c r="I799" s="6" t="inlineStr">
        <is>
          <t>中间分位</t>
        </is>
      </c>
      <c r="J799" s="6" t="inlineStr"/>
    </row>
    <row r="800">
      <c r="A800" s="11" t="inlineStr">
        <is>
          <t>2026-01-06</t>
        </is>
      </c>
      <c r="B800" s="17" t="n">
        <v>-0.03094637550187261</v>
      </c>
      <c r="C800" s="11" t="inlineStr">
        <is>
          <t>2024-12-20</t>
        </is>
      </c>
      <c r="D800" s="11" t="inlineStr">
        <is>
          <t>2026-01-05</t>
        </is>
      </c>
      <c r="E800" s="11" t="n">
        <v>250</v>
      </c>
      <c r="F800" s="11" t="n">
        <v>36</v>
      </c>
      <c r="G800" s="11" t="n">
        <v>0</v>
      </c>
      <c r="H800" s="15">
        <f>IF(F800&gt;=E800,(E800-0.5)/E800,IF(G800&gt;0,(F800+0.5*G800)/E800,F800/E800))</f>
        <v/>
      </c>
      <c r="I800" s="11" t="inlineStr">
        <is>
          <t>中间分位</t>
        </is>
      </c>
      <c r="J800" s="11" t="inlineStr"/>
    </row>
    <row r="801">
      <c r="A801" s="6" t="inlineStr">
        <is>
          <t>2026-01-07</t>
        </is>
      </c>
      <c r="B801" s="16" t="n">
        <v>0.004610318331503842</v>
      </c>
      <c r="C801" s="6" t="inlineStr">
        <is>
          <t>2024-12-23</t>
        </is>
      </c>
      <c r="D801" s="6" t="inlineStr">
        <is>
          <t>2026-01-06</t>
        </is>
      </c>
      <c r="E801" s="6" t="n">
        <v>250</v>
      </c>
      <c r="F801" s="6" t="n">
        <v>107</v>
      </c>
      <c r="G801" s="6" t="n">
        <v>0</v>
      </c>
      <c r="H801" s="10">
        <f>IF(F801&gt;=E801,(E801-0.5)/E801,IF(G801&gt;0,(F801+0.5*G801)/E801,F801/E801))</f>
        <v/>
      </c>
      <c r="I801" s="6" t="inlineStr">
        <is>
          <t>中间分位</t>
        </is>
      </c>
      <c r="J801" s="6" t="inlineStr"/>
    </row>
    <row r="802">
      <c r="A802" s="11" t="inlineStr">
        <is>
          <t>2026-01-08</t>
        </is>
      </c>
      <c r="B802" s="17" t="n">
        <v>0.02041712403951701</v>
      </c>
      <c r="C802" s="11" t="inlineStr">
        <is>
          <t>2024-12-24</t>
        </is>
      </c>
      <c r="D802" s="11" t="inlineStr">
        <is>
          <t>2026-01-07</t>
        </is>
      </c>
      <c r="E802" s="11" t="n">
        <v>250</v>
      </c>
      <c r="F802" s="11" t="n">
        <v>144</v>
      </c>
      <c r="G802" s="11" t="n">
        <v>0</v>
      </c>
      <c r="H802" s="15">
        <f>IF(F802&gt;=E802,(E802-0.5)/E802,IF(G802&gt;0,(F802+0.5*G802)/E802,F802/E802))</f>
        <v/>
      </c>
      <c r="I802" s="11" t="inlineStr">
        <is>
          <t>中间分位</t>
        </is>
      </c>
      <c r="J802" s="11" t="inlineStr"/>
    </row>
    <row r="803">
      <c r="A803" s="6" t="inlineStr">
        <is>
          <t>2026-01-09</t>
        </is>
      </c>
      <c r="B803" s="16" t="n">
        <v>-0.01435628762556731</v>
      </c>
      <c r="C803" s="6" t="inlineStr">
        <is>
          <t>2024-12-25</t>
        </is>
      </c>
      <c r="D803" s="6" t="inlineStr">
        <is>
          <t>2026-01-08</t>
        </is>
      </c>
      <c r="E803" s="6" t="n">
        <v>250</v>
      </c>
      <c r="F803" s="6" t="n">
        <v>60</v>
      </c>
      <c r="G803" s="6" t="n">
        <v>0</v>
      </c>
      <c r="H803" s="10">
        <f>IF(F803&gt;=E803,(E803-0.5)/E803,IF(G803&gt;0,(F803+0.5*G803)/E803,F803/E803))</f>
        <v/>
      </c>
      <c r="I803" s="6" t="inlineStr">
        <is>
          <t>中间分位</t>
        </is>
      </c>
      <c r="J803" s="6" t="inlineStr"/>
    </row>
    <row r="804">
      <c r="A804" s="11" t="inlineStr">
        <is>
          <t>2026-01-12</t>
        </is>
      </c>
      <c r="B804" s="17" t="n">
        <v>0.001248990436175706</v>
      </c>
      <c r="C804" s="11" t="inlineStr">
        <is>
          <t>2024-12-26</t>
        </is>
      </c>
      <c r="D804" s="11" t="inlineStr">
        <is>
          <t>2026-01-09</t>
        </is>
      </c>
      <c r="E804" s="11" t="n">
        <v>250</v>
      </c>
      <c r="F804" s="11" t="n">
        <v>102</v>
      </c>
      <c r="G804" s="11" t="n">
        <v>0</v>
      </c>
      <c r="H804" s="15">
        <f>IF(F804&gt;=E804,(E804-0.5)/E804,IF(G804&gt;0,(F804+0.5*G804)/E804,F804/E804))</f>
        <v/>
      </c>
      <c r="I804" s="11" t="inlineStr">
        <is>
          <t>中间分位</t>
        </is>
      </c>
      <c r="J804" s="11" t="inlineStr"/>
    </row>
    <row r="805">
      <c r="A805" s="6" t="inlineStr">
        <is>
          <t>2026-01-13</t>
        </is>
      </c>
      <c r="B805" s="16" t="n">
        <v>-0.004291426466607199</v>
      </c>
      <c r="C805" s="6" t="inlineStr">
        <is>
          <t>2024-12-27</t>
        </is>
      </c>
      <c r="D805" s="6" t="inlineStr">
        <is>
          <t>2026-01-12</t>
        </is>
      </c>
      <c r="E805" s="6" t="n">
        <v>250</v>
      </c>
      <c r="F805" s="6" t="n">
        <v>87</v>
      </c>
      <c r="G805" s="6" t="n">
        <v>0</v>
      </c>
      <c r="H805" s="10">
        <f>IF(F805&gt;=E805,(E805-0.5)/E805,IF(G805&gt;0,(F805+0.5*G805)/E805,F805/E805))</f>
        <v/>
      </c>
      <c r="I805" s="6" t="inlineStr">
        <is>
          <t>中间分位</t>
        </is>
      </c>
      <c r="J805" s="6" t="inlineStr"/>
    </row>
    <row r="806">
      <c r="A806" s="11" t="inlineStr">
        <is>
          <t>2026-01-14</t>
        </is>
      </c>
      <c r="B806" s="17" t="n">
        <v>-0.01953060597013595</v>
      </c>
      <c r="C806" s="11" t="inlineStr">
        <is>
          <t>2024-12-30</t>
        </is>
      </c>
      <c r="D806" s="11" t="inlineStr">
        <is>
          <t>2026-01-13</t>
        </is>
      </c>
      <c r="E806" s="11" t="n">
        <v>250</v>
      </c>
      <c r="F806" s="11" t="n">
        <v>53</v>
      </c>
      <c r="G806" s="11" t="n">
        <v>0</v>
      </c>
      <c r="H806" s="15">
        <f>IF(F806&gt;=E806,(E806-0.5)/E806,IF(G806&gt;0,(F806+0.5*G806)/E806,F806/E806))</f>
        <v/>
      </c>
      <c r="I806" s="11" t="inlineStr">
        <is>
          <t>中间分位</t>
        </is>
      </c>
      <c r="J806" s="11" t="inlineStr"/>
    </row>
    <row r="807">
      <c r="A807" s="6" t="inlineStr">
        <is>
          <t>2026-01-15</t>
        </is>
      </c>
      <c r="B807" s="16" t="n">
        <v>-0.001687841810001014</v>
      </c>
      <c r="C807" s="6" t="inlineStr">
        <is>
          <t>2024-12-31</t>
        </is>
      </c>
      <c r="D807" s="6" t="inlineStr">
        <is>
          <t>2026-01-14</t>
        </is>
      </c>
      <c r="E807" s="6" t="n">
        <v>250</v>
      </c>
      <c r="F807" s="6" t="n">
        <v>95</v>
      </c>
      <c r="G807" s="6" t="n">
        <v>0</v>
      </c>
      <c r="H807" s="10">
        <f>IF(F807&gt;=E807,(E807-0.5)/E807,IF(G807&gt;0,(F807+0.5*G807)/E807,F807/E807))</f>
        <v/>
      </c>
      <c r="I807" s="6" t="inlineStr">
        <is>
          <t>中间分位</t>
        </is>
      </c>
      <c r="J807" s="6" t="inlineStr"/>
    </row>
    <row r="808">
      <c r="A808" s="11" t="inlineStr">
        <is>
          <t>2026-01-16</t>
        </is>
      </c>
      <c r="B808" s="17" t="n">
        <v>0.005255838957184684</v>
      </c>
      <c r="C808" s="11" t="inlineStr">
        <is>
          <t>2025-01-02</t>
        </is>
      </c>
      <c r="D808" s="11" t="inlineStr">
        <is>
          <t>2026-01-15</t>
        </is>
      </c>
      <c r="E808" s="11" t="n">
        <v>250</v>
      </c>
      <c r="F808" s="11" t="n">
        <v>114</v>
      </c>
      <c r="G808" s="11" t="n">
        <v>0</v>
      </c>
      <c r="H808" s="15">
        <f>IF(F808&gt;=E808,(E808-0.5)/E808,IF(G808&gt;0,(F808+0.5*G808)/E808,F808/E808))</f>
        <v/>
      </c>
      <c r="I808" s="11" t="inlineStr">
        <is>
          <t>中间分位</t>
        </is>
      </c>
      <c r="J808" s="11" t="inlineStr"/>
    </row>
    <row r="809">
      <c r="A809" s="6" t="inlineStr">
        <is>
          <t>2026-01-19</t>
        </is>
      </c>
      <c r="B809" s="16" t="n">
        <v>0.003603603603603604</v>
      </c>
      <c r="C809" s="6" t="inlineStr">
        <is>
          <t>2025-01-03</t>
        </is>
      </c>
      <c r="D809" s="6" t="inlineStr">
        <is>
          <t>2026-01-16</t>
        </is>
      </c>
      <c r="E809" s="6" t="n">
        <v>250</v>
      </c>
      <c r="F809" s="6" t="n">
        <v>110</v>
      </c>
      <c r="G809" s="6" t="n">
        <v>0</v>
      </c>
      <c r="H809" s="10">
        <f>IF(F809&gt;=E809,(E809-0.5)/E809,IF(G809&gt;0,(F809+0.5*G809)/E809,F809/E809))</f>
        <v/>
      </c>
      <c r="I809" s="6" t="inlineStr">
        <is>
          <t>中间分位</t>
        </is>
      </c>
      <c r="J809" s="6" t="inlineStr"/>
    </row>
    <row r="810">
      <c r="A810" s="11" t="inlineStr">
        <is>
          <t>2026-01-20</t>
        </is>
      </c>
      <c r="B810" s="17" t="n">
        <v>0.005558235249038691</v>
      </c>
      <c r="C810" s="11" t="inlineStr">
        <is>
          <t>2025-01-06</t>
        </is>
      </c>
      <c r="D810" s="11" t="inlineStr">
        <is>
          <t>2026-01-19</t>
        </is>
      </c>
      <c r="E810" s="11" t="n">
        <v>250</v>
      </c>
      <c r="F810" s="11" t="n">
        <v>117</v>
      </c>
      <c r="G810" s="11" t="n">
        <v>0</v>
      </c>
      <c r="H810" s="15">
        <f>IF(F810&gt;=E810,(E810-0.5)/E810,IF(G810&gt;0,(F810+0.5*G810)/E810,F810/E810))</f>
        <v/>
      </c>
      <c r="I810" s="11" t="inlineStr">
        <is>
          <t>中间分位</t>
        </is>
      </c>
      <c r="J810" s="11" t="inlineStr"/>
    </row>
    <row r="811">
      <c r="A811" s="6" t="inlineStr">
        <is>
          <t>2026-01-21</t>
        </is>
      </c>
      <c r="B811" s="16" t="n">
        <v>-0.0018140589569161</v>
      </c>
      <c r="C811" s="6" t="inlineStr">
        <is>
          <t>2025-01-07</t>
        </is>
      </c>
      <c r="D811" s="6" t="inlineStr">
        <is>
          <t>2026-01-20</t>
        </is>
      </c>
      <c r="E811" s="6" t="n">
        <v>250</v>
      </c>
      <c r="F811" s="6" t="n">
        <v>95</v>
      </c>
      <c r="G811" s="6" t="n">
        <v>0</v>
      </c>
      <c r="H811" s="10">
        <f>IF(F811&gt;=E811,(E811-0.5)/E811,IF(G811&gt;0,(F811+0.5*G811)/E811,F811/E811))</f>
        <v/>
      </c>
      <c r="I811" s="6" t="inlineStr">
        <is>
          <t>中间分位</t>
        </is>
      </c>
      <c r="J811" s="6" t="inlineStr"/>
    </row>
    <row r="812">
      <c r="A812" s="11" t="inlineStr">
        <is>
          <t>2026-01-22</t>
        </is>
      </c>
      <c r="B812" s="17" t="n">
        <v>-0.01878440087813806</v>
      </c>
      <c r="C812" s="11" t="inlineStr">
        <is>
          <t>2025-01-08</t>
        </is>
      </c>
      <c r="D812" s="11" t="inlineStr">
        <is>
          <t>2026-01-21</t>
        </is>
      </c>
      <c r="E812" s="11" t="n">
        <v>250</v>
      </c>
      <c r="F812" s="11" t="n">
        <v>56</v>
      </c>
      <c r="G812" s="11" t="n">
        <v>0</v>
      </c>
      <c r="H812" s="15">
        <f>IF(F812&gt;=E812,(E812-0.5)/E812,IF(G812&gt;0,(F812+0.5*G812)/E812,F812/E812))</f>
        <v/>
      </c>
      <c r="I812" s="11" t="inlineStr">
        <is>
          <t>中间分位</t>
        </is>
      </c>
      <c r="J812" s="11" t="inlineStr"/>
    </row>
    <row r="813">
      <c r="A813" s="6" t="inlineStr">
        <is>
          <t>2026-01-23</t>
        </is>
      </c>
      <c r="B813" s="16" t="n">
        <v>-0.03242385986351159</v>
      </c>
      <c r="C813" s="6" t="inlineStr">
        <is>
          <t>2025-01-09</t>
        </is>
      </c>
      <c r="D813" s="6" t="inlineStr">
        <is>
          <t>2026-01-22</t>
        </is>
      </c>
      <c r="E813" s="6" t="n">
        <v>250</v>
      </c>
      <c r="F813" s="6" t="n">
        <v>34</v>
      </c>
      <c r="G813" s="6" t="n">
        <v>0</v>
      </c>
      <c r="H813" s="10">
        <f>IF(F813&gt;=E813,(E813-0.5)/E813,IF(G813&gt;0,(F813+0.5*G813)/E813,F813/E813))</f>
        <v/>
      </c>
      <c r="I813" s="6" t="inlineStr">
        <is>
          <t>中间分位</t>
        </is>
      </c>
      <c r="J813" s="6" t="inlineStr"/>
    </row>
    <row r="814">
      <c r="A814" s="11" t="inlineStr">
        <is>
          <t>2026-01-26</t>
        </is>
      </c>
      <c r="B814" s="17" t="n">
        <v>-0.02788471224045583</v>
      </c>
      <c r="C814" s="11" t="inlineStr">
        <is>
          <t>2025-01-10</t>
        </is>
      </c>
      <c r="D814" s="11" t="inlineStr">
        <is>
          <t>2026-01-23</t>
        </is>
      </c>
      <c r="E814" s="11" t="n">
        <v>250</v>
      </c>
      <c r="F814" s="11" t="n">
        <v>41</v>
      </c>
      <c r="G814" s="11" t="n">
        <v>0</v>
      </c>
      <c r="H814" s="15">
        <f>IF(F814&gt;=E814,(E814-0.5)/E814,IF(G814&gt;0,(F814+0.5*G814)/E814,F814/E814))</f>
        <v/>
      </c>
      <c r="I814" s="11" t="inlineStr">
        <is>
          <t>中间分位</t>
        </is>
      </c>
      <c r="J814" s="11" t="inlineStr"/>
    </row>
    <row r="815">
      <c r="A815" s="6" t="inlineStr">
        <is>
          <t>2026-01-27</t>
        </is>
      </c>
      <c r="B815" s="16" t="n">
        <v>0.004751619870410367</v>
      </c>
      <c r="C815" s="6" t="inlineStr">
        <is>
          <t>2025-01-13</t>
        </is>
      </c>
      <c r="D815" s="6" t="inlineStr">
        <is>
          <t>2026-01-26</t>
        </is>
      </c>
      <c r="E815" s="6" t="n">
        <v>250</v>
      </c>
      <c r="F815" s="6" t="n">
        <v>118</v>
      </c>
      <c r="G815" s="6" t="n">
        <v>0</v>
      </c>
      <c r="H815" s="10">
        <f>IF(F815&gt;=E815,(E815-0.5)/E815,IF(G815&gt;0,(F815+0.5*G815)/E815,F815/E815))</f>
        <v/>
      </c>
      <c r="I815" s="6" t="inlineStr">
        <is>
          <t>中间分位</t>
        </is>
      </c>
      <c r="J815" s="6" t="inlineStr"/>
    </row>
    <row r="816">
      <c r="A816" s="11" t="inlineStr">
        <is>
          <t>2026-01-28</t>
        </is>
      </c>
      <c r="B816" s="17" t="n">
        <v>-0.02850710369057722</v>
      </c>
      <c r="C816" s="11" t="inlineStr">
        <is>
          <t>2025-01-14</t>
        </is>
      </c>
      <c r="D816" s="11" t="inlineStr">
        <is>
          <t>2026-01-27</t>
        </is>
      </c>
      <c r="E816" s="11" t="n">
        <v>250</v>
      </c>
      <c r="F816" s="11" t="n">
        <v>41</v>
      </c>
      <c r="G816" s="11" t="n">
        <v>0</v>
      </c>
      <c r="H816" s="15">
        <f>IF(F816&gt;=E816,(E816-0.5)/E816,IF(G816&gt;0,(F816+0.5*G816)/E816,F816/E816))</f>
        <v/>
      </c>
      <c r="I816" s="11" t="inlineStr">
        <is>
          <t>中间分位</t>
        </is>
      </c>
      <c r="J816" s="11" t="inlineStr"/>
    </row>
    <row r="817">
      <c r="A817" s="6" t="inlineStr">
        <is>
          <t>2026-01-29</t>
        </is>
      </c>
      <c r="B817" s="16" t="n">
        <v>-0.02782378415700533</v>
      </c>
      <c r="C817" s="6" t="inlineStr">
        <is>
          <t>2025-01-15</t>
        </is>
      </c>
      <c r="D817" s="6" t="inlineStr">
        <is>
          <t>2026-01-28</t>
        </is>
      </c>
      <c r="E817" s="6" t="n">
        <v>250</v>
      </c>
      <c r="F817" s="6" t="n">
        <v>44</v>
      </c>
      <c r="G817" s="6" t="n">
        <v>0</v>
      </c>
      <c r="H817" s="10">
        <f>IF(F817&gt;=E817,(E817-0.5)/E817,IF(G817&gt;0,(F817+0.5*G817)/E817,F817/E817))</f>
        <v/>
      </c>
      <c r="I817" s="6" t="inlineStr">
        <is>
          <t>中间分位</t>
        </is>
      </c>
      <c r="J817" s="6" t="inlineStr"/>
    </row>
    <row r="818">
      <c r="A818" s="11" t="inlineStr">
        <is>
          <t>2026-01-30</t>
        </is>
      </c>
      <c r="B818" s="17" t="n">
        <v>-0.01568622300441736</v>
      </c>
      <c r="C818" s="11" t="inlineStr">
        <is>
          <t>2025-01-16</t>
        </is>
      </c>
      <c r="D818" s="11" t="inlineStr">
        <is>
          <t>2026-01-29</t>
        </is>
      </c>
      <c r="E818" s="11" t="n">
        <v>250</v>
      </c>
      <c r="F818" s="11" t="n">
        <v>65</v>
      </c>
      <c r="G818" s="11" t="n">
        <v>0</v>
      </c>
      <c r="H818" s="15">
        <f>IF(F818&gt;=E818,(E818-0.5)/E818,IF(G818&gt;0,(F818+0.5*G818)/E818,F818/E818))</f>
        <v/>
      </c>
      <c r="I818" s="11" t="inlineStr">
        <is>
          <t>中间分位</t>
        </is>
      </c>
      <c r="J818" s="11" t="inlineStr"/>
    </row>
    <row r="819">
      <c r="A819" s="6" t="inlineStr">
        <is>
          <t>2026-02-02</t>
        </is>
      </c>
      <c r="B819" s="16" t="n">
        <v>0.005739514348785872</v>
      </c>
      <c r="C819" s="6" t="inlineStr">
        <is>
          <t>2025-01-17</t>
        </is>
      </c>
      <c r="D819" s="6" t="inlineStr">
        <is>
          <t>2026-01-30</t>
        </is>
      </c>
      <c r="E819" s="6" t="n">
        <v>250</v>
      </c>
      <c r="F819" s="6" t="n">
        <v>127</v>
      </c>
      <c r="G819" s="6" t="n">
        <v>0</v>
      </c>
      <c r="H819" s="10">
        <f>IF(F819&gt;=E819,(E819-0.5)/E819,IF(G819&gt;0,(F819+0.5*G819)/E819,F819/E819))</f>
        <v/>
      </c>
      <c r="I819" s="6" t="inlineStr">
        <is>
          <t>中间分位</t>
        </is>
      </c>
      <c r="J819" s="6" t="inlineStr"/>
    </row>
    <row r="820">
      <c r="A820" s="11" t="inlineStr">
        <is>
          <t>2026-02-03</t>
        </is>
      </c>
      <c r="B820" s="17" t="n">
        <v>-0.01064619287285288</v>
      </c>
      <c r="C820" s="11" t="inlineStr">
        <is>
          <t>2025-01-20</t>
        </is>
      </c>
      <c r="D820" s="11" t="inlineStr">
        <is>
          <t>2026-02-02</t>
        </is>
      </c>
      <c r="E820" s="11" t="n">
        <v>250</v>
      </c>
      <c r="F820" s="11" t="n">
        <v>73</v>
      </c>
      <c r="G820" s="11" t="n">
        <v>0</v>
      </c>
      <c r="H820" s="15">
        <f>IF(F820&gt;=E820,(E820-0.5)/E820,IF(G820&gt;0,(F820+0.5*G820)/E820,F820/E820))</f>
        <v/>
      </c>
      <c r="I820" s="11" t="inlineStr">
        <is>
          <t>中间分位</t>
        </is>
      </c>
      <c r="J820" s="11" t="inlineStr"/>
    </row>
    <row r="821">
      <c r="A821" s="6" t="inlineStr">
        <is>
          <t>2026-02-04</t>
        </is>
      </c>
      <c r="B821" s="16" t="n">
        <v>-0.02889390519187359</v>
      </c>
      <c r="C821" s="6" t="inlineStr">
        <is>
          <t>2025-01-21</t>
        </is>
      </c>
      <c r="D821" s="6" t="inlineStr">
        <is>
          <t>2026-02-03</t>
        </is>
      </c>
      <c r="E821" s="6" t="n">
        <v>250</v>
      </c>
      <c r="F821" s="6" t="n">
        <v>41</v>
      </c>
      <c r="G821" s="6" t="n">
        <v>0</v>
      </c>
      <c r="H821" s="10">
        <f>IF(F821&gt;=E821,(E821-0.5)/E821,IF(G821&gt;0,(F821+0.5*G821)/E821,F821/E821))</f>
        <v/>
      </c>
      <c r="I821" s="6" t="inlineStr">
        <is>
          <t>中间分位</t>
        </is>
      </c>
      <c r="J821" s="6" t="inlineStr"/>
    </row>
    <row r="822">
      <c r="A822" s="11" t="inlineStr">
        <is>
          <t>2026-02-05</t>
        </is>
      </c>
      <c r="B822" s="17" t="n">
        <v>0.002988793145940036</v>
      </c>
      <c r="C822" s="11" t="inlineStr">
        <is>
          <t>2025-01-22</t>
        </is>
      </c>
      <c r="D822" s="11" t="inlineStr">
        <is>
          <t>2026-02-04</t>
        </is>
      </c>
      <c r="E822" s="11" t="n">
        <v>250</v>
      </c>
      <c r="F822" s="11" t="n">
        <v>119</v>
      </c>
      <c r="G822" s="11" t="n">
        <v>0</v>
      </c>
      <c r="H822" s="15">
        <f>IF(F822&gt;=E822,(E822-0.5)/E822,IF(G822&gt;0,(F822+0.5*G822)/E822,F822/E822))</f>
        <v/>
      </c>
      <c r="I822" s="11" t="inlineStr">
        <is>
          <t>中间分位</t>
        </is>
      </c>
      <c r="J822" s="11" t="inlineStr"/>
    </row>
    <row r="823">
      <c r="A823" s="6" t="inlineStr">
        <is>
          <t>2026-02-06</t>
        </is>
      </c>
      <c r="B823" s="16" t="n">
        <v>-0.02</v>
      </c>
      <c r="C823" s="6" t="inlineStr">
        <is>
          <t>2025-01-23</t>
        </is>
      </c>
      <c r="D823" s="6" t="inlineStr">
        <is>
          <t>2026-02-05</t>
        </is>
      </c>
      <c r="E823" s="6" t="n">
        <v>250</v>
      </c>
      <c r="F823" s="6" t="n">
        <v>58</v>
      </c>
      <c r="G823" s="6" t="n">
        <v>0</v>
      </c>
      <c r="H823" s="10">
        <f>IF(F823&gt;=E823,(E823-0.5)/E823,IF(G823&gt;0,(F823+0.5*G823)/E823,F823/E823))</f>
        <v/>
      </c>
      <c r="I823" s="6" t="inlineStr">
        <is>
          <t>中间分位</t>
        </is>
      </c>
      <c r="J823" s="6" t="inlineStr"/>
    </row>
    <row r="824">
      <c r="A824" s="11" t="inlineStr">
        <is>
          <t>2026-02-09</t>
        </is>
      </c>
      <c r="B824" s="17" t="n">
        <v>-0.003449780284528163</v>
      </c>
      <c r="C824" s="11" t="inlineStr">
        <is>
          <t>2025-01-24</t>
        </is>
      </c>
      <c r="D824" s="11" t="inlineStr">
        <is>
          <t>2026-02-06</t>
        </is>
      </c>
      <c r="E824" s="11" t="n">
        <v>250</v>
      </c>
      <c r="F824" s="11" t="n">
        <v>99</v>
      </c>
      <c r="G824" s="11" t="n">
        <v>0</v>
      </c>
      <c r="H824" s="15">
        <f>IF(F824&gt;=E824,(E824-0.5)/E824,IF(G824&gt;0,(F824+0.5*G824)/E824,F824/E824))</f>
        <v/>
      </c>
      <c r="I824" s="11" t="inlineStr">
        <is>
          <t>中间分位</t>
        </is>
      </c>
      <c r="J824" s="11" t="inlineStr"/>
    </row>
    <row r="825">
      <c r="A825" s="6" t="inlineStr">
        <is>
          <t>2026-02-10</t>
        </is>
      </c>
      <c r="B825" s="16" t="n">
        <v>-0.01402714932126697</v>
      </c>
      <c r="C825" s="6" t="inlineStr">
        <is>
          <t>2025-01-27</t>
        </is>
      </c>
      <c r="D825" s="6" t="inlineStr">
        <is>
          <t>2026-02-09</t>
        </is>
      </c>
      <c r="E825" s="6" t="n">
        <v>250</v>
      </c>
      <c r="F825" s="6" t="n">
        <v>70</v>
      </c>
      <c r="G825" s="6" t="n">
        <v>0</v>
      </c>
      <c r="H825" s="10">
        <f>IF(F825&gt;=E825,(E825-0.5)/E825,IF(G825&gt;0,(F825+0.5*G825)/E825,F825/E825))</f>
        <v/>
      </c>
      <c r="I825" s="6" t="inlineStr">
        <is>
          <t>中间分位</t>
        </is>
      </c>
      <c r="J825" s="6" t="inlineStr"/>
    </row>
    <row r="826">
      <c r="A826" s="11" t="inlineStr">
        <is>
          <t>2026-02-11</t>
        </is>
      </c>
      <c r="B826" s="17" t="n">
        <v>-0.01261261261261261</v>
      </c>
      <c r="C826" s="11" t="inlineStr">
        <is>
          <t>2025-02-05</t>
        </is>
      </c>
      <c r="D826" s="11" t="inlineStr">
        <is>
          <t>2026-02-10</t>
        </is>
      </c>
      <c r="E826" s="11" t="n">
        <v>250</v>
      </c>
      <c r="F826" s="11" t="n">
        <v>72</v>
      </c>
      <c r="G826" s="11" t="n">
        <v>0</v>
      </c>
      <c r="H826" s="15">
        <f>IF(F826&gt;=E826,(E826-0.5)/E826,IF(G826&gt;0,(F826+0.5*G826)/E826,F826/E826))</f>
        <v/>
      </c>
      <c r="I826" s="11" t="inlineStr">
        <is>
          <t>中间分位</t>
        </is>
      </c>
      <c r="J826" s="11" t="inlineStr"/>
    </row>
    <row r="827">
      <c r="A827" s="6" t="inlineStr">
        <is>
          <t>2026-02-12</t>
        </is>
      </c>
      <c r="B827" s="16" t="n">
        <v>-0.004199543586581265</v>
      </c>
      <c r="C827" s="6" t="inlineStr">
        <is>
          <t>2025-02-06</t>
        </is>
      </c>
      <c r="D827" s="6" t="inlineStr">
        <is>
          <t>2026-02-11</t>
        </is>
      </c>
      <c r="E827" s="6" t="n">
        <v>250</v>
      </c>
      <c r="F827" s="6" t="n">
        <v>100</v>
      </c>
      <c r="G827" s="6" t="n">
        <v>0</v>
      </c>
      <c r="H827" s="10">
        <f>IF(F827&gt;=E827,(E827-0.5)/E827,IF(G827&gt;0,(F827+0.5*G827)/E827,F827/E827))</f>
        <v/>
      </c>
      <c r="I827" s="6" t="inlineStr">
        <is>
          <t>中间分位</t>
        </is>
      </c>
      <c r="J827" s="6" t="inlineStr"/>
    </row>
    <row r="828">
      <c r="A828" s="11" t="inlineStr">
        <is>
          <t>2026-02-13</t>
        </is>
      </c>
      <c r="B828" s="17" t="n">
        <v>0.01662921348314607</v>
      </c>
      <c r="C828" s="11" t="inlineStr">
        <is>
          <t>2025-02-07</t>
        </is>
      </c>
      <c r="D828" s="11" t="inlineStr">
        <is>
          <t>2026-02-12</t>
        </is>
      </c>
      <c r="E828" s="11" t="n">
        <v>250</v>
      </c>
      <c r="F828" s="11" t="n">
        <v>161</v>
      </c>
      <c r="G828" s="11" t="n">
        <v>0</v>
      </c>
      <c r="H828" s="15">
        <f>IF(F828&gt;=E828,(E828-0.5)/E828,IF(G828&gt;0,(F828+0.5*G828)/E828,F828/E828))</f>
        <v/>
      </c>
      <c r="I828" s="11" t="inlineStr">
        <is>
          <t>中间分位</t>
        </is>
      </c>
      <c r="J828" s="11" t="inlineStr"/>
    </row>
    <row r="829">
      <c r="A829" s="6" t="inlineStr">
        <is>
          <t>2026-02-24</t>
        </is>
      </c>
      <c r="B829" s="16" t="n">
        <v>-0.03784854224293377</v>
      </c>
      <c r="C829" s="6" t="inlineStr">
        <is>
          <t>2025-02-10</t>
        </is>
      </c>
      <c r="D829" s="6" t="inlineStr">
        <is>
          <t>2026-02-13</t>
        </is>
      </c>
      <c r="E829" s="6" t="n">
        <v>250</v>
      </c>
      <c r="F829" s="6" t="n">
        <v>32</v>
      </c>
      <c r="G829" s="6" t="n">
        <v>0</v>
      </c>
      <c r="H829" s="10">
        <f>IF(F829&gt;=E829,(E829-0.5)/E829,IF(G829&gt;0,(F829+0.5*G829)/E829,F829/E829))</f>
        <v/>
      </c>
      <c r="I829" s="6" t="inlineStr">
        <is>
          <t>中间分位</t>
        </is>
      </c>
      <c r="J829" s="6" t="inlineStr"/>
    </row>
    <row r="830">
      <c r="A830" s="11" t="inlineStr">
        <is>
          <t>2026-02-25</t>
        </is>
      </c>
      <c r="B830" s="17" t="n">
        <v>0.003027710421441332</v>
      </c>
      <c r="C830" s="11" t="inlineStr">
        <is>
          <t>2025-02-11</t>
        </is>
      </c>
      <c r="D830" s="11" t="inlineStr">
        <is>
          <t>2026-02-24</t>
        </is>
      </c>
      <c r="E830" s="11" t="n">
        <v>250</v>
      </c>
      <c r="F830" s="11" t="n">
        <v>126</v>
      </c>
      <c r="G830" s="11" t="n">
        <v>0</v>
      </c>
      <c r="H830" s="15">
        <f>IF(F830&gt;=E830,(E830-0.5)/E830,IF(G830&gt;0,(F830+0.5*G830)/E830,F830/E830))</f>
        <v/>
      </c>
      <c r="I830" s="11" t="inlineStr">
        <is>
          <t>中间分位</t>
        </is>
      </c>
      <c r="J830" s="11" t="inlineStr"/>
    </row>
    <row r="831">
      <c r="A831" s="6" t="inlineStr">
        <is>
          <t>2026-02-26</t>
        </is>
      </c>
      <c r="B831" s="16" t="n">
        <v>0.007856341189674524</v>
      </c>
      <c r="C831" s="6" t="inlineStr">
        <is>
          <t>2025-02-12</t>
        </is>
      </c>
      <c r="D831" s="6" t="inlineStr">
        <is>
          <t>2026-02-25</t>
        </is>
      </c>
      <c r="E831" s="6" t="n">
        <v>250</v>
      </c>
      <c r="F831" s="6" t="n">
        <v>139</v>
      </c>
      <c r="G831" s="6" t="n">
        <v>0</v>
      </c>
      <c r="H831" s="10">
        <f>IF(F831&gt;=E831,(E831-0.5)/E831,IF(G831&gt;0,(F831+0.5*G831)/E831,F831/E831))</f>
        <v/>
      </c>
      <c r="I831" s="6" t="inlineStr">
        <is>
          <t>中间分位</t>
        </is>
      </c>
      <c r="J831" s="6" t="inlineStr"/>
    </row>
    <row r="832">
      <c r="A832" s="11" t="inlineStr">
        <is>
          <t>2026-02-27</t>
        </is>
      </c>
      <c r="B832" s="17" t="n">
        <v>0.003124671177538967</v>
      </c>
      <c r="C832" s="11" t="inlineStr">
        <is>
          <t>2025-02-13</t>
        </is>
      </c>
      <c r="D832" s="11" t="inlineStr">
        <is>
          <t>2026-02-26</t>
        </is>
      </c>
      <c r="E832" s="11" t="n">
        <v>250</v>
      </c>
      <c r="F832" s="11" t="n">
        <v>127</v>
      </c>
      <c r="G832" s="11" t="n">
        <v>0</v>
      </c>
      <c r="H832" s="15">
        <f>IF(F832&gt;=E832,(E832-0.5)/E832,IF(G832&gt;0,(F832+0.5*G832)/E832,F832/E832))</f>
        <v/>
      </c>
      <c r="I832" s="11" t="inlineStr">
        <is>
          <t>中间分位</t>
        </is>
      </c>
      <c r="J832" s="11" t="inlineStr"/>
    </row>
    <row r="833">
      <c r="A833" s="6" t="inlineStr">
        <is>
          <t>2026-03-02</t>
        </is>
      </c>
      <c r="B833" s="16" t="n">
        <v>-0.075</v>
      </c>
      <c r="C833" s="6" t="inlineStr">
        <is>
          <t>2025-02-14</t>
        </is>
      </c>
      <c r="D833" s="6" t="inlineStr">
        <is>
          <t>2026-02-27</t>
        </is>
      </c>
      <c r="E833" s="6" t="n">
        <v>250</v>
      </c>
      <c r="F833" s="6" t="n">
        <v>1</v>
      </c>
      <c r="G833" s="6" t="n">
        <v>0</v>
      </c>
      <c r="H833" s="10">
        <f>IF(F833&gt;=E833,(E833-0.5)/E833,IF(G833&gt;0,(F833+0.5*G833)/E833,F833/E833))</f>
        <v/>
      </c>
      <c r="I833" s="6" t="inlineStr">
        <is>
          <t>低分位</t>
        </is>
      </c>
      <c r="J833" s="6" t="inlineStr"/>
    </row>
    <row r="834">
      <c r="A834" s="11" t="inlineStr">
        <is>
          <t>2026-03-03</t>
        </is>
      </c>
      <c r="B834" s="17" t="n">
        <v>-0.07890295358649789</v>
      </c>
      <c r="C834" s="11" t="inlineStr">
        <is>
          <t>2025-02-17</t>
        </is>
      </c>
      <c r="D834" s="11" t="inlineStr">
        <is>
          <t>2026-03-02</t>
        </is>
      </c>
      <c r="E834" s="11" t="n">
        <v>250</v>
      </c>
      <c r="F834" s="11" t="n">
        <v>0</v>
      </c>
      <c r="G834" s="11" t="n">
        <v>0</v>
      </c>
      <c r="H834" s="15">
        <f>IF(F834&gt;=E834,(E834-0.5)/E834,IF(G834&gt;0,(F834+0.5*G834)/E834,F834/E834))</f>
        <v/>
      </c>
      <c r="I834" s="11" t="inlineStr">
        <is>
          <t>低分位</t>
        </is>
      </c>
      <c r="J834" s="11" t="inlineStr"/>
    </row>
    <row r="835">
      <c r="A835" s="6" t="inlineStr">
        <is>
          <t>2026-03-04</t>
        </is>
      </c>
      <c r="B835" s="16" t="n">
        <v>-0.00183257270447705</v>
      </c>
      <c r="C835" s="6" t="inlineStr">
        <is>
          <t>2025-02-18</t>
        </is>
      </c>
      <c r="D835" s="6" t="inlineStr">
        <is>
          <t>2026-03-03</t>
        </is>
      </c>
      <c r="E835" s="6" t="n">
        <v>250</v>
      </c>
      <c r="F835" s="6" t="n">
        <v>111</v>
      </c>
      <c r="G835" s="6" t="n">
        <v>0</v>
      </c>
      <c r="H835" s="10">
        <f>IF(F835&gt;=E835,(E835-0.5)/E835,IF(G835&gt;0,(F835+0.5*G835)/E835,F835/E835))</f>
        <v/>
      </c>
      <c r="I835" s="6" t="inlineStr">
        <is>
          <t>中间分位</t>
        </is>
      </c>
      <c r="J835" s="6" t="inlineStr"/>
    </row>
    <row r="836">
      <c r="A836" s="11" t="inlineStr">
        <is>
          <t>2026-03-05</t>
        </is>
      </c>
      <c r="B836" s="17" t="n">
        <v>0.02597784070214191</v>
      </c>
      <c r="C836" s="11" t="inlineStr">
        <is>
          <t>2025-02-19</t>
        </is>
      </c>
      <c r="D836" s="11" t="inlineStr">
        <is>
          <t>2026-03-04</t>
        </is>
      </c>
      <c r="E836" s="11" t="n">
        <v>250</v>
      </c>
      <c r="F836" s="11" t="n">
        <v>183</v>
      </c>
      <c r="G836" s="11" t="n">
        <v>0</v>
      </c>
      <c r="H836" s="15">
        <f>IF(F836&gt;=E836,(E836-0.5)/E836,IF(G836&gt;0,(F836+0.5*G836)/E836,F836/E836))</f>
        <v/>
      </c>
      <c r="I836" s="11" t="inlineStr">
        <is>
          <t>中间分位</t>
        </is>
      </c>
      <c r="J836" s="11" t="inlineStr"/>
    </row>
    <row r="837">
      <c r="A837" s="6" t="inlineStr">
        <is>
          <t>2026-03-06</t>
        </is>
      </c>
      <c r="B837" s="16" t="n">
        <v>-0.0344</v>
      </c>
      <c r="C837" s="6" t="inlineStr">
        <is>
          <t>2025-02-20</t>
        </is>
      </c>
      <c r="D837" s="6" t="inlineStr">
        <is>
          <t>2026-03-05</t>
        </is>
      </c>
      <c r="E837" s="6" t="n">
        <v>250</v>
      </c>
      <c r="F837" s="6" t="n">
        <v>36</v>
      </c>
      <c r="G837" s="6" t="n">
        <v>0</v>
      </c>
      <c r="H837" s="10">
        <f>IF(F837&gt;=E837,(E837-0.5)/E837,IF(G837&gt;0,(F837+0.5*G837)/E837,F837/E837))</f>
        <v/>
      </c>
      <c r="I837" s="6" t="inlineStr">
        <is>
          <t>中间分位</t>
        </is>
      </c>
      <c r="J837" s="6" t="inlineStr"/>
    </row>
    <row r="838">
      <c r="A838" s="11" t="inlineStr">
        <is>
          <t>2026-03-09</t>
        </is>
      </c>
      <c r="B838" s="17" t="n">
        <v>-0.0905587668593449</v>
      </c>
      <c r="C838" s="11" t="inlineStr">
        <is>
          <t>2025-02-21</t>
        </is>
      </c>
      <c r="D838" s="11" t="inlineStr">
        <is>
          <t>2026-03-06</t>
        </is>
      </c>
      <c r="E838" s="11" t="n">
        <v>250</v>
      </c>
      <c r="F838" s="11" t="n">
        <v>0</v>
      </c>
      <c r="G838" s="11" t="n">
        <v>0</v>
      </c>
      <c r="H838" s="15">
        <f>IF(F838&gt;=E838,(E838-0.5)/E838,IF(G838&gt;0,(F838+0.5*G838)/E838,F838/E838))</f>
        <v/>
      </c>
      <c r="I838" s="11" t="inlineStr">
        <is>
          <t>低分位</t>
        </is>
      </c>
      <c r="J838" s="11" t="inlineStr"/>
    </row>
    <row r="839">
      <c r="A839" s="6" t="inlineStr">
        <is>
          <t>2026-03-10</t>
        </is>
      </c>
      <c r="B839" s="16" t="n">
        <v>0.1285470085470085</v>
      </c>
      <c r="C839" s="6" t="inlineStr">
        <is>
          <t>2025-02-24</t>
        </is>
      </c>
      <c r="D839" s="6" t="inlineStr">
        <is>
          <t>2026-03-09</t>
        </is>
      </c>
      <c r="E839" s="6" t="n">
        <v>250</v>
      </c>
      <c r="F839" s="6" t="n">
        <v>247</v>
      </c>
      <c r="G839" s="6" t="n">
        <v>0</v>
      </c>
      <c r="H839" s="10">
        <f>IF(F839&gt;=E839,(E839-0.5)/E839,IF(G839&gt;0,(F839+0.5*G839)/E839,F839/E839))</f>
        <v/>
      </c>
      <c r="I839" s="6" t="inlineStr">
        <is>
          <t>高分位</t>
        </is>
      </c>
      <c r="J839" s="6" t="inlineStr"/>
    </row>
    <row r="840">
      <c r="A840" s="11" t="inlineStr">
        <is>
          <t>2026-03-11</t>
        </is>
      </c>
      <c r="B840" s="17" t="n">
        <v>-0.02493705004762217</v>
      </c>
      <c r="C840" s="11" t="inlineStr">
        <is>
          <t>2025-02-25</t>
        </is>
      </c>
      <c r="D840" s="11" t="inlineStr">
        <is>
          <t>2026-03-10</t>
        </is>
      </c>
      <c r="E840" s="11" t="n">
        <v>250</v>
      </c>
      <c r="F840" s="11" t="n">
        <v>55</v>
      </c>
      <c r="G840" s="11" t="n">
        <v>0</v>
      </c>
      <c r="H840" s="15">
        <f>IF(F840&gt;=E840,(E840-0.5)/E840,IF(G840&gt;0,(F840+0.5*G840)/E840,F840/E840))</f>
        <v/>
      </c>
      <c r="I840" s="11" t="inlineStr">
        <is>
          <t>中间分位</t>
        </is>
      </c>
      <c r="J840" s="11" t="inlineStr"/>
    </row>
    <row r="841">
      <c r="A841" s="6" t="inlineStr">
        <is>
          <t>2026-03-12</t>
        </is>
      </c>
      <c r="B841" s="16" t="n">
        <v>-0.008385953620164761</v>
      </c>
      <c r="C841" s="6" t="inlineStr">
        <is>
          <t>2025-02-26</t>
        </is>
      </c>
      <c r="D841" s="6" t="inlineStr">
        <is>
          <t>2026-03-11</t>
        </is>
      </c>
      <c r="E841" s="6" t="n">
        <v>250</v>
      </c>
      <c r="F841" s="6" t="n">
        <v>88</v>
      </c>
      <c r="G841" s="6" t="n">
        <v>0</v>
      </c>
      <c r="H841" s="10">
        <f>IF(F841&gt;=E841,(E841-0.5)/E841,IF(G841&gt;0,(F841+0.5*G841)/E841,F841/E841))</f>
        <v/>
      </c>
      <c r="I841" s="6" t="inlineStr">
        <is>
          <t>中间分位</t>
        </is>
      </c>
      <c r="J841" s="6" t="inlineStr"/>
    </row>
    <row r="842">
      <c r="A842" s="11" t="inlineStr">
        <is>
          <t>2026-03-13</t>
        </is>
      </c>
      <c r="B842" s="17" t="n">
        <v>-0.02</v>
      </c>
      <c r="C842" s="11" t="inlineStr">
        <is>
          <t>2025-02-27</t>
        </is>
      </c>
      <c r="D842" s="11" t="inlineStr">
        <is>
          <t>2026-03-12</t>
        </is>
      </c>
      <c r="E842" s="11" t="n">
        <v>250</v>
      </c>
      <c r="F842" s="11" t="n">
        <v>64</v>
      </c>
      <c r="G842" s="11" t="n">
        <v>1</v>
      </c>
      <c r="H842" s="15">
        <f>IF(F842&gt;=E842,(E842-0.5)/E842,IF(G842&gt;0,(F842+0.5*G842)/E842,F842/E842))</f>
        <v/>
      </c>
      <c r="I842" s="11" t="inlineStr">
        <is>
          <t>中间分位</t>
        </is>
      </c>
      <c r="J842" s="11" t="inlineStr"/>
    </row>
    <row r="843">
      <c r="A843" s="6" t="inlineStr">
        <is>
          <t>2026-03-16</t>
        </is>
      </c>
      <c r="B843" s="16" t="n">
        <v>-0.001588702559576346</v>
      </c>
      <c r="C843" s="6" t="inlineStr">
        <is>
          <t>2025-02-28</t>
        </is>
      </c>
      <c r="D843" s="6" t="inlineStr">
        <is>
          <t>2026-03-13</t>
        </is>
      </c>
      <c r="E843" s="6" t="n">
        <v>250</v>
      </c>
      <c r="F843" s="6" t="n">
        <v>119</v>
      </c>
      <c r="G843" s="6" t="n">
        <v>0</v>
      </c>
      <c r="H843" s="10">
        <f>IF(F843&gt;=E843,(E843-0.5)/E843,IF(G843&gt;0,(F843+0.5*G843)/E843,F843/E843))</f>
        <v/>
      </c>
      <c r="I843" s="6" t="inlineStr">
        <is>
          <t>中间分位</t>
        </is>
      </c>
      <c r="J843" s="6" t="inlineStr"/>
    </row>
    <row r="844">
      <c r="A844" s="11" t="inlineStr">
        <is>
          <t>2026-03-17</t>
        </is>
      </c>
      <c r="B844" s="17" t="n">
        <v>-0.002171900465708965</v>
      </c>
      <c r="C844" s="11" t="inlineStr">
        <is>
          <t>2025-03-03</t>
        </is>
      </c>
      <c r="D844" s="11" t="inlineStr">
        <is>
          <t>2026-03-16</t>
        </is>
      </c>
      <c r="E844" s="11" t="n">
        <v>250</v>
      </c>
      <c r="F844" s="11" t="n">
        <v>114</v>
      </c>
      <c r="G844" s="11" t="n">
        <v>0</v>
      </c>
      <c r="H844" s="15">
        <f>IF(F844&gt;=E844,(E844-0.5)/E844,IF(G844&gt;0,(F844+0.5*G844)/E844,F844/E844))</f>
        <v/>
      </c>
      <c r="I844" s="11" t="inlineStr">
        <is>
          <t>中间分位</t>
        </is>
      </c>
      <c r="J844" s="11" t="inlineStr"/>
    </row>
    <row r="845">
      <c r="A845" s="6" t="inlineStr">
        <is>
          <t>2026-03-18</t>
        </is>
      </c>
      <c r="B845" s="16" t="n">
        <v>-0.0152248869551272</v>
      </c>
      <c r="C845" s="6" t="inlineStr">
        <is>
          <t>2025-03-04</t>
        </is>
      </c>
      <c r="D845" s="6" t="inlineStr">
        <is>
          <t>2026-03-17</t>
        </is>
      </c>
      <c r="E845" s="6" t="n">
        <v>250</v>
      </c>
      <c r="F845" s="6" t="n">
        <v>75</v>
      </c>
      <c r="G845" s="6" t="n">
        <v>0</v>
      </c>
      <c r="H845" s="10">
        <f>IF(F845&gt;=E845,(E845-0.5)/E845,IF(G845&gt;0,(F845+0.5*G845)/E845,F845/E845))</f>
        <v/>
      </c>
      <c r="I845" s="6" t="inlineStr">
        <is>
          <t>中间分位</t>
        </is>
      </c>
      <c r="J845" s="6" t="inlineStr"/>
    </row>
    <row r="846">
      <c r="A846" s="11" t="inlineStr">
        <is>
          <t>2026-03-19</t>
        </is>
      </c>
      <c r="B846" s="17" t="n">
        <v>-0.07742785262737317</v>
      </c>
      <c r="C846" s="11" t="inlineStr">
        <is>
          <t>2025-03-05</t>
        </is>
      </c>
      <c r="D846" s="11" t="inlineStr">
        <is>
          <t>2026-03-18</t>
        </is>
      </c>
      <c r="E846" s="11" t="n">
        <v>250</v>
      </c>
      <c r="F846" s="11" t="n">
        <v>2</v>
      </c>
      <c r="G846" s="11" t="n">
        <v>0</v>
      </c>
      <c r="H846" s="15">
        <f>IF(F846&gt;=E846,(E846-0.5)/E846,IF(G846&gt;0,(F846+0.5*G846)/E846,F846/E846))</f>
        <v/>
      </c>
      <c r="I846" s="11" t="inlineStr">
        <is>
          <t>低分位</t>
        </is>
      </c>
      <c r="J846" s="11" t="inlineStr"/>
    </row>
    <row r="847">
      <c r="A847" s="6" t="inlineStr">
        <is>
          <t>2026-03-20</t>
        </is>
      </c>
      <c r="B847" s="16" t="n">
        <v>0.01198738170347003</v>
      </c>
      <c r="C847" s="6" t="inlineStr">
        <is>
          <t>2025-03-06</t>
        </is>
      </c>
      <c r="D847" s="6" t="inlineStr">
        <is>
          <t>2026-03-19</t>
        </is>
      </c>
      <c r="E847" s="6" t="n">
        <v>250</v>
      </c>
      <c r="F847" s="6" t="n">
        <v>163</v>
      </c>
      <c r="G847" s="6" t="n">
        <v>0</v>
      </c>
      <c r="H847" s="10">
        <f>IF(F847&gt;=E847,(E847-0.5)/E847,IF(G847&gt;0,(F847+0.5*G847)/E847,F847/E847))</f>
        <v/>
      </c>
      <c r="I847" s="6" t="inlineStr">
        <is>
          <t>中间分位</t>
        </is>
      </c>
      <c r="J847" s="6" t="inlineStr"/>
    </row>
    <row r="848">
      <c r="A848" s="11" t="inlineStr">
        <is>
          <t>2026-03-23</t>
        </is>
      </c>
      <c r="B848" s="17" t="n">
        <v>-0.06719745222929936</v>
      </c>
      <c r="C848" s="11" t="inlineStr">
        <is>
          <t>2025-03-07</t>
        </is>
      </c>
      <c r="D848" s="11" t="inlineStr">
        <is>
          <t>2026-03-20</t>
        </is>
      </c>
      <c r="E848" s="11" t="n">
        <v>250</v>
      </c>
      <c r="F848" s="11" t="n">
        <v>6</v>
      </c>
      <c r="G848" s="11" t="n">
        <v>0</v>
      </c>
      <c r="H848" s="15">
        <f>IF(F848&gt;=E848,(E848-0.5)/E848,IF(G848&gt;0,(F848+0.5*G848)/E848,F848/E848))</f>
        <v/>
      </c>
      <c r="I848" s="11" t="inlineStr">
        <is>
          <t>低分位</t>
        </is>
      </c>
      <c r="J848" s="11" t="inlineStr"/>
    </row>
    <row r="849">
      <c r="A849" s="6" t="inlineStr">
        <is>
          <t>2026-03-24</t>
        </is>
      </c>
      <c r="B849" s="16" t="n">
        <v>0.06600452864322207</v>
      </c>
      <c r="C849" s="6" t="inlineStr">
        <is>
          <t>2025-03-10</t>
        </is>
      </c>
      <c r="D849" s="6" t="inlineStr">
        <is>
          <t>2026-03-23</t>
        </is>
      </c>
      <c r="E849" s="6" t="n">
        <v>250</v>
      </c>
      <c r="F849" s="6" t="n">
        <v>228</v>
      </c>
      <c r="G849" s="6" t="n">
        <v>0</v>
      </c>
      <c r="H849" s="10">
        <f>IF(F849&gt;=E849,(E849-0.5)/E849,IF(G849&gt;0,(F849+0.5*G849)/E849,F849/E849))</f>
        <v/>
      </c>
      <c r="I849" s="6" t="inlineStr">
        <is>
          <t>高分位</t>
        </is>
      </c>
      <c r="J849" s="6" t="inlineStr"/>
    </row>
    <row r="850">
      <c r="A850" s="11" t="inlineStr">
        <is>
          <t>2026-03-25</t>
        </is>
      </c>
      <c r="B850" s="17" t="n">
        <v>0.02555205047318612</v>
      </c>
      <c r="C850" s="11" t="inlineStr">
        <is>
          <t>2025-03-11</t>
        </is>
      </c>
      <c r="D850" s="11" t="inlineStr">
        <is>
          <t>2026-03-24</t>
        </is>
      </c>
      <c r="E850" s="11" t="n">
        <v>250</v>
      </c>
      <c r="F850" s="11" t="n">
        <v>182</v>
      </c>
      <c r="G850" s="11" t="n">
        <v>0</v>
      </c>
      <c r="H850" s="15">
        <f>IF(F850&gt;=E850,(E850-0.5)/E850,IF(G850&gt;0,(F850+0.5*G850)/E850,F850/E850))</f>
        <v/>
      </c>
      <c r="I850" s="11" t="inlineStr">
        <is>
          <t>中间分位</t>
        </is>
      </c>
      <c r="J850" s="11" t="inlineStr"/>
    </row>
    <row r="851">
      <c r="A851" s="6" t="inlineStr">
        <is>
          <t>2026-03-26</t>
        </is>
      </c>
      <c r="B851" s="16" t="n">
        <v>-0.02300319488817891</v>
      </c>
      <c r="C851" s="6" t="inlineStr">
        <is>
          <t>2025-03-12</t>
        </is>
      </c>
      <c r="D851" s="6" t="inlineStr">
        <is>
          <t>2026-03-25</t>
        </is>
      </c>
      <c r="E851" s="6" t="n">
        <v>250</v>
      </c>
      <c r="F851" s="6" t="n">
        <v>63</v>
      </c>
      <c r="G851" s="6" t="n">
        <v>0</v>
      </c>
      <c r="H851" s="10">
        <f>IF(F851&gt;=E851,(E851-0.5)/E851,IF(G851&gt;0,(F851+0.5*G851)/E851,F851/E851))</f>
        <v/>
      </c>
      <c r="I851" s="6" t="inlineStr">
        <is>
          <t>中间分位</t>
        </is>
      </c>
      <c r="J851" s="6" t="inlineStr"/>
    </row>
    <row r="852">
      <c r="A852" s="11" t="inlineStr">
        <is>
          <t>2026-03-27</t>
        </is>
      </c>
      <c r="B852" s="17" t="n">
        <v>-0.002838739514462967</v>
      </c>
      <c r="C852" s="11" t="inlineStr">
        <is>
          <t>2025-03-13</t>
        </is>
      </c>
      <c r="D852" s="11" t="inlineStr">
        <is>
          <t>2026-03-26</t>
        </is>
      </c>
      <c r="E852" s="11" t="n">
        <v>250</v>
      </c>
      <c r="F852" s="11" t="n">
        <v>117</v>
      </c>
      <c r="G852" s="11" t="n">
        <v>0</v>
      </c>
      <c r="H852" s="15">
        <f>IF(F852&gt;=E852,(E852-0.5)/E852,IF(G852&gt;0,(F852+0.5*G852)/E852,F852/E852))</f>
        <v/>
      </c>
      <c r="I852" s="11" t="inlineStr">
        <is>
          <t>中间分位</t>
        </is>
      </c>
      <c r="J852" s="11" t="inlineStr"/>
    </row>
    <row r="853">
      <c r="A853" s="6" t="inlineStr">
        <is>
          <t>2026-03-30</t>
        </is>
      </c>
      <c r="B853" s="16" t="n">
        <v>0.02953216374269006</v>
      </c>
      <c r="C853" s="6" t="inlineStr">
        <is>
          <t>2025-03-14</t>
        </is>
      </c>
      <c r="D853" s="6" t="inlineStr">
        <is>
          <t>2026-03-27</t>
        </is>
      </c>
      <c r="E853" s="6" t="n">
        <v>250</v>
      </c>
      <c r="F853" s="6" t="n">
        <v>187</v>
      </c>
      <c r="G853" s="6" t="n">
        <v>0</v>
      </c>
      <c r="H853" s="10">
        <f>IF(F853&gt;=E853,(E853-0.5)/E853,IF(G853&gt;0,(F853+0.5*G853)/E853,F853/E853))</f>
        <v/>
      </c>
      <c r="I853" s="6" t="inlineStr">
        <is>
          <t>中间分位</t>
        </is>
      </c>
      <c r="J853" s="6" t="inlineStr"/>
    </row>
    <row r="854">
      <c r="A854" s="11" t="inlineStr">
        <is>
          <t>2026-03-31</t>
        </is>
      </c>
      <c r="B854" s="17" t="n">
        <v>0.06676300578034682</v>
      </c>
      <c r="C854" s="11" t="inlineStr">
        <is>
          <t>2025-03-17</t>
        </is>
      </c>
      <c r="D854" s="11" t="inlineStr">
        <is>
          <t>2026-03-30</t>
        </is>
      </c>
      <c r="E854" s="11" t="n">
        <v>250</v>
      </c>
      <c r="F854" s="11" t="n">
        <v>228</v>
      </c>
      <c r="G854" s="11" t="n">
        <v>0</v>
      </c>
      <c r="H854" s="15">
        <f>IF(F854&gt;=E854,(E854-0.5)/E854,IF(G854&gt;0,(F854+0.5*G854)/E854,F854/E854))</f>
        <v/>
      </c>
      <c r="I854" s="11" t="inlineStr">
        <is>
          <t>高分位</t>
        </is>
      </c>
      <c r="J854" s="11" t="inlineStr"/>
    </row>
    <row r="855">
      <c r="A855" s="6" t="inlineStr">
        <is>
          <t>2026-04-01</t>
        </is>
      </c>
      <c r="B855" s="16" t="n">
        <v>0.1020862938567092</v>
      </c>
      <c r="C855" s="6" t="inlineStr">
        <is>
          <t>2025-03-18</t>
        </is>
      </c>
      <c r="D855" s="6" t="inlineStr">
        <is>
          <t>2026-03-31</t>
        </is>
      </c>
      <c r="E855" s="6" t="n">
        <v>250</v>
      </c>
      <c r="F855" s="6" t="n">
        <v>245</v>
      </c>
      <c r="G855" s="6" t="n">
        <v>0</v>
      </c>
      <c r="H855" s="10">
        <f>IF(F855&gt;=E855,(E855-0.5)/E855,IF(G855&gt;0,(F855+0.5*G855)/E855,F855/E855))</f>
        <v/>
      </c>
      <c r="I855" s="6" t="inlineStr">
        <is>
          <t>高分位</t>
        </is>
      </c>
      <c r="J855" s="6" t="inlineStr"/>
    </row>
    <row r="856">
      <c r="A856" s="11" t="inlineStr">
        <is>
          <t>2026-04-02</t>
        </is>
      </c>
      <c r="B856" s="17" t="n">
        <v>-0.04038461538461539</v>
      </c>
      <c r="C856" s="11" t="inlineStr">
        <is>
          <t>2025-03-19</t>
        </is>
      </c>
      <c r="D856" s="11" t="inlineStr">
        <is>
          <t>2026-04-01</t>
        </is>
      </c>
      <c r="E856" s="11" t="n">
        <v>250</v>
      </c>
      <c r="F856" s="11" t="n">
        <v>30</v>
      </c>
      <c r="G856" s="11" t="n">
        <v>0</v>
      </c>
      <c r="H856" s="15">
        <f>IF(F856&gt;=E856,(E856-0.5)/E856,IF(G856&gt;0,(F856+0.5*G856)/E856,F856/E856))</f>
        <v/>
      </c>
      <c r="I856" s="11" t="inlineStr">
        <is>
          <t>中间分位</t>
        </is>
      </c>
      <c r="J856" s="11" t="inlineStr"/>
    </row>
    <row r="857">
      <c r="A857" s="6" t="inlineStr">
        <is>
          <t>2026-04-03</t>
        </is>
      </c>
      <c r="B857" s="16" t="n">
        <v>-0.00517828169493855</v>
      </c>
      <c r="C857" s="6" t="inlineStr">
        <is>
          <t>2025-03-20</t>
        </is>
      </c>
      <c r="D857" s="6" t="inlineStr">
        <is>
          <t>2026-04-02</t>
        </is>
      </c>
      <c r="E857" s="6" t="n">
        <v>250</v>
      </c>
      <c r="F857" s="6" t="n">
        <v>109</v>
      </c>
      <c r="G857" s="6" t="n">
        <v>0</v>
      </c>
      <c r="H857" s="10">
        <f>IF(F857&gt;=E857,(E857-0.5)/E857,IF(G857&gt;0,(F857+0.5*G857)/E857,F857/E857))</f>
        <v/>
      </c>
      <c r="I857" s="6" t="inlineStr">
        <is>
          <t>中间分位</t>
        </is>
      </c>
      <c r="J857" s="6" t="inlineStr"/>
    </row>
    <row r="858">
      <c r="A858" s="11" t="inlineStr">
        <is>
          <t>2026-04-07</t>
        </is>
      </c>
      <c r="B858" s="17" t="n">
        <v>-0.01805157593123209</v>
      </c>
      <c r="C858" s="11" t="inlineStr">
        <is>
          <t>2025-03-21</t>
        </is>
      </c>
      <c r="D858" s="11" t="inlineStr">
        <is>
          <t>2026-04-03</t>
        </is>
      </c>
      <c r="E858" s="11" t="n">
        <v>250</v>
      </c>
      <c r="F858" s="11" t="n">
        <v>75</v>
      </c>
      <c r="G858" s="11" t="n">
        <v>0</v>
      </c>
      <c r="H858" s="15">
        <f>IF(F858&gt;=E858,(E858-0.5)/E858,IF(G858&gt;0,(F858+0.5*G858)/E858,F858/E858))</f>
        <v/>
      </c>
      <c r="I858" s="11" t="inlineStr">
        <is>
          <t>中间分位</t>
        </is>
      </c>
      <c r="J858" s="11" t="inlineStr"/>
    </row>
    <row r="859">
      <c r="A859" s="6" t="inlineStr">
        <is>
          <t>2026-04-08</t>
        </is>
      </c>
      <c r="B859" s="16" t="n">
        <v>0.1562162162162162</v>
      </c>
      <c r="C859" s="6" t="inlineStr">
        <is>
          <t>2025-03-24</t>
        </is>
      </c>
      <c r="D859" s="6" t="inlineStr">
        <is>
          <t>2026-04-07</t>
        </is>
      </c>
      <c r="E859" s="6" t="n">
        <v>250</v>
      </c>
      <c r="F859" s="6" t="n">
        <v>250</v>
      </c>
      <c r="G859" s="6" t="n">
        <v>0</v>
      </c>
      <c r="H859" s="10">
        <f>IF(F859&gt;=E859,(E859-0.5)/E859,IF(G859&gt;0,(F859+0.5*G859)/E859,F859/E859))</f>
        <v/>
      </c>
      <c r="I859" s="6" t="inlineStr">
        <is>
          <t>高分位</t>
        </is>
      </c>
      <c r="J859" s="6" t="inlineStr"/>
    </row>
    <row r="860">
      <c r="A860" s="11" t="inlineStr">
        <is>
          <t>2026-04-09</t>
        </is>
      </c>
      <c r="B860" s="17" t="n">
        <v>0.03269520391871621</v>
      </c>
      <c r="C860" s="11" t="inlineStr">
        <is>
          <t>2025-03-25</t>
        </is>
      </c>
      <c r="D860" s="11" t="inlineStr">
        <is>
          <t>2026-04-08</t>
        </is>
      </c>
      <c r="E860" s="11" t="n">
        <v>250</v>
      </c>
      <c r="F860" s="11" t="n">
        <v>193</v>
      </c>
      <c r="G860" s="11" t="n">
        <v>0</v>
      </c>
      <c r="H860" s="15">
        <f>IF(F860&gt;=E860,(E860-0.5)/E860,IF(G860&gt;0,(F860+0.5*G860)/E860,F860/E860))</f>
        <v/>
      </c>
      <c r="I860" s="11" t="inlineStr">
        <is>
          <t>中间分位</t>
        </is>
      </c>
      <c r="J860" s="11" t="inlineStr"/>
    </row>
    <row r="861">
      <c r="A861" s="6" t="inlineStr">
        <is>
          <t>2026-04-10</t>
        </is>
      </c>
      <c r="B861" s="16" t="n">
        <v>0.08051271603079131</v>
      </c>
      <c r="C861" s="6" t="inlineStr">
        <is>
          <t>2025-03-26</t>
        </is>
      </c>
      <c r="D861" s="6" t="inlineStr">
        <is>
          <t>2026-04-09</t>
        </is>
      </c>
      <c r="E861" s="6" t="n">
        <v>250</v>
      </c>
      <c r="F861" s="6" t="n">
        <v>236</v>
      </c>
      <c r="G861" s="6" t="n">
        <v>0</v>
      </c>
      <c r="H861" s="10">
        <f>IF(F861&gt;=E861,(E861-0.5)/E861,IF(G861&gt;0,(F861+0.5*G861)/E861,F861/E861))</f>
        <v/>
      </c>
      <c r="I861" s="6" t="inlineStr">
        <is>
          <t>高分位</t>
        </is>
      </c>
      <c r="J861" s="6" t="inlineStr"/>
    </row>
    <row r="862">
      <c r="A862" s="11" t="inlineStr">
        <is>
          <t>2026-04-13</t>
        </is>
      </c>
      <c r="B862" s="17" t="n">
        <v>0.1321212121212121</v>
      </c>
      <c r="C862" s="11" t="inlineStr">
        <is>
          <t>2025-03-27</t>
        </is>
      </c>
      <c r="D862" s="11" t="inlineStr">
        <is>
          <t>2026-04-10</t>
        </is>
      </c>
      <c r="E862" s="11" t="n">
        <v>250</v>
      </c>
      <c r="F862" s="11" t="n">
        <v>247</v>
      </c>
      <c r="G862" s="11" t="n">
        <v>0</v>
      </c>
      <c r="H862" s="15">
        <f>IF(F862&gt;=E862,(E862-0.5)/E862,IF(G862&gt;0,(F862+0.5*G862)/E862,F862/E862))</f>
        <v/>
      </c>
      <c r="I862" s="11" t="inlineStr">
        <is>
          <t>高分位</t>
        </is>
      </c>
      <c r="J862" s="11" t="inlineStr"/>
    </row>
    <row r="863">
      <c r="A863" s="6" t="inlineStr">
        <is>
          <t>2026-04-14</t>
        </is>
      </c>
      <c r="B863" s="16" t="n">
        <v>0.1583333333333333</v>
      </c>
      <c r="C863" s="6" t="inlineStr">
        <is>
          <t>2025-03-28</t>
        </is>
      </c>
      <c r="D863" s="6" t="inlineStr">
        <is>
          <t>2026-04-13</t>
        </is>
      </c>
      <c r="E863" s="6" t="n">
        <v>250</v>
      </c>
      <c r="F863" s="6" t="n">
        <v>250</v>
      </c>
      <c r="G863" s="6" t="n">
        <v>0</v>
      </c>
      <c r="H863" s="10">
        <f>IF(F863&gt;=E863,(E863-0.5)/E863,IF(G863&gt;0,(F863+0.5*G863)/E863,F863/E863))</f>
        <v/>
      </c>
      <c r="I863" s="6" t="inlineStr">
        <is>
          <t>高分位</t>
        </is>
      </c>
      <c r="J863" s="6" t="inlineStr"/>
    </row>
    <row r="864">
      <c r="A864" s="11" t="inlineStr">
        <is>
          <t>2026-04-15</t>
        </is>
      </c>
      <c r="B864" s="17" t="n">
        <v>0.1433734939759036</v>
      </c>
      <c r="C864" s="11" t="inlineStr">
        <is>
          <t>2025-03-31</t>
        </is>
      </c>
      <c r="D864" s="11" t="inlineStr">
        <is>
          <t>2026-04-14</t>
        </is>
      </c>
      <c r="E864" s="11" t="n">
        <v>250</v>
      </c>
      <c r="F864" s="11" t="n">
        <v>246</v>
      </c>
      <c r="G864" s="11" t="n">
        <v>0</v>
      </c>
      <c r="H864" s="15">
        <f>IF(F864&gt;=E864,(E864-0.5)/E864,IF(G864&gt;0,(F864+0.5*G864)/E864,F864/E864))</f>
        <v/>
      </c>
      <c r="I864" s="11" t="inlineStr">
        <is>
          <t>高分位</t>
        </is>
      </c>
      <c r="J864" s="11" t="inlineStr"/>
    </row>
    <row r="865">
      <c r="A865" s="6" t="inlineStr">
        <is>
          <t>2026-04-16</t>
        </is>
      </c>
      <c r="B865" s="16" t="n">
        <v>0.1345238095238095</v>
      </c>
      <c r="C865" s="6" t="inlineStr">
        <is>
          <t>2025-04-01</t>
        </is>
      </c>
      <c r="D865" s="6" t="inlineStr">
        <is>
          <t>2026-04-15</t>
        </is>
      </c>
      <c r="E865" s="6" t="n">
        <v>250</v>
      </c>
      <c r="F865" s="6" t="n">
        <v>245</v>
      </c>
      <c r="G865" s="6" t="n">
        <v>0</v>
      </c>
      <c r="H865" s="10">
        <f>IF(F865&gt;=E865,(E865-0.5)/E865,IF(G865&gt;0,(F865+0.5*G865)/E865,F865/E865))</f>
        <v/>
      </c>
      <c r="I865" s="6" t="inlineStr">
        <is>
          <t>高分位</t>
        </is>
      </c>
      <c r="J865" s="6" t="inlineStr"/>
    </row>
    <row r="866">
      <c r="A866" s="11" t="inlineStr">
        <is>
          <t>2026-04-17</t>
        </is>
      </c>
      <c r="B866" s="17" t="n">
        <v>0.1406671322859846</v>
      </c>
      <c r="C866" s="11" t="inlineStr">
        <is>
          <t>2025-04-02</t>
        </is>
      </c>
      <c r="D866" s="11" t="inlineStr">
        <is>
          <t>2026-04-16</t>
        </is>
      </c>
      <c r="E866" s="11" t="n">
        <v>250</v>
      </c>
      <c r="F866" s="11" t="n">
        <v>245</v>
      </c>
      <c r="G866" s="11" t="n">
        <v>0</v>
      </c>
      <c r="H866" s="15">
        <f>IF(F866&gt;=E866,(E866-0.5)/E866,IF(G866&gt;0,(F866+0.5*G866)/E866,F866/E866))</f>
        <v/>
      </c>
      <c r="I866" s="11" t="inlineStr">
        <is>
          <t>高分位</t>
        </is>
      </c>
      <c r="J866" s="11" t="inlineStr"/>
    </row>
    <row r="867">
      <c r="A867" s="6" t="inlineStr">
        <is>
          <t>2026-04-20</t>
        </is>
      </c>
      <c r="B867" s="16" t="n">
        <v>0.1575221238938053</v>
      </c>
      <c r="C867" s="6" t="inlineStr">
        <is>
          <t>2025-04-03</t>
        </is>
      </c>
      <c r="D867" s="6" t="inlineStr">
        <is>
          <t>2026-04-17</t>
        </is>
      </c>
      <c r="E867" s="6" t="n">
        <v>250</v>
      </c>
      <c r="F867" s="6" t="n">
        <v>249</v>
      </c>
      <c r="G867" s="6" t="n">
        <v>0</v>
      </c>
      <c r="H867" s="10">
        <f>IF(F867&gt;=E867,(E867-0.5)/E867,IF(G867&gt;0,(F867+0.5*G867)/E867,F867/E867))</f>
        <v/>
      </c>
      <c r="I867" s="6" t="inlineStr">
        <is>
          <t>高分位</t>
        </is>
      </c>
      <c r="J867" s="6" t="inlineStr"/>
    </row>
    <row r="868">
      <c r="A868" s="11" t="inlineStr">
        <is>
          <t>2026-04-21</t>
        </is>
      </c>
      <c r="B868" s="17" t="n">
        <v>0.1561761392667936</v>
      </c>
      <c r="C868" s="11" t="inlineStr">
        <is>
          <t>2025-04-07</t>
        </is>
      </c>
      <c r="D868" s="11" t="inlineStr">
        <is>
          <t>2026-04-20</t>
        </is>
      </c>
      <c r="E868" s="11" t="n">
        <v>250</v>
      </c>
      <c r="F868" s="11" t="n">
        <v>247</v>
      </c>
      <c r="G868" s="11" t="n">
        <v>0</v>
      </c>
      <c r="H868" s="15">
        <f>IF(F868&gt;=E868,(E868-0.5)/E868,IF(G868&gt;0,(F868+0.5*G868)/E868,F868/E868))</f>
        <v/>
      </c>
      <c r="I868" s="11" t="inlineStr">
        <is>
          <t>高分位</t>
        </is>
      </c>
      <c r="J868" s="11" t="inlineStr"/>
    </row>
    <row r="869">
      <c r="A869" s="6" t="inlineStr">
        <is>
          <t>2026-04-22</t>
        </is>
      </c>
      <c r="B869" s="16" t="n">
        <v>0.1334694386719689</v>
      </c>
      <c r="C869" s="6" t="inlineStr">
        <is>
          <t>2025-04-09</t>
        </is>
      </c>
      <c r="D869" s="6" t="inlineStr">
        <is>
          <t>2026-04-21</t>
        </is>
      </c>
      <c r="E869" s="6" t="n">
        <v>250</v>
      </c>
      <c r="F869" s="6" t="n">
        <v>241</v>
      </c>
      <c r="G869" s="6" t="n">
        <v>0</v>
      </c>
      <c r="H869" s="10">
        <f>IF(F869&gt;=E869,(E869-0.5)/E869,IF(G869&gt;0,(F869+0.5*G869)/E869,F869/E869))</f>
        <v/>
      </c>
      <c r="I869" s="6" t="inlineStr">
        <is>
          <t>高分位</t>
        </is>
      </c>
      <c r="J869" s="6" t="inlineStr"/>
    </row>
    <row r="870">
      <c r="A870" s="11" t="inlineStr">
        <is>
          <t>2026-04-23</t>
        </is>
      </c>
      <c r="B870" s="17" t="n">
        <v>0.1159681515167334</v>
      </c>
      <c r="C870" s="11" t="inlineStr">
        <is>
          <t>2025-04-10</t>
        </is>
      </c>
      <c r="D870" s="11" t="inlineStr">
        <is>
          <t>2026-04-22</t>
        </is>
      </c>
      <c r="E870" s="11" t="n">
        <v>250</v>
      </c>
      <c r="F870" s="11" t="n">
        <v>236</v>
      </c>
      <c r="G870" s="11" t="n">
        <v>0</v>
      </c>
      <c r="H870" s="15">
        <f>IF(F870&gt;=E870,(E870-0.5)/E870,IF(G870&gt;0,(F870+0.5*G870)/E870,F870/E870))</f>
        <v/>
      </c>
      <c r="I870" s="11" t="inlineStr">
        <is>
          <t>高分位</t>
        </is>
      </c>
      <c r="J870" s="11" t="inlineStr"/>
    </row>
    <row r="871">
      <c r="A871" s="6" t="inlineStr">
        <is>
          <t>2026-04-24</t>
        </is>
      </c>
      <c r="B871" s="16" t="n">
        <v>0.1110551575689278</v>
      </c>
      <c r="C871" s="6" t="inlineStr">
        <is>
          <t>2025-04-11</t>
        </is>
      </c>
      <c r="D871" s="6" t="inlineStr">
        <is>
          <t>2026-04-23</t>
        </is>
      </c>
      <c r="E871" s="6" t="n">
        <v>250</v>
      </c>
      <c r="F871" s="6" t="n">
        <v>235</v>
      </c>
      <c r="G871" s="6" t="n">
        <v>0</v>
      </c>
      <c r="H871" s="10">
        <f>IF(F871&gt;=E871,(E871-0.5)/E871,IF(G871&gt;0,(F871+0.5*G871)/E871,F871/E871))</f>
        <v/>
      </c>
      <c r="I871" s="6" t="inlineStr">
        <is>
          <t>高分位</t>
        </is>
      </c>
      <c r="J871" s="6" t="inlineStr"/>
    </row>
    <row r="872">
      <c r="A872" s="11" t="inlineStr">
        <is>
          <t>2026-04-27</t>
        </is>
      </c>
      <c r="B872" s="17" t="n">
        <v>0.1012232415902141</v>
      </c>
      <c r="C872" s="11" t="inlineStr">
        <is>
          <t>2025-04-14</t>
        </is>
      </c>
      <c r="D872" s="11" t="inlineStr">
        <is>
          <t>2026-04-24</t>
        </is>
      </c>
      <c r="E872" s="11" t="n">
        <v>250</v>
      </c>
      <c r="F872" s="11" t="n">
        <v>233</v>
      </c>
      <c r="G872" s="11" t="n">
        <v>0</v>
      </c>
      <c r="H872" s="15">
        <f>IF(F872&gt;=E872,(E872-0.5)/E872,IF(G872&gt;0,(F872+0.5*G872)/E872,F872/E872))</f>
        <v/>
      </c>
      <c r="I872" s="11" t="inlineStr">
        <is>
          <t>高分位</t>
        </is>
      </c>
      <c r="J872" s="11" t="inlineStr"/>
    </row>
    <row r="873">
      <c r="A873" s="6" t="inlineStr">
        <is>
          <t>2026-04-28</t>
        </is>
      </c>
      <c r="B873" s="16" t="n">
        <v>0.08484848484848485</v>
      </c>
      <c r="C873" s="6" t="inlineStr">
        <is>
          <t>2025-04-15</t>
        </is>
      </c>
      <c r="D873" s="6" t="inlineStr">
        <is>
          <t>2026-04-27</t>
        </is>
      </c>
      <c r="E873" s="6" t="n">
        <v>250</v>
      </c>
      <c r="F873" s="6" t="n">
        <v>226</v>
      </c>
      <c r="G873" s="6" t="n">
        <v>0</v>
      </c>
      <c r="H873" s="10">
        <f>IF(F873&gt;=E873,(E873-0.5)/E873,IF(G873&gt;0,(F873+0.5*G873)/E873,F873/E873))</f>
        <v/>
      </c>
      <c r="I873" s="6" t="inlineStr">
        <is>
          <t>高分位</t>
        </is>
      </c>
      <c r="J873" s="6" t="inlineStr"/>
    </row>
    <row r="874">
      <c r="A874" s="11" t="inlineStr">
        <is>
          <t>2026-04-29</t>
        </is>
      </c>
      <c r="B874" s="17" t="n">
        <v>0.09970059880239521</v>
      </c>
      <c r="C874" s="11" t="inlineStr">
        <is>
          <t>2025-04-16</t>
        </is>
      </c>
      <c r="D874" s="11" t="inlineStr">
        <is>
          <t>2026-04-28</t>
        </is>
      </c>
      <c r="E874" s="11" t="n">
        <v>250</v>
      </c>
      <c r="F874" s="11" t="n">
        <v>231</v>
      </c>
      <c r="G874" s="11" t="n">
        <v>0</v>
      </c>
      <c r="H874" s="15">
        <f>IF(F874&gt;=E874,(E874-0.5)/E874,IF(G874&gt;0,(F874+0.5*G874)/E874,F874/E874))</f>
        <v/>
      </c>
      <c r="I874" s="11" t="inlineStr">
        <is>
          <t>高分位</t>
        </is>
      </c>
      <c r="J874" s="11" t="inlineStr"/>
    </row>
    <row r="875">
      <c r="A875" s="6" t="inlineStr">
        <is>
          <t>2026-04-30</t>
        </is>
      </c>
      <c r="B875" s="16" t="n">
        <v>0.08610478359908884</v>
      </c>
      <c r="C875" s="6" t="inlineStr">
        <is>
          <t>2025-04-17</t>
        </is>
      </c>
      <c r="D875" s="6" t="inlineStr">
        <is>
          <t>2026-04-29</t>
        </is>
      </c>
      <c r="E875" s="6" t="n">
        <v>250</v>
      </c>
      <c r="F875" s="6" t="n">
        <v>226</v>
      </c>
      <c r="G875" s="6" t="n">
        <v>0</v>
      </c>
      <c r="H875" s="10">
        <f>IF(F875&gt;=E875,(E875-0.5)/E875,IF(G875&gt;0,(F875+0.5*G875)/E875,F875/E875))</f>
        <v/>
      </c>
      <c r="I875" s="6" t="inlineStr">
        <is>
          <t>高分位</t>
        </is>
      </c>
      <c r="J875" s="6" t="inlineStr"/>
    </row>
    <row r="876">
      <c r="A876" s="11" t="inlineStr">
        <is>
          <t>2026-05-06</t>
        </is>
      </c>
      <c r="B876" s="17" t="n">
        <v>0.07610526028344909</v>
      </c>
      <c r="C876" s="11" t="inlineStr">
        <is>
          <t>2025-04-18</t>
        </is>
      </c>
      <c r="D876" s="11" t="inlineStr">
        <is>
          <t>2026-04-30</t>
        </is>
      </c>
      <c r="E876" s="11" t="n">
        <v>250</v>
      </c>
      <c r="F876" s="11" t="n">
        <v>219</v>
      </c>
      <c r="G876" s="11" t="n">
        <v>0</v>
      </c>
      <c r="H876" s="15">
        <f>IF(F876&gt;=E876,(E876-0.5)/E876,IF(G876&gt;0,(F876+0.5*G876)/E876,F876/E876))</f>
        <v/>
      </c>
      <c r="I876" s="11" t="inlineStr">
        <is>
          <t>中间分位</t>
        </is>
      </c>
      <c r="J876" s="11" t="inlineStr"/>
    </row>
    <row r="877">
      <c r="A877" s="6" t="inlineStr">
        <is>
          <t>2026-05-07</t>
        </is>
      </c>
      <c r="B877" s="16" t="n">
        <v>0.1405049757873963</v>
      </c>
      <c r="C877" s="6" t="inlineStr">
        <is>
          <t>2025-04-21</t>
        </is>
      </c>
      <c r="D877" s="6" t="inlineStr">
        <is>
          <t>2026-05-06</t>
        </is>
      </c>
      <c r="E877" s="6" t="n">
        <v>250</v>
      </c>
      <c r="F877" s="6" t="n">
        <v>242</v>
      </c>
      <c r="G877" s="6" t="n">
        <v>0</v>
      </c>
      <c r="H877" s="10">
        <f>IF(F877&gt;=E877,(E877-0.5)/E877,IF(G877&gt;0,(F877+0.5*G877)/E877,F877/E877))</f>
        <v/>
      </c>
      <c r="I877" s="6" t="inlineStr">
        <is>
          <t>高分位</t>
        </is>
      </c>
      <c r="J877" s="6" t="inlineStr"/>
    </row>
    <row r="878">
      <c r="A878" s="11" t="inlineStr">
        <is>
          <t>2026-05-08</t>
        </is>
      </c>
      <c r="B878" s="17" t="n">
        <v>0.09936908517350158</v>
      </c>
      <c r="C878" s="11" t="inlineStr">
        <is>
          <t>2025-04-22</t>
        </is>
      </c>
      <c r="D878" s="11" t="inlineStr">
        <is>
          <t>2026-05-07</t>
        </is>
      </c>
      <c r="E878" s="11" t="n">
        <v>250</v>
      </c>
      <c r="F878" s="11" t="n">
        <v>229</v>
      </c>
      <c r="G878" s="11" t="n">
        <v>0</v>
      </c>
      <c r="H878" s="15">
        <f>IF(F878&gt;=E878,(E878-0.5)/E878,IF(G878&gt;0,(F878+0.5*G878)/E878,F878/E878))</f>
        <v/>
      </c>
      <c r="I878" s="11" t="inlineStr">
        <is>
          <t>高分位</t>
        </is>
      </c>
      <c r="J878" s="11" t="inlineStr"/>
    </row>
    <row r="879">
      <c r="A879" s="6" t="inlineStr">
        <is>
          <t>2026-05-11</t>
        </is>
      </c>
      <c r="B879" s="16" t="n">
        <v>0.0792332268370607</v>
      </c>
      <c r="C879" s="6" t="inlineStr">
        <is>
          <t>2025-04-23</t>
        </is>
      </c>
      <c r="D879" s="6" t="inlineStr">
        <is>
          <t>2026-05-08</t>
        </is>
      </c>
      <c r="E879" s="6" t="n">
        <v>250</v>
      </c>
      <c r="F879" s="6" t="n">
        <v>219</v>
      </c>
      <c r="G879" s="6" t="n">
        <v>0</v>
      </c>
      <c r="H879" s="10">
        <f>IF(F879&gt;=E879,(E879-0.5)/E879,IF(G879&gt;0,(F879+0.5*G879)/E879,F879/E879))</f>
        <v/>
      </c>
      <c r="I879" s="6" t="inlineStr">
        <is>
          <t>中间分位</t>
        </is>
      </c>
      <c r="J879" s="6" t="inlineStr"/>
    </row>
    <row r="880">
      <c r="A880" s="11" t="inlineStr">
        <is>
          <t>2026-05-12</t>
        </is>
      </c>
      <c r="B880" s="17" t="n">
        <v>0.06620494799258089</v>
      </c>
      <c r="C880" s="11" t="inlineStr">
        <is>
          <t>2025-04-24</t>
        </is>
      </c>
      <c r="D880" s="11" t="inlineStr">
        <is>
          <t>2026-05-11</t>
        </is>
      </c>
      <c r="E880" s="11" t="n">
        <v>250</v>
      </c>
      <c r="F880" s="11" t="n">
        <v>212</v>
      </c>
      <c r="G880" s="11" t="n">
        <v>0</v>
      </c>
      <c r="H880" s="15">
        <f>IF(F880&gt;=E880,(E880-0.5)/E880,IF(G880&gt;0,(F880+0.5*G880)/E880,F880/E880))</f>
        <v/>
      </c>
      <c r="I880" s="11" t="inlineStr">
        <is>
          <t>中间分位</t>
        </is>
      </c>
      <c r="J880" s="11" t="inlineStr"/>
    </row>
    <row r="881">
      <c r="A881" s="6" t="inlineStr">
        <is>
          <t>2026-05-13</t>
        </is>
      </c>
      <c r="B881" s="16" t="n">
        <v>0.08037974683544304</v>
      </c>
      <c r="C881" s="6" t="inlineStr">
        <is>
          <t>2025-04-25</t>
        </is>
      </c>
      <c r="D881" s="6" t="inlineStr">
        <is>
          <t>2026-05-12</t>
        </is>
      </c>
      <c r="E881" s="6" t="n">
        <v>250</v>
      </c>
      <c r="F881" s="6" t="n">
        <v>220</v>
      </c>
      <c r="G881" s="6" t="n">
        <v>0</v>
      </c>
      <c r="H881" s="10">
        <f>IF(F881&gt;=E881,(E881-0.5)/E881,IF(G881&gt;0,(F881+0.5*G881)/E881,F881/E881))</f>
        <v/>
      </c>
      <c r="I881" s="6" t="inlineStr">
        <is>
          <t>中间分位</t>
        </is>
      </c>
      <c r="J881" s="6" t="inlineStr"/>
    </row>
    <row r="882">
      <c r="A882" s="11" t="inlineStr">
        <is>
          <t>2026-05-14</t>
        </is>
      </c>
      <c r="B882" s="17" t="n">
        <v>0.08965613829587449</v>
      </c>
      <c r="C882" s="11" t="inlineStr">
        <is>
          <t>2025-04-28</t>
        </is>
      </c>
      <c r="D882" s="11" t="inlineStr">
        <is>
          <t>2026-05-13</t>
        </is>
      </c>
      <c r="E882" s="11" t="n">
        <v>250</v>
      </c>
      <c r="F882" s="11" t="n">
        <v>227</v>
      </c>
      <c r="G882" s="11" t="n">
        <v>0</v>
      </c>
      <c r="H882" s="15">
        <f>IF(F882&gt;=E882,(E882-0.5)/E882,IF(G882&gt;0,(F882+0.5*G882)/E882,F882/E882))</f>
        <v/>
      </c>
      <c r="I882" s="11" t="inlineStr">
        <is>
          <t>高分位</t>
        </is>
      </c>
      <c r="J882" s="11" t="inlineStr"/>
    </row>
    <row r="883">
      <c r="A883" s="6" t="inlineStr">
        <is>
          <t>2026-05-15</t>
        </is>
      </c>
      <c r="B883" s="16" t="n">
        <v>0.06225806451612903</v>
      </c>
      <c r="C883" s="6" t="inlineStr">
        <is>
          <t>2025-04-29</t>
        </is>
      </c>
      <c r="D883" s="6" t="inlineStr">
        <is>
          <t>2026-05-14</t>
        </is>
      </c>
      <c r="E883" s="6" t="n">
        <v>250</v>
      </c>
      <c r="F883" s="6" t="n">
        <v>206</v>
      </c>
      <c r="G883" s="6" t="n">
        <v>0</v>
      </c>
      <c r="H883" s="10">
        <f>IF(F883&gt;=E883,(E883-0.5)/E883,IF(G883&gt;0,(F883+0.5*G883)/E883,F883/E883))</f>
        <v/>
      </c>
      <c r="I883" s="6" t="inlineStr">
        <is>
          <t>中间分位</t>
        </is>
      </c>
      <c r="J883" s="6" t="inlineStr"/>
    </row>
    <row r="884">
      <c r="A884" s="11" t="inlineStr">
        <is>
          <t>2026-05-18</t>
        </is>
      </c>
      <c r="B884" s="17" t="n">
        <v>0.05051792828685259</v>
      </c>
      <c r="C884" s="11" t="inlineStr">
        <is>
          <t>2025-04-30</t>
        </is>
      </c>
      <c r="D884" s="11" t="inlineStr">
        <is>
          <t>2026-05-15</t>
        </is>
      </c>
      <c r="E884" s="11" t="n">
        <v>250</v>
      </c>
      <c r="F884" s="11" t="n">
        <v>203</v>
      </c>
      <c r="G884" s="11" t="n">
        <v>0</v>
      </c>
      <c r="H884" s="15">
        <f>IF(F884&gt;=E884,(E884-0.5)/E884,IF(G884&gt;0,(F884+0.5*G884)/E884,F884/E884))</f>
        <v/>
      </c>
      <c r="I884" s="11" t="inlineStr">
        <is>
          <t>中间分位</t>
        </is>
      </c>
      <c r="J884" s="11" t="inlineStr"/>
    </row>
    <row r="885">
      <c r="A885" s="6" t="inlineStr">
        <is>
          <t>2026-05-19</t>
        </is>
      </c>
      <c r="B885" s="16" t="n">
        <v>0.07981366459627329</v>
      </c>
      <c r="C885" s="6" t="inlineStr">
        <is>
          <t>2025-05-06</t>
        </is>
      </c>
      <c r="D885" s="6" t="inlineStr">
        <is>
          <t>2026-05-18</t>
        </is>
      </c>
      <c r="E885" s="6" t="n">
        <v>250</v>
      </c>
      <c r="F885" s="6" t="n">
        <v>217</v>
      </c>
      <c r="G885" s="6" t="n">
        <v>0</v>
      </c>
      <c r="H885" s="10">
        <f>IF(F885&gt;=E885,(E885-0.5)/E885,IF(G885&gt;0,(F885+0.5*G885)/E885,F885/E885))</f>
        <v/>
      </c>
      <c r="I885" s="6" t="inlineStr">
        <is>
          <t>中间分位</t>
        </is>
      </c>
      <c r="J885" s="6" t="inlineStr"/>
    </row>
    <row r="886">
      <c r="A886" s="11" t="inlineStr">
        <is>
          <t>2026-05-20</t>
        </is>
      </c>
      <c r="B886" s="17" t="n">
        <v>0.0737070754672817</v>
      </c>
      <c r="C886" s="11" t="inlineStr">
        <is>
          <t>2025-05-07</t>
        </is>
      </c>
      <c r="D886" s="11" t="inlineStr">
        <is>
          <t>2026-05-19</t>
        </is>
      </c>
      <c r="E886" s="11" t="n">
        <v>250</v>
      </c>
      <c r="F886" s="11" t="n">
        <v>214</v>
      </c>
      <c r="G886" s="11" t="n">
        <v>0</v>
      </c>
      <c r="H886" s="15">
        <f>IF(F886&gt;=E886,(E886-0.5)/E886,IF(G886&gt;0,(F886+0.5*G886)/E886,F886/E886))</f>
        <v/>
      </c>
      <c r="I886" s="11" t="inlineStr">
        <is>
          <t>中间分位</t>
        </is>
      </c>
      <c r="J886" s="11" t="inlineStr"/>
    </row>
    <row r="887">
      <c r="A887" s="6" t="inlineStr">
        <is>
          <t>2026-05-21</t>
        </is>
      </c>
      <c r="B887" s="16" t="n">
        <v>0.0774270083788185</v>
      </c>
      <c r="C887" s="6" t="inlineStr">
        <is>
          <t>2025-05-08</t>
        </is>
      </c>
      <c r="D887" s="6" t="inlineStr">
        <is>
          <t>2026-05-20</t>
        </is>
      </c>
      <c r="E887" s="6" t="n">
        <v>250</v>
      </c>
      <c r="F887" s="6" t="n">
        <v>216</v>
      </c>
      <c r="G887" s="6" t="n">
        <v>0</v>
      </c>
      <c r="H887" s="10">
        <f>IF(F887&gt;=E887,(E887-0.5)/E887,IF(G887&gt;0,(F887+0.5*G887)/E887,F887/E887))</f>
        <v/>
      </c>
      <c r="I887" s="6" t="inlineStr">
        <is>
          <t>中间分位</t>
        </is>
      </c>
      <c r="J887" s="6" t="inlineStr"/>
    </row>
    <row r="888">
      <c r="A888" s="11" t="inlineStr">
        <is>
          <t>2026-05-22</t>
        </is>
      </c>
      <c r="B888" s="17" t="n">
        <v>0.08981507107029911</v>
      </c>
      <c r="C888" s="11" t="inlineStr">
        <is>
          <t>2025-05-09</t>
        </is>
      </c>
      <c r="D888" s="11" t="inlineStr">
        <is>
          <t>2026-05-21</t>
        </is>
      </c>
      <c r="E888" s="11" t="n">
        <v>250</v>
      </c>
      <c r="F888" s="11" t="n">
        <v>228</v>
      </c>
      <c r="G888" s="11" t="n">
        <v>0</v>
      </c>
      <c r="H888" s="15">
        <f>IF(F888&gt;=E888,(E888-0.5)/E888,IF(G888&gt;0,(F888+0.5*G888)/E888,F888/E888))</f>
        <v/>
      </c>
      <c r="I888" s="11" t="inlineStr">
        <is>
          <t>高分位</t>
        </is>
      </c>
      <c r="J888" s="11" t="inlineStr"/>
    </row>
    <row r="889">
      <c r="A889" s="6" t="inlineStr">
        <is>
          <t>2026-05-25</t>
        </is>
      </c>
      <c r="B889" s="16" t="n">
        <v>0.100947419333424</v>
      </c>
      <c r="C889" s="6" t="inlineStr">
        <is>
          <t>2025-05-12</t>
        </is>
      </c>
      <c r="D889" s="6" t="inlineStr">
        <is>
          <t>2026-05-22</t>
        </is>
      </c>
      <c r="E889" s="6" t="n">
        <v>250</v>
      </c>
      <c r="F889" s="6" t="n">
        <v>231</v>
      </c>
      <c r="G889" s="6" t="n">
        <v>0</v>
      </c>
      <c r="H889" s="10">
        <f>IF(F889&gt;=E889,(E889-0.5)/E889,IF(G889&gt;0,(F889+0.5*G889)/E889,F889/E889))</f>
        <v/>
      </c>
      <c r="I889" s="6" t="inlineStr">
        <is>
          <t>高分位</t>
        </is>
      </c>
      <c r="J889" s="6" t="inlineStr"/>
    </row>
    <row r="890">
      <c r="A890" s="11" t="inlineStr">
        <is>
          <t>2026-05-26</t>
        </is>
      </c>
      <c r="B890" s="17" t="n">
        <v>0.106926435544139</v>
      </c>
      <c r="C890" s="11" t="inlineStr">
        <is>
          <t>2025-05-13</t>
        </is>
      </c>
      <c r="D890" s="11" t="inlineStr">
        <is>
          <t>2026-05-25</t>
        </is>
      </c>
      <c r="E890" s="11" t="n">
        <v>250</v>
      </c>
      <c r="F890" s="11" t="n">
        <v>233</v>
      </c>
      <c r="G890" s="11" t="n">
        <v>0</v>
      </c>
      <c r="H890" s="15">
        <f>IF(F890&gt;=E890,(E890-0.5)/E890,IF(G890&gt;0,(F890+0.5*G890)/E890,F890/E890))</f>
        <v/>
      </c>
      <c r="I890" s="11" t="inlineStr">
        <is>
          <t>高分位</t>
        </is>
      </c>
      <c r="J890" s="11" t="inlineStr"/>
    </row>
    <row r="891">
      <c r="A891" s="6" t="inlineStr">
        <is>
          <t>2026-05-27</t>
        </is>
      </c>
      <c r="B891" s="16" t="n">
        <v>0.1117221629121828</v>
      </c>
      <c r="C891" s="6" t="inlineStr">
        <is>
          <t>2025-05-14</t>
        </is>
      </c>
      <c r="D891" s="6" t="inlineStr">
        <is>
          <t>2026-05-26</t>
        </is>
      </c>
      <c r="E891" s="6" t="n">
        <v>250</v>
      </c>
      <c r="F891" s="6" t="n">
        <v>234</v>
      </c>
      <c r="G891" s="6" t="n">
        <v>0</v>
      </c>
      <c r="H891" s="10">
        <f>IF(F891&gt;=E891,(E891-0.5)/E891,IF(G891&gt;0,(F891+0.5*G891)/E891,F891/E891))</f>
        <v/>
      </c>
      <c r="I891" s="6" t="inlineStr">
        <is>
          <t>高分位</t>
        </is>
      </c>
      <c r="J891" s="6" t="inlineStr"/>
    </row>
    <row r="892">
      <c r="A892" s="11" t="inlineStr">
        <is>
          <t>2026-05-28</t>
        </is>
      </c>
      <c r="B892" s="17" t="n">
        <v>0.09261144819212869</v>
      </c>
      <c r="C892" s="11" t="inlineStr">
        <is>
          <t>2025-05-15</t>
        </is>
      </c>
      <c r="D892" s="11" t="inlineStr">
        <is>
          <t>2026-05-27</t>
        </is>
      </c>
      <c r="E892" s="11" t="n">
        <v>250</v>
      </c>
      <c r="F892" s="11" t="n">
        <v>225</v>
      </c>
      <c r="G892" s="11" t="n">
        <v>0</v>
      </c>
      <c r="H892" s="15">
        <f>IF(F892&gt;=E892,(E892-0.5)/E892,IF(G892&gt;0,(F892+0.5*G892)/E892,F892/E892))</f>
        <v/>
      </c>
      <c r="I892" s="11" t="inlineStr">
        <is>
          <t>高分位</t>
        </is>
      </c>
      <c r="J892" s="11" t="inlineStr"/>
    </row>
    <row r="893">
      <c r="A893" s="6" t="inlineStr">
        <is>
          <t>2026-05-29</t>
        </is>
      </c>
      <c r="B893" s="16" t="n">
        <v>0.1071913768688086</v>
      </c>
      <c r="C893" s="6" t="inlineStr">
        <is>
          <t>2025-05-16</t>
        </is>
      </c>
      <c r="D893" s="6" t="inlineStr">
        <is>
          <t>2026-05-28</t>
        </is>
      </c>
      <c r="E893" s="6" t="n">
        <v>250</v>
      </c>
      <c r="F893" s="6" t="n">
        <v>232</v>
      </c>
      <c r="G893" s="6" t="n">
        <v>0</v>
      </c>
      <c r="H893" s="10">
        <f>IF(F893&gt;=E893,(E893-0.5)/E893,IF(G893&gt;0,(F893+0.5*G893)/E893,F893/E893))</f>
        <v/>
      </c>
      <c r="I893" s="6" t="inlineStr">
        <is>
          <t>高分位</t>
        </is>
      </c>
      <c r="J893" s="6" t="inlineStr"/>
    </row>
    <row r="894">
      <c r="A894" s="11" t="inlineStr">
        <is>
          <t>2026-06-01</t>
        </is>
      </c>
      <c r="B894" s="17" t="n">
        <v>0.07413693333721265</v>
      </c>
      <c r="C894" s="11" t="inlineStr">
        <is>
          <t>2025-05-19</t>
        </is>
      </c>
      <c r="D894" s="11" t="inlineStr">
        <is>
          <t>2026-05-29</t>
        </is>
      </c>
      <c r="E894" s="11" t="n">
        <v>250</v>
      </c>
      <c r="F894" s="11" t="n">
        <v>210</v>
      </c>
      <c r="G894" s="11" t="n">
        <v>0</v>
      </c>
      <c r="H894" s="15">
        <f>IF(F894&gt;=E894,(E894-0.5)/E894,IF(G894&gt;0,(F894+0.5*G894)/E894,F894/E894))</f>
        <v/>
      </c>
      <c r="I894" s="11" t="inlineStr">
        <is>
          <t>中间分位</t>
        </is>
      </c>
      <c r="J894" s="11" t="inlineStr"/>
    </row>
    <row r="895">
      <c r="A895" s="6" t="inlineStr">
        <is>
          <t>2026-06-02</t>
        </is>
      </c>
      <c r="B895" s="16" t="n">
        <v>0.08544303797468354</v>
      </c>
      <c r="C895" s="6" t="inlineStr">
        <is>
          <t>2025-05-20</t>
        </is>
      </c>
      <c r="D895" s="6" t="inlineStr">
        <is>
          <t>2026-06-01</t>
        </is>
      </c>
      <c r="E895" s="6" t="n">
        <v>250</v>
      </c>
      <c r="F895" s="6" t="n">
        <v>218</v>
      </c>
      <c r="G895" s="6" t="n">
        <v>0</v>
      </c>
      <c r="H895" s="10">
        <f>IF(F895&gt;=E895,(E895-0.5)/E895,IF(G895&gt;0,(F895+0.5*G895)/E895,F895/E895))</f>
        <v/>
      </c>
      <c r="I895" s="6" t="inlineStr">
        <is>
          <t>中间分位</t>
        </is>
      </c>
      <c r="J895" s="6" t="inlineStr"/>
    </row>
    <row r="896">
      <c r="A896" s="11" t="inlineStr">
        <is>
          <t>2026-06-03</t>
        </is>
      </c>
      <c r="B896" s="17" t="n">
        <v>0.07890967585553425</v>
      </c>
      <c r="C896" s="11" t="inlineStr">
        <is>
          <t>2025-05-21</t>
        </is>
      </c>
      <c r="D896" s="11" t="inlineStr">
        <is>
          <t>2026-06-02</t>
        </is>
      </c>
      <c r="E896" s="11" t="n">
        <v>250</v>
      </c>
      <c r="F896" s="11" t="n">
        <v>211</v>
      </c>
      <c r="G896" s="11" t="n">
        <v>0</v>
      </c>
      <c r="H896" s="15">
        <f>IF(F896&gt;=E896,(E896-0.5)/E896,IF(G896&gt;0,(F896+0.5*G896)/E896,F896/E896))</f>
        <v/>
      </c>
      <c r="I896" s="11" t="inlineStr">
        <is>
          <t>中间分位</t>
        </is>
      </c>
      <c r="J896" s="11" t="inlineStr"/>
    </row>
    <row r="897">
      <c r="A897" s="6" t="inlineStr">
        <is>
          <t>2026-06-04</t>
        </is>
      </c>
      <c r="B897" s="16" t="n">
        <v>0.1046671210239845</v>
      </c>
      <c r="C897" s="6" t="inlineStr">
        <is>
          <t>2025-05-22</t>
        </is>
      </c>
      <c r="D897" s="6" t="inlineStr">
        <is>
          <t>2026-06-03</t>
        </is>
      </c>
      <c r="E897" s="6" t="n">
        <v>250</v>
      </c>
      <c r="F897" s="6" t="n">
        <v>230</v>
      </c>
      <c r="G897" s="6" t="n">
        <v>0</v>
      </c>
      <c r="H897" s="10">
        <f>IF(F897&gt;=E897,(E897-0.5)/E897,IF(G897&gt;0,(F897+0.5*G897)/E897,F897/E897))</f>
        <v/>
      </c>
      <c r="I897" s="6" t="inlineStr">
        <is>
          <t>高分位</t>
        </is>
      </c>
      <c r="J897" s="6" t="inlineStr"/>
    </row>
    <row r="898">
      <c r="A898" s="11" t="inlineStr">
        <is>
          <t>2026-06-05</t>
        </is>
      </c>
      <c r="B898" s="17" t="n">
        <v>0.08807626770264886</v>
      </c>
      <c r="C898" s="11" t="inlineStr">
        <is>
          <t>2025-05-23</t>
        </is>
      </c>
      <c r="D898" s="11" t="inlineStr">
        <is>
          <t>2026-06-04</t>
        </is>
      </c>
      <c r="E898" s="11" t="n">
        <v>250</v>
      </c>
      <c r="F898" s="11" t="n">
        <v>219</v>
      </c>
      <c r="G898" s="11" t="n">
        <v>0</v>
      </c>
      <c r="H898" s="15">
        <f>IF(F898&gt;=E898,(E898-0.5)/E898,IF(G898&gt;0,(F898+0.5*G898)/E898,F898/E898))</f>
        <v/>
      </c>
      <c r="I898" s="11" t="inlineStr">
        <is>
          <t>中间分位</t>
        </is>
      </c>
      <c r="J898" s="11" t="inlineStr"/>
    </row>
    <row r="899">
      <c r="A899" s="6" t="inlineStr">
        <is>
          <t>2026-06-08</t>
        </is>
      </c>
      <c r="B899" s="16" t="n">
        <v>0.05114009454366655</v>
      </c>
      <c r="C899" s="6" t="inlineStr">
        <is>
          <t>2025-05-26</t>
        </is>
      </c>
      <c r="D899" s="6" t="inlineStr">
        <is>
          <t>2026-06-05</t>
        </is>
      </c>
      <c r="E899" s="6" t="n">
        <v>250</v>
      </c>
      <c r="F899" s="6" t="n">
        <v>198</v>
      </c>
      <c r="G899" s="6" t="n">
        <v>0</v>
      </c>
      <c r="H899" s="10">
        <f>IF(F899&gt;=E899,(E899-0.5)/E899,IF(G899&gt;0,(F899+0.5*G899)/E899,F899/E899))</f>
        <v/>
      </c>
      <c r="I899" s="6" t="inlineStr">
        <is>
          <t>中间分位</t>
        </is>
      </c>
      <c r="J899" s="6" t="inlineStr"/>
    </row>
    <row r="900">
      <c r="A900" s="11" t="inlineStr">
        <is>
          <t>2026-06-09</t>
        </is>
      </c>
      <c r="B900" s="17" t="n">
        <v>0.1181547619047619</v>
      </c>
      <c r="C900" s="11" t="inlineStr">
        <is>
          <t>2025-05-28</t>
        </is>
      </c>
      <c r="D900" s="11" t="inlineStr">
        <is>
          <t>2026-06-08</t>
        </is>
      </c>
      <c r="E900" s="11" t="n">
        <v>250</v>
      </c>
      <c r="F900" s="11" t="n">
        <v>235</v>
      </c>
      <c r="G900" s="11" t="n">
        <v>0</v>
      </c>
      <c r="H900" s="15">
        <f>IF(F900&gt;=E900,(E900-0.5)/E900,IF(G900&gt;0,(F900+0.5*G900)/E900,F900/E900))</f>
        <v/>
      </c>
      <c r="I900" s="11" t="inlineStr">
        <is>
          <t>高分位</t>
        </is>
      </c>
      <c r="J900" s="11" t="inlineStr"/>
    </row>
    <row r="901">
      <c r="A901" s="6" t="inlineStr">
        <is>
          <t>2026-06-10</t>
        </is>
      </c>
      <c r="B901" s="16" t="n">
        <v>0.09574128220965293</v>
      </c>
      <c r="C901" s="6" t="inlineStr">
        <is>
          <t>2025-05-29</t>
        </is>
      </c>
      <c r="D901" s="6" t="inlineStr">
        <is>
          <t>2026-06-09</t>
        </is>
      </c>
      <c r="E901" s="6" t="n">
        <v>250</v>
      </c>
      <c r="F901" s="6" t="n">
        <v>222</v>
      </c>
      <c r="G901" s="6" t="n">
        <v>0</v>
      </c>
      <c r="H901" s="10">
        <f>IF(F901&gt;=E901,(E901-0.5)/E901,IF(G901&gt;0,(F901+0.5*G901)/E901,F901/E901))</f>
        <v/>
      </c>
      <c r="I901" s="6" t="inlineStr">
        <is>
          <t>中间分位</t>
        </is>
      </c>
      <c r="J901" s="6" t="inlineStr"/>
    </row>
    <row r="902">
      <c r="A902" s="11" t="inlineStr">
        <is>
          <t>2026-06-11</t>
        </is>
      </c>
      <c r="B902" s="17" t="n">
        <v>0.09880923653501834</v>
      </c>
      <c r="C902" s="11" t="inlineStr">
        <is>
          <t>2025-05-30</t>
        </is>
      </c>
      <c r="D902" s="11" t="inlineStr">
        <is>
          <t>2026-06-10</t>
        </is>
      </c>
      <c r="E902" s="11" t="n">
        <v>250</v>
      </c>
      <c r="F902" s="11" t="n">
        <v>222</v>
      </c>
      <c r="G902" s="11" t="n">
        <v>0</v>
      </c>
      <c r="H902" s="15">
        <f>IF(F902&gt;=E902,(E902-0.5)/E902,IF(G902&gt;0,(F902+0.5*G902)/E902,F902/E902))</f>
        <v/>
      </c>
      <c r="I902" s="11" t="inlineStr">
        <is>
          <t>中间分位</t>
        </is>
      </c>
      <c r="J902" s="11" t="inlineStr"/>
    </row>
    <row r="903">
      <c r="A903" s="6" t="inlineStr">
        <is>
          <t>2026-06-12</t>
        </is>
      </c>
      <c r="B903" s="16" t="n">
        <v>0.125424575859975</v>
      </c>
      <c r="C903" s="6" t="inlineStr">
        <is>
          <t>2025-06-03</t>
        </is>
      </c>
      <c r="D903" s="6" t="inlineStr">
        <is>
          <t>2026-06-11</t>
        </is>
      </c>
      <c r="E903" s="6" t="n">
        <v>250</v>
      </c>
      <c r="F903" s="6" t="n">
        <v>236</v>
      </c>
      <c r="G903" s="6" t="n">
        <v>0</v>
      </c>
      <c r="H903" s="10">
        <f>IF(F903&gt;=E903,(E903-0.5)/E903,IF(G903&gt;0,(F903+0.5*G903)/E903,F903/E903))</f>
        <v/>
      </c>
      <c r="I903" s="6" t="inlineStr">
        <is>
          <t>高分位</t>
        </is>
      </c>
      <c r="J903" s="6" t="inlineStr"/>
    </row>
    <row r="904">
      <c r="A904" s="11" t="inlineStr">
        <is>
          <t>2026-06-15</t>
        </is>
      </c>
      <c r="B904" s="17" t="n">
        <v>0.196325728891945</v>
      </c>
      <c r="C904" s="11" t="inlineStr">
        <is>
          <t>2025-06-04</t>
        </is>
      </c>
      <c r="D904" s="11" t="inlineStr">
        <is>
          <t>2026-06-12</t>
        </is>
      </c>
      <c r="E904" s="11" t="n">
        <v>250</v>
      </c>
      <c r="F904" s="11" t="n">
        <v>250</v>
      </c>
      <c r="G904" s="11" t="n">
        <v>0</v>
      </c>
      <c r="H904" s="15">
        <f>IF(F904&gt;=E904,(E904-0.5)/E904,IF(G904&gt;0,(F904+0.5*G904)/E904,F904/E904))</f>
        <v/>
      </c>
      <c r="I904" s="11" t="inlineStr">
        <is>
          <t>高分位</t>
        </is>
      </c>
      <c r="J904" s="11" t="inlineStr"/>
    </row>
    <row r="905">
      <c r="A905" s="6" t="inlineStr">
        <is>
          <t>2026-06-16</t>
        </is>
      </c>
      <c r="B905" s="16" t="n">
        <v>0.1559748427672956</v>
      </c>
      <c r="C905" s="6" t="inlineStr">
        <is>
          <t>2025-06-05</t>
        </is>
      </c>
      <c r="D905" s="6" t="inlineStr">
        <is>
          <t>2026-06-15</t>
        </is>
      </c>
      <c r="E905" s="6" t="n">
        <v>250</v>
      </c>
      <c r="F905" s="6" t="n">
        <v>245</v>
      </c>
      <c r="G905" s="6" t="n">
        <v>0</v>
      </c>
      <c r="H905" s="10">
        <f>IF(F905&gt;=E905,(E905-0.5)/E905,IF(G905&gt;0,(F905+0.5*G905)/E905,F905/E905))</f>
        <v/>
      </c>
      <c r="I905" s="6" t="inlineStr">
        <is>
          <t>高分位</t>
        </is>
      </c>
      <c r="J905" s="6" t="inlineStr"/>
    </row>
    <row r="906">
      <c r="A906" s="11" t="inlineStr">
        <is>
          <t>2026-06-17</t>
        </is>
      </c>
      <c r="B906" s="17" t="n">
        <v>0.1644104042732065</v>
      </c>
      <c r="C906" s="11" t="inlineStr">
        <is>
          <t>2025-06-06</t>
        </is>
      </c>
      <c r="D906" s="11" t="inlineStr">
        <is>
          <t>2026-06-16</t>
        </is>
      </c>
      <c r="E906" s="11" t="n">
        <v>250</v>
      </c>
      <c r="F906" s="11" t="n">
        <v>249</v>
      </c>
      <c r="G906" s="11" t="n">
        <v>0</v>
      </c>
      <c r="H906" s="15">
        <f>IF(F906&gt;=E906,(E906-0.5)/E906,IF(G906&gt;0,(F906+0.5*G906)/E906,F906/E906))</f>
        <v/>
      </c>
      <c r="I906" s="11" t="inlineStr">
        <is>
          <t>高分位</t>
        </is>
      </c>
      <c r="J906" s="11" t="inlineStr"/>
    </row>
    <row r="907">
      <c r="A907" s="6" t="inlineStr">
        <is>
          <t>2026-06-18</t>
        </is>
      </c>
      <c r="B907" s="16" t="n">
        <v>0.1479810204969336</v>
      </c>
      <c r="C907" s="6" t="inlineStr">
        <is>
          <t>2025-06-09</t>
        </is>
      </c>
      <c r="D907" s="6" t="inlineStr">
        <is>
          <t>2026-06-17</t>
        </is>
      </c>
      <c r="E907" s="6" t="n">
        <v>250</v>
      </c>
      <c r="F907" s="6" t="n">
        <v>242</v>
      </c>
      <c r="G907" s="6" t="n">
        <v>0</v>
      </c>
      <c r="H907" s="10">
        <f>IF(F907&gt;=E907,(E907-0.5)/E907,IF(G907&gt;0,(F907+0.5*G907)/E907,F907/E907))</f>
        <v/>
      </c>
      <c r="I907" s="6" t="inlineStr">
        <is>
          <t>高分位</t>
        </is>
      </c>
      <c r="J907" s="6" t="inlineStr"/>
    </row>
    <row r="908">
      <c r="A908" s="11" t="inlineStr">
        <is>
          <t>2026-06-22</t>
        </is>
      </c>
      <c r="B908" s="17" t="n">
        <v>0.1332581334192761</v>
      </c>
      <c r="C908" s="11" t="inlineStr">
        <is>
          <t>2025-06-10</t>
        </is>
      </c>
      <c r="D908" s="11" t="inlineStr">
        <is>
          <t>2026-06-18</t>
        </is>
      </c>
      <c r="E908" s="11" t="n">
        <v>250</v>
      </c>
      <c r="F908" s="11" t="n">
        <v>235</v>
      </c>
      <c r="G908" s="11" t="n">
        <v>0</v>
      </c>
      <c r="H908" s="15">
        <f>IF(F908&gt;=E908,(E908-0.5)/E908,IF(G908&gt;0,(F908+0.5*G908)/E908,F908/E908))</f>
        <v/>
      </c>
      <c r="I908" s="11" t="inlineStr">
        <is>
          <t>高分位</t>
        </is>
      </c>
      <c r="J908" s="11" t="inlineStr"/>
    </row>
    <row r="909">
      <c r="A909" s="6" t="inlineStr">
        <is>
          <t>2026-06-23</t>
        </is>
      </c>
      <c r="B909" s="16" t="n">
        <v>0.1242399013584293</v>
      </c>
      <c r="C909" s="6" t="inlineStr">
        <is>
          <t>2025-06-11</t>
        </is>
      </c>
      <c r="D909" s="6" t="inlineStr">
        <is>
          <t>2026-06-22</t>
        </is>
      </c>
      <c r="E909" s="6" t="n">
        <v>250</v>
      </c>
      <c r="F909" s="6" t="n">
        <v>229</v>
      </c>
      <c r="G909" s="6" t="n">
        <v>0</v>
      </c>
      <c r="H909" s="10">
        <f>IF(F909&gt;=E909,(E909-0.5)/E909,IF(G909&gt;0,(F909+0.5*G909)/E909,F909/E909))</f>
        <v/>
      </c>
      <c r="I909" s="6" t="inlineStr">
        <is>
          <t>高分位</t>
        </is>
      </c>
      <c r="J909" s="6" t="inlineStr"/>
    </row>
    <row r="910">
      <c r="A910" s="11" t="inlineStr">
        <is>
          <t>2026-06-24</t>
        </is>
      </c>
      <c r="B910" s="17" t="n">
        <v>0.1146714671467147</v>
      </c>
      <c r="C910" s="11" t="inlineStr">
        <is>
          <t>2025-06-12</t>
        </is>
      </c>
      <c r="D910" s="11" t="inlineStr">
        <is>
          <t>2026-06-23</t>
        </is>
      </c>
      <c r="E910" s="11" t="n">
        <v>250</v>
      </c>
      <c r="F910" s="11" t="n">
        <v>226</v>
      </c>
      <c r="G910" s="11" t="n">
        <v>0</v>
      </c>
      <c r="H910" s="15">
        <f>IF(F910&gt;=E910,(E910-0.5)/E910,IF(G910&gt;0,(F910+0.5*G910)/E910,F910/E910))</f>
        <v/>
      </c>
      <c r="I910" s="11" t="inlineStr">
        <is>
          <t>高分位</t>
        </is>
      </c>
      <c r="J910" s="11" t="inlineStr"/>
    </row>
    <row r="911">
      <c r="A911" s="6" t="inlineStr">
        <is>
          <t>2026-06-25</t>
        </is>
      </c>
      <c r="B911" s="16" t="n">
        <v>0.09953660797034292</v>
      </c>
      <c r="C911" s="6" t="inlineStr">
        <is>
          <t>2025-06-13</t>
        </is>
      </c>
      <c r="D911" s="6" t="inlineStr">
        <is>
          <t>2026-06-24</t>
        </is>
      </c>
      <c r="E911" s="6" t="n">
        <v>250</v>
      </c>
      <c r="F911" s="6" t="n">
        <v>215</v>
      </c>
      <c r="G911" s="6" t="n">
        <v>0</v>
      </c>
      <c r="H911" s="10">
        <f>IF(F911&gt;=E911,(E911-0.5)/E911,IF(G911&gt;0,(F911+0.5*G911)/E911,F911/E911))</f>
        <v/>
      </c>
      <c r="I911" s="6" t="inlineStr">
        <is>
          <t>中间分位</t>
        </is>
      </c>
      <c r="J911" s="6" t="inlineStr"/>
    </row>
    <row r="912">
      <c r="A912" s="11" t="inlineStr">
        <is>
          <t>2026-06-26</t>
        </is>
      </c>
      <c r="B912" s="17" t="n">
        <v>0.1044215042033221</v>
      </c>
      <c r="C912" s="11" t="inlineStr">
        <is>
          <t>2025-06-16</t>
        </is>
      </c>
      <c r="D912" s="11" t="inlineStr">
        <is>
          <t>2026-06-25</t>
        </is>
      </c>
      <c r="E912" s="11" t="n">
        <v>250</v>
      </c>
      <c r="F912" s="11" t="n">
        <v>220</v>
      </c>
      <c r="G912" s="11" t="n">
        <v>0</v>
      </c>
      <c r="H912" s="15">
        <f>IF(F912&gt;=E912,(E912-0.5)/E912,IF(G912&gt;0,(F912+0.5*G912)/E912,F912/E912))</f>
        <v/>
      </c>
      <c r="I912" s="11" t="inlineStr">
        <is>
          <t>中间分位</t>
        </is>
      </c>
      <c r="J912" s="11" t="inlineStr"/>
    </row>
    <row r="913">
      <c r="A913" s="6" t="inlineStr">
        <is>
          <t>2026-06-29</t>
        </is>
      </c>
      <c r="B913" s="16" t="n">
        <v>0.1124484516555001</v>
      </c>
      <c r="C913" s="6" t="inlineStr">
        <is>
          <t>2025-06-17</t>
        </is>
      </c>
      <c r="D913" s="6" t="inlineStr">
        <is>
          <t>2026-06-26</t>
        </is>
      </c>
      <c r="E913" s="6" t="n">
        <v>250</v>
      </c>
      <c r="F913" s="6" t="n">
        <v>225</v>
      </c>
      <c r="G913" s="6" t="n">
        <v>0</v>
      </c>
      <c r="H913" s="10">
        <f>IF(F913&gt;=E913,(E913-0.5)/E913,IF(G913&gt;0,(F913+0.5*G913)/E913,F913/E913))</f>
        <v/>
      </c>
      <c r="I913" s="6" t="inlineStr">
        <is>
          <t>高分位</t>
        </is>
      </c>
      <c r="J913" s="6" t="inlineStr"/>
    </row>
    <row r="914">
      <c r="A914" s="11" t="inlineStr">
        <is>
          <t>2026-06-30</t>
        </is>
      </c>
      <c r="B914" s="17" t="n">
        <v>0.1369658020921826</v>
      </c>
      <c r="C914" s="11" t="inlineStr">
        <is>
          <t>2025-06-18</t>
        </is>
      </c>
      <c r="D914" s="11" t="inlineStr">
        <is>
          <t>2026-06-29</t>
        </is>
      </c>
      <c r="E914" s="11" t="n">
        <v>250</v>
      </c>
      <c r="F914" s="11" t="n">
        <v>237</v>
      </c>
      <c r="G914" s="11" t="n">
        <v>0</v>
      </c>
      <c r="H914" s="15">
        <f>IF(F914&gt;=E914,(E914-0.5)/E914,IF(G914&gt;0,(F914+0.5*G914)/E914,F914/E914))</f>
        <v/>
      </c>
      <c r="I914" s="11" t="inlineStr">
        <is>
          <t>高分位</t>
        </is>
      </c>
      <c r="J914" s="11" t="inlineStr"/>
    </row>
    <row r="915">
      <c r="A915" s="6" t="inlineStr">
        <is>
          <t>2026-07-01</t>
        </is>
      </c>
      <c r="B915" s="16" t="n">
        <v>0.152135716012368</v>
      </c>
      <c r="C915" s="6" t="inlineStr">
        <is>
          <t>2025-06-19</t>
        </is>
      </c>
      <c r="D915" s="6" t="inlineStr">
        <is>
          <t>2026-06-30</t>
        </is>
      </c>
      <c r="E915" s="6" t="n">
        <v>250</v>
      </c>
      <c r="F915" s="6" t="n">
        <v>243</v>
      </c>
      <c r="G915" s="6" t="n">
        <v>0</v>
      </c>
      <c r="H915" s="10">
        <f>IF(F915&gt;=E915,(E915-0.5)/E915,IF(G915&gt;0,(F915+0.5*G915)/E915,F915/E915))</f>
        <v/>
      </c>
      <c r="I915" s="6" t="inlineStr">
        <is>
          <t>高分位</t>
        </is>
      </c>
      <c r="J915" s="6" t="inlineStr"/>
    </row>
    <row r="916">
      <c r="A916" s="11" t="inlineStr">
        <is>
          <t>2026-07-02</t>
        </is>
      </c>
      <c r="B916" s="17" t="n">
        <v>0.09498598327247208</v>
      </c>
      <c r="C916" s="11" t="inlineStr">
        <is>
          <t>2025-06-20</t>
        </is>
      </c>
      <c r="D916" s="11" t="inlineStr">
        <is>
          <t>2026-07-01</t>
        </is>
      </c>
      <c r="E916" s="11" t="n">
        <v>250</v>
      </c>
      <c r="F916" s="11" t="n">
        <v>207</v>
      </c>
      <c r="G916" s="11" t="n">
        <v>0</v>
      </c>
      <c r="H916" s="15">
        <f>IF(F916&gt;=E916,(E916-0.5)/E916,IF(G916&gt;0,(F916+0.5*G916)/E916,F916/E916))</f>
        <v/>
      </c>
      <c r="I916" s="11" t="inlineStr">
        <is>
          <t>中间分位</t>
        </is>
      </c>
      <c r="J916" s="11" t="inlineStr"/>
    </row>
    <row r="917">
      <c r="A917" s="6" t="inlineStr">
        <is>
          <t>2026-07-03</t>
        </is>
      </c>
      <c r="B917" s="16" t="n">
        <v>0.0663162897758295</v>
      </c>
      <c r="C917" s="6" t="inlineStr">
        <is>
          <t>2025-06-23</t>
        </is>
      </c>
      <c r="D917" s="6" t="inlineStr">
        <is>
          <t>2026-07-02</t>
        </is>
      </c>
      <c r="E917" s="6" t="n">
        <v>250</v>
      </c>
      <c r="F917" s="6" t="n">
        <v>187</v>
      </c>
      <c r="G917" s="6" t="n">
        <v>0</v>
      </c>
      <c r="H917" s="10">
        <f>IF(F917&gt;=E917,(E917-0.5)/E917,IF(G917&gt;0,(F917+0.5*G917)/E917,F917/E917))</f>
        <v/>
      </c>
      <c r="I917" s="6" t="inlineStr">
        <is>
          <t>中间分位</t>
        </is>
      </c>
      <c r="J917" s="6" t="inlineStr"/>
    </row>
    <row r="918">
      <c r="A918" s="11" t="inlineStr">
        <is>
          <t>2026-07-06</t>
        </is>
      </c>
      <c r="B918" s="17" t="n">
        <v>0.06167976397056781</v>
      </c>
      <c r="C918" s="11" t="inlineStr">
        <is>
          <t>2025-06-24</t>
        </is>
      </c>
      <c r="D918" s="11" t="inlineStr">
        <is>
          <t>2026-07-03</t>
        </is>
      </c>
      <c r="E918" s="11" t="n">
        <v>250</v>
      </c>
      <c r="F918" s="11" t="n">
        <v>184</v>
      </c>
      <c r="G918" s="11" t="n">
        <v>0</v>
      </c>
      <c r="H918" s="15">
        <f>IF(F918&gt;=E918,(E918-0.5)/E918,IF(G918&gt;0,(F918+0.5*G918)/E918,F918/E918))</f>
        <v/>
      </c>
      <c r="I918" s="11" t="inlineStr">
        <is>
          <t>中间分位</t>
        </is>
      </c>
      <c r="J918" s="11" t="inlineStr"/>
    </row>
    <row r="919">
      <c r="A919" s="6" t="inlineStr">
        <is>
          <t>2026-07-07</t>
        </is>
      </c>
      <c r="B919" s="16" t="n">
        <v>0.04949054432877189</v>
      </c>
      <c r="C919" s="6" t="inlineStr">
        <is>
          <t>2025-06-25</t>
        </is>
      </c>
      <c r="D919" s="6" t="inlineStr">
        <is>
          <t>2026-07-06</t>
        </is>
      </c>
      <c r="E919" s="6" t="n">
        <v>250</v>
      </c>
      <c r="F919" s="6" t="n">
        <v>181</v>
      </c>
      <c r="G919" s="6" t="n">
        <v>0</v>
      </c>
      <c r="H919" s="10">
        <f>IF(F919&gt;=E919,(E919-0.5)/E919,IF(G919&gt;0,(F919+0.5*G919)/E919,F919/E919))</f>
        <v/>
      </c>
      <c r="I919" s="6" t="inlineStr">
        <is>
          <t>中间分位</t>
        </is>
      </c>
      <c r="J919" s="6" t="inlineStr"/>
    </row>
    <row r="920">
      <c r="A920" s="11" t="inlineStr">
        <is>
          <t>2026-07-08</t>
        </is>
      </c>
      <c r="B920" s="17" t="n">
        <v>0.01821898294116022</v>
      </c>
      <c r="C920" s="11" t="inlineStr">
        <is>
          <t>2025-06-26</t>
        </is>
      </c>
      <c r="D920" s="11" t="inlineStr">
        <is>
          <t>2026-07-07</t>
        </is>
      </c>
      <c r="E920" s="11" t="n">
        <v>250</v>
      </c>
      <c r="F920" s="11" t="n">
        <v>169</v>
      </c>
      <c r="G920" s="11" t="n">
        <v>0</v>
      </c>
      <c r="H920" s="15">
        <f>IF(F920&gt;=E920,(E920-0.5)/E920,IF(G920&gt;0,(F920+0.5*G920)/E920,F920/E920))</f>
        <v/>
      </c>
      <c r="I920" s="11" t="inlineStr">
        <is>
          <t>中间分位</t>
        </is>
      </c>
      <c r="J920" s="11" t="inlineStr"/>
    </row>
    <row r="921">
      <c r="A921" s="6" t="inlineStr">
        <is>
          <t>2026-07-09</t>
        </is>
      </c>
      <c r="B921" s="16" t="n">
        <v>0.05038167938931298</v>
      </c>
      <c r="C921" s="6" t="inlineStr">
        <is>
          <t>2025-06-27</t>
        </is>
      </c>
      <c r="D921" s="6" t="inlineStr">
        <is>
          <t>2026-07-08</t>
        </is>
      </c>
      <c r="E921" s="6" t="n">
        <v>250</v>
      </c>
      <c r="F921" s="6" t="n">
        <v>184</v>
      </c>
      <c r="G921" s="6" t="n">
        <v>0</v>
      </c>
      <c r="H921" s="10">
        <f>IF(F921&gt;=E921,(E921-0.5)/E921,IF(G921&gt;0,(F921+0.5*G921)/E921,F921/E921))</f>
        <v/>
      </c>
      <c r="I921" s="6" t="inlineStr">
        <is>
          <t>中间分位</t>
        </is>
      </c>
      <c r="J921" s="6" t="inlineStr"/>
    </row>
    <row r="922">
      <c r="A922" s="11" t="inlineStr">
        <is>
          <t>2026-07-10</t>
        </is>
      </c>
      <c r="B922" s="17" t="n">
        <v>0.06415094339622641</v>
      </c>
      <c r="C922" s="11" t="inlineStr">
        <is>
          <t>2025-06-30</t>
        </is>
      </c>
      <c r="D922" s="11" t="inlineStr">
        <is>
          <t>2026-07-09</t>
        </is>
      </c>
      <c r="E922" s="11" t="n">
        <v>250</v>
      </c>
      <c r="F922" s="11" t="n">
        <v>189</v>
      </c>
      <c r="G922" s="11" t="n">
        <v>0</v>
      </c>
      <c r="H922" s="15">
        <f>IF(F922&gt;=E922,(E922-0.5)/E922,IF(G922&gt;0,(F922+0.5*G922)/E922,F922/E922))</f>
        <v/>
      </c>
      <c r="I922" s="11" t="inlineStr">
        <is>
          <t>中间分位</t>
        </is>
      </c>
      <c r="J922" s="11" t="inlineStr"/>
    </row>
    <row r="923">
      <c r="A923" s="6" t="inlineStr">
        <is>
          <t>2026-07-13</t>
        </is>
      </c>
      <c r="B923" s="16" t="n">
        <v>0.03724366995366066</v>
      </c>
      <c r="C923" s="6" t="inlineStr">
        <is>
          <t>2025-07-01</t>
        </is>
      </c>
      <c r="D923" s="6" t="inlineStr">
        <is>
          <t>2026-07-10</t>
        </is>
      </c>
      <c r="E923" s="6" t="n">
        <v>250</v>
      </c>
      <c r="F923" s="6" t="n">
        <v>182</v>
      </c>
      <c r="G923" s="6" t="n">
        <v>0</v>
      </c>
      <c r="H923" s="10">
        <f>IF(F923&gt;=E923,(E923-0.5)/E923,IF(G923&gt;0,(F923+0.5*G923)/E923,F923/E923))</f>
        <v/>
      </c>
      <c r="I923" s="6" t="inlineStr">
        <is>
          <t>中间分位</t>
        </is>
      </c>
      <c r="J923" s="6" t="inlineStr"/>
    </row>
    <row r="924">
      <c r="A924" s="11" t="inlineStr">
        <is>
          <t>2026-07-14</t>
        </is>
      </c>
      <c r="B924" s="17" t="n">
        <v>0.00303030303030303</v>
      </c>
      <c r="C924" s="11" t="inlineStr">
        <is>
          <t>2025-07-02</t>
        </is>
      </c>
      <c r="D924" s="11" t="inlineStr">
        <is>
          <t>2026-07-13</t>
        </is>
      </c>
      <c r="E924" s="11" t="n">
        <v>250</v>
      </c>
      <c r="F924" s="11" t="n">
        <v>144</v>
      </c>
      <c r="G924" s="11" t="n">
        <v>0</v>
      </c>
      <c r="H924" s="15">
        <f>IF(F924&gt;=E924,(E924-0.5)/E924,IF(G924&gt;0,(F924+0.5*G924)/E924,F924/E924))</f>
        <v/>
      </c>
      <c r="I924" s="11" t="inlineStr">
        <is>
          <t>中间分位</t>
        </is>
      </c>
      <c r="J924" s="11" t="inlineStr"/>
    </row>
    <row r="925">
      <c r="A925" s="6" t="inlineStr">
        <is>
          <t>2026-07-15</t>
        </is>
      </c>
      <c r="B925" s="16" t="n">
        <v>0.03416530800570455</v>
      </c>
      <c r="C925" s="6" t="inlineStr">
        <is>
          <t>2025-07-03</t>
        </is>
      </c>
      <c r="D925" s="6" t="inlineStr">
        <is>
          <t>2026-07-14</t>
        </is>
      </c>
      <c r="E925" s="6" t="n">
        <v>250</v>
      </c>
      <c r="F925" s="6" t="n">
        <v>183</v>
      </c>
      <c r="G925" s="6" t="n">
        <v>0</v>
      </c>
      <c r="H925" s="10">
        <f>IF(F925&gt;=E925,(E925-0.5)/E925,IF(G925&gt;0,(F925+0.5*G925)/E925,F925/E925))</f>
        <v/>
      </c>
      <c r="I925" s="6" t="inlineStr">
        <is>
          <t>中间分位</t>
        </is>
      </c>
      <c r="J925" s="6" t="inlineStr"/>
    </row>
    <row r="926">
      <c r="A926" s="11" t="inlineStr">
        <is>
          <t>2026-07-16</t>
        </is>
      </c>
      <c r="B926" s="17" t="n">
        <v>0.02361060122298984</v>
      </c>
      <c r="C926" s="11" t="inlineStr">
        <is>
          <t>2025-07-04</t>
        </is>
      </c>
      <c r="D926" s="11" t="inlineStr">
        <is>
          <t>2026-07-15</t>
        </is>
      </c>
      <c r="E926" s="11" t="n">
        <v>250</v>
      </c>
      <c r="F926" s="11" t="n">
        <v>176</v>
      </c>
      <c r="G926" s="11" t="n">
        <v>0</v>
      </c>
      <c r="H926" s="15">
        <f>IF(F926&gt;=E926,(E926-0.5)/E926,IF(G926&gt;0,(F926+0.5*G926)/E926,F926/E926))</f>
        <v/>
      </c>
      <c r="I926" s="11" t="inlineStr">
        <is>
          <t>中间分位</t>
        </is>
      </c>
      <c r="J926" s="11" t="inlineStr"/>
    </row>
    <row r="927">
      <c r="A927" s="6" t="inlineStr">
        <is>
          <t>2026-07-17</t>
        </is>
      </c>
      <c r="B927" s="16" t="n">
        <v>0.01003888326363455</v>
      </c>
      <c r="C927" s="6" t="inlineStr">
        <is>
          <t>2025-07-07</t>
        </is>
      </c>
      <c r="D927" s="6" t="inlineStr">
        <is>
          <t>2026-07-16</t>
        </is>
      </c>
      <c r="E927" s="6" t="n">
        <v>250</v>
      </c>
      <c r="F927" s="6" t="n">
        <v>161</v>
      </c>
      <c r="G927" s="6" t="n">
        <v>0</v>
      </c>
      <c r="H927" s="10">
        <f>IF(F927&gt;=E927,(E927-0.5)/E927,IF(G927&gt;0,(F927+0.5*G927)/E927,F927/E927))</f>
        <v/>
      </c>
      <c r="I927" s="6" t="inlineStr">
        <is>
          <t>中间分位</t>
        </is>
      </c>
      <c r="J927" s="6" t="inlineStr"/>
    </row>
    <row r="928">
      <c r="A928" s="11" t="inlineStr">
        <is>
          <t>2026-07-20</t>
        </is>
      </c>
      <c r="B928" s="17" t="n">
        <v>-0.06203545424567813</v>
      </c>
      <c r="C928" s="11" t="inlineStr">
        <is>
          <t>2025-07-08</t>
        </is>
      </c>
      <c r="D928" s="11" t="inlineStr">
        <is>
          <t>2026-07-17</t>
        </is>
      </c>
      <c r="E928" s="11" t="n">
        <v>250</v>
      </c>
      <c r="F928" s="11" t="n">
        <v>8</v>
      </c>
      <c r="G928" s="11" t="n">
        <v>0</v>
      </c>
      <c r="H928" s="15">
        <f>IF(F928&gt;=E928,(E928-0.5)/E928,IF(G928&gt;0,(F928+0.5*G928)/E928,F928/E928))</f>
        <v/>
      </c>
      <c r="I928" s="11" t="inlineStr">
        <is>
          <t>低分位</t>
        </is>
      </c>
      <c r="J928" s="11" t="inlineStr"/>
    </row>
    <row r="929">
      <c r="A929" s="6" t="inlineStr">
        <is>
          <t>2026-07-21</t>
        </is>
      </c>
      <c r="B929" s="16" t="n">
        <v>0.02974910394265233</v>
      </c>
      <c r="C929" s="6" t="inlineStr">
        <is>
          <t>2025-07-09</t>
        </is>
      </c>
      <c r="D929" s="6" t="inlineStr">
        <is>
          <t>2026-07-20</t>
        </is>
      </c>
      <c r="E929" s="6" t="n">
        <v>250</v>
      </c>
      <c r="F929" s="6" t="n">
        <v>180</v>
      </c>
      <c r="G929" s="6" t="n">
        <v>0</v>
      </c>
      <c r="H929" s="10">
        <f>IF(F929&gt;=E929,(E929-0.5)/E929,IF(G929&gt;0,(F929+0.5*G929)/E929,F929/E929))</f>
        <v/>
      </c>
      <c r="I929" s="6" t="inlineStr">
        <is>
          <t>中间分位</t>
        </is>
      </c>
      <c r="J929" s="6" t="inlineStr"/>
    </row>
    <row r="930">
      <c r="A930" s="11" t="inlineStr">
        <is>
          <t>2026-07-22</t>
        </is>
      </c>
      <c r="B930" s="17" t="n">
        <v>-0.004185955436015473</v>
      </c>
      <c r="C930" s="11" t="inlineStr">
        <is>
          <t>2025-07-10</t>
        </is>
      </c>
      <c r="D930" s="11" t="inlineStr">
        <is>
          <t>2026-07-21</t>
        </is>
      </c>
      <c r="E930" s="11" t="n">
        <v>250</v>
      </c>
      <c r="F930" s="11" t="n">
        <v>116</v>
      </c>
      <c r="G930" s="11" t="n">
        <v>0</v>
      </c>
      <c r="H930" s="15">
        <f>IF(F930&gt;=E930,(E930-0.5)/E930,IF(G930&gt;0,(F930+0.5*G930)/E930,F930/E930))</f>
        <v/>
      </c>
      <c r="I930" s="11" t="inlineStr">
        <is>
          <t>中间分位</t>
        </is>
      </c>
      <c r="J930" s="11" t="inlineStr"/>
    </row>
    <row r="931">
      <c r="A931" s="6" t="inlineStr">
        <is>
          <t>2026-07-23</t>
        </is>
      </c>
      <c r="B931" s="16" t="n">
        <v>-0.01385777297090493</v>
      </c>
      <c r="C931" s="6" t="inlineStr">
        <is>
          <t>2025-07-11</t>
        </is>
      </c>
      <c r="D931" s="6" t="inlineStr">
        <is>
          <t>2026-07-22</t>
        </is>
      </c>
      <c r="E931" s="6" t="n">
        <v>250</v>
      </c>
      <c r="F931" s="6" t="n">
        <v>85</v>
      </c>
      <c r="G931" s="6" t="n">
        <v>0</v>
      </c>
      <c r="H931" s="10">
        <f>IF(F931&gt;=E931,(E931-0.5)/E931,IF(G931&gt;0,(F931+0.5*G931)/E931,F931/E931))</f>
        <v/>
      </c>
      <c r="I931" s="6" t="inlineStr">
        <is>
          <t>中间分位</t>
        </is>
      </c>
      <c r="J931" s="6" t="inlineStr"/>
    </row>
    <row r="932">
      <c r="A932" s="11" t="inlineStr">
        <is>
          <t>2026-07-24</t>
        </is>
      </c>
      <c r="B932" s="17" t="n">
        <v>-0.001818181818181818</v>
      </c>
      <c r="C932" s="11" t="inlineStr">
        <is>
          <t>2025-07-14</t>
        </is>
      </c>
      <c r="D932" s="11" t="inlineStr">
        <is>
          <t>2026-07-23</t>
        </is>
      </c>
      <c r="E932" s="11" t="n">
        <v>250</v>
      </c>
      <c r="F932" s="11" t="n">
        <v>127</v>
      </c>
      <c r="G932" s="11" t="n">
        <v>0</v>
      </c>
      <c r="H932" s="15">
        <f>IF(F932&gt;=E932,(E932-0.5)/E932,IF(G932&gt;0,(F932+0.5*G932)/E932,F932/E932))</f>
        <v/>
      </c>
      <c r="I932" s="11" t="inlineStr">
        <is>
          <t>中间分位</t>
        </is>
      </c>
      <c r="J932" s="11" t="inlineStr"/>
    </row>
    <row r="933">
      <c r="A933" s="6" t="inlineStr">
        <is>
          <t>2026-07-27</t>
        </is>
      </c>
      <c r="B933" s="16" t="n">
        <v>0.05205696374935079</v>
      </c>
      <c r="C933" s="6" t="inlineStr">
        <is>
          <t>2025-07-15</t>
        </is>
      </c>
      <c r="D933" s="6" t="inlineStr">
        <is>
          <t>2026-07-24</t>
        </is>
      </c>
      <c r="E933" s="6" t="n">
        <v>250</v>
      </c>
      <c r="F933" s="6" t="n">
        <v>188</v>
      </c>
      <c r="G933" s="6" t="n">
        <v>0</v>
      </c>
      <c r="H933" s="10">
        <f>IF(F933&gt;=E933,(E933-0.5)/E933,IF(G933&gt;0,(F933+0.5*G933)/E933,F933/E933))</f>
        <v/>
      </c>
      <c r="I933" s="6" t="inlineStr">
        <is>
          <t>中间分位</t>
        </is>
      </c>
      <c r="J933" s="6" t="inlineStr"/>
    </row>
    <row r="934">
      <c r="A934" s="11" t="inlineStr">
        <is>
          <t>2026-07-28</t>
        </is>
      </c>
      <c r="B934" s="17" t="n">
        <v>0.007884287496137959</v>
      </c>
      <c r="C934" s="11" t="inlineStr">
        <is>
          <t>2025-07-16</t>
        </is>
      </c>
      <c r="D934" s="11" t="inlineStr">
        <is>
          <t>2026-07-27</t>
        </is>
      </c>
      <c r="E934" s="11" t="n">
        <v>250</v>
      </c>
      <c r="F934" s="11" t="n">
        <v>159</v>
      </c>
      <c r="G934" s="11" t="n">
        <v>0</v>
      </c>
      <c r="H934" s="15">
        <f>IF(F934&gt;=E934,(E934-0.5)/E934,IF(G934&gt;0,(F934+0.5*G934)/E934,F934/E934))</f>
        <v/>
      </c>
      <c r="I934" s="11" t="inlineStr">
        <is>
          <t>中间分位</t>
        </is>
      </c>
      <c r="J934" s="11" t="inlineStr"/>
    </row>
    <row r="935">
      <c r="A935" s="6" t="inlineStr">
        <is>
          <t>2026-07-29</t>
        </is>
      </c>
      <c r="B935" s="16" t="n">
        <v>-0.01364925210363789</v>
      </c>
      <c r="C935" s="6" t="inlineStr">
        <is>
          <t>2025-07-17</t>
        </is>
      </c>
      <c r="D935" s="6" t="inlineStr">
        <is>
          <t>2026-07-28</t>
        </is>
      </c>
      <c r="E935" s="6" t="n">
        <v>250</v>
      </c>
      <c r="F935" s="6" t="n">
        <v>86</v>
      </c>
      <c r="G935" s="6" t="n">
        <v>0</v>
      </c>
      <c r="H935" s="10">
        <f>IF(F935&gt;=E935,(E935-0.5)/E935,IF(G935&gt;0,(F935+0.5*G935)/E935,F935/E935))</f>
        <v/>
      </c>
      <c r="I935" s="6" t="inlineStr">
        <is>
          <t>中间分位</t>
        </is>
      </c>
      <c r="J935" s="6" t="inlineStr"/>
    </row>
    <row r="936">
      <c r="A936" s="11" t="inlineStr">
        <is>
          <t>2026-07-30</t>
        </is>
      </c>
      <c r="B936" s="17" t="n">
        <v>-0.0001242156534307987</v>
      </c>
      <c r="C936" s="11" t="inlineStr">
        <is>
          <t>2025-07-18</t>
        </is>
      </c>
      <c r="D936" s="11" t="inlineStr">
        <is>
          <t>2026-07-29</t>
        </is>
      </c>
      <c r="E936" s="11" t="n">
        <v>250</v>
      </c>
      <c r="F936" s="11" t="n">
        <v>137</v>
      </c>
      <c r="G936" s="11" t="n">
        <v>0</v>
      </c>
      <c r="H936" s="15">
        <f>IF(F936&gt;=E936,(E936-0.5)/E936,IF(G936&gt;0,(F936+0.5*G936)/E936,F936/E936))</f>
        <v/>
      </c>
      <c r="I936" s="11" t="inlineStr">
        <is>
          <t>中间分位</t>
        </is>
      </c>
      <c r="J936" s="11" t="inlineStr"/>
    </row>
    <row r="937">
      <c r="A937" s="6" t="inlineStr">
        <is>
          <t>2026-07-31</t>
        </is>
      </c>
      <c r="B937" s="16" t="n">
        <v>0.01763602251407129</v>
      </c>
      <c r="C937" s="6" t="inlineStr">
        <is>
          <t>2025-07-21</t>
        </is>
      </c>
      <c r="D937" s="6" t="inlineStr">
        <is>
          <t>2026-07-30</t>
        </is>
      </c>
      <c r="E937" s="6" t="n">
        <v>250</v>
      </c>
      <c r="F937" s="6" t="n">
        <v>170</v>
      </c>
      <c r="G937" s="6" t="n">
        <v>0</v>
      </c>
      <c r="H937" s="10">
        <f>IF(F937&gt;=E937,(E937-0.5)/E937,IF(G937&gt;0,(F937+0.5*G937)/E937,F937/E937))</f>
        <v/>
      </c>
      <c r="I937" s="6" t="inlineStr">
        <is>
          <t>中间分位</t>
        </is>
      </c>
      <c r="J937" s="6" t="inlineStr"/>
    </row>
    <row r="938">
      <c r="A938" s="11" t="inlineStr">
        <is>
          <t>2026-08-03</t>
        </is>
      </c>
      <c r="B938" s="17" t="n">
        <v>0.01306152575970293</v>
      </c>
      <c r="C938" s="11" t="inlineStr">
        <is>
          <t>2025-07-22</t>
        </is>
      </c>
      <c r="D938" s="11" t="inlineStr">
        <is>
          <t>2026-07-31</t>
        </is>
      </c>
      <c r="E938" s="11" t="n">
        <v>250</v>
      </c>
      <c r="F938" s="11" t="n">
        <v>167</v>
      </c>
      <c r="G938" s="11" t="n">
        <v>0</v>
      </c>
      <c r="H938" s="15">
        <f>IF(F938&gt;=E938,(E938-0.5)/E938,IF(G938&gt;0,(F938+0.5*G938)/E938,F938/E938))</f>
        <v/>
      </c>
      <c r="I938" s="11" t="inlineStr">
        <is>
          <t>中间分位</t>
        </is>
      </c>
      <c r="J938" s="11" t="inlineStr"/>
    </row>
    <row r="939">
      <c r="A939" s="6" t="inlineStr">
        <is>
          <t>2026-08-04</t>
        </is>
      </c>
      <c r="B939" s="16" t="n">
        <v>0.01297709923664122</v>
      </c>
      <c r="C939" s="6" t="inlineStr">
        <is>
          <t>2025-07-23</t>
        </is>
      </c>
      <c r="D939" s="6" t="inlineStr">
        <is>
          <t>2026-08-03</t>
        </is>
      </c>
      <c r="E939" s="6" t="n">
        <v>250</v>
      </c>
      <c r="F939" s="6" t="n">
        <v>166</v>
      </c>
      <c r="G939" s="6" t="n">
        <v>0</v>
      </c>
      <c r="H939" s="10">
        <f>IF(F939&gt;=E939,(E939-0.5)/E939,IF(G939&gt;0,(F939+0.5*G939)/E939,F939/E939))</f>
        <v/>
      </c>
      <c r="I939" s="6" t="inlineStr">
        <is>
          <t>中间分位</t>
        </is>
      </c>
      <c r="J939" s="6" t="inlineStr"/>
    </row>
    <row r="940">
      <c r="A940" s="11" t="inlineStr">
        <is>
          <t>2026-08-05</t>
        </is>
      </c>
      <c r="B940" s="17" t="n">
        <v>0.03809039733707346</v>
      </c>
      <c r="C940" s="11" t="inlineStr">
        <is>
          <t>2025-07-24</t>
        </is>
      </c>
      <c r="D940" s="11" t="inlineStr">
        <is>
          <t>2026-08-04</t>
        </is>
      </c>
      <c r="E940" s="11" t="n">
        <v>250</v>
      </c>
      <c r="F940" s="11" t="n">
        <v>183</v>
      </c>
      <c r="G940" s="11" t="n">
        <v>0</v>
      </c>
      <c r="H940" s="15">
        <f>IF(F940&gt;=E940,(E940-0.5)/E940,IF(G940&gt;0,(F940+0.5*G940)/E940,F940/E940))</f>
        <v/>
      </c>
      <c r="I940" s="11" t="inlineStr">
        <is>
          <t>中间分位</t>
        </is>
      </c>
      <c r="J940" s="11" t="inlineStr"/>
    </row>
    <row r="941">
      <c r="A941" s="6" t="inlineStr">
        <is>
          <t>2026-08-06</t>
        </is>
      </c>
      <c r="B941" s="16" t="n">
        <v>0.03391812865497076</v>
      </c>
      <c r="C941" s="6" t="inlineStr">
        <is>
          <t>2025-07-25</t>
        </is>
      </c>
      <c r="D941" s="6" t="inlineStr">
        <is>
          <t>2026-08-05</t>
        </is>
      </c>
      <c r="E941" s="6" t="n">
        <v>250</v>
      </c>
      <c r="F941" s="6" t="n">
        <v>180</v>
      </c>
      <c r="G941" s="6" t="n">
        <v>0</v>
      </c>
      <c r="H941" s="10">
        <f>IF(F941&gt;=E941,(E941-0.5)/E941,IF(G941&gt;0,(F941+0.5*G941)/E941,F941/E941))</f>
        <v/>
      </c>
      <c r="I941" s="6" t="inlineStr">
        <is>
          <t>中间分位</t>
        </is>
      </c>
      <c r="J941" s="6" t="inlineStr"/>
    </row>
    <row r="942">
      <c r="A942" s="11" t="inlineStr">
        <is>
          <t>2026-08-07</t>
        </is>
      </c>
      <c r="B942" s="17" t="n">
        <v>0.01250952928304242</v>
      </c>
      <c r="C942" s="11" t="inlineStr">
        <is>
          <t>2025-07-28</t>
        </is>
      </c>
      <c r="D942" s="11" t="inlineStr">
        <is>
          <t>2026-08-06</t>
        </is>
      </c>
      <c r="E942" s="11" t="n">
        <v>250</v>
      </c>
      <c r="F942" s="11" t="n">
        <v>163</v>
      </c>
      <c r="G942" s="11" t="n">
        <v>0</v>
      </c>
      <c r="H942" s="15">
        <f>IF(F942&gt;=E942,(E942-0.5)/E942,IF(G942&gt;0,(F942+0.5*G942)/E942,F942/E942))</f>
        <v/>
      </c>
      <c r="I942" s="11" t="inlineStr">
        <is>
          <t>中间分位</t>
        </is>
      </c>
      <c r="J942" s="11" t="inlineStr"/>
    </row>
    <row r="943">
      <c r="A943" s="6" t="inlineStr">
        <is>
          <t>2026-08-10</t>
        </is>
      </c>
      <c r="B943" s="16" t="n">
        <v>0.011328125</v>
      </c>
      <c r="C943" s="6" t="inlineStr">
        <is>
          <t>2025-07-29</t>
        </is>
      </c>
      <c r="D943" s="6" t="inlineStr">
        <is>
          <t>2026-08-07</t>
        </is>
      </c>
      <c r="E943" s="6" t="n">
        <v>250</v>
      </c>
      <c r="F943" s="6" t="n">
        <v>161</v>
      </c>
      <c r="G943" s="6" t="n">
        <v>0</v>
      </c>
      <c r="H943" s="10">
        <f>IF(F943&gt;=E943,(E943-0.5)/E943,IF(G943&gt;0,(F943+0.5*G943)/E943,F943/E943))</f>
        <v/>
      </c>
      <c r="I943" s="6" t="inlineStr">
        <is>
          <t>中间分位</t>
        </is>
      </c>
      <c r="J943" s="6" t="inlineStr"/>
    </row>
    <row r="944">
      <c r="A944" s="11" t="inlineStr">
        <is>
          <t>2026-08-11</t>
        </is>
      </c>
      <c r="B944" s="17" t="n">
        <v>-0.02054263565891473</v>
      </c>
      <c r="C944" s="11" t="inlineStr">
        <is>
          <t>2025-07-30</t>
        </is>
      </c>
      <c r="D944" s="11" t="inlineStr">
        <is>
          <t>2026-08-10</t>
        </is>
      </c>
      <c r="E944" s="11" t="n">
        <v>250</v>
      </c>
      <c r="F944" s="11" t="n">
        <v>65</v>
      </c>
      <c r="G944" s="11" t="n">
        <v>0</v>
      </c>
      <c r="H944" s="15">
        <f>IF(F944&gt;=E944,(E944-0.5)/E944,IF(G944&gt;0,(F944+0.5*G944)/E944,F944/E944))</f>
        <v/>
      </c>
      <c r="I944" s="11" t="inlineStr">
        <is>
          <t>中间分位</t>
        </is>
      </c>
      <c r="J944" s="11" t="inlineStr"/>
    </row>
    <row r="945">
      <c r="A945" s="6" t="inlineStr">
        <is>
          <t>2026-08-12</t>
        </is>
      </c>
      <c r="B945" s="16" t="n">
        <v>0.01992481203007519</v>
      </c>
      <c r="C945" s="6" t="inlineStr">
        <is>
          <t>2025-07-31</t>
        </is>
      </c>
      <c r="D945" s="6" t="inlineStr">
        <is>
          <t>2026-08-11</t>
        </is>
      </c>
      <c r="E945" s="6" t="n">
        <v>250</v>
      </c>
      <c r="F945" s="6" t="n">
        <v>171</v>
      </c>
      <c r="G945" s="6" t="n">
        <v>0</v>
      </c>
      <c r="H945" s="10">
        <f>IF(F945&gt;=E945,(E945-0.5)/E945,IF(G945&gt;0,(F945+0.5*G945)/E945,F945/E945))</f>
        <v/>
      </c>
      <c r="I945" s="6" t="inlineStr">
        <is>
          <t>中间分位</t>
        </is>
      </c>
      <c r="J945" s="6" t="inlineStr"/>
    </row>
    <row r="946">
      <c r="A946" s="11" t="inlineStr">
        <is>
          <t>2026-08-13</t>
        </is>
      </c>
      <c r="B946" s="17" t="n">
        <v>0</v>
      </c>
      <c r="C946" s="11" t="inlineStr">
        <is>
          <t>2025-08-01</t>
        </is>
      </c>
      <c r="D946" s="11" t="inlineStr">
        <is>
          <t>2026-08-12</t>
        </is>
      </c>
      <c r="E946" s="11" t="n">
        <v>250</v>
      </c>
      <c r="F946" s="11" t="n">
        <v>133</v>
      </c>
      <c r="G946" s="11" t="n">
        <v>0</v>
      </c>
      <c r="H946" s="15">
        <f>IF(F946&gt;=E946,(E946-0.5)/E946,IF(G946&gt;0,(F946+0.5*G946)/E946,F946/E946))</f>
        <v/>
      </c>
      <c r="I946" s="11" t="inlineStr">
        <is>
          <t>中间分位</t>
        </is>
      </c>
      <c r="J946" s="11" t="inlineStr"/>
    </row>
    <row r="947">
      <c r="A947" s="6" t="inlineStr">
        <is>
          <t>2026-08-14</t>
        </is>
      </c>
      <c r="B947" s="16" t="n">
        <v>-0.006996885692549274</v>
      </c>
      <c r="C947" s="6" t="inlineStr">
        <is>
          <t>2025-08-04</t>
        </is>
      </c>
      <c r="D947" s="6" t="inlineStr">
        <is>
          <t>2026-08-13</t>
        </is>
      </c>
      <c r="E947" s="6" t="n">
        <v>250</v>
      </c>
      <c r="F947" s="6" t="n">
        <v>101</v>
      </c>
      <c r="G947" s="6" t="n">
        <v>0</v>
      </c>
      <c r="H947" s="10">
        <f>IF(F947&gt;=E947,(E947-0.5)/E947,IF(G947&gt;0,(F947+0.5*G947)/E947,F947/E947))</f>
        <v/>
      </c>
      <c r="I947" s="6" t="inlineStr">
        <is>
          <t>中间分位</t>
        </is>
      </c>
      <c r="J947" s="6" t="inlineStr"/>
    </row>
    <row r="948">
      <c r="A948" s="11" t="inlineStr">
        <is>
          <t>2026-08-17</t>
        </is>
      </c>
      <c r="B948" s="17" t="n">
        <v>-0.008294930875576038</v>
      </c>
      <c r="C948" s="11" t="inlineStr">
        <is>
          <t>2025-08-05</t>
        </is>
      </c>
      <c r="D948" s="11" t="inlineStr">
        <is>
          <t>2026-08-14</t>
        </is>
      </c>
      <c r="E948" s="11" t="n">
        <v>250</v>
      </c>
      <c r="F948" s="11" t="n">
        <v>94</v>
      </c>
      <c r="G948" s="11" t="n">
        <v>0</v>
      </c>
      <c r="H948" s="15">
        <f>IF(F948&gt;=E948,(E948-0.5)/E948,IF(G948&gt;0,(F948+0.5*G948)/E948,F948/E948))</f>
        <v/>
      </c>
      <c r="I948" s="11" t="inlineStr">
        <is>
          <t>中间分位</t>
        </is>
      </c>
      <c r="J948" s="11" t="inlineStr"/>
    </row>
    <row r="949">
      <c r="A949" s="6" t="inlineStr">
        <is>
          <t>2026-08-18</t>
        </is>
      </c>
      <c r="B949" s="16" t="n">
        <v>-0.005188889331455243</v>
      </c>
      <c r="C949" s="6" t="inlineStr">
        <is>
          <t>2025-08-06</t>
        </is>
      </c>
      <c r="D949" s="6" t="inlineStr">
        <is>
          <t>2026-08-17</t>
        </is>
      </c>
      <c r="E949" s="6" t="n">
        <v>250</v>
      </c>
      <c r="F949" s="6" t="n">
        <v>107</v>
      </c>
      <c r="G949" s="6" t="n">
        <v>0</v>
      </c>
      <c r="H949" s="10">
        <f>IF(F949&gt;=E949,(E949-0.5)/E949,IF(G949&gt;0,(F949+0.5*G949)/E949,F949/E949))</f>
        <v/>
      </c>
      <c r="I949" s="6" t="inlineStr">
        <is>
          <t>中间分位</t>
        </is>
      </c>
      <c r="J949" s="6" t="inlineStr"/>
    </row>
    <row r="950">
      <c r="A950" s="11" t="inlineStr">
        <is>
          <t>2026-08-19</t>
        </is>
      </c>
      <c r="B950" s="17" t="n">
        <v>-0.01174377224199288</v>
      </c>
      <c r="C950" s="11" t="inlineStr">
        <is>
          <t>2025-08-07</t>
        </is>
      </c>
      <c r="D950" s="11" t="inlineStr">
        <is>
          <t>2026-08-18</t>
        </is>
      </c>
      <c r="E950" s="11" t="n">
        <v>250</v>
      </c>
      <c r="F950" s="11" t="n">
        <v>88</v>
      </c>
      <c r="G950" s="11" t="n">
        <v>0</v>
      </c>
      <c r="H950" s="15">
        <f>IF(F950&gt;=E950,(E950-0.5)/E950,IF(G950&gt;0,(F950+0.5*G950)/E950,F950/E950))</f>
        <v/>
      </c>
      <c r="I950" s="11" t="inlineStr">
        <is>
          <t>中间分位</t>
        </is>
      </c>
      <c r="J950" s="11" t="inlineStr"/>
    </row>
    <row r="951">
      <c r="A951" s="6" t="inlineStr">
        <is>
          <t>2026-08-20</t>
        </is>
      </c>
      <c r="B951" s="16" t="n">
        <v>0.01493055555555556</v>
      </c>
      <c r="C951" s="6" t="inlineStr">
        <is>
          <t>2025-08-08</t>
        </is>
      </c>
      <c r="D951" s="6" t="inlineStr">
        <is>
          <t>2026-08-19</t>
        </is>
      </c>
      <c r="E951" s="6" t="n">
        <v>250</v>
      </c>
      <c r="F951" s="6" t="n">
        <v>166</v>
      </c>
      <c r="G951" s="6" t="n">
        <v>0</v>
      </c>
      <c r="H951" s="10">
        <f>IF(F951&gt;=E951,(E951-0.5)/E951,IF(G951&gt;0,(F951+0.5*G951)/E951,F951/E951))</f>
        <v/>
      </c>
      <c r="I951" s="6" t="inlineStr">
        <is>
          <t>中间分位</t>
        </is>
      </c>
      <c r="J951" s="6" t="inlineStr"/>
    </row>
    <row r="952">
      <c r="A952" s="11" t="inlineStr">
        <is>
          <t>2026-08-21</t>
        </is>
      </c>
      <c r="B952" s="17" t="n">
        <v>-0.01153406147094926</v>
      </c>
      <c r="C952" s="11" t="inlineStr">
        <is>
          <t>2025-08-11</t>
        </is>
      </c>
      <c r="D952" s="11" t="inlineStr">
        <is>
          <t>2026-08-20</t>
        </is>
      </c>
      <c r="E952" s="11" t="n">
        <v>250</v>
      </c>
      <c r="F952" s="11" t="n">
        <v>89</v>
      </c>
      <c r="G952" s="11" t="n">
        <v>0</v>
      </c>
      <c r="H952" s="15">
        <f>IF(F952&gt;=E952,(E952-0.5)/E952,IF(G952&gt;0,(F952+0.5*G952)/E952,F952/E952))</f>
        <v/>
      </c>
      <c r="I952" s="11" t="inlineStr">
        <is>
          <t>中间分位</t>
        </is>
      </c>
      <c r="J952" s="11" t="inlineStr"/>
    </row>
    <row r="953">
      <c r="A953" s="6" t="inlineStr">
        <is>
          <t>2026-08-24</t>
        </is>
      </c>
      <c r="B953" s="16" t="n">
        <v>0.01443177628886552</v>
      </c>
      <c r="C953" s="6" t="inlineStr">
        <is>
          <t>2025-08-12</t>
        </is>
      </c>
      <c r="D953" s="6" t="inlineStr">
        <is>
          <t>2026-08-21</t>
        </is>
      </c>
      <c r="E953" s="6" t="n">
        <v>250</v>
      </c>
      <c r="F953" s="6" t="n">
        <v>165</v>
      </c>
      <c r="G953" s="6" t="n">
        <v>0</v>
      </c>
      <c r="H953" s="10">
        <f>IF(F953&gt;=E953,(E953-0.5)/E953,IF(G953&gt;0,(F953+0.5*G953)/E953,F953/E953))</f>
        <v/>
      </c>
      <c r="I953" s="6" t="inlineStr">
        <is>
          <t>中间分位</t>
        </is>
      </c>
      <c r="J953" s="6" t="inlineStr"/>
    </row>
    <row r="954">
      <c r="A954" s="11" t="inlineStr">
        <is>
          <t>2026-08-25</t>
        </is>
      </c>
      <c r="B954" s="17" t="n">
        <v>0.0195519771530471</v>
      </c>
      <c r="C954" s="11" t="inlineStr">
        <is>
          <t>2025-08-13</t>
        </is>
      </c>
      <c r="D954" s="11" t="inlineStr">
        <is>
          <t>2026-08-24</t>
        </is>
      </c>
      <c r="E954" s="11" t="n">
        <v>250</v>
      </c>
      <c r="F954" s="11" t="n">
        <v>169</v>
      </c>
      <c r="G954" s="11" t="n">
        <v>0</v>
      </c>
      <c r="H954" s="15">
        <f>IF(F954&gt;=E954,(E954-0.5)/E954,IF(G954&gt;0,(F954+0.5*G954)/E954,F954/E954))</f>
        <v/>
      </c>
      <c r="I954" s="11" t="inlineStr">
        <is>
          <t>中间分位</t>
        </is>
      </c>
      <c r="J954" s="11" t="inlineStr"/>
    </row>
    <row r="955">
      <c r="A955" s="6" t="inlineStr">
        <is>
          <t>2026-08-26</t>
        </is>
      </c>
      <c r="B955" s="16" t="n">
        <v>0.07391304347826087</v>
      </c>
      <c r="C955" s="6" t="inlineStr">
        <is>
          <t>2025-08-14</t>
        </is>
      </c>
      <c r="D955" s="6" t="inlineStr">
        <is>
          <t>2026-08-25</t>
        </is>
      </c>
      <c r="E955" s="6" t="n">
        <v>250</v>
      </c>
      <c r="F955" s="6" t="n">
        <v>196</v>
      </c>
      <c r="G955" s="6" t="n">
        <v>0</v>
      </c>
      <c r="H955" s="10">
        <f>IF(F955&gt;=E955,(E955-0.5)/E955,IF(G955&gt;0,(F955+0.5*G955)/E955,F955/E955))</f>
        <v/>
      </c>
      <c r="I955" s="6" t="inlineStr">
        <is>
          <t>中间分位</t>
        </is>
      </c>
      <c r="J955" s="6" t="inlineStr"/>
    </row>
    <row r="956">
      <c r="A956" s="11" t="inlineStr">
        <is>
          <t>2026-08-27</t>
        </is>
      </c>
      <c r="B956" s="17" t="n">
        <v>0.0241229225726902</v>
      </c>
      <c r="C956" s="11" t="inlineStr">
        <is>
          <t>2025-08-15</t>
        </is>
      </c>
      <c r="D956" s="11" t="inlineStr">
        <is>
          <t>2026-08-26</t>
        </is>
      </c>
      <c r="E956" s="11" t="n">
        <v>250</v>
      </c>
      <c r="F956" s="11" t="n">
        <v>173</v>
      </c>
      <c r="G956" s="11" t="n">
        <v>0</v>
      </c>
      <c r="H956" s="15">
        <f>IF(F956&gt;=E956,(E956-0.5)/E956,IF(G956&gt;0,(F956+0.5*G956)/E956,F956/E956))</f>
        <v/>
      </c>
      <c r="I956" s="11" t="inlineStr">
        <is>
          <t>中间分位</t>
        </is>
      </c>
      <c r="J956" s="11" t="inlineStr"/>
    </row>
    <row r="957">
      <c r="A957" s="6" t="inlineStr">
        <is>
          <t>2026-08-28</t>
        </is>
      </c>
      <c r="B957" s="16" t="n">
        <v>0.003798893655531898</v>
      </c>
      <c r="C957" s="6" t="inlineStr">
        <is>
          <t>2025-08-18</t>
        </is>
      </c>
      <c r="D957" s="6" t="inlineStr">
        <is>
          <t>2026-08-27</t>
        </is>
      </c>
      <c r="E957" s="6" t="n">
        <v>250</v>
      </c>
      <c r="F957" s="6" t="n">
        <v>140</v>
      </c>
      <c r="G957" s="6" t="n">
        <v>0</v>
      </c>
      <c r="H957" s="10">
        <f>IF(F957&gt;=E957,(E957-0.5)/E957,IF(G957&gt;0,(F957+0.5*G957)/E957,F957/E957))</f>
        <v/>
      </c>
      <c r="I957" s="6" t="inlineStr">
        <is>
          <t>中间分位</t>
        </is>
      </c>
      <c r="J957" s="6" t="inlineStr"/>
    </row>
    <row r="958">
      <c r="A958" s="11" t="inlineStr">
        <is>
          <t>2026-08-31</t>
        </is>
      </c>
      <c r="B958" s="17" t="n">
        <v>-0.02099141929102192</v>
      </c>
      <c r="C958" s="11" t="inlineStr">
        <is>
          <t>2025-08-19</t>
        </is>
      </c>
      <c r="D958" s="11" t="inlineStr">
        <is>
          <t>2026-08-28</t>
        </is>
      </c>
      <c r="E958" s="11" t="n">
        <v>250</v>
      </c>
      <c r="F958" s="11" t="n">
        <v>59</v>
      </c>
      <c r="G958" s="11" t="n">
        <v>0</v>
      </c>
      <c r="H958" s="15">
        <f>IF(F958&gt;=E958,(E958-0.5)/E958,IF(G958&gt;0,(F958+0.5*G958)/E958,F958/E958))</f>
        <v/>
      </c>
      <c r="I958" s="11" t="inlineStr">
        <is>
          <t>中间分位</t>
        </is>
      </c>
      <c r="J958" s="11" t="inlineStr"/>
    </row>
    <row r="959">
      <c r="A959" s="6" t="inlineStr">
        <is>
          <t>2026-09-01</t>
        </is>
      </c>
      <c r="B959" s="16" t="n">
        <v>0.008935404805807529</v>
      </c>
      <c r="C959" s="6" t="inlineStr">
        <is>
          <t>2025-08-20</t>
        </is>
      </c>
      <c r="D959" s="6" t="inlineStr">
        <is>
          <t>2026-08-31</t>
        </is>
      </c>
      <c r="E959" s="6" t="n">
        <v>250</v>
      </c>
      <c r="F959" s="6" t="n">
        <v>150</v>
      </c>
      <c r="G959" s="6" t="n">
        <v>0</v>
      </c>
      <c r="H959" s="10">
        <f>IF(F959&gt;=E959,(E959-0.5)/E959,IF(G959&gt;0,(F959+0.5*G959)/E959,F959/E959))</f>
        <v/>
      </c>
      <c r="I959" s="6" t="inlineStr">
        <is>
          <t>中间分位</t>
        </is>
      </c>
      <c r="J959" s="6" t="inlineStr"/>
    </row>
    <row r="960">
      <c r="A960" s="11" t="inlineStr">
        <is>
          <t>2026-09-02</t>
        </is>
      </c>
      <c r="B960" s="17" t="n">
        <v>0.02061538461538462</v>
      </c>
      <c r="C960" s="11" t="inlineStr">
        <is>
          <t>2025-08-21</t>
        </is>
      </c>
      <c r="D960" s="11" t="inlineStr">
        <is>
          <t>2026-09-01</t>
        </is>
      </c>
      <c r="E960" s="11" t="n">
        <v>250</v>
      </c>
      <c r="F960" s="11" t="n">
        <v>170</v>
      </c>
      <c r="G960" s="11" t="n">
        <v>0</v>
      </c>
      <c r="H960" s="15">
        <f>IF(F960&gt;=E960,(E960-0.5)/E960,IF(G960&gt;0,(F960+0.5*G960)/E960,F960/E960))</f>
        <v/>
      </c>
      <c r="I960" s="11" t="inlineStr">
        <is>
          <t>中间分位</t>
        </is>
      </c>
      <c r="J960" s="11" t="inlineStr"/>
    </row>
    <row r="961">
      <c r="A961" s="6" t="inlineStr">
        <is>
          <t>2026-09-03</t>
        </is>
      </c>
      <c r="B961" s="16" t="n">
        <v>0.06475906736518522</v>
      </c>
      <c r="C961" s="6" t="inlineStr">
        <is>
          <t>2025-08-22</t>
        </is>
      </c>
      <c r="D961" s="6" t="inlineStr">
        <is>
          <t>2026-09-02</t>
        </is>
      </c>
      <c r="E961" s="6" t="n">
        <v>250</v>
      </c>
      <c r="F961" s="6" t="n">
        <v>190</v>
      </c>
      <c r="G961" s="6" t="n">
        <v>0</v>
      </c>
      <c r="H961" s="10">
        <f>IF(F961&gt;=E961,(E961-0.5)/E961,IF(G961&gt;0,(F961+0.5*G961)/E961,F961/E961))</f>
        <v/>
      </c>
      <c r="I961" s="6" t="inlineStr">
        <is>
          <t>中间分位</t>
        </is>
      </c>
      <c r="J961" s="6" t="inlineStr"/>
    </row>
    <row r="962">
      <c r="A962" s="11" t="inlineStr">
        <is>
          <t>2026-09-04</t>
        </is>
      </c>
      <c r="B962" s="17" t="n">
        <v>0.05200392933174487</v>
      </c>
      <c r="C962" s="11" t="inlineStr">
        <is>
          <t>2025-08-25</t>
        </is>
      </c>
      <c r="D962" s="11" t="inlineStr">
        <is>
          <t>2026-09-03</t>
        </is>
      </c>
      <c r="E962" s="11" t="n">
        <v>250</v>
      </c>
      <c r="F962" s="11" t="n">
        <v>185</v>
      </c>
      <c r="G962" s="11" t="n">
        <v>0</v>
      </c>
      <c r="H962" s="15">
        <f>IF(F962&gt;=E962,(E962-0.5)/E962,IF(G962&gt;0,(F962+0.5*G962)/E962,F962/E962))</f>
        <v/>
      </c>
      <c r="I962" s="11" t="inlineStr">
        <is>
          <t>中间分位</t>
        </is>
      </c>
      <c r="J962" s="11" t="inlineStr"/>
    </row>
    <row r="963">
      <c r="A963" s="6" t="inlineStr">
        <is>
          <t>2026-09-07</t>
        </is>
      </c>
      <c r="B963" s="16" t="n">
        <v>0.04285973961732269</v>
      </c>
      <c r="C963" s="6" t="inlineStr">
        <is>
          <t>2025-08-26</t>
        </is>
      </c>
      <c r="D963" s="6" t="inlineStr">
        <is>
          <t>2026-09-04</t>
        </is>
      </c>
      <c r="E963" s="6" t="n">
        <v>250</v>
      </c>
      <c r="F963" s="6" t="n">
        <v>180</v>
      </c>
      <c r="G963" s="6" t="n">
        <v>0</v>
      </c>
      <c r="H963" s="10">
        <f>IF(F963&gt;=E963,(E963-0.5)/E963,IF(G963&gt;0,(F963+0.5*G963)/E963,F963/E963))</f>
        <v/>
      </c>
      <c r="I963" s="6" t="inlineStr">
        <is>
          <t>中间分位</t>
        </is>
      </c>
      <c r="J963" s="6" t="inlineStr"/>
    </row>
    <row r="964">
      <c r="A964" s="11" t="inlineStr">
        <is>
          <t>2026-09-08</t>
        </is>
      </c>
      <c r="B964" s="17" t="n">
        <v>0.009387082218807784</v>
      </c>
      <c r="C964" s="11" t="inlineStr">
        <is>
          <t>2025-08-27</t>
        </is>
      </c>
      <c r="D964" s="11" t="inlineStr">
        <is>
          <t>2026-09-07</t>
        </is>
      </c>
      <c r="E964" s="11" t="n">
        <v>250</v>
      </c>
      <c r="F964" s="11" t="n">
        <v>146</v>
      </c>
      <c r="G964" s="11" t="n">
        <v>0</v>
      </c>
      <c r="H964" s="15">
        <f>IF(F964&gt;=E964,(E964-0.5)/E964,IF(G964&gt;0,(F964+0.5*G964)/E964,F964/E964))</f>
        <v/>
      </c>
      <c r="I964" s="11" t="inlineStr">
        <is>
          <t>中间分位</t>
        </is>
      </c>
      <c r="J964" s="11" t="inlineStr"/>
    </row>
    <row r="965">
      <c r="A965" s="6" t="inlineStr">
        <is>
          <t>2026-09-09</t>
        </is>
      </c>
      <c r="B965" s="16" t="n">
        <v>0.05162275104471636</v>
      </c>
      <c r="C965" s="6" t="inlineStr">
        <is>
          <t>2025-08-28</t>
        </is>
      </c>
      <c r="D965" s="6" t="inlineStr">
        <is>
          <t>2026-09-08</t>
        </is>
      </c>
      <c r="E965" s="6" t="n">
        <v>250</v>
      </c>
      <c r="F965" s="6" t="n">
        <v>184</v>
      </c>
      <c r="G965" s="6" t="n">
        <v>0</v>
      </c>
      <c r="H965" s="10">
        <f>IF(F965&gt;=E965,(E965-0.5)/E965,IF(G965&gt;0,(F965+0.5*G965)/E965,F965/E965))</f>
        <v/>
      </c>
      <c r="I965" s="6" t="inlineStr">
        <is>
          <t>中间分位</t>
        </is>
      </c>
      <c r="J965" s="6" t="inlineStr"/>
    </row>
    <row r="966">
      <c r="A966" s="11" t="inlineStr">
        <is>
          <t>2026-09-10</t>
        </is>
      </c>
      <c r="B966" s="17" t="n">
        <v>0.179047500856564</v>
      </c>
      <c r="C966" s="11" t="inlineStr">
        <is>
          <t>2025-08-29</t>
        </is>
      </c>
      <c r="D966" s="11" t="inlineStr">
        <is>
          <t>2026-09-09</t>
        </is>
      </c>
      <c r="E966" s="11" t="n">
        <v>250</v>
      </c>
      <c r="F966" s="11" t="n">
        <v>249</v>
      </c>
      <c r="G966" s="11" t="n">
        <v>0</v>
      </c>
      <c r="H966" s="15">
        <f>IF(F966&gt;=E966,(E966-0.5)/E966,IF(G966&gt;0,(F966+0.5*G966)/E966,F966/E966))</f>
        <v/>
      </c>
      <c r="I966" s="11" t="inlineStr">
        <is>
          <t>高分位</t>
        </is>
      </c>
      <c r="J966" s="11" t="inlineStr"/>
    </row>
    <row r="967">
      <c r="A967" s="6" t="inlineStr">
        <is>
          <t>2026-09-11</t>
        </is>
      </c>
      <c r="B967" s="16" t="n">
        <v>0.1906983983019693</v>
      </c>
      <c r="C967" s="6" t="inlineStr">
        <is>
          <t>2025-09-01</t>
        </is>
      </c>
      <c r="D967" s="6" t="inlineStr">
        <is>
          <t>2026-09-10</t>
        </is>
      </c>
      <c r="E967" s="6" t="n">
        <v>250</v>
      </c>
      <c r="F967" s="6" t="n">
        <v>249</v>
      </c>
      <c r="G967" s="6" t="n">
        <v>0</v>
      </c>
      <c r="H967" s="10">
        <f>IF(F967&gt;=E967,(E967-0.5)/E967,IF(G967&gt;0,(F967+0.5*G967)/E967,F967/E967))</f>
        <v/>
      </c>
      <c r="I967" s="6" t="inlineStr">
        <is>
          <t>高分位</t>
        </is>
      </c>
      <c r="J967" s="6" t="inlineStr"/>
    </row>
    <row r="968">
      <c r="A968" s="11" t="inlineStr">
        <is>
          <t>2026-09-14</t>
        </is>
      </c>
      <c r="B968" s="17" t="n">
        <v>0.1819175570365669</v>
      </c>
      <c r="C968" s="11" t="inlineStr">
        <is>
          <t>2025-09-02</t>
        </is>
      </c>
      <c r="D968" s="11" t="inlineStr">
        <is>
          <t>2026-09-11</t>
        </is>
      </c>
      <c r="E968" s="11" t="n">
        <v>250</v>
      </c>
      <c r="F968" s="11" t="n">
        <v>248</v>
      </c>
      <c r="G968" s="11" t="n">
        <v>0</v>
      </c>
      <c r="H968" s="15">
        <f>IF(F968&gt;=E968,(E968-0.5)/E968,IF(G968&gt;0,(F968+0.5*G968)/E968,F968/E968))</f>
        <v/>
      </c>
      <c r="I968" s="11" t="inlineStr">
        <is>
          <t>高分位</t>
        </is>
      </c>
      <c r="J968" s="11" t="inlineStr"/>
    </row>
    <row r="969">
      <c r="A969" s="6" t="inlineStr">
        <is>
          <t>2026-09-15</t>
        </is>
      </c>
      <c r="B969" s="16" t="n">
        <v>0.2024687505784481</v>
      </c>
      <c r="C969" s="6" t="inlineStr">
        <is>
          <t>2025-09-03</t>
        </is>
      </c>
      <c r="D969" s="6" t="inlineStr">
        <is>
          <t>2026-09-14</t>
        </is>
      </c>
      <c r="E969" s="6" t="n">
        <v>250</v>
      </c>
      <c r="F969" s="6" t="n">
        <v>250</v>
      </c>
      <c r="G969" s="6" t="n">
        <v>0</v>
      </c>
      <c r="H969" s="10">
        <f>IF(F969&gt;=E969,(E969-0.5)/E969,IF(G969&gt;0,(F969+0.5*G969)/E969,F969/E969))</f>
        <v/>
      </c>
      <c r="I969" s="6" t="inlineStr">
        <is>
          <t>高分位</t>
        </is>
      </c>
      <c r="J969" s="6" t="inlineStr"/>
    </row>
    <row r="970">
      <c r="A970" s="11" t="inlineStr">
        <is>
          <t>2026-09-16</t>
        </is>
      </c>
      <c r="B970" s="17" t="n">
        <v>0.2010471204188482</v>
      </c>
      <c r="C970" s="11" t="inlineStr">
        <is>
          <t>2025-09-04</t>
        </is>
      </c>
      <c r="D970" s="11" t="inlineStr">
        <is>
          <t>2026-09-15</t>
        </is>
      </c>
      <c r="E970" s="11" t="n">
        <v>250</v>
      </c>
      <c r="F970" s="11" t="n">
        <v>249</v>
      </c>
      <c r="G970" s="11" t="n">
        <v>0</v>
      </c>
      <c r="H970" s="15">
        <f>IF(F970&gt;=E970,(E970-0.5)/E970,IF(G970&gt;0,(F970+0.5*G970)/E970,F970/E970))</f>
        <v/>
      </c>
      <c r="I970" s="11" t="inlineStr">
        <is>
          <t>高分位</t>
        </is>
      </c>
      <c r="J970" s="11" t="inlineStr"/>
    </row>
    <row r="971">
      <c r="A971" s="6" t="inlineStr">
        <is>
          <t>2026-09-17</t>
        </is>
      </c>
      <c r="B971" s="16" t="n">
        <v>0.25125</v>
      </c>
      <c r="C971" s="6" t="inlineStr">
        <is>
          <t>2025-09-05</t>
        </is>
      </c>
      <c r="D971" s="6" t="inlineStr">
        <is>
          <t>2026-09-16</t>
        </is>
      </c>
      <c r="E971" s="6" t="n">
        <v>250</v>
      </c>
      <c r="F971" s="6" t="n">
        <v>250</v>
      </c>
      <c r="G971" s="6" t="n">
        <v>0</v>
      </c>
      <c r="H971" s="10">
        <f>IF(F971&gt;=E971,(E971-0.5)/E971,IF(G971&gt;0,(F971+0.5*G971)/E971,F971/E971))</f>
        <v/>
      </c>
      <c r="I971" s="6" t="inlineStr">
        <is>
          <t>高分位</t>
        </is>
      </c>
      <c r="J971" s="6" t="inlineStr"/>
    </row>
    <row r="972">
      <c r="A972" s="11" t="inlineStr">
        <is>
          <t>2026-09-18</t>
        </is>
      </c>
      <c r="B972" s="17" t="n">
        <v>0.2674937965260546</v>
      </c>
      <c r="C972" s="11" t="inlineStr">
        <is>
          <t>2025-09-08</t>
        </is>
      </c>
      <c r="D972" s="11" t="inlineStr">
        <is>
          <t>2026-09-17</t>
        </is>
      </c>
      <c r="E972" s="11" t="n">
        <v>250</v>
      </c>
      <c r="F972" s="11" t="n">
        <v>250</v>
      </c>
      <c r="G972" s="11" t="n">
        <v>0</v>
      </c>
      <c r="H972" s="15">
        <f>IF(F972&gt;=E972,(E972-0.5)/E972,IF(G972&gt;0,(F972+0.5*G972)/E972,F972/E972))</f>
        <v/>
      </c>
      <c r="I972" s="11" t="inlineStr">
        <is>
          <t>高分位</t>
        </is>
      </c>
      <c r="J972" s="11" t="inlineStr"/>
    </row>
    <row r="973">
      <c r="A973" s="6" t="inlineStr">
        <is>
          <t>2026-09-21</t>
        </is>
      </c>
      <c r="B973" s="16" t="n">
        <v>0.2795096159262171</v>
      </c>
      <c r="C973" s="6" t="inlineStr">
        <is>
          <t>2025-09-09</t>
        </is>
      </c>
      <c r="D973" s="6" t="inlineStr">
        <is>
          <t>2026-09-18</t>
        </is>
      </c>
      <c r="E973" s="6" t="n">
        <v>250</v>
      </c>
      <c r="F973" s="6" t="n">
        <v>250</v>
      </c>
      <c r="G973" s="6" t="n">
        <v>0</v>
      </c>
      <c r="H973" s="10">
        <f>IF(F973&gt;=E973,(E973-0.5)/E973,IF(G973&gt;0,(F973+0.5*G973)/E973,F973/E973))</f>
        <v/>
      </c>
      <c r="I973" s="6" t="inlineStr">
        <is>
          <t>高分位</t>
        </is>
      </c>
      <c r="J973" s="6" t="inlineStr"/>
    </row>
    <row r="974">
      <c r="A974" s="11" t="inlineStr">
        <is>
          <t>2026-09-22</t>
        </is>
      </c>
      <c r="B974" s="17" t="n">
        <v>0.2736836132266556</v>
      </c>
      <c r="C974" s="11" t="inlineStr">
        <is>
          <t>2025-09-10</t>
        </is>
      </c>
      <c r="D974" s="11" t="inlineStr">
        <is>
          <t>2026-09-21</t>
        </is>
      </c>
      <c r="E974" s="11" t="n">
        <v>250</v>
      </c>
      <c r="F974" s="11" t="n">
        <v>249</v>
      </c>
      <c r="G974" s="11" t="n">
        <v>0</v>
      </c>
      <c r="H974" s="15">
        <f>IF(F974&gt;=E974,(E974-0.5)/E974,IF(G974&gt;0,(F974+0.5*G974)/E974,F974/E974))</f>
        <v/>
      </c>
      <c r="I974" s="11" t="inlineStr">
        <is>
          <t>高分位</t>
        </is>
      </c>
      <c r="J974" s="11" t="inlineStr"/>
    </row>
    <row r="975">
      <c r="A975" s="6" t="inlineStr">
        <is>
          <t>2026-09-23</t>
        </is>
      </c>
      <c r="B975" s="16" t="n">
        <v>0.3030750307503075</v>
      </c>
      <c r="C975" s="6" t="inlineStr">
        <is>
          <t>2025-09-11</t>
        </is>
      </c>
      <c r="D975" s="6" t="inlineStr">
        <is>
          <t>2026-09-22</t>
        </is>
      </c>
      <c r="E975" s="6" t="n">
        <v>250</v>
      </c>
      <c r="F975" s="6" t="n">
        <v>250</v>
      </c>
      <c r="G975" s="6" t="n">
        <v>0</v>
      </c>
      <c r="H975" s="10">
        <f>IF(F975&gt;=E975,(E975-0.5)/E975,IF(G975&gt;0,(F975+0.5*G975)/E975,F975/E975))</f>
        <v/>
      </c>
      <c r="I975" s="6" t="inlineStr">
        <is>
          <t>高分位</t>
        </is>
      </c>
      <c r="J975" s="6" t="inlineStr"/>
    </row>
    <row r="976">
      <c r="A976" s="11" t="inlineStr">
        <is>
          <t>2026-09-24</t>
        </is>
      </c>
      <c r="B976" s="17" t="n">
        <v>0.263071150978298</v>
      </c>
      <c r="C976" s="11" t="inlineStr">
        <is>
          <t>2025-09-12</t>
        </is>
      </c>
      <c r="D976" s="11" t="inlineStr">
        <is>
          <t>2026-09-23</t>
        </is>
      </c>
      <c r="E976" s="11" t="n">
        <v>250</v>
      </c>
      <c r="F976" s="11" t="n">
        <v>246</v>
      </c>
      <c r="G976" s="11" t="n">
        <v>0</v>
      </c>
      <c r="H976" s="15">
        <f>IF(F976&gt;=E976,(E976-0.5)/E976,IF(G976&gt;0,(F976+0.5*G976)/E976,F976/E976))</f>
        <v/>
      </c>
      <c r="I976" s="11" t="inlineStr">
        <is>
          <t>高分位</t>
        </is>
      </c>
      <c r="J976" s="11" t="inlineStr"/>
    </row>
    <row r="977">
      <c r="A977" s="6" t="inlineStr">
        <is>
          <t>2026-09-28</t>
        </is>
      </c>
      <c r="B977" s="16" t="n">
        <v>0.338109030839483</v>
      </c>
      <c r="C977" s="6" t="inlineStr">
        <is>
          <t>2025-09-15</t>
        </is>
      </c>
      <c r="D977" s="6" t="inlineStr">
        <is>
          <t>2026-09-24</t>
        </is>
      </c>
      <c r="E977" s="6" t="n">
        <v>250</v>
      </c>
      <c r="F977" s="6" t="n">
        <v>250</v>
      </c>
      <c r="G977" s="6" t="n">
        <v>0</v>
      </c>
      <c r="H977" s="10">
        <f>IF(F977&gt;=E977,(E977-0.5)/E977,IF(G977&gt;0,(F977+0.5*G977)/E977,F977/E977))</f>
        <v/>
      </c>
      <c r="I977" s="6" t="inlineStr">
        <is>
          <t>高分位</t>
        </is>
      </c>
      <c r="J977" s="6" t="inlineStr"/>
    </row>
    <row r="978">
      <c r="A978" s="11" t="inlineStr">
        <is>
          <t>2026-09-29</t>
        </is>
      </c>
      <c r="B978" s="17" t="n">
        <v>0.3580434782608696</v>
      </c>
      <c r="C978" s="11" t="inlineStr">
        <is>
          <t>2025-09-16</t>
        </is>
      </c>
      <c r="D978" s="11" t="inlineStr">
        <is>
          <t>2026-09-28</t>
        </is>
      </c>
      <c r="E978" s="11" t="n">
        <v>250</v>
      </c>
      <c r="F978" s="11" t="n">
        <v>250</v>
      </c>
      <c r="G978" s="11" t="n">
        <v>0</v>
      </c>
      <c r="H978" s="15">
        <f>IF(F978&gt;=E978,(E978-0.5)/E978,IF(G978&gt;0,(F978+0.5*G978)/E978,F978/E978))</f>
        <v/>
      </c>
      <c r="I978" s="11" t="inlineStr">
        <is>
          <t>高分位</t>
        </is>
      </c>
      <c r="J978" s="11" t="inlineStr"/>
    </row>
    <row r="979">
      <c r="A979" s="6" t="inlineStr">
        <is>
          <t>2026-09-30</t>
        </is>
      </c>
      <c r="B979" s="16" t="n">
        <v>0.3517993456924755</v>
      </c>
      <c r="C979" s="6" t="inlineStr">
        <is>
          <t>2025-09-17</t>
        </is>
      </c>
      <c r="D979" s="6" t="inlineStr">
        <is>
          <t>2026-09-29</t>
        </is>
      </c>
      <c r="E979" s="6" t="n">
        <v>250</v>
      </c>
      <c r="F979" s="6" t="n">
        <v>249</v>
      </c>
      <c r="G979" s="6" t="n">
        <v>0</v>
      </c>
      <c r="H979" s="10">
        <f>IF(F979&gt;=E979,(E979-0.5)/E979,IF(G979&gt;0,(F979+0.5*G979)/E979,F979/E979))</f>
        <v/>
      </c>
      <c r="I979" s="6" t="inlineStr">
        <is>
          <t>高分位</t>
        </is>
      </c>
      <c r="J979" s="6" t="inlineStr"/>
    </row>
    <row r="980">
      <c r="A980" s="11" t="inlineStr">
        <is>
          <t>2026-10-08</t>
        </is>
      </c>
      <c r="B980" s="17" t="n">
        <v>0.2878332995795991</v>
      </c>
      <c r="C980" s="11" t="inlineStr">
        <is>
          <t>2025-09-18</t>
        </is>
      </c>
      <c r="D980" s="11" t="inlineStr">
        <is>
          <t>2026-09-30</t>
        </is>
      </c>
      <c r="E980" s="11" t="n">
        <v>250</v>
      </c>
      <c r="F980" s="11" t="n">
        <v>246</v>
      </c>
      <c r="G980" s="11" t="n">
        <v>0</v>
      </c>
      <c r="H980" s="15">
        <f>IF(F980&gt;=E980,(E980-0.5)/E980,IF(G980&gt;0,(F980+0.5*G980)/E980,F980/E980))</f>
        <v/>
      </c>
      <c r="I980" s="11" t="inlineStr">
        <is>
          <t>高分位</t>
        </is>
      </c>
      <c r="J980" s="11" t="inlineStr"/>
    </row>
    <row r="981">
      <c r="A981" s="6" t="inlineStr">
        <is>
          <t>2026-10-09</t>
        </is>
      </c>
      <c r="B981" s="16" t="n">
        <v>0.2947882357663632</v>
      </c>
      <c r="C981" s="6" t="inlineStr">
        <is>
          <t>2025-09-19</t>
        </is>
      </c>
      <c r="D981" s="6" t="inlineStr">
        <is>
          <t>2026-10-08</t>
        </is>
      </c>
      <c r="E981" s="6" t="n">
        <v>250</v>
      </c>
      <c r="F981" s="6" t="n">
        <v>246</v>
      </c>
      <c r="G981" s="6" t="n">
        <v>0</v>
      </c>
      <c r="H981" s="10">
        <f>IF(F981&gt;=E981,(E981-0.5)/E981,IF(G981&gt;0,(F981+0.5*G981)/E981,F981/E981))</f>
        <v/>
      </c>
      <c r="I981" s="6" t="inlineStr">
        <is>
          <t>高分位</t>
        </is>
      </c>
      <c r="J981" s="6" t="inlineStr"/>
    </row>
    <row r="982">
      <c r="A982" s="11" t="inlineStr">
        <is>
          <t>2026-10-12</t>
        </is>
      </c>
      <c r="B982" s="17" t="n">
        <v>0.3045939013595846</v>
      </c>
      <c r="C982" s="11" t="inlineStr">
        <is>
          <t>2025-09-22</t>
        </is>
      </c>
      <c r="D982" s="11" t="inlineStr">
        <is>
          <t>2026-10-09</t>
        </is>
      </c>
      <c r="E982" s="11" t="n">
        <v>250</v>
      </c>
      <c r="F982" s="11" t="n">
        <v>247</v>
      </c>
      <c r="G982" s="11" t="n">
        <v>0</v>
      </c>
      <c r="H982" s="15">
        <f>IF(F982&gt;=E982,(E982-0.5)/E982,IF(G982&gt;0,(F982+0.5*G982)/E982,F982/E982))</f>
        <v/>
      </c>
      <c r="I982" s="11" t="inlineStr">
        <is>
          <t>高分位</t>
        </is>
      </c>
      <c r="J982" s="11" t="inlineStr"/>
    </row>
    <row r="983">
      <c r="A983" s="6" t="inlineStr">
        <is>
          <t>2026-10-13</t>
        </is>
      </c>
      <c r="B983" s="16" t="n">
        <v>0.2012345679012346</v>
      </c>
      <c r="C983" s="6" t="inlineStr">
        <is>
          <t>2025-09-23</t>
        </is>
      </c>
      <c r="D983" s="6" t="inlineStr">
        <is>
          <t>2026-10-12</t>
        </is>
      </c>
      <c r="E983" s="6" t="n">
        <v>250</v>
      </c>
      <c r="F983" s="6" t="n">
        <v>237</v>
      </c>
      <c r="G983" s="6" t="n">
        <v>0</v>
      </c>
      <c r="H983" s="10">
        <f>IF(F983&gt;=E983,(E983-0.5)/E983,IF(G983&gt;0,(F983+0.5*G983)/E983,F983/E983))</f>
        <v/>
      </c>
      <c r="I983" s="6" t="inlineStr">
        <is>
          <t>高分位</t>
        </is>
      </c>
      <c r="J983" s="6" t="inlineStr"/>
    </row>
    <row r="984">
      <c r="A984" s="11" t="inlineStr">
        <is>
          <t>2026-10-14</t>
        </is>
      </c>
      <c r="B984" s="17" t="n">
        <v>0.1599992789693382</v>
      </c>
      <c r="C984" s="11" t="inlineStr">
        <is>
          <t>2025-09-24</t>
        </is>
      </c>
      <c r="D984" s="11" t="inlineStr">
        <is>
          <t>2026-10-13</t>
        </is>
      </c>
      <c r="E984" s="11" t="n">
        <v>250</v>
      </c>
      <c r="F984" s="11" t="n">
        <v>230</v>
      </c>
      <c r="G984" s="11" t="n">
        <v>0</v>
      </c>
      <c r="H984" s="15">
        <f>IF(F984&gt;=E984,(E984-0.5)/E984,IF(G984&gt;0,(F984+0.5*G984)/E984,F984/E984))</f>
        <v/>
      </c>
      <c r="I984" s="11" t="inlineStr">
        <is>
          <t>高分位</t>
        </is>
      </c>
      <c r="J984" s="11" t="inlineStr"/>
    </row>
    <row r="985">
      <c r="A985" s="6" t="inlineStr">
        <is>
          <t>2026-10-15</t>
        </is>
      </c>
      <c r="B985" s="16" t="n">
        <v>0.2075</v>
      </c>
      <c r="C985" s="6" t="inlineStr">
        <is>
          <t>2025-09-25</t>
        </is>
      </c>
      <c r="D985" s="6" t="inlineStr">
        <is>
          <t>2026-10-14</t>
        </is>
      </c>
      <c r="E985" s="6" t="n">
        <v>250</v>
      </c>
      <c r="F985" s="6" t="n">
        <v>238</v>
      </c>
      <c r="G985" s="6" t="n">
        <v>0</v>
      </c>
      <c r="H985" s="10">
        <f>IF(F985&gt;=E985,(E985-0.5)/E985,IF(G985&gt;0,(F985+0.5*G985)/E985,F985/E985))</f>
        <v/>
      </c>
      <c r="I985" s="6" t="inlineStr">
        <is>
          <t>高分位</t>
        </is>
      </c>
      <c r="J985" s="6" t="inlineStr"/>
    </row>
    <row r="986">
      <c r="A986" s="11" t="inlineStr">
        <is>
          <t>2026-10-16</t>
        </is>
      </c>
      <c r="B986" s="17" t="n">
        <v>0.2</v>
      </c>
      <c r="C986" s="11" t="inlineStr">
        <is>
          <t>2025-09-26</t>
        </is>
      </c>
      <c r="D986" s="11" t="inlineStr">
        <is>
          <t>2026-10-15</t>
        </is>
      </c>
      <c r="E986" s="11" t="n">
        <v>250</v>
      </c>
      <c r="F986" s="11" t="n">
        <v>234</v>
      </c>
      <c r="G986" s="11" t="n">
        <v>0</v>
      </c>
      <c r="H986" s="15">
        <f>IF(F986&gt;=E986,(E986-0.5)/E986,IF(G986&gt;0,(F986+0.5*G986)/E986,F986/E986))</f>
        <v/>
      </c>
      <c r="I986" s="11" t="inlineStr">
        <is>
          <t>高分位</t>
        </is>
      </c>
      <c r="J986" s="11" t="inlineStr"/>
    </row>
    <row r="987">
      <c r="A987" s="6" t="inlineStr">
        <is>
          <t>2026-10-19</t>
        </is>
      </c>
      <c r="B987" s="16" t="n">
        <v>0.2076477246657776</v>
      </c>
      <c r="C987" s="6" t="inlineStr">
        <is>
          <t>2025-09-29</t>
        </is>
      </c>
      <c r="D987" s="6" t="inlineStr">
        <is>
          <t>2026-10-16</t>
        </is>
      </c>
      <c r="E987" s="6" t="n">
        <v>250</v>
      </c>
      <c r="F987" s="6" t="n">
        <v>238</v>
      </c>
      <c r="G987" s="6" t="n">
        <v>0</v>
      </c>
      <c r="H987" s="10">
        <f>IF(F987&gt;=E987,(E987-0.5)/E987,IF(G987&gt;0,(F987+0.5*G987)/E987,F987/E987))</f>
        <v/>
      </c>
      <c r="I987" s="6" t="inlineStr">
        <is>
          <t>高分位</t>
        </is>
      </c>
      <c r="J987" s="6" t="inlineStr"/>
    </row>
    <row r="988">
      <c r="A988" s="11" t="inlineStr">
        <is>
          <t>2026-10-20</t>
        </is>
      </c>
      <c r="B988" s="17" t="n">
        <v>0.2041183158669614</v>
      </c>
      <c r="C988" s="11" t="inlineStr">
        <is>
          <t>2025-09-30</t>
        </is>
      </c>
      <c r="D988" s="11" t="inlineStr">
        <is>
          <t>2026-10-19</t>
        </is>
      </c>
      <c r="E988" s="11" t="n">
        <v>250</v>
      </c>
      <c r="F988" s="11" t="n">
        <v>236</v>
      </c>
      <c r="G988" s="11" t="n">
        <v>0</v>
      </c>
      <c r="H988" s="15">
        <f>IF(F988&gt;=E988,(E988-0.5)/E988,IF(G988&gt;0,(F988+0.5*G988)/E988,F988/E988))</f>
        <v/>
      </c>
      <c r="I988" s="11" t="inlineStr">
        <is>
          <t>高分位</t>
        </is>
      </c>
      <c r="J988" s="11" t="inlineStr"/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0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24" customHeight="1">
      <c r="A1" s="1" t="inlineStr">
        <is>
          <t>03 前瞻表现（每个交易日 × 每个观察期）</t>
        </is>
      </c>
    </row>
    <row r="2">
      <c r="A2" s="2" t="inlineStr">
        <is>
          <t>信息检验口径：分位来自 t 日，收益为 [t, t+h]。基差收益 = 现货收益 − 期货收益（恒等式）。</t>
        </is>
      </c>
    </row>
    <row r="4" ht="30" customHeight="1">
      <c r="A4" s="3" t="inlineStr">
        <is>
          <t>日期</t>
        </is>
      </c>
      <c r="B4" s="3" t="inlineStr">
        <is>
          <t>分组</t>
        </is>
      </c>
      <c r="C4" s="3" t="inlineStr">
        <is>
          <t>滚动分位</t>
        </is>
      </c>
      <c r="D4" s="3" t="inlineStr">
        <is>
          <t>现货1日</t>
        </is>
      </c>
      <c r="E4" s="3" t="inlineStr">
        <is>
          <t>期货1日</t>
        </is>
      </c>
      <c r="F4" s="3" t="inlineStr">
        <is>
          <t>基差1日</t>
        </is>
      </c>
      <c r="G4" s="3" t="inlineStr">
        <is>
          <t>期货贡献1日</t>
        </is>
      </c>
      <c r="H4" s="3" t="inlineStr">
        <is>
          <t>现货5日</t>
        </is>
      </c>
      <c r="I4" s="3" t="inlineStr">
        <is>
          <t>期货5日</t>
        </is>
      </c>
      <c r="J4" s="3" t="inlineStr">
        <is>
          <t>基差5日</t>
        </is>
      </c>
      <c r="K4" s="3" t="inlineStr">
        <is>
          <t>期货贡献5日</t>
        </is>
      </c>
      <c r="L4" s="3" t="inlineStr">
        <is>
          <t>现货10日</t>
        </is>
      </c>
      <c r="M4" s="3" t="inlineStr">
        <is>
          <t>期货10日</t>
        </is>
      </c>
      <c r="N4" s="3" t="inlineStr">
        <is>
          <t>基差10日</t>
        </is>
      </c>
      <c r="O4" s="3" t="inlineStr">
        <is>
          <t>期货贡献10日</t>
        </is>
      </c>
      <c r="P4" s="3" t="inlineStr">
        <is>
          <t>现货20日</t>
        </is>
      </c>
      <c r="Q4" s="3" t="inlineStr">
        <is>
          <t>期货20日</t>
        </is>
      </c>
      <c r="R4" s="3" t="inlineStr">
        <is>
          <t>基差20日</t>
        </is>
      </c>
      <c r="S4" s="3" t="inlineStr">
        <is>
          <t>期货贡献20日</t>
        </is>
      </c>
      <c r="T4" s="3" t="inlineStr">
        <is>
          <t>现货60日</t>
        </is>
      </c>
      <c r="U4" s="3" t="inlineStr">
        <is>
          <t>期货60日</t>
        </is>
      </c>
      <c r="V4" s="3" t="inlineStr">
        <is>
          <t>基差60日</t>
        </is>
      </c>
      <c r="W4" s="3" t="inlineStr">
        <is>
          <t>期货贡献60日</t>
        </is>
      </c>
      <c r="X4" s="3" t="inlineStr">
        <is>
          <t>现货120日</t>
        </is>
      </c>
      <c r="Y4" s="3" t="inlineStr">
        <is>
          <t>期货120日</t>
        </is>
      </c>
      <c r="Z4" s="3" t="inlineStr">
        <is>
          <t>基差120日</t>
        </is>
      </c>
      <c r="AA4" s="3" t="inlineStr">
        <is>
          <t>期货贡献120日</t>
        </is>
      </c>
    </row>
    <row r="5">
      <c r="A5" s="6" t="inlineStr">
        <is>
          <t>2022-08-17</t>
        </is>
      </c>
      <c r="B5" s="6" t="n"/>
      <c r="C5" s="10" t="n"/>
      <c r="D5" s="8" t="n">
        <v>0.003093</v>
      </c>
      <c r="E5" s="8" t="n">
        <v>0.003317</v>
      </c>
      <c r="F5" s="8" t="n">
        <v>-0.000224</v>
      </c>
      <c r="G5" s="8" t="n">
        <v>0.5175</v>
      </c>
      <c r="H5" s="8" t="n">
        <v>0.024054</v>
      </c>
      <c r="I5" s="8" t="n">
        <v>0.048507</v>
      </c>
      <c r="J5" s="8" t="n">
        <v>-0.024453</v>
      </c>
      <c r="K5" s="8" t="n">
        <v>0.6685</v>
      </c>
      <c r="L5" s="8" t="n">
        <v>0.047423</v>
      </c>
      <c r="M5" s="8" t="n">
        <v>0.067164</v>
      </c>
      <c r="N5" s="8" t="n">
        <v>-0.019741</v>
      </c>
      <c r="O5" s="8" t="n">
        <v>0.5861</v>
      </c>
      <c r="P5" s="8" t="n">
        <v>0.142268</v>
      </c>
      <c r="Q5" s="8" t="n">
        <v>0.139718</v>
      </c>
      <c r="R5" s="8" t="n">
        <v>0.00255</v>
      </c>
      <c r="S5" s="8" t="n">
        <v>0.4955</v>
      </c>
      <c r="T5" s="8" t="n">
        <v>0.170445</v>
      </c>
      <c r="U5" s="8" t="n">
        <v>0.049751</v>
      </c>
      <c r="V5" s="8" t="n">
        <v>0.120694</v>
      </c>
      <c r="W5" s="8" t="n">
        <v>0.2259</v>
      </c>
      <c r="X5" s="8" t="n">
        <v>0.109278</v>
      </c>
      <c r="Y5" s="8" t="n">
        <v>0.07960200000000001</v>
      </c>
      <c r="Z5" s="8" t="n">
        <v>0.029676</v>
      </c>
      <c r="AA5" s="8" t="n">
        <v>0.4214</v>
      </c>
    </row>
    <row r="6">
      <c r="A6" s="11" t="inlineStr">
        <is>
          <t>2022-08-18</t>
        </is>
      </c>
      <c r="B6" s="11" t="n"/>
      <c r="C6" s="15" t="n"/>
      <c r="D6" s="13" t="n">
        <v>0.002569</v>
      </c>
      <c r="E6" s="13" t="n">
        <v>0.009091</v>
      </c>
      <c r="F6" s="13" t="n">
        <v>-0.006522</v>
      </c>
      <c r="G6" s="13" t="n">
        <v>0.7796999999999999</v>
      </c>
      <c r="H6" s="13" t="n">
        <v>0.032888</v>
      </c>
      <c r="I6" s="13" t="n">
        <v>0.056612</v>
      </c>
      <c r="J6" s="13" t="n">
        <v>-0.023724</v>
      </c>
      <c r="K6" s="13" t="n">
        <v>0.6325</v>
      </c>
      <c r="L6" s="13" t="n">
        <v>0.03926</v>
      </c>
      <c r="M6" s="13" t="n">
        <v>0.060331</v>
      </c>
      <c r="N6" s="13" t="n">
        <v>-0.021071</v>
      </c>
      <c r="O6" s="13" t="n">
        <v>0.6058</v>
      </c>
      <c r="P6" s="13" t="n">
        <v>0.145427</v>
      </c>
      <c r="Q6" s="13" t="n">
        <v>0.113636</v>
      </c>
      <c r="R6" s="13" t="n">
        <v>0.031791</v>
      </c>
      <c r="S6" s="13" t="n">
        <v>0.4386</v>
      </c>
      <c r="T6" s="13" t="n">
        <v>0.148337</v>
      </c>
      <c r="U6" s="13" t="n">
        <v>0.050413</v>
      </c>
      <c r="V6" s="13" t="n">
        <v>0.097924</v>
      </c>
      <c r="W6" s="13" t="n">
        <v>0.2537</v>
      </c>
      <c r="X6" s="13" t="n">
        <v>0.115844</v>
      </c>
      <c r="Y6" s="13" t="n">
        <v>0.08099199999999999</v>
      </c>
      <c r="Z6" s="13" t="n">
        <v>0.034852</v>
      </c>
      <c r="AA6" s="13" t="n">
        <v>0.4115</v>
      </c>
    </row>
    <row r="7">
      <c r="A7" s="6" t="inlineStr">
        <is>
          <t>2022-08-19</t>
        </is>
      </c>
      <c r="B7" s="6" t="n"/>
      <c r="C7" s="10" t="n"/>
      <c r="D7" s="8" t="n">
        <v>0.008201</v>
      </c>
      <c r="E7" s="8" t="n">
        <v>0.018837</v>
      </c>
      <c r="F7" s="8" t="n">
        <v>-0.010636</v>
      </c>
      <c r="G7" s="8" t="n">
        <v>0.6967</v>
      </c>
      <c r="H7" s="8" t="n">
        <v>0.053306</v>
      </c>
      <c r="I7" s="8" t="n">
        <v>0.07330100000000001</v>
      </c>
      <c r="J7" s="8" t="n">
        <v>-0.019995</v>
      </c>
      <c r="K7" s="8" t="n">
        <v>0.579</v>
      </c>
      <c r="L7" s="8" t="n">
        <v>0.047155</v>
      </c>
      <c r="M7" s="8" t="n">
        <v>0.058559</v>
      </c>
      <c r="N7" s="8" t="n">
        <v>-0.011404</v>
      </c>
      <c r="O7" s="8" t="n">
        <v>0.5538999999999999</v>
      </c>
      <c r="P7" s="8" t="n">
        <v>0.111225</v>
      </c>
      <c r="Q7" s="8" t="n">
        <v>0.089271</v>
      </c>
      <c r="R7" s="8" t="n">
        <v>0.021954</v>
      </c>
      <c r="S7" s="8" t="n">
        <v>0.4453</v>
      </c>
      <c r="T7" s="8" t="n">
        <v>0.147104</v>
      </c>
      <c r="U7" s="8" t="n">
        <v>0.04095</v>
      </c>
      <c r="V7" s="8" t="n">
        <v>0.106154</v>
      </c>
      <c r="W7" s="8" t="n">
        <v>0.2178</v>
      </c>
      <c r="X7" s="8" t="n">
        <v>0.114153</v>
      </c>
      <c r="Y7" s="8" t="n">
        <v>0.088862</v>
      </c>
      <c r="Z7" s="8" t="n">
        <v>0.025291</v>
      </c>
      <c r="AA7" s="8" t="n">
        <v>0.4377</v>
      </c>
    </row>
    <row r="8">
      <c r="A8" s="11" t="inlineStr">
        <is>
          <t>2022-08-22</t>
        </is>
      </c>
      <c r="B8" s="11" t="n"/>
      <c r="C8" s="15" t="n"/>
      <c r="D8" s="13" t="n">
        <v>0.006609</v>
      </c>
      <c r="E8" s="13" t="n">
        <v>0.010852</v>
      </c>
      <c r="F8" s="13" t="n">
        <v>-0.004243</v>
      </c>
      <c r="G8" s="13" t="n">
        <v>0.6215000000000001</v>
      </c>
      <c r="H8" s="13" t="n">
        <v>0.032639</v>
      </c>
      <c r="I8" s="13" t="n">
        <v>0.038585</v>
      </c>
      <c r="J8" s="13" t="n">
        <v>-0.005946</v>
      </c>
      <c r="K8" s="13" t="n">
        <v>0.5417</v>
      </c>
      <c r="L8" s="13" t="n">
        <v>0.05694</v>
      </c>
      <c r="M8" s="13" t="n">
        <v>0.053457</v>
      </c>
      <c r="N8" s="13" t="n">
        <v>0.003483</v>
      </c>
      <c r="O8" s="13" t="n">
        <v>0.4842</v>
      </c>
      <c r="P8" s="13" t="n">
        <v>0.123335</v>
      </c>
      <c r="Q8" s="13" t="n">
        <v>0.08360099999999999</v>
      </c>
      <c r="R8" s="13" t="n">
        <v>0.039734</v>
      </c>
      <c r="S8" s="13" t="n">
        <v>0.404</v>
      </c>
      <c r="T8" s="13" t="n">
        <v>0.131673</v>
      </c>
      <c r="U8" s="13" t="n">
        <v>0.037781</v>
      </c>
      <c r="V8" s="13" t="n">
        <v>0.093892</v>
      </c>
      <c r="W8" s="13" t="n">
        <v>0.223</v>
      </c>
      <c r="X8" s="13" t="n">
        <v>0.123538</v>
      </c>
      <c r="Y8" s="13" t="n">
        <v>0.07355299999999999</v>
      </c>
      <c r="Z8" s="13" t="n">
        <v>0.049985</v>
      </c>
      <c r="AA8" s="13" t="n">
        <v>0.3732</v>
      </c>
    </row>
    <row r="9">
      <c r="A9" s="6" t="inlineStr">
        <is>
          <t>2022-08-23</t>
        </is>
      </c>
      <c r="B9" s="6" t="n"/>
      <c r="C9" s="10" t="n"/>
      <c r="D9" s="8" t="n">
        <v>0.003366</v>
      </c>
      <c r="E9" s="8" t="n">
        <v>0.005567</v>
      </c>
      <c r="F9" s="8" t="n">
        <v>-0.002201</v>
      </c>
      <c r="G9" s="8" t="n">
        <v>0.6232</v>
      </c>
      <c r="H9" s="8" t="n">
        <v>0.030303</v>
      </c>
      <c r="I9" s="8" t="n">
        <v>0.029423</v>
      </c>
      <c r="J9" s="8" t="n">
        <v>0.00088</v>
      </c>
      <c r="K9" s="8" t="n">
        <v>0.4926</v>
      </c>
      <c r="L9" s="8" t="n">
        <v>0.079596</v>
      </c>
      <c r="M9" s="8" t="n">
        <v>0.07514899999999999</v>
      </c>
      <c r="N9" s="8" t="n">
        <v>0.004447</v>
      </c>
      <c r="O9" s="8" t="n">
        <v>0.4856</v>
      </c>
      <c r="P9" s="8" t="n">
        <v>0.140909</v>
      </c>
      <c r="Q9" s="8" t="n">
        <v>0.08429399999999999</v>
      </c>
      <c r="R9" s="8" t="n">
        <v>0.056615</v>
      </c>
      <c r="S9" s="8" t="n">
        <v>0.3743</v>
      </c>
      <c r="T9" s="8" t="n">
        <v>0.125588</v>
      </c>
      <c r="U9" s="8" t="n">
        <v>0.048509</v>
      </c>
      <c r="V9" s="8" t="n">
        <v>0.07707899999999999</v>
      </c>
      <c r="W9" s="8" t="n">
        <v>0.2786</v>
      </c>
      <c r="X9" s="8" t="n">
        <v>0.127273</v>
      </c>
      <c r="Y9" s="8" t="n">
        <v>0.054473</v>
      </c>
      <c r="Z9" s="8" t="n">
        <v>0.0728</v>
      </c>
      <c r="AA9" s="8" t="n">
        <v>0.2997</v>
      </c>
    </row>
    <row r="10">
      <c r="A10" s="11" t="inlineStr">
        <is>
          <t>2022-08-24</t>
        </is>
      </c>
      <c r="B10" s="11" t="n"/>
      <c r="C10" s="15" t="n"/>
      <c r="D10" s="13" t="n">
        <v>0.011746</v>
      </c>
      <c r="E10" s="13" t="n">
        <v>0.011072</v>
      </c>
      <c r="F10" s="13" t="n">
        <v>0.000674</v>
      </c>
      <c r="G10" s="13" t="n">
        <v>0.4852</v>
      </c>
      <c r="H10" s="13" t="n">
        <v>0.02282</v>
      </c>
      <c r="I10" s="13" t="n">
        <v>0.017794</v>
      </c>
      <c r="J10" s="13" t="n">
        <v>0.005026</v>
      </c>
      <c r="K10" s="13" t="n">
        <v>0.4381</v>
      </c>
      <c r="L10" s="13" t="n">
        <v>0.06630999999999999</v>
      </c>
      <c r="M10" s="13" t="n">
        <v>0.057335</v>
      </c>
      <c r="N10" s="13" t="n">
        <v>0.008975</v>
      </c>
      <c r="O10" s="13" t="n">
        <v>0.4637</v>
      </c>
      <c r="P10" s="13" t="n">
        <v>0.113827</v>
      </c>
      <c r="Q10" s="13" t="n">
        <v>0.043495</v>
      </c>
      <c r="R10" s="13" t="n">
        <v>0.07033200000000001</v>
      </c>
      <c r="S10" s="13" t="n">
        <v>0.2765</v>
      </c>
      <c r="T10" s="13" t="n">
        <v>0.132218</v>
      </c>
      <c r="U10" s="13" t="n">
        <v>0.012258</v>
      </c>
      <c r="V10" s="13" t="n">
        <v>0.11996</v>
      </c>
      <c r="W10" s="13" t="n">
        <v>0.0848</v>
      </c>
      <c r="X10" s="13" t="n">
        <v>0.119799</v>
      </c>
      <c r="Y10" s="13" t="n">
        <v>0.03875</v>
      </c>
      <c r="Z10" s="13" t="n">
        <v>0.081049</v>
      </c>
      <c r="AA10" s="13" t="n">
        <v>0.2444</v>
      </c>
    </row>
    <row r="11">
      <c r="A11" s="6" t="inlineStr">
        <is>
          <t>2022-08-25</t>
        </is>
      </c>
      <c r="B11" s="6" t="n"/>
      <c r="C11" s="10" t="n"/>
      <c r="D11" s="8" t="n">
        <v>0.022388</v>
      </c>
      <c r="E11" s="8" t="n">
        <v>0.025029</v>
      </c>
      <c r="F11" s="8" t="n">
        <v>-0.002641</v>
      </c>
      <c r="G11" s="8" t="n">
        <v>0.5278</v>
      </c>
      <c r="H11" s="8" t="n">
        <v>0.006169</v>
      </c>
      <c r="I11" s="8" t="n">
        <v>0.00352</v>
      </c>
      <c r="J11" s="8" t="n">
        <v>0.002649</v>
      </c>
      <c r="K11" s="8" t="n">
        <v>0.3633</v>
      </c>
      <c r="L11" s="8" t="n">
        <v>0.062189</v>
      </c>
      <c r="M11" s="8" t="n">
        <v>0.052796</v>
      </c>
      <c r="N11" s="8" t="n">
        <v>0.009393</v>
      </c>
      <c r="O11" s="8" t="n">
        <v>0.4592</v>
      </c>
      <c r="P11" s="8" t="n">
        <v>0.090547</v>
      </c>
      <c r="Q11" s="8" t="n">
        <v>0.035197</v>
      </c>
      <c r="R11" s="8" t="n">
        <v>0.05535</v>
      </c>
      <c r="S11" s="8" t="n">
        <v>0.2799</v>
      </c>
      <c r="T11" s="8" t="n">
        <v>0.095192</v>
      </c>
      <c r="U11" s="8" t="n">
        <v>0.023074</v>
      </c>
      <c r="V11" s="8" t="n">
        <v>0.072118</v>
      </c>
      <c r="W11" s="8" t="n">
        <v>0.1951</v>
      </c>
      <c r="X11" s="8" t="n">
        <v>0.091873</v>
      </c>
      <c r="Y11" s="8" t="n">
        <v>0.030113</v>
      </c>
      <c r="Z11" s="8" t="n">
        <v>0.06176</v>
      </c>
      <c r="AA11" s="8" t="n">
        <v>0.2469</v>
      </c>
    </row>
    <row r="12">
      <c r="A12" s="11" t="inlineStr">
        <is>
          <t>2022-08-26</t>
        </is>
      </c>
      <c r="B12" s="11" t="n"/>
      <c r="C12" s="15" t="n"/>
      <c r="D12" s="13" t="n">
        <v>-0.011582</v>
      </c>
      <c r="E12" s="13" t="n">
        <v>-0.014117</v>
      </c>
      <c r="F12" s="13" t="n">
        <v>0.002535</v>
      </c>
      <c r="G12" s="13" t="n">
        <v>0.5493</v>
      </c>
      <c r="H12" s="13" t="n">
        <v>-0.005839</v>
      </c>
      <c r="I12" s="13" t="n">
        <v>-0.013735</v>
      </c>
      <c r="J12" s="13" t="n">
        <v>0.007896</v>
      </c>
      <c r="K12" s="13" t="n">
        <v>0.7017</v>
      </c>
      <c r="L12" s="13" t="n">
        <v>0.055961</v>
      </c>
      <c r="M12" s="13" t="n">
        <v>0.045403</v>
      </c>
      <c r="N12" s="13" t="n">
        <v>0.010558</v>
      </c>
      <c r="O12" s="13" t="n">
        <v>0.4479</v>
      </c>
      <c r="P12" s="13" t="n">
        <v>0.105596</v>
      </c>
      <c r="Q12" s="13" t="n">
        <v>0.045021</v>
      </c>
      <c r="R12" s="13" t="n">
        <v>0.060575</v>
      </c>
      <c r="S12" s="13" t="n">
        <v>0.2989</v>
      </c>
      <c r="T12" s="13" t="n">
        <v>0.084508</v>
      </c>
      <c r="U12" s="13" t="n">
        <v>-0.010683</v>
      </c>
      <c r="V12" s="13" t="n">
        <v>0.095191</v>
      </c>
      <c r="W12" s="13" t="n">
        <v>0.1122</v>
      </c>
      <c r="X12" s="13" t="n">
        <v>0.065043</v>
      </c>
      <c r="Y12" s="13" t="n">
        <v>-0.004197</v>
      </c>
      <c r="Z12" s="13" t="n">
        <v>0.06924</v>
      </c>
      <c r="AA12" s="13" t="n">
        <v>0.0606</v>
      </c>
    </row>
    <row r="13">
      <c r="A13" s="6" t="inlineStr">
        <is>
          <t>2022-08-29</t>
        </is>
      </c>
      <c r="B13" s="6" t="n"/>
      <c r="C13" s="10" t="n"/>
      <c r="D13" s="8" t="n">
        <v>0.004332</v>
      </c>
      <c r="E13" s="8" t="n">
        <v>0.001935</v>
      </c>
      <c r="F13" s="8" t="n">
        <v>0.002397</v>
      </c>
      <c r="G13" s="8" t="n">
        <v>0.3088</v>
      </c>
      <c r="H13" s="8" t="n">
        <v>0.023533</v>
      </c>
      <c r="I13" s="8" t="n">
        <v>0.014319</v>
      </c>
      <c r="J13" s="8" t="n">
        <v>0.009214</v>
      </c>
      <c r="K13" s="8" t="n">
        <v>0.3783</v>
      </c>
      <c r="L13" s="8" t="n">
        <v>0.067842</v>
      </c>
      <c r="M13" s="8" t="n">
        <v>0.05418</v>
      </c>
      <c r="N13" s="8" t="n">
        <v>0.013662</v>
      </c>
      <c r="O13" s="8" t="n">
        <v>0.444</v>
      </c>
      <c r="P13" s="8" t="n">
        <v>0.122489</v>
      </c>
      <c r="Q13" s="8" t="n">
        <v>0.05805</v>
      </c>
      <c r="R13" s="8" t="n">
        <v>0.064439</v>
      </c>
      <c r="S13" s="8" t="n">
        <v>0.3215</v>
      </c>
      <c r="T13" s="8" t="n">
        <v>0.07588399999999999</v>
      </c>
      <c r="U13" s="8" t="n">
        <v>-0.004644</v>
      </c>
      <c r="V13" s="8" t="n">
        <v>0.080528</v>
      </c>
      <c r="W13" s="8" t="n">
        <v>0.0577</v>
      </c>
      <c r="X13" s="8" t="n">
        <v>0.064069</v>
      </c>
      <c r="Y13" s="8" t="n">
        <v>0.009287999999999999</v>
      </c>
      <c r="Z13" s="8" t="n">
        <v>0.054781</v>
      </c>
      <c r="AA13" s="8" t="n">
        <v>0.1266</v>
      </c>
    </row>
    <row r="14">
      <c r="A14" s="11" t="inlineStr">
        <is>
          <t>2022-08-30</t>
        </is>
      </c>
      <c r="B14" s="11" t="n"/>
      <c r="C14" s="15" t="n"/>
      <c r="D14" s="13" t="n">
        <v>-0.003922</v>
      </c>
      <c r="E14" s="13" t="n">
        <v>-0.005794</v>
      </c>
      <c r="F14" s="13" t="n">
        <v>0.001872</v>
      </c>
      <c r="G14" s="13" t="n">
        <v>0.5963000000000001</v>
      </c>
      <c r="H14" s="13" t="n">
        <v>0.047843</v>
      </c>
      <c r="I14" s="13" t="n">
        <v>0.044419</v>
      </c>
      <c r="J14" s="13" t="n">
        <v>0.003424</v>
      </c>
      <c r="K14" s="13" t="n">
        <v>0.4814</v>
      </c>
      <c r="L14" s="13" t="n">
        <v>0.06715699999999999</v>
      </c>
      <c r="M14" s="13" t="n">
        <v>0.049054</v>
      </c>
      <c r="N14" s="13" t="n">
        <v>0.018103</v>
      </c>
      <c r="O14" s="13" t="n">
        <v>0.4221</v>
      </c>
      <c r="P14" s="13" t="n">
        <v>0.193137</v>
      </c>
      <c r="Q14" s="13" t="n">
        <v>0.08729199999999999</v>
      </c>
      <c r="R14" s="13" t="n">
        <v>0.105845</v>
      </c>
      <c r="S14" s="13" t="n">
        <v>0.3113</v>
      </c>
      <c r="T14" s="13" t="n">
        <v>0.051635</v>
      </c>
      <c r="U14" s="13" t="n">
        <v>0.001931</v>
      </c>
      <c r="V14" s="13" t="n">
        <v>0.049704</v>
      </c>
      <c r="W14" s="13" t="n">
        <v>0.036</v>
      </c>
      <c r="X14" s="13" t="n">
        <v>0.056208</v>
      </c>
      <c r="Y14" s="13" t="n">
        <v>0.005021</v>
      </c>
      <c r="Z14" s="13" t="n">
        <v>0.051187</v>
      </c>
      <c r="AA14" s="13" t="n">
        <v>0.082</v>
      </c>
    </row>
    <row r="15">
      <c r="A15" s="6" t="inlineStr">
        <is>
          <t>2022-08-31</t>
        </is>
      </c>
      <c r="B15" s="6" t="n"/>
      <c r="C15" s="10" t="n"/>
      <c r="D15" s="8" t="n">
        <v>-0.004724</v>
      </c>
      <c r="E15" s="8" t="n">
        <v>-0.003108</v>
      </c>
      <c r="F15" s="8" t="n">
        <v>-0.001616</v>
      </c>
      <c r="G15" s="8" t="n">
        <v>0.3968</v>
      </c>
      <c r="H15" s="8" t="n">
        <v>0.04252</v>
      </c>
      <c r="I15" s="8" t="n">
        <v>0.03885</v>
      </c>
      <c r="J15" s="8" t="n">
        <v>0.00367</v>
      </c>
      <c r="K15" s="8" t="n">
        <v>0.4774</v>
      </c>
      <c r="L15" s="8" t="n">
        <v>0.09055100000000001</v>
      </c>
      <c r="M15" s="8" t="n">
        <v>0.06798800000000001</v>
      </c>
      <c r="N15" s="8" t="n">
        <v>0.022563</v>
      </c>
      <c r="O15" s="8" t="n">
        <v>0.4288</v>
      </c>
      <c r="P15" s="8" t="n">
        <v>0.186024</v>
      </c>
      <c r="Q15" s="8" t="n">
        <v>0.094406</v>
      </c>
      <c r="R15" s="8" t="n">
        <v>0.091618</v>
      </c>
      <c r="S15" s="8" t="n">
        <v>0.3366</v>
      </c>
      <c r="T15" s="8" t="n">
        <v>0.051181</v>
      </c>
      <c r="U15" s="8" t="n">
        <v>-0.01554</v>
      </c>
      <c r="V15" s="8" t="n">
        <v>0.066721</v>
      </c>
      <c r="W15" s="8" t="n">
        <v>0.2329</v>
      </c>
      <c r="X15" s="8" t="n">
        <v>0.053807</v>
      </c>
      <c r="Y15" s="8" t="n">
        <v>0.015929</v>
      </c>
      <c r="Z15" s="8" t="n">
        <v>0.037878</v>
      </c>
      <c r="AA15" s="8" t="n">
        <v>0.2284</v>
      </c>
    </row>
    <row r="16">
      <c r="A16" s="11" t="inlineStr">
        <is>
          <t>2022-09-01</t>
        </is>
      </c>
      <c r="B16" s="11" t="n"/>
      <c r="C16" s="15" t="n"/>
      <c r="D16" s="13" t="n">
        <v>0.010186</v>
      </c>
      <c r="E16" s="13" t="n">
        <v>0.007405</v>
      </c>
      <c r="F16" s="13" t="n">
        <v>0.002781</v>
      </c>
      <c r="G16" s="13" t="n">
        <v>0.421</v>
      </c>
      <c r="H16" s="13" t="n">
        <v>0.055676</v>
      </c>
      <c r="I16" s="13" t="n">
        <v>0.049104</v>
      </c>
      <c r="J16" s="13" t="n">
        <v>0.006572</v>
      </c>
      <c r="K16" s="13" t="n">
        <v>0.4686</v>
      </c>
      <c r="L16" s="13" t="n">
        <v>0.102156</v>
      </c>
      <c r="M16" s="13" t="n">
        <v>0.050273</v>
      </c>
      <c r="N16" s="13" t="n">
        <v>0.051883</v>
      </c>
      <c r="O16" s="13" t="n">
        <v>0.3298</v>
      </c>
      <c r="P16" s="13" t="n">
        <v>0.154074</v>
      </c>
      <c r="Q16" s="13" t="n">
        <v>0.081839</v>
      </c>
      <c r="R16" s="13" t="n">
        <v>0.07223499999999999</v>
      </c>
      <c r="S16" s="13" t="n">
        <v>0.3469</v>
      </c>
      <c r="T16" s="13" t="n">
        <v>0.056171</v>
      </c>
      <c r="U16" s="13" t="n">
        <v>-0.024942</v>
      </c>
      <c r="V16" s="13" t="n">
        <v>0.081113</v>
      </c>
      <c r="W16" s="13" t="n">
        <v>0.3075</v>
      </c>
      <c r="X16" s="13" t="n">
        <v>0.060455</v>
      </c>
      <c r="Y16" s="13" t="n">
        <v>0.003897</v>
      </c>
      <c r="Z16" s="13" t="n">
        <v>0.056558</v>
      </c>
      <c r="AA16" s="13" t="n">
        <v>0.0606</v>
      </c>
    </row>
    <row r="17">
      <c r="A17" s="6" t="inlineStr">
        <is>
          <t>2022-09-02</t>
        </is>
      </c>
      <c r="B17" s="6" t="n"/>
      <c r="C17" s="10" t="n"/>
      <c r="D17" s="8" t="n">
        <v>0.017621</v>
      </c>
      <c r="E17" s="8" t="n">
        <v>0.013926</v>
      </c>
      <c r="F17" s="8" t="n">
        <v>0.003695</v>
      </c>
      <c r="G17" s="8" t="n">
        <v>0.4414</v>
      </c>
      <c r="H17" s="8" t="n">
        <v>0.062163</v>
      </c>
      <c r="I17" s="8" t="n">
        <v>0.059961</v>
      </c>
      <c r="J17" s="8" t="n">
        <v>0.002202</v>
      </c>
      <c r="K17" s="8" t="n">
        <v>0.491</v>
      </c>
      <c r="L17" s="8" t="n">
        <v>0.061185</v>
      </c>
      <c r="M17" s="8" t="n">
        <v>0.029014</v>
      </c>
      <c r="N17" s="8" t="n">
        <v>0.032171</v>
      </c>
      <c r="O17" s="8" t="n">
        <v>0.3217</v>
      </c>
      <c r="P17" s="8" t="n">
        <v>0.123837</v>
      </c>
      <c r="Q17" s="8" t="n">
        <v>0.068859</v>
      </c>
      <c r="R17" s="8" t="n">
        <v>0.054978</v>
      </c>
      <c r="S17" s="8" t="n">
        <v>0.3573</v>
      </c>
      <c r="T17" s="8" t="n">
        <v>0.046175</v>
      </c>
      <c r="U17" s="8" t="n">
        <v>-0.051838</v>
      </c>
      <c r="V17" s="8" t="n">
        <v>0.098013</v>
      </c>
      <c r="W17" s="8" t="n">
        <v>0.5289</v>
      </c>
      <c r="X17" s="8" t="n">
        <v>0.036057</v>
      </c>
      <c r="Y17" s="8" t="n">
        <v>-0.003868</v>
      </c>
      <c r="Z17" s="8" t="n">
        <v>0.039925</v>
      </c>
      <c r="AA17" s="8" t="n">
        <v>0.0969</v>
      </c>
    </row>
    <row r="18">
      <c r="A18" s="11" t="inlineStr">
        <is>
          <t>2022-09-05</t>
        </is>
      </c>
      <c r="B18" s="11" t="n"/>
      <c r="C18" s="15" t="n"/>
      <c r="D18" s="13" t="n">
        <v>0.028187</v>
      </c>
      <c r="E18" s="13" t="n">
        <v>0.031667</v>
      </c>
      <c r="F18" s="13" t="n">
        <v>-0.00348</v>
      </c>
      <c r="G18" s="13" t="n">
        <v>0.5291</v>
      </c>
      <c r="H18" s="13" t="n">
        <v>0.04329</v>
      </c>
      <c r="I18" s="13" t="n">
        <v>0.039298</v>
      </c>
      <c r="J18" s="13" t="n">
        <v>0.003992</v>
      </c>
      <c r="K18" s="13" t="n">
        <v>0.4758</v>
      </c>
      <c r="L18" s="13" t="n">
        <v>0.062819</v>
      </c>
      <c r="M18" s="13" t="n">
        <v>0.028615</v>
      </c>
      <c r="N18" s="13" t="n">
        <v>0.034204</v>
      </c>
      <c r="O18" s="13" t="n">
        <v>0.313</v>
      </c>
      <c r="P18" s="13" t="n">
        <v>0.096681</v>
      </c>
      <c r="Q18" s="13" t="n">
        <v>0.038535</v>
      </c>
      <c r="R18" s="13" t="n">
        <v>0.058146</v>
      </c>
      <c r="S18" s="13" t="n">
        <v>0.285</v>
      </c>
      <c r="T18" s="13" t="n">
        <v>0.00882</v>
      </c>
      <c r="U18" s="13" t="n">
        <v>-0.056085</v>
      </c>
      <c r="V18" s="13" t="n">
        <v>0.064905</v>
      </c>
      <c r="W18" s="13" t="n">
        <v>0.8641</v>
      </c>
      <c r="X18" s="13" t="n">
        <v>0.01523</v>
      </c>
      <c r="Y18" s="13" t="n">
        <v>-0.030523</v>
      </c>
      <c r="Z18" s="13" t="n">
        <v>0.045753</v>
      </c>
      <c r="AA18" s="13" t="n">
        <v>0.6671</v>
      </c>
    </row>
    <row r="19">
      <c r="A19" s="6" t="inlineStr">
        <is>
          <t>2022-09-06</t>
        </is>
      </c>
      <c r="B19" s="6" t="n"/>
      <c r="C19" s="10" t="n"/>
      <c r="D19" s="8" t="n">
        <v>-0.008982</v>
      </c>
      <c r="E19" s="8" t="n">
        <v>-0.011095</v>
      </c>
      <c r="F19" s="8" t="n">
        <v>0.002113</v>
      </c>
      <c r="G19" s="8" t="n">
        <v>0.5526</v>
      </c>
      <c r="H19" s="8" t="n">
        <v>0.018432</v>
      </c>
      <c r="I19" s="8" t="n">
        <v>0.004438</v>
      </c>
      <c r="J19" s="8" t="n">
        <v>0.013994</v>
      </c>
      <c r="K19" s="8" t="n">
        <v>0.1941</v>
      </c>
      <c r="L19" s="8" t="n">
        <v>0.056793</v>
      </c>
      <c r="M19" s="8" t="n">
        <v>0.008506</v>
      </c>
      <c r="N19" s="8" t="n">
        <v>0.048287</v>
      </c>
      <c r="O19" s="8" t="n">
        <v>0.1303</v>
      </c>
      <c r="P19" s="8" t="n">
        <v>0.071295</v>
      </c>
      <c r="Q19" s="8" t="n">
        <v>0.011095</v>
      </c>
      <c r="R19" s="8" t="n">
        <v>0.0602</v>
      </c>
      <c r="S19" s="8" t="n">
        <v>0.1347</v>
      </c>
      <c r="T19" s="8" t="n">
        <v>-0.015094</v>
      </c>
      <c r="U19" s="8" t="n">
        <v>-0.077663</v>
      </c>
      <c r="V19" s="8" t="n">
        <v>0.062569</v>
      </c>
      <c r="W19" s="8" t="n">
        <v>0.8373</v>
      </c>
      <c r="X19" s="8" t="n">
        <v>-0.01915</v>
      </c>
      <c r="Y19" s="8" t="n">
        <v>-0.045858</v>
      </c>
      <c r="Z19" s="8" t="n">
        <v>0.026708</v>
      </c>
      <c r="AA19" s="8" t="n">
        <v>0.7054</v>
      </c>
    </row>
    <row r="20">
      <c r="A20" s="11" t="inlineStr">
        <is>
          <t>2022-09-07</t>
        </is>
      </c>
      <c r="B20" s="11" t="n"/>
      <c r="C20" s="15" t="n"/>
      <c r="D20" s="13" t="n">
        <v>0.007835999999999999</v>
      </c>
      <c r="E20" s="13" t="n">
        <v>0.006731</v>
      </c>
      <c r="F20" s="13" t="n">
        <v>0.001105</v>
      </c>
      <c r="G20" s="13" t="n">
        <v>0.4621</v>
      </c>
      <c r="H20" s="13" t="n">
        <v>0.046073</v>
      </c>
      <c r="I20" s="13" t="n">
        <v>0.028048</v>
      </c>
      <c r="J20" s="13" t="n">
        <v>0.018025</v>
      </c>
      <c r="K20" s="13" t="n">
        <v>0.3784</v>
      </c>
      <c r="L20" s="13" t="n">
        <v>0.044562</v>
      </c>
      <c r="M20" s="13" t="n">
        <v>-0.013089</v>
      </c>
      <c r="N20" s="13" t="n">
        <v>0.057651</v>
      </c>
      <c r="O20" s="13" t="n">
        <v>0.227</v>
      </c>
      <c r="P20" s="13" t="n">
        <v>0.062122</v>
      </c>
      <c r="Q20" s="13" t="n">
        <v>-0.002618</v>
      </c>
      <c r="R20" s="13" t="n">
        <v>0.06474000000000001</v>
      </c>
      <c r="S20" s="13" t="n">
        <v>0.0404</v>
      </c>
      <c r="T20" s="13" t="n">
        <v>0.012085</v>
      </c>
      <c r="U20" s="13" t="n">
        <v>-0.054974</v>
      </c>
      <c r="V20" s="13" t="n">
        <v>0.06705899999999999</v>
      </c>
      <c r="W20" s="13" t="n">
        <v>0.8198</v>
      </c>
      <c r="X20" s="13" t="n">
        <v>-0.000189</v>
      </c>
      <c r="Y20" s="13" t="n">
        <v>-0.036649</v>
      </c>
      <c r="Z20" s="13" t="n">
        <v>0.03646</v>
      </c>
      <c r="AA20" s="13" t="n">
        <v>0.9949</v>
      </c>
    </row>
    <row r="21">
      <c r="A21" s="6" t="inlineStr">
        <is>
          <t>2022-09-08</t>
        </is>
      </c>
      <c r="B21" s="6" t="n"/>
      <c r="C21" s="10" t="n"/>
      <c r="D21" s="8" t="n">
        <v>0.016393</v>
      </c>
      <c r="E21" s="8" t="n">
        <v>0.017831</v>
      </c>
      <c r="F21" s="8" t="n">
        <v>-0.001438</v>
      </c>
      <c r="G21" s="8" t="n">
        <v>0.521</v>
      </c>
      <c r="H21" s="8" t="n">
        <v>0.044028</v>
      </c>
      <c r="I21" s="8" t="n">
        <v>0.001114</v>
      </c>
      <c r="J21" s="8" t="n">
        <v>0.042914</v>
      </c>
      <c r="K21" s="8" t="n">
        <v>0.0247</v>
      </c>
      <c r="L21" s="8" t="n">
        <v>0.026698</v>
      </c>
      <c r="M21" s="8" t="n">
        <v>-0.016716</v>
      </c>
      <c r="N21" s="8" t="n">
        <v>0.043414</v>
      </c>
      <c r="O21" s="8" t="n">
        <v>0.385</v>
      </c>
      <c r="P21" s="8" t="n">
        <v>0.04918</v>
      </c>
      <c r="Q21" s="8" t="n">
        <v>-0.009287</v>
      </c>
      <c r="R21" s="8" t="n">
        <v>0.058467</v>
      </c>
      <c r="S21" s="8" t="n">
        <v>0.1588</v>
      </c>
      <c r="T21" s="8" t="n">
        <v>0.007963</v>
      </c>
      <c r="U21" s="8" t="n">
        <v>-0.055721</v>
      </c>
      <c r="V21" s="8" t="n">
        <v>0.063684</v>
      </c>
      <c r="W21" s="8" t="n">
        <v>0.875</v>
      </c>
      <c r="X21" s="8" t="n">
        <v>-0.010773</v>
      </c>
      <c r="Y21" s="8" t="n">
        <v>-0.051263</v>
      </c>
      <c r="Z21" s="8" t="n">
        <v>0.04049</v>
      </c>
      <c r="AA21" s="8" t="n">
        <v>0.8263</v>
      </c>
    </row>
    <row r="22">
      <c r="A22" s="11" t="inlineStr">
        <is>
          <t>2022-09-09</t>
        </is>
      </c>
      <c r="B22" s="11" t="n"/>
      <c r="C22" s="15" t="n"/>
      <c r="D22" s="13" t="n">
        <v>-0.000461</v>
      </c>
      <c r="E22" s="13" t="n">
        <v>-0.005839</v>
      </c>
      <c r="F22" s="13" t="n">
        <v>0.005378</v>
      </c>
      <c r="G22" s="13" t="n">
        <v>0.9268</v>
      </c>
      <c r="H22" s="13" t="n">
        <v>-0.000922</v>
      </c>
      <c r="I22" s="13" t="n">
        <v>-0.029197</v>
      </c>
      <c r="J22" s="13" t="n">
        <v>0.028275</v>
      </c>
      <c r="K22" s="13" t="n">
        <v>0.9694</v>
      </c>
      <c r="L22" s="13" t="n">
        <v>0.047005</v>
      </c>
      <c r="M22" s="13" t="n">
        <v>-0.000365</v>
      </c>
      <c r="N22" s="13" t="n">
        <v>0.04737</v>
      </c>
      <c r="O22" s="13" t="n">
        <v>0.0077</v>
      </c>
      <c r="P22" s="13" t="n">
        <v>0.06396300000000001</v>
      </c>
      <c r="Q22" s="13" t="n">
        <v>-0.024088</v>
      </c>
      <c r="R22" s="13" t="n">
        <v>0.088051</v>
      </c>
      <c r="S22" s="13" t="n">
        <v>0.2736</v>
      </c>
      <c r="T22" s="13" t="n">
        <v>-0.009832</v>
      </c>
      <c r="U22" s="13" t="n">
        <v>-0.057664</v>
      </c>
      <c r="V22" s="13" t="n">
        <v>0.047832</v>
      </c>
      <c r="W22" s="13" t="n">
        <v>0.8542999999999999</v>
      </c>
      <c r="X22" s="13" t="n">
        <v>-0.030721</v>
      </c>
      <c r="Y22" s="13" t="n">
        <v>-0.098175</v>
      </c>
      <c r="Z22" s="13" t="n">
        <v>0.067454</v>
      </c>
      <c r="AA22" s="13" t="n">
        <v>0.7617</v>
      </c>
    </row>
    <row r="23">
      <c r="A23" s="6" t="inlineStr">
        <is>
          <t>2022-09-14</t>
        </is>
      </c>
      <c r="B23" s="6" t="n"/>
      <c r="C23" s="10" t="n"/>
      <c r="D23" s="8" t="n">
        <v>0.003688</v>
      </c>
      <c r="E23" s="8" t="n">
        <v>-0.002937</v>
      </c>
      <c r="F23" s="8" t="n">
        <v>0.006625</v>
      </c>
      <c r="G23" s="8" t="n">
        <v>0.4433</v>
      </c>
      <c r="H23" s="8" t="n">
        <v>0.018718</v>
      </c>
      <c r="I23" s="8" t="n">
        <v>-0.010279</v>
      </c>
      <c r="J23" s="8" t="n">
        <v>0.028997</v>
      </c>
      <c r="K23" s="8" t="n">
        <v>0.3545</v>
      </c>
      <c r="L23" s="8" t="n">
        <v>0.051176</v>
      </c>
      <c r="M23" s="8" t="n">
        <v>0.003671</v>
      </c>
      <c r="N23" s="8" t="n">
        <v>0.047505</v>
      </c>
      <c r="O23" s="8" t="n">
        <v>0.0669</v>
      </c>
      <c r="P23" s="8" t="n">
        <v>0.06888</v>
      </c>
      <c r="Q23" s="8" t="n">
        <v>-0.009178</v>
      </c>
      <c r="R23" s="8" t="n">
        <v>0.078058</v>
      </c>
      <c r="S23" s="8" t="n">
        <v>0.1176</v>
      </c>
      <c r="T23" s="8" t="n">
        <v>-0.009376000000000001</v>
      </c>
      <c r="U23" s="8" t="n">
        <v>-0.035977</v>
      </c>
      <c r="V23" s="8" t="n">
        <v>0.026601</v>
      </c>
      <c r="W23" s="8" t="n">
        <v>0.7933</v>
      </c>
      <c r="X23" s="8" t="n">
        <v>-0.049947</v>
      </c>
      <c r="Y23" s="8" t="n">
        <v>-0.079662</v>
      </c>
      <c r="Z23" s="8" t="n">
        <v>0.029715</v>
      </c>
      <c r="AA23" s="8" t="n">
        <v>0.6146</v>
      </c>
    </row>
    <row r="24">
      <c r="A24" s="11" t="inlineStr">
        <is>
          <t>2022-09-15</t>
        </is>
      </c>
      <c r="B24" s="11" t="n"/>
      <c r="C24" s="15" t="n"/>
      <c r="D24" s="13" t="n">
        <v>0.017915</v>
      </c>
      <c r="E24" s="13" t="n">
        <v>0.01215</v>
      </c>
      <c r="F24" s="13" t="n">
        <v>0.005765</v>
      </c>
      <c r="G24" s="13" t="n">
        <v>0.4041</v>
      </c>
      <c r="H24" s="13" t="n">
        <v>0.037667</v>
      </c>
      <c r="I24" s="13" t="n">
        <v>0.00405</v>
      </c>
      <c r="J24" s="13" t="n">
        <v>0.033617</v>
      </c>
      <c r="K24" s="13" t="n">
        <v>0.09710000000000001</v>
      </c>
      <c r="L24" s="13" t="n">
        <v>0.118052</v>
      </c>
      <c r="M24" s="13" t="n">
        <v>0.036451</v>
      </c>
      <c r="N24" s="13" t="n">
        <v>0.08160100000000001</v>
      </c>
      <c r="O24" s="13" t="n">
        <v>0.2359</v>
      </c>
      <c r="P24" s="13" t="n">
        <v>0.063482</v>
      </c>
      <c r="Q24" s="13" t="n">
        <v>-0.030928</v>
      </c>
      <c r="R24" s="13" t="n">
        <v>0.09440999999999999</v>
      </c>
      <c r="S24" s="13" t="n">
        <v>0.3276</v>
      </c>
      <c r="T24" s="13" t="n">
        <v>-0.015772</v>
      </c>
      <c r="U24" s="13" t="n">
        <v>-0.036819</v>
      </c>
      <c r="V24" s="13" t="n">
        <v>0.021047</v>
      </c>
      <c r="W24" s="13" t="n">
        <v>0.7000999999999999</v>
      </c>
      <c r="X24" s="13" t="n">
        <v>-0.040268</v>
      </c>
      <c r="Y24" s="13" t="n">
        <v>-0.07216500000000001</v>
      </c>
      <c r="Z24" s="13" t="n">
        <v>0.031897</v>
      </c>
      <c r="AA24" s="13" t="n">
        <v>0.6418</v>
      </c>
    </row>
    <row r="25">
      <c r="A25" s="6" t="inlineStr">
        <is>
          <t>2022-09-16</t>
        </is>
      </c>
      <c r="B25" s="6" t="inlineStr">
        <is>
          <t>高分位</t>
        </is>
      </c>
      <c r="C25" s="10" t="n">
        <v>0.975</v>
      </c>
      <c r="D25" s="8" t="n">
        <v>0.005866</v>
      </c>
      <c r="E25" s="8" t="n">
        <v>-0.019644</v>
      </c>
      <c r="F25" s="8" t="n">
        <v>0.02551</v>
      </c>
      <c r="G25" s="8" t="n">
        <v>0.7701</v>
      </c>
      <c r="H25" s="8" t="n">
        <v>-0.001444</v>
      </c>
      <c r="I25" s="8" t="n">
        <v>-0.040015</v>
      </c>
      <c r="J25" s="8" t="n">
        <v>0.038571</v>
      </c>
      <c r="K25" s="8" t="n">
        <v>0.9651999999999999</v>
      </c>
      <c r="L25" s="8" t="n">
        <v>0.087545</v>
      </c>
      <c r="M25" s="8" t="n">
        <v>0.024736</v>
      </c>
      <c r="N25" s="8" t="n">
        <v>0.062809</v>
      </c>
      <c r="O25" s="8" t="n">
        <v>0.2203</v>
      </c>
      <c r="P25" s="8" t="n">
        <v>0.072924</v>
      </c>
      <c r="Q25" s="8" t="n">
        <v>-0.037104</v>
      </c>
      <c r="R25" s="8" t="n">
        <v>0.110028</v>
      </c>
      <c r="S25" s="8" t="n">
        <v>0.3372</v>
      </c>
      <c r="T25" s="8" t="n">
        <v>-0.041217</v>
      </c>
      <c r="U25" s="8" t="n">
        <v>-0.064751</v>
      </c>
      <c r="V25" s="8" t="n">
        <v>0.023534</v>
      </c>
      <c r="W25" s="8" t="n">
        <v>0.611</v>
      </c>
      <c r="X25" s="8" t="n">
        <v>-0.054755</v>
      </c>
      <c r="Y25" s="8" t="n">
        <v>-0.092033</v>
      </c>
      <c r="Z25" s="8" t="n">
        <v>0.037278</v>
      </c>
      <c r="AA25" s="8" t="n">
        <v>0.627</v>
      </c>
    </row>
    <row r="26">
      <c r="A26" s="11" t="inlineStr">
        <is>
          <t>2022-09-19</t>
        </is>
      </c>
      <c r="B26" s="11" t="inlineStr">
        <is>
          <t>高分位</t>
        </is>
      </c>
      <c r="C26" s="15" t="n">
        <v>0.9762</v>
      </c>
      <c r="D26" s="13" t="n">
        <v>-0.027367</v>
      </c>
      <c r="E26" s="13" t="n">
        <v>-0.012987</v>
      </c>
      <c r="F26" s="13" t="n">
        <v>-0.01438</v>
      </c>
      <c r="G26" s="13" t="n">
        <v>0.3218</v>
      </c>
      <c r="H26" s="13" t="n">
        <v>-0.016599</v>
      </c>
      <c r="I26" s="13" t="n">
        <v>-0.017811</v>
      </c>
      <c r="J26" s="13" t="n">
        <v>0.001212</v>
      </c>
      <c r="K26" s="13" t="n">
        <v>0.5175999999999999</v>
      </c>
      <c r="L26" s="13" t="n">
        <v>0.047106</v>
      </c>
      <c r="M26" s="13" t="n">
        <v>0.030056</v>
      </c>
      <c r="N26" s="13" t="n">
        <v>0.01705</v>
      </c>
      <c r="O26" s="13" t="n">
        <v>0.3895</v>
      </c>
      <c r="P26" s="13" t="n">
        <v>0.049439</v>
      </c>
      <c r="Q26" s="13" t="n">
        <v>-0.039703</v>
      </c>
      <c r="R26" s="13" t="n">
        <v>0.089142</v>
      </c>
      <c r="S26" s="13" t="n">
        <v>0.4454</v>
      </c>
      <c r="T26" s="13" t="n">
        <v>-0.054884</v>
      </c>
      <c r="U26" s="13" t="n">
        <v>-0.054174</v>
      </c>
      <c r="V26" s="13" t="n">
        <v>-0.00071</v>
      </c>
      <c r="W26" s="13" t="n">
        <v>0.4967</v>
      </c>
      <c r="X26" s="13" t="n">
        <v>-0.069836</v>
      </c>
      <c r="Y26" s="13" t="n">
        <v>-0.065677</v>
      </c>
      <c r="Z26" s="13" t="n">
        <v>-0.004159</v>
      </c>
      <c r="AA26" s="13" t="n">
        <v>0.4847</v>
      </c>
    </row>
    <row r="27">
      <c r="A27" s="6" t="inlineStr">
        <is>
          <t>2022-09-20</t>
        </is>
      </c>
      <c r="B27" s="6" t="inlineStr">
        <is>
          <t>高分位</t>
        </is>
      </c>
      <c r="C27" s="10" t="n">
        <v>0.9545</v>
      </c>
      <c r="D27" s="8" t="n">
        <v>0.019188</v>
      </c>
      <c r="E27" s="8" t="n">
        <v>0.013534</v>
      </c>
      <c r="F27" s="8" t="n">
        <v>0.005654</v>
      </c>
      <c r="G27" s="8" t="n">
        <v>0.4136</v>
      </c>
      <c r="H27" s="8" t="n">
        <v>0.04797</v>
      </c>
      <c r="I27" s="8" t="n">
        <v>0.029699</v>
      </c>
      <c r="J27" s="8" t="n">
        <v>0.018271</v>
      </c>
      <c r="K27" s="8" t="n">
        <v>0.3824</v>
      </c>
      <c r="L27" s="8" t="n">
        <v>0.059041</v>
      </c>
      <c r="M27" s="8" t="n">
        <v>0.038722</v>
      </c>
      <c r="N27" s="8" t="n">
        <v>0.020319</v>
      </c>
      <c r="O27" s="8" t="n">
        <v>0.3961</v>
      </c>
      <c r="P27" s="8" t="n">
        <v>0.049446</v>
      </c>
      <c r="Q27" s="8" t="n">
        <v>-0.03609</v>
      </c>
      <c r="R27" s="8" t="n">
        <v>0.085536</v>
      </c>
      <c r="S27" s="8" t="n">
        <v>0.4219</v>
      </c>
      <c r="T27" s="8" t="n">
        <v>-0.02583</v>
      </c>
      <c r="U27" s="8" t="n">
        <v>-0.033835</v>
      </c>
      <c r="V27" s="8" t="n">
        <v>0.008005</v>
      </c>
      <c r="W27" s="8" t="n">
        <v>0.5671</v>
      </c>
      <c r="X27" s="8" t="n">
        <v>-0.035055</v>
      </c>
      <c r="Y27" s="8" t="n">
        <v>-0.053759</v>
      </c>
      <c r="Z27" s="8" t="n">
        <v>0.018704</v>
      </c>
      <c r="AA27" s="8" t="n">
        <v>0.6052999999999999</v>
      </c>
    </row>
    <row r="28">
      <c r="A28" s="11" t="inlineStr">
        <is>
          <t>2022-09-21</t>
        </is>
      </c>
      <c r="B28" s="11" t="inlineStr">
        <is>
          <t>高分位</t>
        </is>
      </c>
      <c r="C28" s="15" t="n">
        <v>0.9565</v>
      </c>
      <c r="D28" s="13" t="n">
        <v>0.022357</v>
      </c>
      <c r="E28" s="13" t="n">
        <v>0.011499</v>
      </c>
      <c r="F28" s="13" t="n">
        <v>0.010858</v>
      </c>
      <c r="G28" s="13" t="n">
        <v>0.3396</v>
      </c>
      <c r="H28" s="13" t="n">
        <v>0.031861</v>
      </c>
      <c r="I28" s="13" t="n">
        <v>0.014095</v>
      </c>
      <c r="J28" s="13" t="n">
        <v>0.017766</v>
      </c>
      <c r="K28" s="13" t="n">
        <v>0.3067</v>
      </c>
      <c r="L28" s="13" t="n">
        <v>0.031861</v>
      </c>
      <c r="M28" s="13" t="n">
        <v>0.009644</v>
      </c>
      <c r="N28" s="13" t="n">
        <v>0.022217</v>
      </c>
      <c r="O28" s="13" t="n">
        <v>0.2324</v>
      </c>
      <c r="P28" s="13" t="n">
        <v>0.016655</v>
      </c>
      <c r="Q28" s="13" t="n">
        <v>-0.059347</v>
      </c>
      <c r="R28" s="13" t="n">
        <v>0.076002</v>
      </c>
      <c r="S28" s="13" t="n">
        <v>0.7809</v>
      </c>
      <c r="T28" s="13" t="n">
        <v>-0.054428</v>
      </c>
      <c r="U28" s="13" t="n">
        <v>-0.061202</v>
      </c>
      <c r="V28" s="13" t="n">
        <v>0.006774</v>
      </c>
      <c r="W28" s="13" t="n">
        <v>0.5293</v>
      </c>
      <c r="X28" s="13" t="n">
        <v>-0.055033</v>
      </c>
      <c r="Y28" s="13" t="n">
        <v>-0.07084600000000001</v>
      </c>
      <c r="Z28" s="13" t="n">
        <v>0.015813</v>
      </c>
      <c r="AA28" s="13" t="n">
        <v>0.5628</v>
      </c>
    </row>
    <row r="29">
      <c r="A29" s="6" t="inlineStr">
        <is>
          <t>2022-09-22</t>
        </is>
      </c>
      <c r="B29" s="6" t="inlineStr">
        <is>
          <t>高分位</t>
        </is>
      </c>
      <c r="C29" s="10" t="n">
        <v>0.9792</v>
      </c>
      <c r="D29" s="8" t="n">
        <v>-0.020452</v>
      </c>
      <c r="E29" s="8" t="n">
        <v>-0.03227</v>
      </c>
      <c r="F29" s="8" t="n">
        <v>0.011818</v>
      </c>
      <c r="G29" s="8" t="n">
        <v>0.6121</v>
      </c>
      <c r="H29" s="8" t="n">
        <v>0.077468</v>
      </c>
      <c r="I29" s="8" t="n">
        <v>0.03227</v>
      </c>
      <c r="J29" s="8" t="n">
        <v>0.045198</v>
      </c>
      <c r="K29" s="8" t="n">
        <v>0.2941</v>
      </c>
      <c r="L29" s="8" t="n">
        <v>0.013723</v>
      </c>
      <c r="M29" s="8" t="n">
        <v>0.002567</v>
      </c>
      <c r="N29" s="8" t="n">
        <v>0.011156</v>
      </c>
      <c r="O29" s="8" t="n">
        <v>0.1576</v>
      </c>
      <c r="P29" s="8" t="n">
        <v>-0.008411</v>
      </c>
      <c r="Q29" s="8" t="n">
        <v>-0.070774</v>
      </c>
      <c r="R29" s="8" t="n">
        <v>0.062363</v>
      </c>
      <c r="S29" s="8" t="n">
        <v>0.8938</v>
      </c>
      <c r="T29" s="8" t="n">
        <v>-0.079239</v>
      </c>
      <c r="U29" s="8" t="n">
        <v>-0.085075</v>
      </c>
      <c r="V29" s="8" t="n">
        <v>0.005836</v>
      </c>
      <c r="W29" s="8" t="n">
        <v>0.5178</v>
      </c>
      <c r="X29" s="8" t="n">
        <v>-0.08160100000000001</v>
      </c>
      <c r="Y29" s="8" t="n">
        <v>-0.083242</v>
      </c>
      <c r="Z29" s="8" t="n">
        <v>0.001641</v>
      </c>
      <c r="AA29" s="8" t="n">
        <v>0.505</v>
      </c>
    </row>
    <row r="30">
      <c r="A30" s="11" t="inlineStr">
        <is>
          <t>2022-09-23</t>
        </is>
      </c>
      <c r="B30" s="11" t="inlineStr">
        <is>
          <t>高分位</t>
        </is>
      </c>
      <c r="C30" s="15" t="n">
        <v>0.98</v>
      </c>
      <c r="D30" s="13" t="n">
        <v>-0.0094</v>
      </c>
      <c r="E30" s="13" t="n">
        <v>0.003031</v>
      </c>
      <c r="F30" s="13" t="n">
        <v>-0.012431</v>
      </c>
      <c r="G30" s="13" t="n">
        <v>0.2438</v>
      </c>
      <c r="H30" s="13" t="n">
        <v>0.089118</v>
      </c>
      <c r="I30" s="13" t="n">
        <v>0.06745</v>
      </c>
      <c r="J30" s="13" t="n">
        <v>0.021668</v>
      </c>
      <c r="K30" s="13" t="n">
        <v>0.4308</v>
      </c>
      <c r="L30" s="13" t="n">
        <v>0.016811</v>
      </c>
      <c r="M30" s="13" t="n">
        <v>0.01061</v>
      </c>
      <c r="N30" s="13" t="n">
        <v>0.006201</v>
      </c>
      <c r="O30" s="13" t="n">
        <v>0.3869</v>
      </c>
      <c r="P30" s="13" t="n">
        <v>0.012292</v>
      </c>
      <c r="Q30" s="13" t="n">
        <v>-0.061766</v>
      </c>
      <c r="R30" s="13" t="n">
        <v>0.074058</v>
      </c>
      <c r="S30" s="13" t="n">
        <v>0.834</v>
      </c>
      <c r="T30" s="13" t="n">
        <v>-0.072064</v>
      </c>
      <c r="U30" s="13" t="n">
        <v>-0.053429</v>
      </c>
      <c r="V30" s="13" t="n">
        <v>-0.018635</v>
      </c>
      <c r="W30" s="13" t="n">
        <v>0.4258</v>
      </c>
      <c r="X30" s="13" t="n">
        <v>-0.06664100000000001</v>
      </c>
      <c r="Y30" s="13" t="n">
        <v>-0.061766</v>
      </c>
      <c r="Z30" s="13" t="n">
        <v>-0.004875</v>
      </c>
      <c r="AA30" s="13" t="n">
        <v>0.481</v>
      </c>
    </row>
    <row r="31">
      <c r="A31" s="6" t="inlineStr">
        <is>
          <t>2022-09-26</t>
        </is>
      </c>
      <c r="B31" s="6" t="inlineStr">
        <is>
          <t>高分位</t>
        </is>
      </c>
      <c r="C31" s="10" t="n">
        <v>0.9231</v>
      </c>
      <c r="D31" s="8" t="n">
        <v>0.036496</v>
      </c>
      <c r="E31" s="8" t="n">
        <v>0.034756</v>
      </c>
      <c r="F31" s="8" t="n">
        <v>0.00174</v>
      </c>
      <c r="G31" s="8" t="n">
        <v>0.4878</v>
      </c>
      <c r="H31" s="8" t="n">
        <v>0.06478100000000001</v>
      </c>
      <c r="I31" s="8" t="n">
        <v>0.048734</v>
      </c>
      <c r="J31" s="8" t="n">
        <v>0.016047</v>
      </c>
      <c r="K31" s="8" t="n">
        <v>0.4293</v>
      </c>
      <c r="L31" s="8" t="n">
        <v>0.021898</v>
      </c>
      <c r="M31" s="8" t="n">
        <v>0.007556</v>
      </c>
      <c r="N31" s="8" t="n">
        <v>0.014342</v>
      </c>
      <c r="O31" s="8" t="n">
        <v>0.2565</v>
      </c>
      <c r="P31" s="8" t="n">
        <v>0.018248</v>
      </c>
      <c r="Q31" s="8" t="n">
        <v>-0.035134</v>
      </c>
      <c r="R31" s="8" t="n">
        <v>0.053382</v>
      </c>
      <c r="S31" s="8" t="n">
        <v>0.6582</v>
      </c>
      <c r="T31" s="8" t="n">
        <v>-0.066303</v>
      </c>
      <c r="U31" s="8" t="n">
        <v>-0.036645</v>
      </c>
      <c r="V31" s="8" t="n">
        <v>-0.029658</v>
      </c>
      <c r="W31" s="8" t="n">
        <v>0.356</v>
      </c>
      <c r="X31" s="8" t="n">
        <v>-0.072993</v>
      </c>
      <c r="Y31" s="8" t="n">
        <v>-0.064224</v>
      </c>
      <c r="Z31" s="8" t="n">
        <v>-0.008769000000000001</v>
      </c>
      <c r="AA31" s="8" t="n">
        <v>0.468</v>
      </c>
    </row>
    <row r="32">
      <c r="A32" s="11" t="inlineStr">
        <is>
          <t>2022-09-27</t>
        </is>
      </c>
      <c r="B32" s="11" t="inlineStr">
        <is>
          <t>高分位</t>
        </is>
      </c>
      <c r="C32" s="15" t="n">
        <v>0.963</v>
      </c>
      <c r="D32" s="13" t="n">
        <v>0.003521</v>
      </c>
      <c r="E32" s="13" t="n">
        <v>-0.001825</v>
      </c>
      <c r="F32" s="13" t="n">
        <v>0.005346</v>
      </c>
      <c r="G32" s="13" t="n">
        <v>0.3414</v>
      </c>
      <c r="H32" s="13" t="n">
        <v>0.010563</v>
      </c>
      <c r="I32" s="13" t="n">
        <v>0.008762000000000001</v>
      </c>
      <c r="J32" s="13" t="n">
        <v>0.001801</v>
      </c>
      <c r="K32" s="13" t="n">
        <v>0.4534</v>
      </c>
      <c r="L32" s="13" t="n">
        <v>0.016197</v>
      </c>
      <c r="M32" s="13" t="n">
        <v>-0.023731</v>
      </c>
      <c r="N32" s="13" t="n">
        <v>0.039928</v>
      </c>
      <c r="O32" s="13" t="n">
        <v>0.5943000000000001</v>
      </c>
      <c r="P32" s="13" t="n">
        <v>-0.001408</v>
      </c>
      <c r="Q32" s="13" t="n">
        <v>-0.06425699999999999</v>
      </c>
      <c r="R32" s="13" t="n">
        <v>0.062849</v>
      </c>
      <c r="S32" s="13" t="n">
        <v>0.9786</v>
      </c>
      <c r="T32" s="13" t="n">
        <v>-0.076877</v>
      </c>
      <c r="U32" s="13" t="n">
        <v>-0.063162</v>
      </c>
      <c r="V32" s="13" t="n">
        <v>-0.013715</v>
      </c>
      <c r="W32" s="13" t="n">
        <v>0.451</v>
      </c>
      <c r="X32" s="13" t="n">
        <v>-0.107394</v>
      </c>
      <c r="Y32" s="13" t="n">
        <v>-0.09127399999999999</v>
      </c>
      <c r="Z32" s="13" t="n">
        <v>-0.01612</v>
      </c>
      <c r="AA32" s="13" t="n">
        <v>0.4594</v>
      </c>
    </row>
    <row r="33">
      <c r="A33" s="6" t="inlineStr">
        <is>
          <t>2022-09-28</t>
        </is>
      </c>
      <c r="B33" s="6" t="inlineStr">
        <is>
          <t>高分位</t>
        </is>
      </c>
      <c r="C33" s="10" t="n">
        <v>0.9643</v>
      </c>
      <c r="D33" s="8" t="n">
        <v>0.06754400000000001</v>
      </c>
      <c r="E33" s="8" t="n">
        <v>0.029627</v>
      </c>
      <c r="F33" s="8" t="n">
        <v>0.037917</v>
      </c>
      <c r="G33" s="8" t="n">
        <v>0.3049</v>
      </c>
      <c r="H33" s="8" t="n">
        <v>0</v>
      </c>
      <c r="I33" s="8" t="n">
        <v>-0.004389</v>
      </c>
      <c r="J33" s="8" t="n">
        <v>0.004389</v>
      </c>
      <c r="K33" s="8" t="n">
        <v>1</v>
      </c>
      <c r="L33" s="8" t="n">
        <v>0.016842</v>
      </c>
      <c r="M33" s="8" t="n">
        <v>-0.012802</v>
      </c>
      <c r="N33" s="8" t="n">
        <v>0.029644</v>
      </c>
      <c r="O33" s="8" t="n">
        <v>0.4319</v>
      </c>
      <c r="P33" s="8" t="n">
        <v>-0.002632</v>
      </c>
      <c r="Q33" s="8" t="n">
        <v>-0.06583799999999999</v>
      </c>
      <c r="R33" s="8" t="n">
        <v>0.063206</v>
      </c>
      <c r="S33" s="8" t="n">
        <v>0.9616</v>
      </c>
      <c r="T33" s="8" t="n">
        <v>-0.077193</v>
      </c>
      <c r="U33" s="8" t="n">
        <v>-0.060717</v>
      </c>
      <c r="V33" s="8" t="n">
        <v>-0.016476</v>
      </c>
      <c r="W33" s="8" t="n">
        <v>0.4403</v>
      </c>
      <c r="X33" s="8" t="n">
        <v>-0.107604</v>
      </c>
      <c r="Y33" s="8" t="n">
        <v>-0.07900500000000001</v>
      </c>
      <c r="Z33" s="8" t="n">
        <v>-0.028599</v>
      </c>
      <c r="AA33" s="8" t="n">
        <v>0.4234</v>
      </c>
    </row>
    <row r="34">
      <c r="A34" s="11" t="inlineStr">
        <is>
          <t>2022-09-29</t>
        </is>
      </c>
      <c r="B34" s="11" t="inlineStr">
        <is>
          <t>高分位</t>
        </is>
      </c>
      <c r="C34" s="15" t="n">
        <v>0.9828</v>
      </c>
      <c r="D34" s="13" t="n">
        <v>-0.009860000000000001</v>
      </c>
      <c r="E34" s="13" t="n">
        <v>0.00071</v>
      </c>
      <c r="F34" s="13" t="n">
        <v>-0.01057</v>
      </c>
      <c r="G34" s="13" t="n">
        <v>0.0672</v>
      </c>
      <c r="H34" s="13" t="n">
        <v>-0.059162</v>
      </c>
      <c r="I34" s="13" t="n">
        <v>-0.028774</v>
      </c>
      <c r="J34" s="13" t="n">
        <v>-0.030388</v>
      </c>
      <c r="K34" s="13" t="n">
        <v>0.3272</v>
      </c>
      <c r="L34" s="13" t="n">
        <v>-0.048809</v>
      </c>
      <c r="M34" s="13" t="n">
        <v>-0.065009</v>
      </c>
      <c r="N34" s="13" t="n">
        <v>0.0162</v>
      </c>
      <c r="O34" s="13" t="n">
        <v>0.5712</v>
      </c>
      <c r="P34" s="13" t="n">
        <v>-0.062942</v>
      </c>
      <c r="Q34" s="13" t="n">
        <v>-0.071758</v>
      </c>
      <c r="R34" s="13" t="n">
        <v>0.008815999999999999</v>
      </c>
      <c r="S34" s="13" t="n">
        <v>0.5327</v>
      </c>
      <c r="T34" s="13" t="n">
        <v>-0.13503</v>
      </c>
      <c r="U34" s="13" t="n">
        <v>-0.057549</v>
      </c>
      <c r="V34" s="13" t="n">
        <v>-0.07748099999999999</v>
      </c>
      <c r="W34" s="13" t="n">
        <v>0.2988</v>
      </c>
      <c r="X34" s="13" t="n">
        <v>-0.158038</v>
      </c>
      <c r="Y34" s="13" t="n">
        <v>-0.11865</v>
      </c>
      <c r="Z34" s="13" t="n">
        <v>-0.039388</v>
      </c>
      <c r="AA34" s="13" t="n">
        <v>0.4288</v>
      </c>
    </row>
    <row r="35">
      <c r="A35" s="6" t="inlineStr">
        <is>
          <t>2022-09-30</t>
        </is>
      </c>
      <c r="B35" s="6" t="inlineStr">
        <is>
          <t>高分位</t>
        </is>
      </c>
      <c r="C35" s="10" t="n">
        <v>0.9667</v>
      </c>
      <c r="D35" s="8" t="n">
        <v>-0.031535</v>
      </c>
      <c r="E35" s="8" t="n">
        <v>-0.014554</v>
      </c>
      <c r="F35" s="8" t="n">
        <v>-0.016981</v>
      </c>
      <c r="G35" s="8" t="n">
        <v>0.3158</v>
      </c>
      <c r="H35" s="8" t="n">
        <v>-0.06639</v>
      </c>
      <c r="I35" s="8" t="n">
        <v>-0.053248</v>
      </c>
      <c r="J35" s="8" t="n">
        <v>-0.013142</v>
      </c>
      <c r="K35" s="8" t="n">
        <v>0.4451</v>
      </c>
      <c r="L35" s="8" t="n">
        <v>-0.013444</v>
      </c>
      <c r="M35" s="8" t="n">
        <v>-0.060348</v>
      </c>
      <c r="N35" s="8" t="n">
        <v>0.046904</v>
      </c>
      <c r="O35" s="8" t="n">
        <v>0.8178</v>
      </c>
      <c r="P35" s="8" t="n">
        <v>-0.049295</v>
      </c>
      <c r="Q35" s="8" t="n">
        <v>-0.082357</v>
      </c>
      <c r="R35" s="8" t="n">
        <v>0.033062</v>
      </c>
      <c r="S35" s="8" t="n">
        <v>0.6256</v>
      </c>
      <c r="T35" s="8" t="n">
        <v>-0.104289</v>
      </c>
      <c r="U35" s="8" t="n">
        <v>-0.052538</v>
      </c>
      <c r="V35" s="8" t="n">
        <v>-0.051751</v>
      </c>
      <c r="W35" s="8" t="n">
        <v>0.335</v>
      </c>
      <c r="X35" s="8" t="n">
        <v>-0.158231</v>
      </c>
      <c r="Y35" s="8" t="n">
        <v>-0.121406</v>
      </c>
      <c r="Z35" s="8" t="n">
        <v>-0.036825</v>
      </c>
      <c r="AA35" s="8" t="n">
        <v>0.4342</v>
      </c>
    </row>
    <row r="36">
      <c r="A36" s="11" t="inlineStr">
        <is>
          <t>2022-10-11</t>
        </is>
      </c>
      <c r="B36" s="11" t="inlineStr">
        <is>
          <t>高分位</t>
        </is>
      </c>
      <c r="C36" s="15" t="n">
        <v>0.9355</v>
      </c>
      <c r="D36" s="13" t="n">
        <v>-0.016281</v>
      </c>
      <c r="E36" s="13" t="n">
        <v>-0.004683</v>
      </c>
      <c r="F36" s="13" t="n">
        <v>-0.011598</v>
      </c>
      <c r="G36" s="13" t="n">
        <v>0.2234</v>
      </c>
      <c r="H36" s="13" t="n">
        <v>-0.040274</v>
      </c>
      <c r="I36" s="13" t="n">
        <v>-0.039265</v>
      </c>
      <c r="J36" s="13" t="n">
        <v>-0.001009</v>
      </c>
      <c r="K36" s="13" t="n">
        <v>0.4937</v>
      </c>
      <c r="L36" s="13" t="n">
        <v>0.002228</v>
      </c>
      <c r="M36" s="13" t="n">
        <v>-0.06772300000000001</v>
      </c>
      <c r="N36" s="13" t="n">
        <v>0.069951</v>
      </c>
      <c r="O36" s="13" t="n">
        <v>0.9681</v>
      </c>
      <c r="P36" s="13" t="n">
        <v>-0.030677</v>
      </c>
      <c r="Q36" s="13" t="n">
        <v>-0.06808400000000001</v>
      </c>
      <c r="R36" s="13" t="n">
        <v>0.037407</v>
      </c>
      <c r="S36" s="13" t="n">
        <v>0.6894</v>
      </c>
      <c r="T36" s="13" t="n">
        <v>-0.07169499999999999</v>
      </c>
      <c r="U36" s="13" t="n">
        <v>-0.049712</v>
      </c>
      <c r="V36" s="13" t="n">
        <v>-0.021983</v>
      </c>
      <c r="W36" s="13" t="n">
        <v>0.4095</v>
      </c>
      <c r="X36" s="13" t="n">
        <v>-0.13939</v>
      </c>
      <c r="Y36" s="13" t="n">
        <v>-0.129683</v>
      </c>
      <c r="Z36" s="13" t="n">
        <v>-0.009707</v>
      </c>
      <c r="AA36" s="13" t="n">
        <v>0.482</v>
      </c>
    </row>
    <row r="37">
      <c r="A37" s="6" t="inlineStr">
        <is>
          <t>2022-10-12</t>
        </is>
      </c>
      <c r="B37" s="6" t="inlineStr">
        <is>
          <t>中间分位</t>
        </is>
      </c>
      <c r="C37" s="10" t="n">
        <v>0.8438</v>
      </c>
      <c r="D37" s="8" t="n">
        <v>-0.006969</v>
      </c>
      <c r="E37" s="8" t="n">
        <v>-0.014839</v>
      </c>
      <c r="F37" s="8" t="n">
        <v>0.00787</v>
      </c>
      <c r="G37" s="8" t="n">
        <v>0.6804</v>
      </c>
      <c r="H37" s="8" t="n">
        <v>0.005575</v>
      </c>
      <c r="I37" s="8" t="n">
        <v>-0.032211</v>
      </c>
      <c r="J37" s="8" t="n">
        <v>0.037786</v>
      </c>
      <c r="K37" s="8" t="n">
        <v>0.8525</v>
      </c>
      <c r="L37" s="8" t="n">
        <v>-0.009058999999999999</v>
      </c>
      <c r="M37" s="8" t="n">
        <v>-0.072023</v>
      </c>
      <c r="N37" s="8" t="n">
        <v>0.06296400000000001</v>
      </c>
      <c r="O37" s="8" t="n">
        <v>0.8883</v>
      </c>
      <c r="P37" s="8" t="n">
        <v>-0.016028</v>
      </c>
      <c r="Q37" s="8" t="n">
        <v>-0.08179500000000001</v>
      </c>
      <c r="R37" s="8" t="n">
        <v>0.06576700000000001</v>
      </c>
      <c r="S37" s="8" t="n">
        <v>0.8362000000000001</v>
      </c>
      <c r="T37" s="8" t="n">
        <v>-0.064749</v>
      </c>
      <c r="U37" s="8" t="n">
        <v>-0.048136</v>
      </c>
      <c r="V37" s="8" t="n">
        <v>-0.016613</v>
      </c>
      <c r="W37" s="8" t="n">
        <v>0.4264</v>
      </c>
      <c r="X37" s="8" t="n">
        <v>-0.138213</v>
      </c>
      <c r="Y37" s="8" t="n">
        <v>-0.126312</v>
      </c>
      <c r="Z37" s="8" t="n">
        <v>-0.011901</v>
      </c>
      <c r="AA37" s="8" t="n">
        <v>0.4775</v>
      </c>
    </row>
    <row r="38">
      <c r="A38" s="11" t="inlineStr">
        <is>
          <t>2022-10-13</t>
        </is>
      </c>
      <c r="B38" s="11" t="inlineStr">
        <is>
          <t>中间分位</t>
        </is>
      </c>
      <c r="C38" s="15" t="n">
        <v>0.8788</v>
      </c>
      <c r="D38" s="13" t="n">
        <v>0.004386</v>
      </c>
      <c r="E38" s="13" t="n">
        <v>0.004409</v>
      </c>
      <c r="F38" s="13" t="n">
        <v>-2.3e-05</v>
      </c>
      <c r="G38" s="13" t="n">
        <v>0.5013</v>
      </c>
      <c r="H38" s="13" t="n">
        <v>0.016842</v>
      </c>
      <c r="I38" s="13" t="n">
        <v>-0.008449999999999999</v>
      </c>
      <c r="J38" s="13" t="n">
        <v>0.025292</v>
      </c>
      <c r="K38" s="13" t="n">
        <v>0.3341</v>
      </c>
      <c r="L38" s="13" t="n">
        <v>-0.014737</v>
      </c>
      <c r="M38" s="13" t="n">
        <v>-0.068332</v>
      </c>
      <c r="N38" s="13" t="n">
        <v>0.053595</v>
      </c>
      <c r="O38" s="13" t="n">
        <v>0.8226</v>
      </c>
      <c r="P38" s="13" t="n">
        <v>-0.035965</v>
      </c>
      <c r="Q38" s="13" t="n">
        <v>-0.091844</v>
      </c>
      <c r="R38" s="13" t="n">
        <v>0.055879</v>
      </c>
      <c r="S38" s="13" t="n">
        <v>0.7186</v>
      </c>
      <c r="T38" s="13" t="n">
        <v>-0.062572</v>
      </c>
      <c r="U38" s="13" t="n">
        <v>-0.033064</v>
      </c>
      <c r="V38" s="13" t="n">
        <v>-0.029508</v>
      </c>
      <c r="W38" s="13" t="n">
        <v>0.3457</v>
      </c>
      <c r="X38" s="13" t="n">
        <v>-0.141519</v>
      </c>
      <c r="Y38" s="13" t="n">
        <v>-0.124541</v>
      </c>
      <c r="Z38" s="13" t="n">
        <v>-0.016978</v>
      </c>
      <c r="AA38" s="13" t="n">
        <v>0.4681</v>
      </c>
    </row>
    <row r="39">
      <c r="A39" s="6" t="inlineStr">
        <is>
          <t>2022-10-14</t>
        </is>
      </c>
      <c r="B39" s="6" t="inlineStr">
        <is>
          <t>中间分位</t>
        </is>
      </c>
      <c r="C39" s="10" t="n">
        <v>0.8529</v>
      </c>
      <c r="D39" s="8" t="n">
        <v>-0.017467</v>
      </c>
      <c r="E39" s="8" t="n">
        <v>-0.024506</v>
      </c>
      <c r="F39" s="8" t="n">
        <v>0.007039</v>
      </c>
      <c r="G39" s="8" t="n">
        <v>0.5839</v>
      </c>
      <c r="H39" s="8" t="n">
        <v>0.011004</v>
      </c>
      <c r="I39" s="8" t="n">
        <v>-0.037308</v>
      </c>
      <c r="J39" s="8" t="n">
        <v>0.048312</v>
      </c>
      <c r="K39" s="8" t="n">
        <v>0.7722</v>
      </c>
      <c r="L39" s="8" t="n">
        <v>-0.021834</v>
      </c>
      <c r="M39" s="8" t="n">
        <v>-0.073153</v>
      </c>
      <c r="N39" s="8" t="n">
        <v>0.051319</v>
      </c>
      <c r="O39" s="8" t="n">
        <v>0.7701</v>
      </c>
      <c r="P39" s="8" t="n">
        <v>-0.059679</v>
      </c>
      <c r="Q39" s="8" t="n">
        <v>-0.065106</v>
      </c>
      <c r="R39" s="8" t="n">
        <v>0.005427</v>
      </c>
      <c r="S39" s="8" t="n">
        <v>0.5217000000000001</v>
      </c>
      <c r="T39" s="8" t="n">
        <v>-0.06375500000000001</v>
      </c>
      <c r="U39" s="8" t="n">
        <v>-0.05011</v>
      </c>
      <c r="V39" s="8" t="n">
        <v>-0.013645</v>
      </c>
      <c r="W39" s="8" t="n">
        <v>0.4401</v>
      </c>
      <c r="X39" s="8" t="n">
        <v>-0.160989</v>
      </c>
      <c r="Y39" s="8" t="n">
        <v>-0.123994</v>
      </c>
      <c r="Z39" s="8" t="n">
        <v>-0.036995</v>
      </c>
      <c r="AA39" s="8" t="n">
        <v>0.4351</v>
      </c>
    </row>
    <row r="40">
      <c r="A40" s="11" t="inlineStr">
        <is>
          <t>2022-10-17</t>
        </is>
      </c>
      <c r="B40" s="11" t="inlineStr">
        <is>
          <t>高分位</t>
        </is>
      </c>
      <c r="C40" s="15" t="n">
        <v>0.9429</v>
      </c>
      <c r="D40" s="13" t="n">
        <v>-0.004444</v>
      </c>
      <c r="E40" s="13" t="n">
        <v>0</v>
      </c>
      <c r="F40" s="13" t="n">
        <v>-0.004444</v>
      </c>
      <c r="G40" s="13" t="n">
        <v>0</v>
      </c>
      <c r="H40" s="13" t="n">
        <v>0.056711</v>
      </c>
      <c r="I40" s="13" t="n">
        <v>-0.007499</v>
      </c>
      <c r="J40" s="13" t="n">
        <v>0.06421</v>
      </c>
      <c r="K40" s="13" t="n">
        <v>0.1168</v>
      </c>
      <c r="L40" s="13" t="n">
        <v>-0.004444</v>
      </c>
      <c r="M40" s="13" t="n">
        <v>-0.071616</v>
      </c>
      <c r="N40" s="13" t="n">
        <v>0.067172</v>
      </c>
      <c r="O40" s="13" t="n">
        <v>0.9416</v>
      </c>
      <c r="P40" s="13" t="n">
        <v>-0.012444</v>
      </c>
      <c r="Q40" s="13" t="n">
        <v>-0.03637</v>
      </c>
      <c r="R40" s="13" t="n">
        <v>0.023926</v>
      </c>
      <c r="S40" s="13" t="n">
        <v>0.7451</v>
      </c>
      <c r="T40" s="13" t="n">
        <v>-0.058962</v>
      </c>
      <c r="U40" s="13" t="n">
        <v>-0.016123</v>
      </c>
      <c r="V40" s="13" t="n">
        <v>-0.042839</v>
      </c>
      <c r="W40" s="13" t="n">
        <v>0.2147</v>
      </c>
      <c r="X40" s="13" t="n">
        <v>-0.137184</v>
      </c>
      <c r="Y40" s="13" t="n">
        <v>-0.104987</v>
      </c>
      <c r="Z40" s="13" t="n">
        <v>-0.032197</v>
      </c>
      <c r="AA40" s="13" t="n">
        <v>0.4335</v>
      </c>
    </row>
    <row r="41">
      <c r="A41" s="6" t="inlineStr">
        <is>
          <t>2022-10-18</t>
        </is>
      </c>
      <c r="B41" s="6" t="inlineStr">
        <is>
          <t>中间分位</t>
        </is>
      </c>
      <c r="C41" s="10" t="n">
        <v>0.8889</v>
      </c>
      <c r="D41" s="8" t="n">
        <v>0.030714</v>
      </c>
      <c r="E41" s="8" t="n">
        <v>0.002625</v>
      </c>
      <c r="F41" s="8" t="n">
        <v>0.028089</v>
      </c>
      <c r="G41" s="8" t="n">
        <v>0.07870000000000001</v>
      </c>
      <c r="H41" s="8" t="n">
        <v>0.044286</v>
      </c>
      <c r="I41" s="8" t="n">
        <v>-0.029621</v>
      </c>
      <c r="J41" s="8" t="n">
        <v>0.073907</v>
      </c>
      <c r="K41" s="8" t="n">
        <v>0.4008</v>
      </c>
      <c r="L41" s="8" t="n">
        <v>-0.003571</v>
      </c>
      <c r="M41" s="8" t="n">
        <v>-0.04237</v>
      </c>
      <c r="N41" s="8" t="n">
        <v>0.038799</v>
      </c>
      <c r="O41" s="8" t="n">
        <v>0.9223</v>
      </c>
      <c r="P41" s="8" t="n">
        <v>-0.000296</v>
      </c>
      <c r="Q41" s="8" t="n">
        <v>-0.027372</v>
      </c>
      <c r="R41" s="8" t="n">
        <v>0.027076</v>
      </c>
      <c r="S41" s="8" t="n">
        <v>0.9893</v>
      </c>
      <c r="T41" s="8" t="n">
        <v>-0.05</v>
      </c>
      <c r="U41" s="8" t="n">
        <v>-0.012373</v>
      </c>
      <c r="V41" s="8" t="n">
        <v>-0.037627</v>
      </c>
      <c r="W41" s="8" t="n">
        <v>0.1984</v>
      </c>
      <c r="X41" s="8" t="n">
        <v>-0.126189</v>
      </c>
      <c r="Y41" s="8" t="n">
        <v>-0.103862</v>
      </c>
      <c r="Z41" s="8" t="n">
        <v>-0.022327</v>
      </c>
      <c r="AA41" s="8" t="n">
        <v>0.4515</v>
      </c>
    </row>
    <row r="42">
      <c r="A42" s="11" t="inlineStr">
        <is>
          <t>2022-10-19</t>
        </is>
      </c>
      <c r="B42" s="11" t="inlineStr">
        <is>
          <t>高分位</t>
        </is>
      </c>
      <c r="C42" s="15" t="n">
        <v>0.973</v>
      </c>
      <c r="D42" s="13" t="n">
        <v>0.004158</v>
      </c>
      <c r="E42" s="13" t="n">
        <v>0.009349</v>
      </c>
      <c r="F42" s="13" t="n">
        <v>-0.005191</v>
      </c>
      <c r="G42" s="13" t="n">
        <v>0.6922</v>
      </c>
      <c r="H42" s="13" t="n">
        <v>-0.014553</v>
      </c>
      <c r="I42" s="13" t="n">
        <v>-0.041137</v>
      </c>
      <c r="J42" s="13" t="n">
        <v>0.026584</v>
      </c>
      <c r="K42" s="13" t="n">
        <v>0.7387</v>
      </c>
      <c r="L42" s="13" t="n">
        <v>-0.017325</v>
      </c>
      <c r="M42" s="13" t="n">
        <v>-0.041511</v>
      </c>
      <c r="N42" s="13" t="n">
        <v>0.024186</v>
      </c>
      <c r="O42" s="13" t="n">
        <v>0.7055</v>
      </c>
      <c r="P42" s="13" t="n">
        <v>-0.030087</v>
      </c>
      <c r="Q42" s="13" t="n">
        <v>-0.023934</v>
      </c>
      <c r="R42" s="13" t="n">
        <v>-0.006153</v>
      </c>
      <c r="S42" s="13" t="n">
        <v>0.443</v>
      </c>
      <c r="T42" s="13" t="n">
        <v>-0.08062</v>
      </c>
      <c r="U42" s="13" t="n">
        <v>-0.019447</v>
      </c>
      <c r="V42" s="13" t="n">
        <v>-0.061173</v>
      </c>
      <c r="W42" s="13" t="n">
        <v>0.1943</v>
      </c>
      <c r="X42" s="13" t="n">
        <v>-0.143565</v>
      </c>
      <c r="Y42" s="13" t="n">
        <v>-0.101346</v>
      </c>
      <c r="Z42" s="13" t="n">
        <v>-0.042219</v>
      </c>
      <c r="AA42" s="13" t="n">
        <v>0.4138</v>
      </c>
    </row>
    <row r="43">
      <c r="A43" s="6" t="inlineStr">
        <is>
          <t>2022-10-20</t>
        </is>
      </c>
      <c r="B43" s="6" t="inlineStr">
        <is>
          <t>高分位</t>
        </is>
      </c>
      <c r="C43" s="10" t="n">
        <v>0.9474</v>
      </c>
      <c r="D43" s="8" t="n">
        <v>-0.00138</v>
      </c>
      <c r="E43" s="8" t="n">
        <v>-0.024824</v>
      </c>
      <c r="F43" s="8" t="n">
        <v>0.023444</v>
      </c>
      <c r="G43" s="8" t="n">
        <v>0.9473</v>
      </c>
      <c r="H43" s="8" t="n">
        <v>-0.031056</v>
      </c>
      <c r="I43" s="8" t="n">
        <v>-0.060393</v>
      </c>
      <c r="J43" s="8" t="n">
        <v>0.029337</v>
      </c>
      <c r="K43" s="8" t="n">
        <v>0.6604</v>
      </c>
      <c r="L43" s="8" t="n">
        <v>-0.019151</v>
      </c>
      <c r="M43" s="8" t="n">
        <v>-0.053724</v>
      </c>
      <c r="N43" s="8" t="n">
        <v>0.034573</v>
      </c>
      <c r="O43" s="8" t="n">
        <v>0.7372</v>
      </c>
      <c r="P43" s="8" t="n">
        <v>-0.024327</v>
      </c>
      <c r="Q43" s="8" t="n">
        <v>-0.05854</v>
      </c>
      <c r="R43" s="8" t="n">
        <v>0.034213</v>
      </c>
      <c r="S43" s="8" t="n">
        <v>0.7064</v>
      </c>
      <c r="T43" s="8" t="n">
        <v>-0.090466</v>
      </c>
      <c r="U43" s="8" t="n">
        <v>-0.017043</v>
      </c>
      <c r="V43" s="8" t="n">
        <v>-0.073423</v>
      </c>
      <c r="W43" s="8" t="n">
        <v>0.1585</v>
      </c>
      <c r="X43" s="8" t="n">
        <v>-0.147112</v>
      </c>
      <c r="Y43" s="8" t="n">
        <v>-0.096702</v>
      </c>
      <c r="Z43" s="8" t="n">
        <v>-0.05041</v>
      </c>
      <c r="AA43" s="8" t="n">
        <v>0.3966</v>
      </c>
    </row>
    <row r="44">
      <c r="A44" s="11" t="inlineStr">
        <is>
          <t>2022-10-21</t>
        </is>
      </c>
      <c r="B44" s="11" t="inlineStr">
        <is>
          <t>高分位</t>
        </is>
      </c>
      <c r="C44" s="15" t="n">
        <v>0.9872</v>
      </c>
      <c r="D44" s="13" t="n">
        <v>0.026952</v>
      </c>
      <c r="E44" s="13" t="n">
        <v>0.005699</v>
      </c>
      <c r="F44" s="13" t="n">
        <v>0.021253</v>
      </c>
      <c r="G44" s="13" t="n">
        <v>0.1745</v>
      </c>
      <c r="H44" s="13" t="n">
        <v>-0.032481</v>
      </c>
      <c r="I44" s="13" t="n">
        <v>-0.037234</v>
      </c>
      <c r="J44" s="13" t="n">
        <v>0.004753</v>
      </c>
      <c r="K44" s="13" t="n">
        <v>0.5341</v>
      </c>
      <c r="L44" s="13" t="n">
        <v>-0.014858</v>
      </c>
      <c r="M44" s="13" t="n">
        <v>-0.007219</v>
      </c>
      <c r="N44" s="13" t="n">
        <v>-0.007639</v>
      </c>
      <c r="O44" s="13" t="n">
        <v>0.327</v>
      </c>
      <c r="P44" s="13" t="n">
        <v>-0.032481</v>
      </c>
      <c r="Q44" s="13" t="n">
        <v>-0.012918</v>
      </c>
      <c r="R44" s="13" t="n">
        <v>-0.019563</v>
      </c>
      <c r="S44" s="13" t="n">
        <v>0.2845</v>
      </c>
      <c r="T44" s="13" t="n">
        <v>-0.083735</v>
      </c>
      <c r="U44" s="13" t="n">
        <v>-0.00266</v>
      </c>
      <c r="V44" s="13" t="n">
        <v>-0.08107499999999999</v>
      </c>
      <c r="W44" s="13" t="n">
        <v>0.0308</v>
      </c>
      <c r="X44" s="13" t="n">
        <v>-0.125777</v>
      </c>
      <c r="Y44" s="13" t="n">
        <v>-0.070669</v>
      </c>
      <c r="Z44" s="13" t="n">
        <v>-0.055108</v>
      </c>
      <c r="AA44" s="13" t="n">
        <v>0.3597</v>
      </c>
    </row>
    <row r="45">
      <c r="A45" s="6" t="inlineStr">
        <is>
          <t>2022-10-24</t>
        </is>
      </c>
      <c r="B45" s="6" t="inlineStr">
        <is>
          <t>高分位</t>
        </is>
      </c>
      <c r="C45" s="10" t="n">
        <v>0.9875</v>
      </c>
      <c r="D45" s="8" t="n">
        <v>-0.016151</v>
      </c>
      <c r="E45" s="8" t="n">
        <v>-0.022289</v>
      </c>
      <c r="F45" s="8" t="n">
        <v>0.006138</v>
      </c>
      <c r="G45" s="8" t="n">
        <v>0.5798</v>
      </c>
      <c r="H45" s="8" t="n">
        <v>-0.057873</v>
      </c>
      <c r="I45" s="8" t="n">
        <v>-0.06460100000000001</v>
      </c>
      <c r="J45" s="8" t="n">
        <v>0.006728</v>
      </c>
      <c r="K45" s="8" t="n">
        <v>0.5275</v>
      </c>
      <c r="L45" s="8" t="n">
        <v>-0.036339</v>
      </c>
      <c r="M45" s="8" t="n">
        <v>-0.023423</v>
      </c>
      <c r="N45" s="8" t="n">
        <v>-0.012916</v>
      </c>
      <c r="O45" s="8" t="n">
        <v>0.3919</v>
      </c>
      <c r="P45" s="8" t="n">
        <v>-0.044976</v>
      </c>
      <c r="Q45" s="8" t="n">
        <v>-0.043445</v>
      </c>
      <c r="R45" s="8" t="n">
        <v>-0.001531</v>
      </c>
      <c r="S45" s="8" t="n">
        <v>0.4913</v>
      </c>
      <c r="T45" s="8" t="n">
        <v>-0.116477</v>
      </c>
      <c r="U45" s="8" t="n">
        <v>0.012467</v>
      </c>
      <c r="V45" s="8" t="n">
        <v>-0.128944</v>
      </c>
      <c r="W45" s="8" t="n">
        <v>0.09669999999999999</v>
      </c>
      <c r="X45" s="8" t="n">
        <v>-0.145077</v>
      </c>
      <c r="Y45" s="8" t="n">
        <v>-0.07971300000000001</v>
      </c>
      <c r="Z45" s="8" t="n">
        <v>-0.06536400000000001</v>
      </c>
      <c r="AA45" s="8" t="n">
        <v>0.3546</v>
      </c>
    </row>
    <row r="46">
      <c r="A46" s="11" t="inlineStr">
        <is>
          <t>2022-10-25</t>
        </is>
      </c>
      <c r="B46" s="11" t="inlineStr">
        <is>
          <t>高分位</t>
        </is>
      </c>
      <c r="C46" s="15" t="n">
        <v>0.9878</v>
      </c>
      <c r="D46" s="13" t="n">
        <v>-0.02736</v>
      </c>
      <c r="E46" s="13" t="n">
        <v>-0.009273999999999999</v>
      </c>
      <c r="F46" s="13" t="n">
        <v>-0.018086</v>
      </c>
      <c r="G46" s="13" t="n">
        <v>0.2532</v>
      </c>
      <c r="H46" s="13" t="n">
        <v>-0.045828</v>
      </c>
      <c r="I46" s="13" t="n">
        <v>-0.013138</v>
      </c>
      <c r="J46" s="13" t="n">
        <v>-0.03269</v>
      </c>
      <c r="K46" s="13" t="n">
        <v>0.2228</v>
      </c>
      <c r="L46" s="13" t="n">
        <v>-0.032832</v>
      </c>
      <c r="M46" s="13" t="n">
        <v>-0.000386</v>
      </c>
      <c r="N46" s="13" t="n">
        <v>-0.032446</v>
      </c>
      <c r="O46" s="13" t="n">
        <v>0.0116</v>
      </c>
      <c r="P46" s="13" t="n">
        <v>-0.044689</v>
      </c>
      <c r="Q46" s="13" t="n">
        <v>-0.017774</v>
      </c>
      <c r="R46" s="13" t="n">
        <v>-0.026915</v>
      </c>
      <c r="S46" s="13" t="n">
        <v>0.2846</v>
      </c>
      <c r="T46" s="13" t="n">
        <v>-0.086296</v>
      </c>
      <c r="U46" s="13" t="n">
        <v>0.040572</v>
      </c>
      <c r="V46" s="13" t="n">
        <v>-0.126868</v>
      </c>
      <c r="W46" s="13" t="n">
        <v>0.3198</v>
      </c>
      <c r="X46" s="13" t="n">
        <v>-0.127907</v>
      </c>
      <c r="Y46" s="13" t="n">
        <v>-0.047527</v>
      </c>
      <c r="Z46" s="13" t="n">
        <v>-0.08037999999999999</v>
      </c>
      <c r="AA46" s="13" t="n">
        <v>0.2709</v>
      </c>
    </row>
    <row r="47">
      <c r="A47" s="6" t="inlineStr">
        <is>
          <t>2022-10-26</t>
        </is>
      </c>
      <c r="B47" s="6" t="inlineStr">
        <is>
          <t>高分位</t>
        </is>
      </c>
      <c r="C47" s="10" t="n">
        <v>0.9524</v>
      </c>
      <c r="D47" s="8" t="n">
        <v>-0.012658</v>
      </c>
      <c r="E47" s="8" t="n">
        <v>-0.01092</v>
      </c>
      <c r="F47" s="8" t="n">
        <v>-0.001738</v>
      </c>
      <c r="G47" s="8" t="n">
        <v>0.4631</v>
      </c>
      <c r="H47" s="8" t="n">
        <v>-0.002813</v>
      </c>
      <c r="I47" s="8" t="n">
        <v>-0.00039</v>
      </c>
      <c r="J47" s="8" t="n">
        <v>-0.002423</v>
      </c>
      <c r="K47" s="8" t="n">
        <v>0.1218</v>
      </c>
      <c r="L47" s="8" t="n">
        <v>-0.007032</v>
      </c>
      <c r="M47" s="8" t="n">
        <v>-0.01053</v>
      </c>
      <c r="N47" s="8" t="n">
        <v>0.003498</v>
      </c>
      <c r="O47" s="8" t="n">
        <v>0.5996</v>
      </c>
      <c r="P47" s="8" t="n">
        <v>-0.01635</v>
      </c>
      <c r="Q47" s="8" t="n">
        <v>-0.008580000000000001</v>
      </c>
      <c r="R47" s="8" t="n">
        <v>-0.00777</v>
      </c>
      <c r="S47" s="8" t="n">
        <v>0.3442</v>
      </c>
      <c r="T47" s="8" t="n">
        <v>-0.054149</v>
      </c>
      <c r="U47" s="8" t="n">
        <v>0.065913</v>
      </c>
      <c r="V47" s="8" t="n">
        <v>-0.120062</v>
      </c>
      <c r="W47" s="8" t="n">
        <v>0.549</v>
      </c>
      <c r="X47" s="8" t="n">
        <v>-0.103376</v>
      </c>
      <c r="Y47" s="8" t="n">
        <v>-0.035881</v>
      </c>
      <c r="Z47" s="8" t="n">
        <v>-0.067495</v>
      </c>
      <c r="AA47" s="8" t="n">
        <v>0.2577</v>
      </c>
    </row>
    <row r="48">
      <c r="A48" s="11" t="inlineStr">
        <is>
          <t>2022-10-27</t>
        </is>
      </c>
      <c r="B48" s="11" t="inlineStr">
        <is>
          <t>高分位</t>
        </is>
      </c>
      <c r="C48" s="15" t="n">
        <v>0.9302</v>
      </c>
      <c r="D48" s="13" t="n">
        <v>-0.002849</v>
      </c>
      <c r="E48" s="13" t="n">
        <v>-0.000789</v>
      </c>
      <c r="F48" s="13" t="n">
        <v>-0.00206</v>
      </c>
      <c r="G48" s="13" t="n">
        <v>0.2169</v>
      </c>
      <c r="H48" s="13" t="n">
        <v>0.012286</v>
      </c>
      <c r="I48" s="13" t="n">
        <v>0.007098</v>
      </c>
      <c r="J48" s="13" t="n">
        <v>0.005188</v>
      </c>
      <c r="K48" s="13" t="n">
        <v>0.3662</v>
      </c>
      <c r="L48" s="13" t="n">
        <v>-0.021546</v>
      </c>
      <c r="M48" s="13" t="n">
        <v>-0.025237</v>
      </c>
      <c r="N48" s="13" t="n">
        <v>0.003691</v>
      </c>
      <c r="O48" s="13" t="n">
        <v>0.5394</v>
      </c>
      <c r="P48" s="13" t="n">
        <v>-0.009081000000000001</v>
      </c>
      <c r="Q48" s="13" t="n">
        <v>0.018139</v>
      </c>
      <c r="R48" s="13" t="n">
        <v>-0.02722</v>
      </c>
      <c r="S48" s="13" t="n">
        <v>0.6664</v>
      </c>
      <c r="T48" s="13" t="n">
        <v>-0.042023</v>
      </c>
      <c r="U48" s="13" t="n">
        <v>0.09424299999999999</v>
      </c>
      <c r="V48" s="13" t="n">
        <v>-0.136266</v>
      </c>
      <c r="W48" s="13" t="n">
        <v>0.6916</v>
      </c>
      <c r="X48" s="13" t="n">
        <v>-0.084163</v>
      </c>
      <c r="Y48" s="13" t="n">
        <v>-0.04929</v>
      </c>
      <c r="Z48" s="13" t="n">
        <v>-0.034873</v>
      </c>
      <c r="AA48" s="13" t="n">
        <v>0.3693</v>
      </c>
    </row>
    <row r="49">
      <c r="A49" s="6" t="inlineStr">
        <is>
          <t>2022-10-28</t>
        </is>
      </c>
      <c r="B49" s="6" t="inlineStr">
        <is>
          <t>高分位</t>
        </is>
      </c>
      <c r="C49" s="10" t="n">
        <v>0.9091</v>
      </c>
      <c r="D49" s="8" t="n">
        <v>0</v>
      </c>
      <c r="E49" s="8" t="n">
        <v>-0.022889</v>
      </c>
      <c r="F49" s="8" t="n">
        <v>0.022889</v>
      </c>
      <c r="G49" s="8" t="n">
        <v>1</v>
      </c>
      <c r="H49" s="8" t="n">
        <v>0.018214</v>
      </c>
      <c r="I49" s="8" t="n">
        <v>0.031176</v>
      </c>
      <c r="J49" s="8" t="n">
        <v>-0.012962</v>
      </c>
      <c r="K49" s="8" t="n">
        <v>0.6312</v>
      </c>
      <c r="L49" s="8" t="n">
        <v>-0.038689</v>
      </c>
      <c r="M49" s="8" t="n">
        <v>0.008682</v>
      </c>
      <c r="N49" s="8" t="n">
        <v>-0.047371</v>
      </c>
      <c r="O49" s="8" t="n">
        <v>0.1833</v>
      </c>
      <c r="P49" s="8" t="n">
        <v>-0.005061</v>
      </c>
      <c r="Q49" s="8" t="n">
        <v>0.040647</v>
      </c>
      <c r="R49" s="8" t="n">
        <v>-0.045708</v>
      </c>
      <c r="S49" s="8" t="n">
        <v>0.8893</v>
      </c>
      <c r="T49" s="8" t="n">
        <v>0.002382</v>
      </c>
      <c r="U49" s="8" t="n">
        <v>0.087214</v>
      </c>
      <c r="V49" s="8" t="n">
        <v>-0.084832</v>
      </c>
      <c r="W49" s="8" t="n">
        <v>0.9734</v>
      </c>
      <c r="X49" s="8" t="n">
        <v>-0.1</v>
      </c>
      <c r="Y49" s="8" t="n">
        <v>-0.058406</v>
      </c>
      <c r="Z49" s="8" t="n">
        <v>-0.041594</v>
      </c>
      <c r="AA49" s="8" t="n">
        <v>0.3687</v>
      </c>
    </row>
    <row r="50">
      <c r="A50" s="11" t="inlineStr">
        <is>
          <t>2022-10-31</t>
        </is>
      </c>
      <c r="B50" s="11" t="inlineStr">
        <is>
          <t>高分位</t>
        </is>
      </c>
      <c r="C50" s="15" t="n">
        <v>0.9889</v>
      </c>
      <c r="D50" s="13" t="n">
        <v>-0.003571</v>
      </c>
      <c r="E50" s="13" t="n">
        <v>0.031502</v>
      </c>
      <c r="F50" s="13" t="n">
        <v>-0.035073</v>
      </c>
      <c r="G50" s="13" t="n">
        <v>0.8982</v>
      </c>
      <c r="H50" s="13" t="n">
        <v>0.022857</v>
      </c>
      <c r="I50" s="13" t="n">
        <v>0.044023</v>
      </c>
      <c r="J50" s="13" t="n">
        <v>-0.021166</v>
      </c>
      <c r="K50" s="13" t="n">
        <v>0.6582</v>
      </c>
      <c r="L50" s="13" t="n">
        <v>-0.008036</v>
      </c>
      <c r="M50" s="13" t="n">
        <v>0.037964</v>
      </c>
      <c r="N50" s="13" t="n">
        <v>-0.046</v>
      </c>
      <c r="O50" s="13" t="n">
        <v>0.8253</v>
      </c>
      <c r="P50" s="13" t="n">
        <v>0.004168</v>
      </c>
      <c r="Q50" s="13" t="n">
        <v>0.033926</v>
      </c>
      <c r="R50" s="13" t="n">
        <v>-0.029758</v>
      </c>
      <c r="S50" s="13" t="n">
        <v>0.8905999999999999</v>
      </c>
      <c r="T50" s="13" t="n">
        <v>-0.011161</v>
      </c>
      <c r="U50" s="13" t="n">
        <v>0.111874</v>
      </c>
      <c r="V50" s="13" t="n">
        <v>-0.123035</v>
      </c>
      <c r="W50" s="13" t="n">
        <v>0.9093</v>
      </c>
      <c r="X50" s="13" t="n">
        <v>-0.110118</v>
      </c>
      <c r="Y50" s="13" t="n">
        <v>-0.058966</v>
      </c>
      <c r="Z50" s="13" t="n">
        <v>-0.051152</v>
      </c>
      <c r="AA50" s="13" t="n">
        <v>0.3487</v>
      </c>
    </row>
    <row r="51">
      <c r="A51" s="6" t="inlineStr">
        <is>
          <t>2022-11-01</t>
        </is>
      </c>
      <c r="B51" s="6" t="inlineStr">
        <is>
          <t>中间分位</t>
        </is>
      </c>
      <c r="C51" s="10" t="n">
        <v>0.8478</v>
      </c>
      <c r="D51" s="8" t="n">
        <v>0.016487</v>
      </c>
      <c r="E51" s="8" t="n">
        <v>0.003524</v>
      </c>
      <c r="F51" s="8" t="n">
        <v>0.012963</v>
      </c>
      <c r="G51" s="8" t="n">
        <v>0.1761</v>
      </c>
      <c r="H51" s="8" t="n">
        <v>0.01362</v>
      </c>
      <c r="I51" s="8" t="n">
        <v>0.012921</v>
      </c>
      <c r="J51" s="8" t="n">
        <v>0.000699</v>
      </c>
      <c r="K51" s="8" t="n">
        <v>0.4868</v>
      </c>
      <c r="L51" s="8" t="n">
        <v>0.003287</v>
      </c>
      <c r="M51" s="8" t="n">
        <v>0.015662</v>
      </c>
      <c r="N51" s="8" t="n">
        <v>-0.012375</v>
      </c>
      <c r="O51" s="8" t="n">
        <v>0.8265</v>
      </c>
      <c r="P51" s="8" t="n">
        <v>-0.013738</v>
      </c>
      <c r="Q51" s="8" t="n">
        <v>0.024276</v>
      </c>
      <c r="R51" s="8" t="n">
        <v>-0.038014</v>
      </c>
      <c r="S51" s="8" t="n">
        <v>0.6385999999999999</v>
      </c>
      <c r="T51" s="8" t="n">
        <v>-0.010753</v>
      </c>
      <c r="U51" s="8" t="n">
        <v>0.079875</v>
      </c>
      <c r="V51" s="8" t="n">
        <v>-0.090628</v>
      </c>
      <c r="W51" s="8" t="n">
        <v>0.8814</v>
      </c>
      <c r="X51" s="8" t="n">
        <v>-0.108125</v>
      </c>
      <c r="Y51" s="8" t="n">
        <v>-0.08613899999999999</v>
      </c>
      <c r="Z51" s="8" t="n">
        <v>-0.021986</v>
      </c>
      <c r="AA51" s="8" t="n">
        <v>0.4434</v>
      </c>
    </row>
    <row r="52">
      <c r="A52" s="11" t="inlineStr">
        <is>
          <t>2022-11-02</t>
        </is>
      </c>
      <c r="B52" s="11" t="inlineStr">
        <is>
          <t>中间分位</t>
        </is>
      </c>
      <c r="C52" s="15" t="n">
        <v>0.8935999999999999</v>
      </c>
      <c r="D52" s="13" t="n">
        <v>0.002292</v>
      </c>
      <c r="E52" s="13" t="n">
        <v>-0.003512</v>
      </c>
      <c r="F52" s="13" t="n">
        <v>0.005804</v>
      </c>
      <c r="G52" s="13" t="n">
        <v>0.6051</v>
      </c>
      <c r="H52" s="13" t="n">
        <v>-0.004231</v>
      </c>
      <c r="I52" s="13" t="n">
        <v>-0.010144</v>
      </c>
      <c r="J52" s="13" t="n">
        <v>0.005913</v>
      </c>
      <c r="K52" s="13" t="n">
        <v>0.7057</v>
      </c>
      <c r="L52" s="13" t="n">
        <v>-0.012987</v>
      </c>
      <c r="M52" s="13" t="n">
        <v>0.018338</v>
      </c>
      <c r="N52" s="13" t="n">
        <v>-0.031325</v>
      </c>
      <c r="O52" s="13" t="n">
        <v>0.5854</v>
      </c>
      <c r="P52" s="13" t="n">
        <v>-0.01769</v>
      </c>
      <c r="Q52" s="13" t="n">
        <v>0.011705</v>
      </c>
      <c r="R52" s="13" t="n">
        <v>-0.029395</v>
      </c>
      <c r="S52" s="13" t="n">
        <v>0.3982</v>
      </c>
      <c r="T52" s="13" t="n">
        <v>-0.019746</v>
      </c>
      <c r="U52" s="13" t="n">
        <v>0.049551</v>
      </c>
      <c r="V52" s="13" t="n">
        <v>-0.069297</v>
      </c>
      <c r="W52" s="13" t="n">
        <v>0.7151</v>
      </c>
      <c r="X52" s="13" t="n">
        <v>-0.145511</v>
      </c>
      <c r="Y52" s="13" t="n">
        <v>-0.101053</v>
      </c>
      <c r="Z52" s="13" t="n">
        <v>-0.044458</v>
      </c>
      <c r="AA52" s="13" t="n">
        <v>0.4098</v>
      </c>
    </row>
    <row r="53">
      <c r="A53" s="6" t="inlineStr">
        <is>
          <t>2022-11-03</t>
        </is>
      </c>
      <c r="B53" s="6" t="inlineStr">
        <is>
          <t>高分位</t>
        </is>
      </c>
      <c r="C53" s="10" t="n">
        <v>0.9375</v>
      </c>
      <c r="D53" s="8" t="n">
        <v>0.00299</v>
      </c>
      <c r="E53" s="8" t="n">
        <v>0.023101</v>
      </c>
      <c r="F53" s="8" t="n">
        <v>-0.020111</v>
      </c>
      <c r="G53" s="8" t="n">
        <v>0.8854</v>
      </c>
      <c r="H53" s="8" t="n">
        <v>-0.033421</v>
      </c>
      <c r="I53" s="8" t="n">
        <v>-0.032106</v>
      </c>
      <c r="J53" s="8" t="n">
        <v>-0.001315</v>
      </c>
      <c r="K53" s="8" t="n">
        <v>0.49</v>
      </c>
      <c r="L53" s="8" t="n">
        <v>-0.005277</v>
      </c>
      <c r="M53" s="8" t="n">
        <v>-0.00509</v>
      </c>
      <c r="N53" s="8" t="n">
        <v>-0.000187</v>
      </c>
      <c r="O53" s="8" t="n">
        <v>0.491</v>
      </c>
      <c r="P53" s="8" t="n">
        <v>-0.03899</v>
      </c>
      <c r="Q53" s="8" t="n">
        <v>0.007048</v>
      </c>
      <c r="R53" s="8" t="n">
        <v>-0.046038</v>
      </c>
      <c r="S53" s="8" t="n">
        <v>0.1531</v>
      </c>
      <c r="T53" s="8" t="n">
        <v>-0.041924</v>
      </c>
      <c r="U53" s="8" t="n">
        <v>0.047377</v>
      </c>
      <c r="V53" s="8" t="n">
        <v>-0.08930100000000001</v>
      </c>
      <c r="W53" s="8" t="n">
        <v>0.5305</v>
      </c>
      <c r="X53" s="8" t="n">
        <v>-0.151567</v>
      </c>
      <c r="Y53" s="8" t="n">
        <v>-0.106891</v>
      </c>
      <c r="Z53" s="8" t="n">
        <v>-0.044676</v>
      </c>
      <c r="AA53" s="8" t="n">
        <v>0.4136</v>
      </c>
    </row>
    <row r="54">
      <c r="A54" s="11" t="inlineStr">
        <is>
          <t>2022-11-04</t>
        </is>
      </c>
      <c r="B54" s="11" t="inlineStr">
        <is>
          <t>中间分位</t>
        </is>
      </c>
      <c r="C54" s="15" t="n">
        <v>0.7959000000000001</v>
      </c>
      <c r="D54" s="13" t="n">
        <v>0.00456</v>
      </c>
      <c r="E54" s="13" t="n">
        <v>-0.010716</v>
      </c>
      <c r="F54" s="13" t="n">
        <v>0.015276</v>
      </c>
      <c r="G54" s="13" t="n">
        <v>0.7015</v>
      </c>
      <c r="H54" s="13" t="n">
        <v>-0.055886</v>
      </c>
      <c r="I54" s="13" t="n">
        <v>-0.021814</v>
      </c>
      <c r="J54" s="13" t="n">
        <v>-0.034072</v>
      </c>
      <c r="K54" s="13" t="n">
        <v>0.2807</v>
      </c>
      <c r="L54" s="13" t="n">
        <v>-0.017888</v>
      </c>
      <c r="M54" s="13" t="n">
        <v>-0.005741</v>
      </c>
      <c r="N54" s="13" t="n">
        <v>-0.012147</v>
      </c>
      <c r="O54" s="13" t="n">
        <v>0.243</v>
      </c>
      <c r="P54" s="13" t="n">
        <v>-0.059393</v>
      </c>
      <c r="Q54" s="13" t="n">
        <v>-0.007271</v>
      </c>
      <c r="R54" s="13" t="n">
        <v>-0.052122</v>
      </c>
      <c r="S54" s="13" t="n">
        <v>0.1091</v>
      </c>
      <c r="T54" s="13" t="n">
        <v>-0.051459</v>
      </c>
      <c r="U54" s="13" t="n">
        <v>0.024493</v>
      </c>
      <c r="V54" s="13" t="n">
        <v>-0.07595200000000001</v>
      </c>
      <c r="W54" s="13" t="n">
        <v>0.3225</v>
      </c>
      <c r="X54" s="13" t="n">
        <v>-0.147667</v>
      </c>
      <c r="Y54" s="13" t="n">
        <v>-0.107157</v>
      </c>
      <c r="Z54" s="13" t="n">
        <v>-0.04051</v>
      </c>
      <c r="AA54" s="13" t="n">
        <v>0.4205</v>
      </c>
    </row>
    <row r="55">
      <c r="A55" s="6" t="inlineStr">
        <is>
          <t>2022-11-07</t>
        </is>
      </c>
      <c r="B55" s="6" t="inlineStr">
        <is>
          <t>高分位</t>
        </is>
      </c>
      <c r="C55" s="10" t="n">
        <v>0.9</v>
      </c>
      <c r="D55" s="8" t="n">
        <v>-0.01257</v>
      </c>
      <c r="E55" s="8" t="n">
        <v>0.0007739999999999999</v>
      </c>
      <c r="F55" s="8" t="n">
        <v>-0.013344</v>
      </c>
      <c r="G55" s="8" t="n">
        <v>0.058</v>
      </c>
      <c r="H55" s="8" t="n">
        <v>-0.030203</v>
      </c>
      <c r="I55" s="8" t="n">
        <v>-0.005803</v>
      </c>
      <c r="J55" s="8" t="n">
        <v>-0.0244</v>
      </c>
      <c r="K55" s="8" t="n">
        <v>0.1612</v>
      </c>
      <c r="L55" s="8" t="n">
        <v>-0.008963</v>
      </c>
      <c r="M55" s="8" t="n">
        <v>-0.020503</v>
      </c>
      <c r="N55" s="8" t="n">
        <v>0.01154</v>
      </c>
      <c r="O55" s="8" t="n">
        <v>0.6958</v>
      </c>
      <c r="P55" s="8" t="n">
        <v>-0.06773700000000001</v>
      </c>
      <c r="Q55" s="8" t="n">
        <v>-0.019729</v>
      </c>
      <c r="R55" s="8" t="n">
        <v>-0.048008</v>
      </c>
      <c r="S55" s="8" t="n">
        <v>0.2256</v>
      </c>
      <c r="T55" s="8" t="n">
        <v>-0.051278</v>
      </c>
      <c r="U55" s="8" t="n">
        <v>0.032108</v>
      </c>
      <c r="V55" s="8" t="n">
        <v>-0.083386</v>
      </c>
      <c r="W55" s="8" t="n">
        <v>0.3851</v>
      </c>
      <c r="X55" s="8" t="n">
        <v>-0.147462</v>
      </c>
      <c r="Y55" s="8" t="n">
        <v>-0.11528</v>
      </c>
      <c r="Z55" s="8" t="n">
        <v>-0.032182</v>
      </c>
      <c r="AA55" s="8" t="n">
        <v>0.4388</v>
      </c>
    </row>
    <row r="56">
      <c r="A56" s="11" t="inlineStr">
        <is>
          <t>2022-11-08</t>
        </is>
      </c>
      <c r="B56" s="11" t="inlineStr">
        <is>
          <t>中间分位</t>
        </is>
      </c>
      <c r="C56" s="15" t="n">
        <v>0.8038999999999999</v>
      </c>
      <c r="D56" s="13" t="n">
        <v>-0.001414</v>
      </c>
      <c r="E56" s="13" t="n">
        <v>-0.019327</v>
      </c>
      <c r="F56" s="13" t="n">
        <v>0.017913</v>
      </c>
      <c r="G56" s="13" t="n">
        <v>0.9318</v>
      </c>
      <c r="H56" s="13" t="n">
        <v>-0.010194</v>
      </c>
      <c r="I56" s="13" t="n">
        <v>0.002706</v>
      </c>
      <c r="J56" s="13" t="n">
        <v>-0.0129</v>
      </c>
      <c r="K56" s="13" t="n">
        <v>0.2098</v>
      </c>
      <c r="L56" s="13" t="n">
        <v>-0.01226</v>
      </c>
      <c r="M56" s="13" t="n">
        <v>-0.017395</v>
      </c>
      <c r="N56" s="13" t="n">
        <v>0.005135</v>
      </c>
      <c r="O56" s="13" t="n">
        <v>0.5866</v>
      </c>
      <c r="P56" s="13" t="n">
        <v>-0.05587</v>
      </c>
      <c r="Q56" s="13" t="n">
        <v>-0.032857</v>
      </c>
      <c r="R56" s="13" t="n">
        <v>-0.023013</v>
      </c>
      <c r="S56" s="13" t="n">
        <v>0.3703</v>
      </c>
      <c r="T56" s="13" t="n">
        <v>-0.040714</v>
      </c>
      <c r="U56" s="13" t="n">
        <v>0.02242</v>
      </c>
      <c r="V56" s="13" t="n">
        <v>-0.063134</v>
      </c>
      <c r="W56" s="13" t="n">
        <v>0.3551</v>
      </c>
      <c r="X56" s="13" t="n">
        <v>-0.150753</v>
      </c>
      <c r="Y56" s="13" t="n">
        <v>-0.124855</v>
      </c>
      <c r="Z56" s="13" t="n">
        <v>-0.025898</v>
      </c>
      <c r="AA56" s="13" t="n">
        <v>0.453</v>
      </c>
    </row>
    <row r="57">
      <c r="A57" s="6" t="inlineStr">
        <is>
          <t>2022-11-09</t>
        </is>
      </c>
      <c r="B57" s="6" t="inlineStr">
        <is>
          <t>高分位</t>
        </is>
      </c>
      <c r="C57" s="10" t="n">
        <v>0.9423</v>
      </c>
      <c r="D57" s="8" t="n">
        <v>-0.027089</v>
      </c>
      <c r="E57" s="8" t="n">
        <v>-0.025621</v>
      </c>
      <c r="F57" s="8" t="n">
        <v>-0.001468</v>
      </c>
      <c r="G57" s="8" t="n">
        <v>0.4861</v>
      </c>
      <c r="H57" s="8" t="n">
        <v>-0.008791999999999999</v>
      </c>
      <c r="I57" s="8" t="n">
        <v>0.028774</v>
      </c>
      <c r="J57" s="8" t="n">
        <v>-0.037566</v>
      </c>
      <c r="K57" s="8" t="n">
        <v>0.766</v>
      </c>
      <c r="L57" s="8" t="n">
        <v>-0.009384</v>
      </c>
      <c r="M57" s="8" t="n">
        <v>0.001971</v>
      </c>
      <c r="N57" s="8" t="n">
        <v>-0.011355</v>
      </c>
      <c r="O57" s="8" t="n">
        <v>0.1736</v>
      </c>
      <c r="P57" s="8" t="n">
        <v>-0.053941</v>
      </c>
      <c r="Q57" s="8" t="n">
        <v>-0.033898</v>
      </c>
      <c r="R57" s="8" t="n">
        <v>-0.020043</v>
      </c>
      <c r="S57" s="8" t="n">
        <v>0.3859</v>
      </c>
      <c r="T57" s="8" t="n">
        <v>-0.046438</v>
      </c>
      <c r="U57" s="8" t="n">
        <v>0.044541</v>
      </c>
      <c r="V57" s="8" t="n">
        <v>-0.090979</v>
      </c>
      <c r="W57" s="8" t="n">
        <v>0.4896</v>
      </c>
      <c r="X57" s="8" t="n">
        <v>-0.160765</v>
      </c>
      <c r="Y57" s="8" t="n">
        <v>-0.109184</v>
      </c>
      <c r="Z57" s="8" t="n">
        <v>-0.051581</v>
      </c>
      <c r="AA57" s="8" t="n">
        <v>0.4045</v>
      </c>
    </row>
    <row r="58">
      <c r="A58" s="11" t="inlineStr">
        <is>
          <t>2022-11-10</t>
        </is>
      </c>
      <c r="B58" s="11" t="inlineStr">
        <is>
          <t>高分位</t>
        </is>
      </c>
      <c r="C58" s="15" t="n">
        <v>0.9056999999999999</v>
      </c>
      <c r="D58" s="13" t="n">
        <v>-0.02032</v>
      </c>
      <c r="E58" s="13" t="n">
        <v>0.033981</v>
      </c>
      <c r="F58" s="13" t="n">
        <v>-0.054301</v>
      </c>
      <c r="G58" s="13" t="n">
        <v>0.6258</v>
      </c>
      <c r="H58" s="13" t="n">
        <v>0.029117</v>
      </c>
      <c r="I58" s="13" t="n">
        <v>0.027913</v>
      </c>
      <c r="J58" s="13" t="n">
        <v>0.001204</v>
      </c>
      <c r="K58" s="13" t="n">
        <v>0.4894</v>
      </c>
      <c r="L58" s="13" t="n">
        <v>0.012739</v>
      </c>
      <c r="M58" s="13" t="n">
        <v>0.044498</v>
      </c>
      <c r="N58" s="13" t="n">
        <v>-0.031759</v>
      </c>
      <c r="O58" s="13" t="n">
        <v>0.7774</v>
      </c>
      <c r="P58" s="13" t="n">
        <v>-0.045798</v>
      </c>
      <c r="Q58" s="13" t="n">
        <v>0.000809</v>
      </c>
      <c r="R58" s="13" t="n">
        <v>-0.046607</v>
      </c>
      <c r="S58" s="13" t="n">
        <v>0.0174</v>
      </c>
      <c r="T58" s="13" t="n">
        <v>-0.013128</v>
      </c>
      <c r="U58" s="13" t="n">
        <v>0.050971</v>
      </c>
      <c r="V58" s="13" t="n">
        <v>-0.064099</v>
      </c>
      <c r="W58" s="13" t="n">
        <v>0.7952</v>
      </c>
      <c r="X58" s="13" t="n">
        <v>-0.141037</v>
      </c>
      <c r="Y58" s="13" t="n">
        <v>-0.10356</v>
      </c>
      <c r="Z58" s="13" t="n">
        <v>-0.037477</v>
      </c>
      <c r="AA58" s="13" t="n">
        <v>0.4234</v>
      </c>
    </row>
    <row r="59">
      <c r="A59" s="6" t="inlineStr">
        <is>
          <t>2022-11-11</t>
        </is>
      </c>
      <c r="B59" s="6" t="inlineStr">
        <is>
          <t>中间分位</t>
        </is>
      </c>
      <c r="C59" s="10" t="n">
        <v>0.6296</v>
      </c>
      <c r="D59" s="8" t="n">
        <v>0.031887</v>
      </c>
      <c r="E59" s="8" t="n">
        <v>0.005477</v>
      </c>
      <c r="F59" s="8" t="n">
        <v>0.02641</v>
      </c>
      <c r="G59" s="8" t="n">
        <v>0.1466</v>
      </c>
      <c r="H59" s="8" t="n">
        <v>0.040246</v>
      </c>
      <c r="I59" s="8" t="n">
        <v>0.016432</v>
      </c>
      <c r="J59" s="8" t="n">
        <v>0.023814</v>
      </c>
      <c r="K59" s="8" t="n">
        <v>0.2899</v>
      </c>
      <c r="L59" s="8" t="n">
        <v>0.034982</v>
      </c>
      <c r="M59" s="8" t="n">
        <v>0.03169</v>
      </c>
      <c r="N59" s="8" t="n">
        <v>0.003292</v>
      </c>
      <c r="O59" s="8" t="n">
        <v>0.4753</v>
      </c>
      <c r="P59" s="8" t="n">
        <v>-0.022291</v>
      </c>
      <c r="Q59" s="8" t="n">
        <v>-0.024257</v>
      </c>
      <c r="R59" s="8" t="n">
        <v>0.001966</v>
      </c>
      <c r="S59" s="8" t="n">
        <v>0.5211</v>
      </c>
      <c r="T59" s="8" t="n">
        <v>-0.000884</v>
      </c>
      <c r="U59" s="8" t="n">
        <v>-0.001174</v>
      </c>
      <c r="V59" s="8" t="n">
        <v>0.00029</v>
      </c>
      <c r="W59" s="8" t="n">
        <v>0.5705</v>
      </c>
      <c r="X59" s="8" t="n">
        <v>-0.135295</v>
      </c>
      <c r="Y59" s="8" t="n">
        <v>-0.125196</v>
      </c>
      <c r="Z59" s="8" t="n">
        <v>-0.010099</v>
      </c>
      <c r="AA59" s="8" t="n">
        <v>0.4806</v>
      </c>
    </row>
    <row r="60">
      <c r="A60" s="11" t="inlineStr">
        <is>
          <t>2022-11-14</t>
        </is>
      </c>
      <c r="B60" s="11" t="inlineStr">
        <is>
          <t>中间分位</t>
        </is>
      </c>
      <c r="C60" s="15" t="n">
        <v>0.7091</v>
      </c>
      <c r="D60" s="13" t="n">
        <v>0.007802</v>
      </c>
      <c r="E60" s="13" t="n">
        <v>0.009339</v>
      </c>
      <c r="F60" s="13" t="n">
        <v>-0.001537</v>
      </c>
      <c r="G60" s="13" t="n">
        <v>0.5448</v>
      </c>
      <c r="H60" s="13" t="n">
        <v>0.021901</v>
      </c>
      <c r="I60" s="13" t="n">
        <v>-0.014786</v>
      </c>
      <c r="J60" s="13" t="n">
        <v>0.036687</v>
      </c>
      <c r="K60" s="13" t="n">
        <v>0.403</v>
      </c>
      <c r="L60" s="13" t="n">
        <v>0.012302</v>
      </c>
      <c r="M60" s="13" t="n">
        <v>-0.003891</v>
      </c>
      <c r="N60" s="13" t="n">
        <v>0.016193</v>
      </c>
      <c r="O60" s="13" t="n">
        <v>0.2403</v>
      </c>
      <c r="P60" s="13" t="n">
        <v>-0.035104</v>
      </c>
      <c r="Q60" s="13" t="n">
        <v>-0.016732</v>
      </c>
      <c r="R60" s="13" t="n">
        <v>-0.018372</v>
      </c>
      <c r="S60" s="13" t="n">
        <v>0.3228</v>
      </c>
      <c r="T60" s="13" t="n">
        <v>-0.032018</v>
      </c>
      <c r="U60" s="13" t="n">
        <v>-0.001946</v>
      </c>
      <c r="V60" s="13" t="n">
        <v>-0.030072</v>
      </c>
      <c r="W60" s="13" t="n">
        <v>0.0573</v>
      </c>
      <c r="X60" s="13" t="n">
        <v>-0.159017</v>
      </c>
      <c r="Y60" s="13" t="n">
        <v>-0.124903</v>
      </c>
      <c r="Z60" s="13" t="n">
        <v>-0.034114</v>
      </c>
      <c r="AA60" s="13" t="n">
        <v>0.4399</v>
      </c>
    </row>
    <row r="61">
      <c r="A61" s="6" t="inlineStr">
        <is>
          <t>2022-11-15</t>
        </is>
      </c>
      <c r="B61" s="6" t="inlineStr">
        <is>
          <t>中间分位</t>
        </is>
      </c>
      <c r="C61" s="10" t="n">
        <v>0.6786</v>
      </c>
      <c r="D61" s="8" t="n">
        <v>0</v>
      </c>
      <c r="E61" s="8" t="n">
        <v>0.006168</v>
      </c>
      <c r="F61" s="8" t="n">
        <v>-0.006168</v>
      </c>
      <c r="G61" s="8" t="n">
        <v>1</v>
      </c>
      <c r="H61" s="8" t="n">
        <v>-0.002086</v>
      </c>
      <c r="I61" s="8" t="n">
        <v>-0.020046</v>
      </c>
      <c r="J61" s="8" t="n">
        <v>0.01796</v>
      </c>
      <c r="K61" s="8" t="n">
        <v>0.9056999999999999</v>
      </c>
      <c r="L61" s="8" t="n">
        <v>-0.016969</v>
      </c>
      <c r="M61" s="8" t="n">
        <v>0.008481000000000001</v>
      </c>
      <c r="N61" s="8" t="n">
        <v>-0.02545</v>
      </c>
      <c r="O61" s="8" t="n">
        <v>0.3332</v>
      </c>
      <c r="P61" s="8" t="n">
        <v>-0.039001</v>
      </c>
      <c r="Q61" s="8" t="n">
        <v>-0.020046</v>
      </c>
      <c r="R61" s="8" t="n">
        <v>-0.018955</v>
      </c>
      <c r="S61" s="8" t="n">
        <v>0.3395</v>
      </c>
      <c r="T61" s="8" t="n">
        <v>-0.03849</v>
      </c>
      <c r="U61" s="8" t="n">
        <v>-0.01542</v>
      </c>
      <c r="V61" s="8" t="n">
        <v>-0.02307</v>
      </c>
      <c r="W61" s="8" t="n">
        <v>0.286</v>
      </c>
      <c r="X61" s="8" t="n">
        <v>-0.162252</v>
      </c>
      <c r="Y61" s="8" t="n">
        <v>-0.122591</v>
      </c>
      <c r="Z61" s="8" t="n">
        <v>-0.039661</v>
      </c>
      <c r="AA61" s="8" t="n">
        <v>0.4304</v>
      </c>
    </row>
    <row r="62">
      <c r="A62" s="11" t="inlineStr">
        <is>
          <t>2022-11-16</t>
        </is>
      </c>
      <c r="B62" s="11" t="inlineStr">
        <is>
          <t>中间分位</t>
        </is>
      </c>
      <c r="C62" s="15" t="n">
        <v>0.6491</v>
      </c>
      <c r="D62" s="13" t="n">
        <v>0.010121</v>
      </c>
      <c r="E62" s="13" t="n">
        <v>-0.026437</v>
      </c>
      <c r="F62" s="13" t="n">
        <v>0.036558</v>
      </c>
      <c r="G62" s="13" t="n">
        <v>0.7232</v>
      </c>
      <c r="H62" s="13" t="n">
        <v>-0.000597</v>
      </c>
      <c r="I62" s="13" t="n">
        <v>-0.026054</v>
      </c>
      <c r="J62" s="13" t="n">
        <v>0.025457</v>
      </c>
      <c r="K62" s="13" t="n">
        <v>0.9776</v>
      </c>
      <c r="L62" s="13" t="n">
        <v>-0.004766</v>
      </c>
      <c r="M62" s="13" t="n">
        <v>-0.006513</v>
      </c>
      <c r="N62" s="13" t="n">
        <v>0.001747</v>
      </c>
      <c r="O62" s="13" t="n">
        <v>0.5774</v>
      </c>
      <c r="P62" s="13" t="n">
        <v>-0.040491</v>
      </c>
      <c r="Q62" s="13" t="n">
        <v>-0.010728</v>
      </c>
      <c r="R62" s="13" t="n">
        <v>-0.029763</v>
      </c>
      <c r="S62" s="13" t="n">
        <v>0.2095</v>
      </c>
      <c r="T62" s="13" t="n">
        <v>-0.036961</v>
      </c>
      <c r="U62" s="13" t="n">
        <v>-0.015709</v>
      </c>
      <c r="V62" s="13" t="n">
        <v>-0.021252</v>
      </c>
      <c r="W62" s="13" t="n">
        <v>0.2983</v>
      </c>
      <c r="X62" s="13" t="n">
        <v>-0.15481</v>
      </c>
      <c r="Y62" s="13" t="n">
        <v>-0.141762</v>
      </c>
      <c r="Z62" s="13" t="n">
        <v>-0.013048</v>
      </c>
      <c r="AA62" s="13" t="n">
        <v>0.478</v>
      </c>
    </row>
    <row r="63">
      <c r="A63" s="6" t="inlineStr">
        <is>
          <t>2022-11-17</t>
        </is>
      </c>
      <c r="B63" s="6" t="inlineStr">
        <is>
          <t>高分位</t>
        </is>
      </c>
      <c r="C63" s="10" t="n">
        <v>0.9137999999999999</v>
      </c>
      <c r="D63" s="8" t="n">
        <v>-0.009726</v>
      </c>
      <c r="E63" s="8" t="n">
        <v>0.022432</v>
      </c>
      <c r="F63" s="8" t="n">
        <v>-0.032158</v>
      </c>
      <c r="G63" s="8" t="n">
        <v>0.6976</v>
      </c>
      <c r="H63" s="8" t="n">
        <v>-0.015915</v>
      </c>
      <c r="I63" s="8" t="n">
        <v>0.016135</v>
      </c>
      <c r="J63" s="8" t="n">
        <v>-0.03205</v>
      </c>
      <c r="K63" s="8" t="n">
        <v>0.5034</v>
      </c>
      <c r="L63" s="8" t="n">
        <v>-0.033892</v>
      </c>
      <c r="M63" s="8" t="n">
        <v>0.0122</v>
      </c>
      <c r="N63" s="8" t="n">
        <v>-0.046092</v>
      </c>
      <c r="O63" s="8" t="n">
        <v>0.2647</v>
      </c>
      <c r="P63" s="8" t="n">
        <v>-0.050104</v>
      </c>
      <c r="Q63" s="8" t="n">
        <v>0.033451</v>
      </c>
      <c r="R63" s="8" t="n">
        <v>-0.083555</v>
      </c>
      <c r="S63" s="8" t="n">
        <v>0.4003</v>
      </c>
      <c r="T63" s="8" t="n">
        <v>-0.04105</v>
      </c>
      <c r="U63" s="8" t="n">
        <v>0.007477</v>
      </c>
      <c r="V63" s="8" t="n">
        <v>-0.048527</v>
      </c>
      <c r="W63" s="8" t="n">
        <v>0.1541</v>
      </c>
      <c r="X63" s="8" t="n">
        <v>-0.171236</v>
      </c>
      <c r="Y63" s="8" t="n">
        <v>-0.147186</v>
      </c>
      <c r="Z63" s="8" t="n">
        <v>-0.02405</v>
      </c>
      <c r="AA63" s="8" t="n">
        <v>0.4622</v>
      </c>
    </row>
    <row r="64">
      <c r="A64" s="11" t="inlineStr">
        <is>
          <t>2022-11-18</t>
        </is>
      </c>
      <c r="B64" s="11" t="inlineStr">
        <is>
          <t>中间分位</t>
        </is>
      </c>
      <c r="C64" s="15" t="n">
        <v>0.661</v>
      </c>
      <c r="D64" s="13" t="n">
        <v>0.013689</v>
      </c>
      <c r="E64" s="13" t="n">
        <v>-0.025404</v>
      </c>
      <c r="F64" s="13" t="n">
        <v>0.039093</v>
      </c>
      <c r="G64" s="13" t="n">
        <v>0.6498</v>
      </c>
      <c r="H64" s="13" t="n">
        <v>-0.005061</v>
      </c>
      <c r="I64" s="13" t="n">
        <v>0.015012</v>
      </c>
      <c r="J64" s="13" t="n">
        <v>-0.020073</v>
      </c>
      <c r="K64" s="13" t="n">
        <v>0.7479</v>
      </c>
      <c r="L64" s="13" t="n">
        <v>-0.042261</v>
      </c>
      <c r="M64" s="13" t="n">
        <v>-0.00154</v>
      </c>
      <c r="N64" s="13" t="n">
        <v>-0.040721</v>
      </c>
      <c r="O64" s="13" t="n">
        <v>0.0352</v>
      </c>
      <c r="P64" s="13" t="n">
        <v>-0.043454</v>
      </c>
      <c r="Q64" s="13" t="n">
        <v>0.006928</v>
      </c>
      <c r="R64" s="13" t="n">
        <v>-0.050382</v>
      </c>
      <c r="S64" s="13" t="n">
        <v>0.1375</v>
      </c>
      <c r="T64" s="13" t="n">
        <v>-0.032143</v>
      </c>
      <c r="U64" s="13" t="n">
        <v>-0.011162</v>
      </c>
      <c r="V64" s="13" t="n">
        <v>-0.020981</v>
      </c>
      <c r="W64" s="13" t="n">
        <v>0.2578</v>
      </c>
      <c r="X64" s="13" t="n">
        <v>-0.184821</v>
      </c>
      <c r="Y64" s="13" t="n">
        <v>-0.19746</v>
      </c>
      <c r="Z64" s="13" t="n">
        <v>0.012639</v>
      </c>
      <c r="AA64" s="13" t="n">
        <v>0.5165</v>
      </c>
    </row>
    <row r="65">
      <c r="A65" s="6" t="inlineStr">
        <is>
          <t>2022-11-21</t>
        </is>
      </c>
      <c r="B65" s="6" t="inlineStr">
        <is>
          <t>高分位</t>
        </is>
      </c>
      <c r="C65" s="10" t="n">
        <v>0.95</v>
      </c>
      <c r="D65" s="8" t="n">
        <v>-0.015854</v>
      </c>
      <c r="E65" s="8" t="n">
        <v>0.003949</v>
      </c>
      <c r="F65" s="8" t="n">
        <v>-0.019803</v>
      </c>
      <c r="G65" s="8" t="n">
        <v>0.1994</v>
      </c>
      <c r="H65" s="8" t="n">
        <v>-0.009393</v>
      </c>
      <c r="I65" s="8" t="n">
        <v>0.011058</v>
      </c>
      <c r="J65" s="8" t="n">
        <v>-0.020451</v>
      </c>
      <c r="K65" s="8" t="n">
        <v>0.5407</v>
      </c>
      <c r="L65" s="8" t="n">
        <v>-0.059306</v>
      </c>
      <c r="M65" s="8" t="n">
        <v>0.00079</v>
      </c>
      <c r="N65" s="8" t="n">
        <v>-0.060096</v>
      </c>
      <c r="O65" s="8" t="n">
        <v>0.0131</v>
      </c>
      <c r="P65" s="8" t="n">
        <v>-0.06429799999999999</v>
      </c>
      <c r="Q65" s="8" t="n">
        <v>0.015403</v>
      </c>
      <c r="R65" s="8" t="n">
        <v>-0.07970099999999999</v>
      </c>
      <c r="S65" s="8" t="n">
        <v>0.1933</v>
      </c>
      <c r="T65" s="8" t="n">
        <v>-0.05226</v>
      </c>
      <c r="U65" s="8" t="n">
        <v>0.028436</v>
      </c>
      <c r="V65" s="8" t="n">
        <v>-0.080696</v>
      </c>
      <c r="W65" s="8" t="n">
        <v>0.3524</v>
      </c>
      <c r="X65" s="8" t="n">
        <v>-0.228127</v>
      </c>
      <c r="Y65" s="8" t="n">
        <v>-0.187599</v>
      </c>
      <c r="Z65" s="8" t="n">
        <v>-0.040528</v>
      </c>
      <c r="AA65" s="8" t="n">
        <v>0.4513</v>
      </c>
    </row>
    <row r="66">
      <c r="A66" s="11" t="inlineStr">
        <is>
          <t>2022-11-22</t>
        </is>
      </c>
      <c r="B66" s="11" t="inlineStr">
        <is>
          <t>中间分位</t>
        </is>
      </c>
      <c r="C66" s="15" t="n">
        <v>0.7705</v>
      </c>
      <c r="D66" s="13" t="n">
        <v>0.001493</v>
      </c>
      <c r="E66" s="13" t="n">
        <v>0</v>
      </c>
      <c r="F66" s="13" t="n">
        <v>0.001493</v>
      </c>
      <c r="G66" s="13" t="n">
        <v>0</v>
      </c>
      <c r="H66" s="13" t="n">
        <v>-0.014914</v>
      </c>
      <c r="I66" s="13" t="n">
        <v>0.029111</v>
      </c>
      <c r="J66" s="13" t="n">
        <v>-0.044025</v>
      </c>
      <c r="K66" s="13" t="n">
        <v>0.6612</v>
      </c>
      <c r="L66" s="13" t="n">
        <v>-0.044152</v>
      </c>
      <c r="M66" s="13" t="n">
        <v>-0.015736</v>
      </c>
      <c r="N66" s="13" t="n">
        <v>-0.028416</v>
      </c>
      <c r="O66" s="13" t="n">
        <v>0.2628</v>
      </c>
      <c r="P66" s="13" t="n">
        <v>-0.057279</v>
      </c>
      <c r="Q66" s="13" t="n">
        <v>0.002754</v>
      </c>
      <c r="R66" s="13" t="n">
        <v>-0.060033</v>
      </c>
      <c r="S66" s="13" t="n">
        <v>0.0459</v>
      </c>
      <c r="T66" s="13" t="n">
        <v>-0.028296</v>
      </c>
      <c r="U66" s="13" t="n">
        <v>0.029111</v>
      </c>
      <c r="V66" s="13" t="n">
        <v>-0.057407</v>
      </c>
      <c r="W66" s="13" t="n">
        <v>0.5071</v>
      </c>
      <c r="X66" s="13" t="n">
        <v>-0.221657</v>
      </c>
      <c r="Y66" s="13" t="n">
        <v>-0.185287</v>
      </c>
      <c r="Z66" s="13" t="n">
        <v>-0.03637</v>
      </c>
      <c r="AA66" s="13" t="n">
        <v>0.4553</v>
      </c>
    </row>
    <row r="67">
      <c r="A67" s="6" t="inlineStr">
        <is>
          <t>2022-11-23</t>
        </is>
      </c>
      <c r="B67" s="6" t="inlineStr">
        <is>
          <t>中间分位</t>
        </is>
      </c>
      <c r="C67" s="10" t="n">
        <v>0.7903</v>
      </c>
      <c r="D67" s="8" t="n">
        <v>-0.005362</v>
      </c>
      <c r="E67" s="8" t="n">
        <v>0.015736</v>
      </c>
      <c r="F67" s="8" t="n">
        <v>-0.021098</v>
      </c>
      <c r="G67" s="8" t="n">
        <v>0.7459</v>
      </c>
      <c r="H67" s="8" t="n">
        <v>-0.004172</v>
      </c>
      <c r="I67" s="8" t="n">
        <v>0.020063</v>
      </c>
      <c r="J67" s="8" t="n">
        <v>-0.024235</v>
      </c>
      <c r="K67" s="8" t="n">
        <v>0.8279</v>
      </c>
      <c r="L67" s="8" t="n">
        <v>-0.044979</v>
      </c>
      <c r="M67" s="8" t="n">
        <v>-0.035799</v>
      </c>
      <c r="N67" s="8" t="n">
        <v>-0.009180000000000001</v>
      </c>
      <c r="O67" s="8" t="n">
        <v>0.4432</v>
      </c>
      <c r="P67" s="8" t="n">
        <v>-0.0563</v>
      </c>
      <c r="Q67" s="8" t="n">
        <v>0.011015</v>
      </c>
      <c r="R67" s="8" t="n">
        <v>-0.067315</v>
      </c>
      <c r="S67" s="8" t="n">
        <v>0.1636</v>
      </c>
      <c r="T67" s="8" t="n">
        <v>-0.028726</v>
      </c>
      <c r="U67" s="8" t="n">
        <v>0.046027</v>
      </c>
      <c r="V67" s="8" t="n">
        <v>-0.074753</v>
      </c>
      <c r="W67" s="8" t="n">
        <v>0.6157</v>
      </c>
      <c r="X67" s="8" t="n">
        <v>-0.222223</v>
      </c>
      <c r="Y67" s="8" t="n">
        <v>-0.208497</v>
      </c>
      <c r="Z67" s="8" t="n">
        <v>-0.013726</v>
      </c>
      <c r="AA67" s="8" t="n">
        <v>0.4841</v>
      </c>
    </row>
    <row r="68">
      <c r="A68" s="11" t="inlineStr">
        <is>
          <t>2022-11-24</t>
        </is>
      </c>
      <c r="B68" s="11" t="inlineStr">
        <is>
          <t>中间分位</t>
        </is>
      </c>
      <c r="C68" s="15" t="n">
        <v>0.619</v>
      </c>
      <c r="D68" s="13" t="n">
        <v>0.001197</v>
      </c>
      <c r="E68" s="13" t="n">
        <v>0.021301</v>
      </c>
      <c r="F68" s="13" t="n">
        <v>-0.020104</v>
      </c>
      <c r="G68" s="13" t="n">
        <v>0.9468</v>
      </c>
      <c r="H68" s="13" t="n">
        <v>-0.018268</v>
      </c>
      <c r="I68" s="13" t="n">
        <v>-0.003873</v>
      </c>
      <c r="J68" s="13" t="n">
        <v>-0.014395</v>
      </c>
      <c r="K68" s="13" t="n">
        <v>0.1749</v>
      </c>
      <c r="L68" s="13" t="n">
        <v>-0.057801</v>
      </c>
      <c r="M68" s="13" t="n">
        <v>-0.041828</v>
      </c>
      <c r="N68" s="13" t="n">
        <v>-0.015973</v>
      </c>
      <c r="O68" s="13" t="n">
        <v>0.4198</v>
      </c>
      <c r="P68" s="13" t="n">
        <v>-0.061394</v>
      </c>
      <c r="Q68" s="13" t="n">
        <v>-0.019752</v>
      </c>
      <c r="R68" s="13" t="n">
        <v>-0.041642</v>
      </c>
      <c r="S68" s="13" t="n">
        <v>0.2434</v>
      </c>
      <c r="T68" s="13" t="n">
        <v>-0.007188</v>
      </c>
      <c r="U68" s="13" t="n">
        <v>0.034469</v>
      </c>
      <c r="V68" s="13" t="n">
        <v>-0.041657</v>
      </c>
      <c r="W68" s="13" t="n">
        <v>0.8274</v>
      </c>
      <c r="X68" s="13" t="n">
        <v>-0.232406</v>
      </c>
      <c r="Y68" s="13" t="n">
        <v>-0.206429</v>
      </c>
      <c r="Z68" s="13" t="n">
        <v>-0.025977</v>
      </c>
      <c r="AA68" s="13" t="n">
        <v>0.4704</v>
      </c>
    </row>
    <row r="69">
      <c r="A69" s="6" t="inlineStr">
        <is>
          <t>2022-11-25</t>
        </is>
      </c>
      <c r="B69" s="6" t="inlineStr">
        <is>
          <t>中间分位</t>
        </is>
      </c>
      <c r="C69" s="10" t="n">
        <v>0.5625</v>
      </c>
      <c r="D69" s="8" t="n">
        <v>0.009276</v>
      </c>
      <c r="E69" s="8" t="n">
        <v>-0.0292</v>
      </c>
      <c r="F69" s="8" t="n">
        <v>0.038476</v>
      </c>
      <c r="G69" s="8" t="n">
        <v>0.7589</v>
      </c>
      <c r="H69" s="8" t="n">
        <v>-0.037389</v>
      </c>
      <c r="I69" s="8" t="n">
        <v>-0.016306</v>
      </c>
      <c r="J69" s="8" t="n">
        <v>-0.021083</v>
      </c>
      <c r="K69" s="8" t="n">
        <v>0.3037</v>
      </c>
      <c r="L69" s="8" t="n">
        <v>-0.055337</v>
      </c>
      <c r="M69" s="8" t="n">
        <v>-0.054228</v>
      </c>
      <c r="N69" s="8" t="n">
        <v>-0.001109</v>
      </c>
      <c r="O69" s="8" t="n">
        <v>0.4949</v>
      </c>
      <c r="P69" s="8" t="n">
        <v>-0.066705</v>
      </c>
      <c r="Q69" s="8" t="n">
        <v>-0.053849</v>
      </c>
      <c r="R69" s="8" t="n">
        <v>-0.012856</v>
      </c>
      <c r="S69" s="8" t="n">
        <v>0.4467</v>
      </c>
      <c r="T69" s="8" t="n">
        <v>0.001497</v>
      </c>
      <c r="U69" s="8" t="n">
        <v>0.005688</v>
      </c>
      <c r="V69" s="8" t="n">
        <v>-0.004191</v>
      </c>
      <c r="W69" s="8" t="n">
        <v>0.7916</v>
      </c>
      <c r="X69" s="8" t="n">
        <v>-0.212382</v>
      </c>
      <c r="Y69" s="8" t="n">
        <v>-0.222222</v>
      </c>
      <c r="Z69" s="8" t="n">
        <v>0.00984</v>
      </c>
      <c r="AA69" s="8" t="n">
        <v>0.5113</v>
      </c>
    </row>
    <row r="70">
      <c r="A70" s="11" t="inlineStr">
        <is>
          <t>2022-11-28</t>
        </is>
      </c>
      <c r="B70" s="11" t="inlineStr">
        <is>
          <t>中间分位</t>
        </is>
      </c>
      <c r="C70" s="15" t="n">
        <v>0.7538</v>
      </c>
      <c r="D70" s="13" t="n">
        <v>-0.02134</v>
      </c>
      <c r="E70" s="13" t="n">
        <v>0.021875</v>
      </c>
      <c r="F70" s="13" t="n">
        <v>-0.043215</v>
      </c>
      <c r="G70" s="13" t="n">
        <v>0.5062</v>
      </c>
      <c r="H70" s="13" t="n">
        <v>-0.050386</v>
      </c>
      <c r="I70" s="13" t="n">
        <v>-0.010156</v>
      </c>
      <c r="J70" s="13" t="n">
        <v>-0.04023</v>
      </c>
      <c r="K70" s="13" t="n">
        <v>0.1678</v>
      </c>
      <c r="L70" s="13" t="n">
        <v>-0.04683</v>
      </c>
      <c r="M70" s="13" t="n">
        <v>-0.012891</v>
      </c>
      <c r="N70" s="13" t="n">
        <v>-0.033939</v>
      </c>
      <c r="O70" s="13" t="n">
        <v>0.2159</v>
      </c>
      <c r="P70" s="13" t="n">
        <v>-0.08713700000000001</v>
      </c>
      <c r="Q70" s="13" t="n">
        <v>-0.024219</v>
      </c>
      <c r="R70" s="13" t="n">
        <v>-0.062918</v>
      </c>
      <c r="S70" s="13" t="n">
        <v>0.2175</v>
      </c>
      <c r="T70" s="13" t="n">
        <v>-0.010969</v>
      </c>
      <c r="U70" s="13" t="n">
        <v>0.026172</v>
      </c>
      <c r="V70" s="13" t="n">
        <v>-0.037141</v>
      </c>
      <c r="W70" s="13" t="n">
        <v>0.7047</v>
      </c>
      <c r="X70" s="13" t="n">
        <v>-0.214584</v>
      </c>
      <c r="Y70" s="13" t="n">
        <v>-0.211719</v>
      </c>
      <c r="Z70" s="13" t="n">
        <v>-0.002865</v>
      </c>
      <c r="AA70" s="13" t="n">
        <v>0.4966</v>
      </c>
    </row>
    <row r="71">
      <c r="A71" s="6" t="inlineStr">
        <is>
          <t>2022-11-29</t>
        </is>
      </c>
      <c r="B71" s="6" t="inlineStr">
        <is>
          <t>中间分位</t>
        </is>
      </c>
      <c r="C71" s="10" t="n">
        <v>0.5152</v>
      </c>
      <c r="D71" s="8" t="n">
        <v>0.012414</v>
      </c>
      <c r="E71" s="8" t="n">
        <v>-0.008791999999999999</v>
      </c>
      <c r="F71" s="8" t="n">
        <v>0.021206</v>
      </c>
      <c r="G71" s="8" t="n">
        <v>0.4146</v>
      </c>
      <c r="H71" s="8" t="n">
        <v>-0.02968</v>
      </c>
      <c r="I71" s="8" t="n">
        <v>-0.043578</v>
      </c>
      <c r="J71" s="8" t="n">
        <v>0.013898</v>
      </c>
      <c r="K71" s="8" t="n">
        <v>0.5949</v>
      </c>
      <c r="L71" s="8" t="n">
        <v>-0.022412</v>
      </c>
      <c r="M71" s="8" t="n">
        <v>-0.028287</v>
      </c>
      <c r="N71" s="8" t="n">
        <v>0.005875</v>
      </c>
      <c r="O71" s="8" t="n">
        <v>0.5579</v>
      </c>
      <c r="P71" s="8" t="n">
        <v>-0.07026300000000001</v>
      </c>
      <c r="Q71" s="8" t="n">
        <v>-0.025229</v>
      </c>
      <c r="R71" s="8" t="n">
        <v>-0.045034</v>
      </c>
      <c r="S71" s="8" t="n">
        <v>0.2642</v>
      </c>
      <c r="T71" s="8" t="n">
        <v>-0.003031</v>
      </c>
      <c r="U71" s="8" t="n">
        <v>0.006881</v>
      </c>
      <c r="V71" s="8" t="n">
        <v>-0.009912000000000001</v>
      </c>
      <c r="W71" s="8" t="n">
        <v>0.6942</v>
      </c>
      <c r="X71" s="8" t="n">
        <v>-0.209571</v>
      </c>
      <c r="Y71" s="8" t="n">
        <v>-0.227829</v>
      </c>
      <c r="Z71" s="8" t="n">
        <v>0.018258</v>
      </c>
      <c r="AA71" s="8" t="n">
        <v>0.5209</v>
      </c>
    </row>
    <row r="72">
      <c r="A72" s="11" t="inlineStr">
        <is>
          <t>2022-11-30</t>
        </is>
      </c>
      <c r="B72" s="11" t="inlineStr">
        <is>
          <t>中间分位</t>
        </is>
      </c>
      <c r="C72" s="15" t="n">
        <v>0.6119</v>
      </c>
      <c r="D72" s="13" t="n">
        <v>-0.019441</v>
      </c>
      <c r="E72" s="13" t="n">
        <v>-0.008099</v>
      </c>
      <c r="F72" s="13" t="n">
        <v>-0.011342</v>
      </c>
      <c r="G72" s="13" t="n">
        <v>0.2941</v>
      </c>
      <c r="H72" s="13" t="n">
        <v>-0.040979</v>
      </c>
      <c r="I72" s="13" t="n">
        <v>-0.054763</v>
      </c>
      <c r="J72" s="13" t="n">
        <v>0.013784</v>
      </c>
      <c r="K72" s="13" t="n">
        <v>0.572</v>
      </c>
      <c r="L72" s="13" t="n">
        <v>-0.035896</v>
      </c>
      <c r="M72" s="13" t="n">
        <v>-0.004242</v>
      </c>
      <c r="N72" s="13" t="n">
        <v>-0.031654</v>
      </c>
      <c r="O72" s="13" t="n">
        <v>0.1057</v>
      </c>
      <c r="P72" s="13" t="n">
        <v>-0.058927</v>
      </c>
      <c r="Q72" s="13" t="n">
        <v>-0.010413</v>
      </c>
      <c r="R72" s="13" t="n">
        <v>-0.048514</v>
      </c>
      <c r="S72" s="13" t="n">
        <v>0.1502</v>
      </c>
      <c r="T72" s="13" t="n">
        <v>-0.017948</v>
      </c>
      <c r="U72" s="13" t="n">
        <v>0.006556</v>
      </c>
      <c r="V72" s="13" t="n">
        <v>-0.024504</v>
      </c>
      <c r="W72" s="13" t="n">
        <v>0.2675</v>
      </c>
      <c r="X72" s="13" t="n">
        <v>-0.224648</v>
      </c>
      <c r="Y72" s="13" t="n">
        <v>-0.207096</v>
      </c>
      <c r="Z72" s="13" t="n">
        <v>-0.017552</v>
      </c>
      <c r="AA72" s="13" t="n">
        <v>0.4797</v>
      </c>
    </row>
    <row r="73">
      <c r="A73" s="6" t="inlineStr">
        <is>
          <t>2022-12-01</t>
        </is>
      </c>
      <c r="B73" s="6" t="inlineStr">
        <is>
          <t>中间分位</t>
        </is>
      </c>
      <c r="C73" s="10" t="n">
        <v>0.5588</v>
      </c>
      <c r="D73" s="8" t="n">
        <v>-0.018304</v>
      </c>
      <c r="E73" s="8" t="n">
        <v>0.008554000000000001</v>
      </c>
      <c r="F73" s="8" t="n">
        <v>-0.026858</v>
      </c>
      <c r="G73" s="8" t="n">
        <v>0.3185</v>
      </c>
      <c r="H73" s="8" t="n">
        <v>-0.040268</v>
      </c>
      <c r="I73" s="8" t="n">
        <v>-0.038103</v>
      </c>
      <c r="J73" s="8" t="n">
        <v>-0.002165</v>
      </c>
      <c r="K73" s="8" t="n">
        <v>0.4862</v>
      </c>
      <c r="L73" s="8" t="n">
        <v>-0.016781</v>
      </c>
      <c r="M73" s="8" t="n">
        <v>0.020995</v>
      </c>
      <c r="N73" s="8" t="n">
        <v>-0.037776</v>
      </c>
      <c r="O73" s="8" t="n">
        <v>0.5558</v>
      </c>
      <c r="P73" s="8" t="n">
        <v>-0.037219</v>
      </c>
      <c r="Q73" s="8" t="n">
        <v>-0.001555</v>
      </c>
      <c r="R73" s="8" t="n">
        <v>-0.035664</v>
      </c>
      <c r="S73" s="8" t="n">
        <v>0.0401</v>
      </c>
      <c r="T73" s="8" t="n">
        <v>-0.010982</v>
      </c>
      <c r="U73" s="8" t="n">
        <v>0.013997</v>
      </c>
      <c r="V73" s="8" t="n">
        <v>-0.024979</v>
      </c>
      <c r="W73" s="8" t="n">
        <v>0.5604</v>
      </c>
      <c r="X73" s="8" t="n">
        <v>-0.208664</v>
      </c>
      <c r="Y73" s="8" t="n">
        <v>-0.187792</v>
      </c>
      <c r="Z73" s="8" t="n">
        <v>-0.020872</v>
      </c>
      <c r="AA73" s="8" t="n">
        <v>0.4737</v>
      </c>
    </row>
    <row r="74">
      <c r="A74" s="11" t="inlineStr">
        <is>
          <t>2022-12-02</t>
        </is>
      </c>
      <c r="B74" s="11" t="inlineStr">
        <is>
          <t>中间分位</t>
        </is>
      </c>
      <c r="C74" s="15" t="n">
        <v>0.3333</v>
      </c>
      <c r="D74" s="13" t="n">
        <v>-0.004352</v>
      </c>
      <c r="E74" s="13" t="n">
        <v>-0.02313</v>
      </c>
      <c r="F74" s="13" t="n">
        <v>0.018778</v>
      </c>
      <c r="G74" s="13" t="n">
        <v>0.8416</v>
      </c>
      <c r="H74" s="13" t="n">
        <v>-0.018645</v>
      </c>
      <c r="I74" s="13" t="n">
        <v>-0.038551</v>
      </c>
      <c r="J74" s="13" t="n">
        <v>0.019906</v>
      </c>
      <c r="K74" s="13" t="n">
        <v>0.674</v>
      </c>
      <c r="L74" s="13" t="n">
        <v>-0.001245</v>
      </c>
      <c r="M74" s="13" t="n">
        <v>0.008481000000000001</v>
      </c>
      <c r="N74" s="13" t="n">
        <v>-0.009726</v>
      </c>
      <c r="O74" s="13" t="n">
        <v>0.872</v>
      </c>
      <c r="P74" s="13" t="n">
        <v>-0.018645</v>
      </c>
      <c r="Q74" s="13" t="n">
        <v>0.022745</v>
      </c>
      <c r="R74" s="13" t="n">
        <v>-0.04139</v>
      </c>
      <c r="S74" s="13" t="n">
        <v>0.5495</v>
      </c>
      <c r="T74" s="13" t="n">
        <v>0.004348</v>
      </c>
      <c r="U74" s="13" t="n">
        <v>0.003084</v>
      </c>
      <c r="V74" s="13" t="n">
        <v>0.001264</v>
      </c>
      <c r="W74" s="13" t="n">
        <v>0.415</v>
      </c>
      <c r="X74" s="13" t="n">
        <v>-0.182722</v>
      </c>
      <c r="Y74" s="13" t="n">
        <v>-0.206245</v>
      </c>
      <c r="Z74" s="13" t="n">
        <v>0.023523</v>
      </c>
      <c r="AA74" s="13" t="n">
        <v>0.5302</v>
      </c>
    </row>
    <row r="75">
      <c r="A75" s="6" t="inlineStr">
        <is>
          <t>2022-12-05</t>
        </is>
      </c>
      <c r="B75" s="6" t="inlineStr">
        <is>
          <t>中间分位</t>
        </is>
      </c>
      <c r="C75" s="10" t="n">
        <v>0.5286</v>
      </c>
      <c r="D75" s="8" t="n">
        <v>0</v>
      </c>
      <c r="E75" s="8" t="n">
        <v>-0.012628</v>
      </c>
      <c r="F75" s="8" t="n">
        <v>0.012628</v>
      </c>
      <c r="G75" s="8" t="n">
        <v>1</v>
      </c>
      <c r="H75" s="8" t="n">
        <v>0.003745</v>
      </c>
      <c r="I75" s="8" t="n">
        <v>-0.002762</v>
      </c>
      <c r="J75" s="8" t="n">
        <v>0.006507</v>
      </c>
      <c r="K75" s="8" t="n">
        <v>0.4245</v>
      </c>
      <c r="L75" s="8" t="n">
        <v>-0.005307</v>
      </c>
      <c r="M75" s="8" t="n">
        <v>0.014601</v>
      </c>
      <c r="N75" s="8" t="n">
        <v>-0.019908</v>
      </c>
      <c r="O75" s="8" t="n">
        <v>0.7334000000000001</v>
      </c>
      <c r="P75" s="8" t="n">
        <v>0.01061</v>
      </c>
      <c r="Q75" s="8" t="n">
        <v>0.053275</v>
      </c>
      <c r="R75" s="8" t="n">
        <v>-0.042665</v>
      </c>
      <c r="S75" s="8" t="n">
        <v>0.8339</v>
      </c>
      <c r="T75" s="8" t="n">
        <v>0.002498</v>
      </c>
      <c r="U75" s="8" t="n">
        <v>0.031965</v>
      </c>
      <c r="V75" s="8" t="n">
        <v>-0.029467</v>
      </c>
      <c r="W75" s="8" t="n">
        <v>0.9275</v>
      </c>
      <c r="X75" s="8" t="n">
        <v>-0.183521</v>
      </c>
      <c r="Y75" s="8" t="n">
        <v>-0.194554</v>
      </c>
      <c r="Z75" s="8" t="n">
        <v>0.011033</v>
      </c>
      <c r="AA75" s="8" t="n">
        <v>0.5145999999999999</v>
      </c>
    </row>
    <row r="76">
      <c r="A76" s="11" t="inlineStr">
        <is>
          <t>2022-12-06</t>
        </is>
      </c>
      <c r="B76" s="11" t="inlineStr">
        <is>
          <t>中间分位</t>
        </is>
      </c>
      <c r="C76" s="15" t="n">
        <v>0.5775</v>
      </c>
      <c r="D76" s="13" t="n">
        <v>0.000625</v>
      </c>
      <c r="E76" s="13" t="n">
        <v>-0.020384</v>
      </c>
      <c r="F76" s="13" t="n">
        <v>0.021009</v>
      </c>
      <c r="G76" s="13" t="n">
        <v>0.9703000000000001</v>
      </c>
      <c r="H76" s="13" t="n">
        <v>0.007491</v>
      </c>
      <c r="I76" s="13" t="n">
        <v>0.015987</v>
      </c>
      <c r="J76" s="13" t="n">
        <v>-0.008496</v>
      </c>
      <c r="K76" s="13" t="n">
        <v>0.6808999999999999</v>
      </c>
      <c r="L76" s="13" t="n">
        <v>-0.013734</v>
      </c>
      <c r="M76" s="13" t="n">
        <v>0.018785</v>
      </c>
      <c r="N76" s="13" t="n">
        <v>-0.032519</v>
      </c>
      <c r="O76" s="13" t="n">
        <v>0.5777</v>
      </c>
      <c r="P76" s="13" t="n">
        <v>0.014356</v>
      </c>
      <c r="Q76" s="13" t="n">
        <v>0.054357</v>
      </c>
      <c r="R76" s="13" t="n">
        <v>-0.040001</v>
      </c>
      <c r="S76" s="13" t="n">
        <v>0.7911</v>
      </c>
      <c r="T76" s="13" t="n">
        <v>0.004056</v>
      </c>
      <c r="U76" s="13" t="n">
        <v>0.029576</v>
      </c>
      <c r="V76" s="13" t="n">
        <v>-0.02552</v>
      </c>
      <c r="W76" s="13" t="n">
        <v>0.8794</v>
      </c>
      <c r="X76" s="13" t="n">
        <v>-0.198502</v>
      </c>
      <c r="Y76" s="13" t="n">
        <v>-0.197442</v>
      </c>
      <c r="Z76" s="13" t="n">
        <v>-0.00106</v>
      </c>
      <c r="AA76" s="13" t="n">
        <v>0.4987</v>
      </c>
    </row>
    <row r="77">
      <c r="A77" s="6" t="inlineStr">
        <is>
          <t>2022-12-07</t>
        </is>
      </c>
      <c r="B77" s="6" t="inlineStr">
        <is>
          <t>中间分位</t>
        </is>
      </c>
      <c r="C77" s="10" t="n">
        <v>0.7222</v>
      </c>
      <c r="D77" s="8" t="n">
        <v>-0.018715</v>
      </c>
      <c r="E77" s="8" t="n">
        <v>0.009384</v>
      </c>
      <c r="F77" s="8" t="n">
        <v>-0.028099</v>
      </c>
      <c r="G77" s="8" t="n">
        <v>0.334</v>
      </c>
      <c r="H77" s="8" t="n">
        <v>0.0053</v>
      </c>
      <c r="I77" s="8" t="n">
        <v>0.053448</v>
      </c>
      <c r="J77" s="8" t="n">
        <v>-0.048148</v>
      </c>
      <c r="K77" s="8" t="n">
        <v>0.9098000000000001</v>
      </c>
      <c r="L77" s="8" t="n">
        <v>-0.011854</v>
      </c>
      <c r="M77" s="8" t="n">
        <v>0.048552</v>
      </c>
      <c r="N77" s="8" t="n">
        <v>-0.060406</v>
      </c>
      <c r="O77" s="8" t="n">
        <v>0.8038</v>
      </c>
      <c r="P77" s="8" t="n">
        <v>0.004679</v>
      </c>
      <c r="Q77" s="8" t="n">
        <v>0.073031</v>
      </c>
      <c r="R77" s="8" t="n">
        <v>-0.068352</v>
      </c>
      <c r="S77" s="8" t="n">
        <v>0.9398</v>
      </c>
      <c r="T77" s="8" t="n">
        <v>-0.009672</v>
      </c>
      <c r="U77" s="8" t="n">
        <v>0.050592</v>
      </c>
      <c r="V77" s="8" t="n">
        <v>-0.060264</v>
      </c>
      <c r="W77" s="8" t="n">
        <v>0.8395</v>
      </c>
      <c r="X77" s="8" t="n">
        <v>-0.208671</v>
      </c>
      <c r="Y77" s="8" t="n">
        <v>-0.167279</v>
      </c>
      <c r="Z77" s="8" t="n">
        <v>-0.041392</v>
      </c>
      <c r="AA77" s="8" t="n">
        <v>0.445</v>
      </c>
    </row>
    <row r="78">
      <c r="A78" s="11" t="inlineStr">
        <is>
          <t>2022-12-08</t>
        </is>
      </c>
      <c r="B78" s="11" t="inlineStr">
        <is>
          <t>中间分位</t>
        </is>
      </c>
      <c r="C78" s="15" t="n">
        <v>0.5479000000000001</v>
      </c>
      <c r="D78" s="13" t="n">
        <v>0.003814</v>
      </c>
      <c r="E78" s="13" t="n">
        <v>0.008083999999999999</v>
      </c>
      <c r="F78" s="13" t="n">
        <v>-0.00427</v>
      </c>
      <c r="G78" s="13" t="n">
        <v>0.6794</v>
      </c>
      <c r="H78" s="13" t="n">
        <v>0.024473</v>
      </c>
      <c r="I78" s="13" t="n">
        <v>0.061439</v>
      </c>
      <c r="J78" s="13" t="n">
        <v>-0.036966</v>
      </c>
      <c r="K78" s="13" t="n">
        <v>0.7151</v>
      </c>
      <c r="L78" s="13" t="n">
        <v>-0.003814</v>
      </c>
      <c r="M78" s="13" t="n">
        <v>0.02304</v>
      </c>
      <c r="N78" s="13" t="n">
        <v>-0.026854</v>
      </c>
      <c r="O78" s="13" t="n">
        <v>0.858</v>
      </c>
      <c r="P78" s="13" t="n">
        <v>0.019072</v>
      </c>
      <c r="Q78" s="13" t="n">
        <v>0.063864</v>
      </c>
      <c r="R78" s="13" t="n">
        <v>-0.044792</v>
      </c>
      <c r="S78" s="13" t="n">
        <v>0.77</v>
      </c>
      <c r="T78" s="13" t="n">
        <v>0.006355</v>
      </c>
      <c r="U78" s="13" t="n">
        <v>0.027082</v>
      </c>
      <c r="V78" s="13" t="n">
        <v>-0.020727</v>
      </c>
      <c r="W78" s="13" t="n">
        <v>0.8099</v>
      </c>
      <c r="X78" s="13" t="n">
        <v>-0.204389</v>
      </c>
      <c r="Y78" s="13" t="n">
        <v>-0.174212</v>
      </c>
      <c r="Z78" s="13" t="n">
        <v>-0.030177</v>
      </c>
      <c r="AA78" s="13" t="n">
        <v>0.4601</v>
      </c>
    </row>
    <row r="79">
      <c r="A79" s="6" t="inlineStr">
        <is>
          <t>2022-12-09</t>
        </is>
      </c>
      <c r="B79" s="6" t="inlineStr">
        <is>
          <t>中间分位</t>
        </is>
      </c>
      <c r="C79" s="10" t="n">
        <v>0.527</v>
      </c>
      <c r="D79" s="8" t="n">
        <v>0.018365</v>
      </c>
      <c r="E79" s="8" t="n">
        <v>0.013232</v>
      </c>
      <c r="F79" s="8" t="n">
        <v>0.005133</v>
      </c>
      <c r="G79" s="8" t="n">
        <v>0.4188</v>
      </c>
      <c r="H79" s="8" t="n">
        <v>0.01773</v>
      </c>
      <c r="I79" s="8" t="n">
        <v>0.048917</v>
      </c>
      <c r="J79" s="8" t="n">
        <v>-0.031187</v>
      </c>
      <c r="K79" s="8" t="n">
        <v>0.734</v>
      </c>
      <c r="L79" s="8" t="n">
        <v>-0.012034</v>
      </c>
      <c r="M79" s="8" t="n">
        <v>0.000401</v>
      </c>
      <c r="N79" s="8" t="n">
        <v>-0.012435</v>
      </c>
      <c r="O79" s="8" t="n">
        <v>0.0322</v>
      </c>
      <c r="P79" s="8" t="n">
        <v>0.018365</v>
      </c>
      <c r="Q79" s="8" t="n">
        <v>0.041299</v>
      </c>
      <c r="R79" s="8" t="n">
        <v>-0.022934</v>
      </c>
      <c r="S79" s="8" t="n">
        <v>0.6922</v>
      </c>
      <c r="T79" s="8" t="n">
        <v>-0.004119</v>
      </c>
      <c r="U79" s="8" t="n">
        <v>0.034483</v>
      </c>
      <c r="V79" s="8" t="n">
        <v>-0.038602</v>
      </c>
      <c r="W79" s="8" t="n">
        <v>0.8933</v>
      </c>
      <c r="X79" s="8" t="n">
        <v>-0.211527</v>
      </c>
      <c r="Y79" s="8" t="n">
        <v>-0.210505</v>
      </c>
      <c r="Z79" s="8" t="n">
        <v>-0.001022</v>
      </c>
      <c r="AA79" s="8" t="n">
        <v>0.4988</v>
      </c>
    </row>
    <row r="80">
      <c r="A80" s="11" t="inlineStr">
        <is>
          <t>2022-12-12</t>
        </is>
      </c>
      <c r="B80" s="11" t="inlineStr">
        <is>
          <t>中间分位</t>
        </is>
      </c>
      <c r="C80" s="15" t="n">
        <v>0.5600000000000001</v>
      </c>
      <c r="D80" s="13" t="n">
        <v>0.003731</v>
      </c>
      <c r="E80" s="13" t="n">
        <v>0.005936</v>
      </c>
      <c r="F80" s="13" t="n">
        <v>-0.002205</v>
      </c>
      <c r="G80" s="13" t="n">
        <v>0.614</v>
      </c>
      <c r="H80" s="13" t="n">
        <v>-0.009018999999999999</v>
      </c>
      <c r="I80" s="13" t="n">
        <v>0.017412</v>
      </c>
      <c r="J80" s="13" t="n">
        <v>-0.026431</v>
      </c>
      <c r="K80" s="13" t="n">
        <v>0.6588000000000001</v>
      </c>
      <c r="L80" s="13" t="n">
        <v>-0.042287</v>
      </c>
      <c r="M80" s="13" t="n">
        <v>-0.011476</v>
      </c>
      <c r="N80" s="13" t="n">
        <v>-0.030811</v>
      </c>
      <c r="O80" s="13" t="n">
        <v>0.2135</v>
      </c>
      <c r="P80" s="13" t="n">
        <v>-0.012437</v>
      </c>
      <c r="Q80" s="13" t="n">
        <v>0.038385</v>
      </c>
      <c r="R80" s="13" t="n">
        <v>-0.050822</v>
      </c>
      <c r="S80" s="13" t="n">
        <v>0.7553</v>
      </c>
      <c r="T80" s="13" t="n">
        <v>-0.012127</v>
      </c>
      <c r="U80" s="13" t="n">
        <v>0.019391</v>
      </c>
      <c r="V80" s="13" t="n">
        <v>-0.031518</v>
      </c>
      <c r="W80" s="13" t="n">
        <v>0.6152</v>
      </c>
      <c r="X80" s="13" t="n">
        <v>-0.247825</v>
      </c>
      <c r="Y80" s="13" t="n">
        <v>-0.204195</v>
      </c>
      <c r="Z80" s="13" t="n">
        <v>-0.04363</v>
      </c>
      <c r="AA80" s="13" t="n">
        <v>0.4517</v>
      </c>
    </row>
    <row r="81">
      <c r="A81" s="6" t="inlineStr">
        <is>
          <t>2022-12-13</t>
        </is>
      </c>
      <c r="B81" s="6" t="inlineStr">
        <is>
          <t>中间分位</t>
        </is>
      </c>
      <c r="C81" s="10" t="n">
        <v>0.5395</v>
      </c>
      <c r="D81" s="8" t="n">
        <v>-0.00155</v>
      </c>
      <c r="E81" s="8" t="n">
        <v>0.015736</v>
      </c>
      <c r="F81" s="8" t="n">
        <v>-0.017286</v>
      </c>
      <c r="G81" s="8" t="n">
        <v>0.9103</v>
      </c>
      <c r="H81" s="8" t="n">
        <v>-0.021067</v>
      </c>
      <c r="I81" s="8" t="n">
        <v>0.002754</v>
      </c>
      <c r="J81" s="8" t="n">
        <v>-0.023821</v>
      </c>
      <c r="K81" s="8" t="n">
        <v>0.1156</v>
      </c>
      <c r="L81" s="8" t="n">
        <v>-0.048948</v>
      </c>
      <c r="M81" s="8" t="n">
        <v>0.003147</v>
      </c>
      <c r="N81" s="8" t="n">
        <v>-0.052095</v>
      </c>
      <c r="O81" s="8" t="n">
        <v>0.0604</v>
      </c>
      <c r="P81" s="8" t="n">
        <v>-0.011152</v>
      </c>
      <c r="Q81" s="8" t="n">
        <v>0.036192</v>
      </c>
      <c r="R81" s="8" t="n">
        <v>-0.047344</v>
      </c>
      <c r="S81" s="8" t="n">
        <v>0.7644</v>
      </c>
      <c r="T81" s="8" t="n">
        <v>-0.018587</v>
      </c>
      <c r="U81" s="8" t="n">
        <v>0.004721</v>
      </c>
      <c r="V81" s="8" t="n">
        <v>-0.023308</v>
      </c>
      <c r="W81" s="8" t="n">
        <v>0.2025</v>
      </c>
      <c r="X81" s="8" t="n">
        <v>-0.23761</v>
      </c>
      <c r="Y81" s="8" t="n">
        <v>-0.20771</v>
      </c>
      <c r="Z81" s="8" t="n">
        <v>-0.0299</v>
      </c>
      <c r="AA81" s="8" t="n">
        <v>0.4664</v>
      </c>
    </row>
    <row r="82">
      <c r="A82" s="11" t="inlineStr">
        <is>
          <t>2022-12-14</t>
        </is>
      </c>
      <c r="B82" s="11" t="inlineStr">
        <is>
          <t>中间分位</t>
        </is>
      </c>
      <c r="C82" s="15" t="n">
        <v>0.3766</v>
      </c>
      <c r="D82" s="13" t="n">
        <v>0</v>
      </c>
      <c r="E82" s="13" t="n">
        <v>0.017041</v>
      </c>
      <c r="F82" s="13" t="n">
        <v>-0.017041</v>
      </c>
      <c r="G82" s="13" t="n">
        <v>1</v>
      </c>
      <c r="H82" s="13" t="n">
        <v>-0.017064</v>
      </c>
      <c r="I82" s="13" t="n">
        <v>-0.004648</v>
      </c>
      <c r="J82" s="13" t="n">
        <v>-0.012416</v>
      </c>
      <c r="K82" s="13" t="n">
        <v>0.2141</v>
      </c>
      <c r="L82" s="13" t="n">
        <v>-0.023888</v>
      </c>
      <c r="M82" s="13" t="n">
        <v>-0.006197</v>
      </c>
      <c r="N82" s="13" t="n">
        <v>-0.017691</v>
      </c>
      <c r="O82" s="13" t="n">
        <v>0.206</v>
      </c>
      <c r="P82" s="13" t="n">
        <v>-0.012101</v>
      </c>
      <c r="Q82" s="13" t="n">
        <v>0.015492</v>
      </c>
      <c r="R82" s="13" t="n">
        <v>-0.027593</v>
      </c>
      <c r="S82" s="13" t="n">
        <v>0.5614</v>
      </c>
      <c r="T82" s="13" t="n">
        <v>-0.021096</v>
      </c>
      <c r="U82" s="13" t="n">
        <v>-0.04299</v>
      </c>
      <c r="V82" s="13" t="n">
        <v>0.021894</v>
      </c>
      <c r="W82" s="13" t="n">
        <v>0.6708</v>
      </c>
      <c r="X82" s="13" t="n">
        <v>-0.239527</v>
      </c>
      <c r="Y82" s="13" t="n">
        <v>-0.211464</v>
      </c>
      <c r="Z82" s="13" t="n">
        <v>-0.028063</v>
      </c>
      <c r="AA82" s="13" t="n">
        <v>0.4689</v>
      </c>
    </row>
    <row r="83">
      <c r="A83" s="6" t="inlineStr">
        <is>
          <t>2022-12-15</t>
        </is>
      </c>
      <c r="B83" s="6" t="inlineStr">
        <is>
          <t>中间分位</t>
        </is>
      </c>
      <c r="C83" s="10" t="n">
        <v>0.2821</v>
      </c>
      <c r="D83" s="8" t="n">
        <v>-0.002792</v>
      </c>
      <c r="E83" s="8" t="n">
        <v>-0.003808</v>
      </c>
      <c r="F83" s="8" t="n">
        <v>0.001016</v>
      </c>
      <c r="G83" s="8" t="n">
        <v>0.577</v>
      </c>
      <c r="H83" s="8" t="n">
        <v>-0.027612</v>
      </c>
      <c r="I83" s="8" t="n">
        <v>-0.036177</v>
      </c>
      <c r="J83" s="8" t="n">
        <v>0.008565</v>
      </c>
      <c r="K83" s="8" t="n">
        <v>0.5671</v>
      </c>
      <c r="L83" s="8" t="n">
        <v>-0.020787</v>
      </c>
      <c r="M83" s="8" t="n">
        <v>-0.022087</v>
      </c>
      <c r="N83" s="8" t="n">
        <v>0.0013</v>
      </c>
      <c r="O83" s="8" t="n">
        <v>0.5152</v>
      </c>
      <c r="P83" s="8" t="n">
        <v>-0.018616</v>
      </c>
      <c r="Q83" s="8" t="n">
        <v>0.010282</v>
      </c>
      <c r="R83" s="8" t="n">
        <v>-0.028898</v>
      </c>
      <c r="S83" s="8" t="n">
        <v>0.3558</v>
      </c>
      <c r="T83" s="8" t="n">
        <v>-0.040956</v>
      </c>
      <c r="U83" s="8" t="n">
        <v>-0.045316</v>
      </c>
      <c r="V83" s="8" t="n">
        <v>0.00436</v>
      </c>
      <c r="W83" s="8" t="n">
        <v>0.5253</v>
      </c>
      <c r="X83" s="8" t="n">
        <v>-0.233012</v>
      </c>
      <c r="Y83" s="8" t="n">
        <v>-0.216299</v>
      </c>
      <c r="Z83" s="8" t="n">
        <v>-0.016713</v>
      </c>
      <c r="AA83" s="8" t="n">
        <v>0.4814</v>
      </c>
    </row>
    <row r="84">
      <c r="A84" s="11" t="inlineStr">
        <is>
          <t>2022-12-16</t>
        </is>
      </c>
      <c r="B84" s="11" t="inlineStr">
        <is>
          <t>中间分位</t>
        </is>
      </c>
      <c r="C84" s="15" t="n">
        <v>0.2911</v>
      </c>
      <c r="D84" s="13" t="n">
        <v>-0.008401</v>
      </c>
      <c r="E84" s="13" t="n">
        <v>-0.017202</v>
      </c>
      <c r="F84" s="13" t="n">
        <v>0.008801</v>
      </c>
      <c r="G84" s="13" t="n">
        <v>0.6719000000000001</v>
      </c>
      <c r="H84" s="13" t="n">
        <v>-0.029246</v>
      </c>
      <c r="I84" s="13" t="n">
        <v>-0.046254</v>
      </c>
      <c r="J84" s="13" t="n">
        <v>0.017008</v>
      </c>
      <c r="K84" s="13" t="n">
        <v>0.6126</v>
      </c>
      <c r="L84" s="13" t="n">
        <v>-0.017421</v>
      </c>
      <c r="M84" s="13" t="n">
        <v>0.014144</v>
      </c>
      <c r="N84" s="13" t="n">
        <v>-0.031565</v>
      </c>
      <c r="O84" s="13" t="n">
        <v>0.4481</v>
      </c>
      <c r="P84" s="13" t="n">
        <v>-0.009953999999999999</v>
      </c>
      <c r="Q84" s="13" t="n">
        <v>0.00344</v>
      </c>
      <c r="R84" s="13" t="n">
        <v>-0.013394</v>
      </c>
      <c r="S84" s="13" t="n">
        <v>0.2568</v>
      </c>
      <c r="T84" s="13" t="n">
        <v>-0.024889</v>
      </c>
      <c r="U84" s="13" t="n">
        <v>-0.036697</v>
      </c>
      <c r="V84" s="13" t="n">
        <v>0.011808</v>
      </c>
      <c r="W84" s="13" t="n">
        <v>0.5959</v>
      </c>
      <c r="X84" s="13" t="n">
        <v>-0.225573</v>
      </c>
      <c r="Y84" s="13" t="n">
        <v>-0.215979</v>
      </c>
      <c r="Z84" s="13" t="n">
        <v>-0.009594</v>
      </c>
      <c r="AA84" s="13" t="n">
        <v>0.4891</v>
      </c>
    </row>
    <row r="85">
      <c r="A85" s="6" t="inlineStr">
        <is>
          <t>2022-12-19</t>
        </is>
      </c>
      <c r="B85" s="6" t="inlineStr">
        <is>
          <t>中间分位</t>
        </is>
      </c>
      <c r="C85" s="10" t="n">
        <v>0.3125</v>
      </c>
      <c r="D85" s="8" t="n">
        <v>-0.008472</v>
      </c>
      <c r="E85" s="8" t="n">
        <v>-0.008557</v>
      </c>
      <c r="F85" s="8" t="n">
        <v>8.500000000000001e-05</v>
      </c>
      <c r="G85" s="8" t="n">
        <v>0.5024999999999999</v>
      </c>
      <c r="H85" s="8" t="n">
        <v>-0.033571</v>
      </c>
      <c r="I85" s="8" t="n">
        <v>-0.028394</v>
      </c>
      <c r="J85" s="8" t="n">
        <v>-0.005177</v>
      </c>
      <c r="K85" s="8" t="n">
        <v>0.4582</v>
      </c>
      <c r="L85" s="8" t="n">
        <v>0.016003</v>
      </c>
      <c r="M85" s="8" t="n">
        <v>0.038117</v>
      </c>
      <c r="N85" s="8" t="n">
        <v>-0.022114</v>
      </c>
      <c r="O85" s="8" t="n">
        <v>0.7043</v>
      </c>
      <c r="P85" s="8" t="n">
        <v>-0.011296</v>
      </c>
      <c r="Q85" s="8" t="n">
        <v>0.042396</v>
      </c>
      <c r="R85" s="8" t="n">
        <v>-0.053692</v>
      </c>
      <c r="S85" s="8" t="n">
        <v>0.7896</v>
      </c>
      <c r="T85" s="8" t="n">
        <v>-0.01412</v>
      </c>
      <c r="U85" s="8" t="n">
        <v>-0.029172</v>
      </c>
      <c r="V85" s="8" t="n">
        <v>0.015052</v>
      </c>
      <c r="W85" s="8" t="n">
        <v>0.6738</v>
      </c>
      <c r="X85" s="8" t="n">
        <v>-0.222153</v>
      </c>
      <c r="Y85" s="8" t="n">
        <v>-0.190976</v>
      </c>
      <c r="Z85" s="8" t="n">
        <v>-0.031177</v>
      </c>
      <c r="AA85" s="8" t="n">
        <v>0.4623</v>
      </c>
    </row>
    <row r="86">
      <c r="A86" s="11" t="inlineStr">
        <is>
          <t>2022-12-20</t>
        </is>
      </c>
      <c r="B86" s="11" t="inlineStr">
        <is>
          <t>中间分位</t>
        </is>
      </c>
      <c r="C86" s="15" t="n">
        <v>0.321</v>
      </c>
      <c r="D86" s="13" t="n">
        <v>0.002533</v>
      </c>
      <c r="E86" s="13" t="n">
        <v>0.008239</v>
      </c>
      <c r="F86" s="13" t="n">
        <v>-0.005706</v>
      </c>
      <c r="G86" s="13" t="n">
        <v>0.7649</v>
      </c>
      <c r="H86" s="13" t="n">
        <v>-0.028481</v>
      </c>
      <c r="I86" s="13" t="n">
        <v>0.000392</v>
      </c>
      <c r="J86" s="13" t="n">
        <v>-0.028873</v>
      </c>
      <c r="K86" s="13" t="n">
        <v>0.0136</v>
      </c>
      <c r="L86" s="13" t="n">
        <v>0.028481</v>
      </c>
      <c r="M86" s="13" t="n">
        <v>0.034916</v>
      </c>
      <c r="N86" s="13" t="n">
        <v>-0.006435</v>
      </c>
      <c r="O86" s="13" t="n">
        <v>0.5508</v>
      </c>
      <c r="P86" s="13" t="n">
        <v>0.01456</v>
      </c>
      <c r="Q86" s="13" t="n">
        <v>0.056493</v>
      </c>
      <c r="R86" s="13" t="n">
        <v>-0.041933</v>
      </c>
      <c r="S86" s="13" t="n">
        <v>0.7951</v>
      </c>
      <c r="T86" s="13" t="n">
        <v>-0.01582</v>
      </c>
      <c r="U86" s="13" t="n">
        <v>-0.012162</v>
      </c>
      <c r="V86" s="13" t="n">
        <v>-0.003658</v>
      </c>
      <c r="W86" s="13" t="n">
        <v>0.4346</v>
      </c>
      <c r="X86" s="13" t="n">
        <v>-0.205694</v>
      </c>
      <c r="Y86" s="13" t="n">
        <v>-0.185955</v>
      </c>
      <c r="Z86" s="13" t="n">
        <v>-0.019739</v>
      </c>
      <c r="AA86" s="13" t="n">
        <v>0.4748</v>
      </c>
    </row>
    <row r="87">
      <c r="A87" s="6" t="inlineStr">
        <is>
          <t>2022-12-21</t>
        </is>
      </c>
      <c r="B87" s="6" t="inlineStr">
        <is>
          <t>中间分位</t>
        </is>
      </c>
      <c r="C87" s="10" t="n">
        <v>0.3049</v>
      </c>
      <c r="D87" s="8" t="n">
        <v>-0.010731</v>
      </c>
      <c r="E87" s="8" t="n">
        <v>-0.015175</v>
      </c>
      <c r="F87" s="8" t="n">
        <v>0.004444</v>
      </c>
      <c r="G87" s="8" t="n">
        <v>0.5858</v>
      </c>
      <c r="H87" s="8" t="n">
        <v>-0.006943</v>
      </c>
      <c r="I87" s="8" t="n">
        <v>-0.001556</v>
      </c>
      <c r="J87" s="8" t="n">
        <v>-0.005387</v>
      </c>
      <c r="K87" s="8" t="n">
        <v>0.1831</v>
      </c>
      <c r="L87" s="8" t="n">
        <v>0.016731</v>
      </c>
      <c r="M87" s="8" t="n">
        <v>0.023346</v>
      </c>
      <c r="N87" s="8" t="n">
        <v>-0.006615</v>
      </c>
      <c r="O87" s="8" t="n">
        <v>0.5825</v>
      </c>
      <c r="P87" s="8" t="n">
        <v>0.018939</v>
      </c>
      <c r="Q87" s="8" t="n">
        <v>0.06342399999999999</v>
      </c>
      <c r="R87" s="8" t="n">
        <v>-0.044485</v>
      </c>
      <c r="S87" s="8" t="n">
        <v>0.7701</v>
      </c>
      <c r="T87" s="8" t="n">
        <v>-0.009469999999999999</v>
      </c>
      <c r="U87" s="8" t="n">
        <v>-0.020623</v>
      </c>
      <c r="V87" s="8" t="n">
        <v>0.011153</v>
      </c>
      <c r="W87" s="8" t="n">
        <v>0.6853</v>
      </c>
      <c r="X87" s="8" t="n">
        <v>-0.212121</v>
      </c>
      <c r="Y87" s="8" t="n">
        <v>-0.20428</v>
      </c>
      <c r="Z87" s="8" t="n">
        <v>-0.007841000000000001</v>
      </c>
      <c r="AA87" s="8" t="n">
        <v>0.4906</v>
      </c>
    </row>
    <row r="88">
      <c r="A88" s="11" t="inlineStr">
        <is>
          <t>2022-12-22</t>
        </is>
      </c>
      <c r="B88" s="11" t="inlineStr">
        <is>
          <t>中间分位</t>
        </is>
      </c>
      <c r="C88" s="15" t="n">
        <v>0.3133</v>
      </c>
      <c r="D88" s="13" t="n">
        <v>-0.004468</v>
      </c>
      <c r="E88" s="13" t="n">
        <v>-0.014224</v>
      </c>
      <c r="F88" s="13" t="n">
        <v>0.009756000000000001</v>
      </c>
      <c r="G88" s="13" t="n">
        <v>0.761</v>
      </c>
      <c r="H88" s="13" t="n">
        <v>0.007018</v>
      </c>
      <c r="I88" s="13" t="n">
        <v>0.014619</v>
      </c>
      <c r="J88" s="13" t="n">
        <v>-0.007601</v>
      </c>
      <c r="K88" s="13" t="n">
        <v>0.6756</v>
      </c>
      <c r="L88" s="13" t="n">
        <v>0.022974</v>
      </c>
      <c r="M88" s="13" t="n">
        <v>0.039905</v>
      </c>
      <c r="N88" s="13" t="n">
        <v>-0.016931</v>
      </c>
      <c r="O88" s="13" t="n">
        <v>0.6346000000000001</v>
      </c>
      <c r="P88" s="13" t="n">
        <v>0.029992</v>
      </c>
      <c r="Q88" s="13" t="n">
        <v>0.096405</v>
      </c>
      <c r="R88" s="13" t="n">
        <v>-0.066413</v>
      </c>
      <c r="S88" s="13" t="n">
        <v>0.7627</v>
      </c>
      <c r="T88" s="13" t="n">
        <v>-0.000639</v>
      </c>
      <c r="U88" s="13" t="n">
        <v>-0.010273</v>
      </c>
      <c r="V88" s="13" t="n">
        <v>0.009634</v>
      </c>
      <c r="W88" s="13" t="n">
        <v>0.9414</v>
      </c>
      <c r="X88" s="13" t="n">
        <v>-0.205807</v>
      </c>
      <c r="Y88" s="13" t="n">
        <v>-0.173844</v>
      </c>
      <c r="Z88" s="13" t="n">
        <v>-0.031963</v>
      </c>
      <c r="AA88" s="13" t="n">
        <v>0.4579</v>
      </c>
    </row>
    <row r="89">
      <c r="A89" s="6" t="inlineStr">
        <is>
          <t>2022-12-23</t>
        </is>
      </c>
      <c r="B89" s="6" t="inlineStr">
        <is>
          <t>中间分位</t>
        </is>
      </c>
      <c r="C89" s="10" t="n">
        <v>0.4286</v>
      </c>
      <c r="D89" s="8" t="n">
        <v>-0.012819</v>
      </c>
      <c r="E89" s="8" t="n">
        <v>0.001202</v>
      </c>
      <c r="F89" s="8" t="n">
        <v>-0.014021</v>
      </c>
      <c r="G89" s="8" t="n">
        <v>0.0857</v>
      </c>
      <c r="H89" s="8" t="n">
        <v>0.012181</v>
      </c>
      <c r="I89" s="8" t="n">
        <v>0.06332699999999999</v>
      </c>
      <c r="J89" s="8" t="n">
        <v>-0.051146</v>
      </c>
      <c r="K89" s="8" t="n">
        <v>0.8387</v>
      </c>
      <c r="L89" s="8" t="n">
        <v>0.030769</v>
      </c>
      <c r="M89" s="8" t="n">
        <v>0.040882</v>
      </c>
      <c r="N89" s="8" t="n">
        <v>-0.010113</v>
      </c>
      <c r="O89" s="8" t="n">
        <v>0.5706</v>
      </c>
      <c r="P89" s="8" t="n">
        <v>0.079488</v>
      </c>
      <c r="Q89" s="8" t="n">
        <v>0.104208</v>
      </c>
      <c r="R89" s="8" t="n">
        <v>-0.02472</v>
      </c>
      <c r="S89" s="8" t="n">
        <v>0.5673</v>
      </c>
      <c r="T89" s="8" t="n">
        <v>-0.002565</v>
      </c>
      <c r="U89" s="8" t="n">
        <v>0.002004</v>
      </c>
      <c r="V89" s="8" t="n">
        <v>-0.004569</v>
      </c>
      <c r="W89" s="8" t="n">
        <v>0.4386</v>
      </c>
      <c r="X89" s="8" t="n">
        <v>-0.186858</v>
      </c>
      <c r="Y89" s="8" t="n">
        <v>-0.159118</v>
      </c>
      <c r="Z89" s="8" t="n">
        <v>-0.02774</v>
      </c>
      <c r="AA89" s="8" t="n">
        <v>0.4599</v>
      </c>
    </row>
    <row r="90">
      <c r="A90" s="11" t="inlineStr">
        <is>
          <t>2022-12-26</t>
        </is>
      </c>
      <c r="B90" s="11" t="inlineStr">
        <is>
          <t>中间分位</t>
        </is>
      </c>
      <c r="C90" s="15" t="n">
        <v>0.3059</v>
      </c>
      <c r="D90" s="13" t="n">
        <v>-0.003249</v>
      </c>
      <c r="E90" s="13" t="n">
        <v>0.020817</v>
      </c>
      <c r="F90" s="13" t="n">
        <v>-0.024066</v>
      </c>
      <c r="G90" s="13" t="n">
        <v>0.865</v>
      </c>
      <c r="H90" s="13" t="n">
        <v>0.051296</v>
      </c>
      <c r="I90" s="13" t="n">
        <v>0.068455</v>
      </c>
      <c r="J90" s="13" t="n">
        <v>-0.017159</v>
      </c>
      <c r="K90" s="13" t="n">
        <v>0.5716</v>
      </c>
      <c r="L90" s="13" t="n">
        <v>0.031169</v>
      </c>
      <c r="M90" s="13" t="n">
        <v>0.05044</v>
      </c>
      <c r="N90" s="13" t="n">
        <v>-0.019271</v>
      </c>
      <c r="O90" s="13" t="n">
        <v>0.6181</v>
      </c>
      <c r="P90" s="13" t="n">
        <v>0.078732</v>
      </c>
      <c r="Q90" s="13" t="n">
        <v>0.102082</v>
      </c>
      <c r="R90" s="13" t="n">
        <v>-0.02335</v>
      </c>
      <c r="S90" s="13" t="n">
        <v>0.5646</v>
      </c>
      <c r="T90" s="13" t="n">
        <v>0.005844</v>
      </c>
      <c r="U90" s="13" t="n">
        <v>-0.008807000000000001</v>
      </c>
      <c r="V90" s="13" t="n">
        <v>0.014651</v>
      </c>
      <c r="W90" s="13" t="n">
        <v>0.6011</v>
      </c>
      <c r="X90" s="13" t="n">
        <v>-0.174027</v>
      </c>
      <c r="Y90" s="13" t="n">
        <v>-0.141713</v>
      </c>
      <c r="Z90" s="13" t="n">
        <v>-0.032314</v>
      </c>
      <c r="AA90" s="13" t="n">
        <v>0.4488</v>
      </c>
    </row>
    <row r="91">
      <c r="A91" s="6" t="inlineStr">
        <is>
          <t>2022-12-27</t>
        </is>
      </c>
      <c r="B91" s="6" t="inlineStr">
        <is>
          <t>中间分位</t>
        </is>
      </c>
      <c r="C91" s="10" t="n">
        <v>0.2093</v>
      </c>
      <c r="D91" s="8" t="n">
        <v>0.024758</v>
      </c>
      <c r="E91" s="8" t="n">
        <v>0.006275</v>
      </c>
      <c r="F91" s="8" t="n">
        <v>0.018483</v>
      </c>
      <c r="G91" s="8" t="n">
        <v>0.2022</v>
      </c>
      <c r="H91" s="8" t="n">
        <v>0.058632</v>
      </c>
      <c r="I91" s="8" t="n">
        <v>0.03451</v>
      </c>
      <c r="J91" s="8" t="n">
        <v>0.024122</v>
      </c>
      <c r="K91" s="8" t="n">
        <v>0.3705</v>
      </c>
      <c r="L91" s="8" t="n">
        <v>0.039741</v>
      </c>
      <c r="M91" s="8" t="n">
        <v>0.032941</v>
      </c>
      <c r="N91" s="8" t="n">
        <v>0.0068</v>
      </c>
      <c r="O91" s="8" t="n">
        <v>0.4532</v>
      </c>
      <c r="P91" s="8" t="n">
        <v>0.078829</v>
      </c>
      <c r="Q91" s="8" t="n">
        <v>0.081569</v>
      </c>
      <c r="R91" s="8" t="n">
        <v>-0.00274</v>
      </c>
      <c r="S91" s="8" t="n">
        <v>0.5085</v>
      </c>
      <c r="T91" s="8" t="n">
        <v>-0.007165</v>
      </c>
      <c r="U91" s="8" t="n">
        <v>-0.028627</v>
      </c>
      <c r="V91" s="8" t="n">
        <v>0.021462</v>
      </c>
      <c r="W91" s="8" t="n">
        <v>0.7998</v>
      </c>
      <c r="X91" s="8" t="n">
        <v>-0.155046</v>
      </c>
      <c r="Y91" s="8" t="n">
        <v>-0.152549</v>
      </c>
      <c r="Z91" s="8" t="n">
        <v>-0.002497</v>
      </c>
      <c r="AA91" s="8" t="n">
        <v>0.4959</v>
      </c>
    </row>
    <row r="92">
      <c r="A92" s="11" t="inlineStr">
        <is>
          <t>2022-12-28</t>
        </is>
      </c>
      <c r="B92" s="11" t="inlineStr">
        <is>
          <t>中间分位</t>
        </is>
      </c>
      <c r="C92" s="15" t="n">
        <v>0.2644</v>
      </c>
      <c r="D92" s="13" t="n">
        <v>0.003177</v>
      </c>
      <c r="E92" s="13" t="n">
        <v>0.000779</v>
      </c>
      <c r="F92" s="13" t="n">
        <v>0.002398</v>
      </c>
      <c r="G92" s="13" t="n">
        <v>0.1969</v>
      </c>
      <c r="H92" s="13" t="n">
        <v>0.02384</v>
      </c>
      <c r="I92" s="13" t="n">
        <v>0.024942</v>
      </c>
      <c r="J92" s="13" t="n">
        <v>-0.001102</v>
      </c>
      <c r="K92" s="13" t="n">
        <v>0.5113</v>
      </c>
      <c r="L92" s="13" t="n">
        <v>0.012076</v>
      </c>
      <c r="M92" s="13" t="n">
        <v>0.021824</v>
      </c>
      <c r="N92" s="13" t="n">
        <v>-0.009748</v>
      </c>
      <c r="O92" s="13" t="n">
        <v>0.6438</v>
      </c>
      <c r="P92" s="13" t="n">
        <v>0.060393</v>
      </c>
      <c r="Q92" s="13" t="n">
        <v>0.048324</v>
      </c>
      <c r="R92" s="13" t="n">
        <v>0.012069</v>
      </c>
      <c r="S92" s="13" t="n">
        <v>0.4445</v>
      </c>
      <c r="T92" s="13" t="n">
        <v>-0.033059</v>
      </c>
      <c r="U92" s="13" t="n">
        <v>-0.030008</v>
      </c>
      <c r="V92" s="13" t="n">
        <v>-0.003051</v>
      </c>
      <c r="W92" s="13" t="n">
        <v>0.4758</v>
      </c>
      <c r="X92" s="13" t="n">
        <v>-0.168469</v>
      </c>
      <c r="Y92" s="13" t="n">
        <v>-0.156664</v>
      </c>
      <c r="Z92" s="13" t="n">
        <v>-0.011805</v>
      </c>
      <c r="AA92" s="13" t="n">
        <v>0.4818</v>
      </c>
    </row>
    <row r="93">
      <c r="A93" s="6" t="inlineStr">
        <is>
          <t>2022-12-29</t>
        </is>
      </c>
      <c r="B93" s="6" t="inlineStr">
        <is>
          <t>中间分位</t>
        </is>
      </c>
      <c r="C93" s="10" t="n">
        <v>0.2955</v>
      </c>
      <c r="D93" s="8" t="n">
        <v>0.000635</v>
      </c>
      <c r="E93" s="8" t="n">
        <v>0.0331</v>
      </c>
      <c r="F93" s="8" t="n">
        <v>-0.032465</v>
      </c>
      <c r="G93" s="8" t="n">
        <v>0.9812</v>
      </c>
      <c r="H93" s="8" t="n">
        <v>0.015844</v>
      </c>
      <c r="I93" s="8" t="n">
        <v>0.024922</v>
      </c>
      <c r="J93" s="8" t="n">
        <v>-0.009077999999999999</v>
      </c>
      <c r="K93" s="8" t="n">
        <v>0.6113</v>
      </c>
      <c r="L93" s="8" t="n">
        <v>0.002217</v>
      </c>
      <c r="M93" s="8" t="n">
        <v>0.0331</v>
      </c>
      <c r="N93" s="8" t="n">
        <v>-0.030883</v>
      </c>
      <c r="O93" s="8" t="n">
        <v>0.9372</v>
      </c>
      <c r="P93" s="8" t="n">
        <v>0.035487</v>
      </c>
      <c r="Q93" s="8" t="n">
        <v>0.041667</v>
      </c>
      <c r="R93" s="8" t="n">
        <v>-0.00618</v>
      </c>
      <c r="S93" s="8" t="n">
        <v>0.54</v>
      </c>
      <c r="T93" s="8" t="n">
        <v>-0.032954</v>
      </c>
      <c r="U93" s="8" t="n">
        <v>-0.01947</v>
      </c>
      <c r="V93" s="8" t="n">
        <v>-0.013484</v>
      </c>
      <c r="W93" s="8" t="n">
        <v>0.3714</v>
      </c>
      <c r="X93" s="8" t="n">
        <v>-0.171103</v>
      </c>
      <c r="Y93" s="8" t="n">
        <v>-0.161215</v>
      </c>
      <c r="Z93" s="8" t="n">
        <v>-0.009887999999999999</v>
      </c>
      <c r="AA93" s="8" t="n">
        <v>0.4851</v>
      </c>
    </row>
    <row r="94">
      <c r="A94" s="11" t="inlineStr">
        <is>
          <t>2022-12-30</t>
        </is>
      </c>
      <c r="B94" s="11" t="inlineStr">
        <is>
          <t>中间分位</t>
        </is>
      </c>
      <c r="C94" s="15" t="n">
        <v>0.1685</v>
      </c>
      <c r="D94" s="13" t="n">
        <v>0.02533</v>
      </c>
      <c r="E94" s="13" t="n">
        <v>0.006031</v>
      </c>
      <c r="F94" s="13" t="n">
        <v>0.019299</v>
      </c>
      <c r="G94" s="13" t="n">
        <v>0.1923</v>
      </c>
      <c r="H94" s="13" t="n">
        <v>0.018365</v>
      </c>
      <c r="I94" s="13" t="n">
        <v>-0.021108</v>
      </c>
      <c r="J94" s="13" t="n">
        <v>0.039473</v>
      </c>
      <c r="K94" s="13" t="n">
        <v>0.5347</v>
      </c>
      <c r="L94" s="13" t="n">
        <v>0.0076</v>
      </c>
      <c r="M94" s="13" t="n">
        <v>-0.010554</v>
      </c>
      <c r="N94" s="13" t="n">
        <v>0.018154</v>
      </c>
      <c r="O94" s="13" t="n">
        <v>0.5814</v>
      </c>
      <c r="P94" s="13" t="n">
        <v>0.027595</v>
      </c>
      <c r="Q94" s="13" t="n">
        <v>0.009046</v>
      </c>
      <c r="R94" s="13" t="n">
        <v>0.018549</v>
      </c>
      <c r="S94" s="13" t="n">
        <v>0.2469</v>
      </c>
      <c r="T94" s="13" t="n">
        <v>-0.026599</v>
      </c>
      <c r="U94" s="13" t="n">
        <v>-0.064832</v>
      </c>
      <c r="V94" s="13" t="n">
        <v>0.038233</v>
      </c>
      <c r="W94" s="13" t="n">
        <v>0.7091</v>
      </c>
      <c r="X94" s="13" t="n">
        <v>-0.175429</v>
      </c>
      <c r="Y94" s="13" t="n">
        <v>-0.199397</v>
      </c>
      <c r="Z94" s="13" t="n">
        <v>0.023968</v>
      </c>
      <c r="AA94" s="13" t="n">
        <v>0.532</v>
      </c>
    </row>
    <row r="95">
      <c r="A95" s="6" t="inlineStr">
        <is>
          <t>2023-01-03</t>
        </is>
      </c>
      <c r="B95" s="6" t="inlineStr">
        <is>
          <t>中间分位</t>
        </is>
      </c>
      <c r="C95" s="10" t="n">
        <v>0.2556</v>
      </c>
      <c r="D95" s="8" t="n">
        <v>0.003706</v>
      </c>
      <c r="E95" s="8" t="n">
        <v>-0.011615</v>
      </c>
      <c r="F95" s="8" t="n">
        <v>0.015321</v>
      </c>
      <c r="G95" s="8" t="n">
        <v>0.7581</v>
      </c>
      <c r="H95" s="8" t="n">
        <v>-0.019145</v>
      </c>
      <c r="I95" s="8" t="n">
        <v>-0.01686</v>
      </c>
      <c r="J95" s="8" t="n">
        <v>-0.002285</v>
      </c>
      <c r="K95" s="8" t="n">
        <v>0.4683</v>
      </c>
      <c r="L95" s="8" t="n">
        <v>-0.026868</v>
      </c>
      <c r="M95" s="8" t="n">
        <v>0.004121</v>
      </c>
      <c r="N95" s="8" t="n">
        <v>-0.030989</v>
      </c>
      <c r="O95" s="8" t="n">
        <v>0.133</v>
      </c>
      <c r="P95" s="8" t="n">
        <v>0.006971</v>
      </c>
      <c r="Q95" s="8" t="n">
        <v>-0.000375</v>
      </c>
      <c r="R95" s="8" t="n">
        <v>0.007346</v>
      </c>
      <c r="S95" s="8" t="n">
        <v>0.051</v>
      </c>
      <c r="T95" s="8" t="n">
        <v>-0.060222</v>
      </c>
      <c r="U95" s="8" t="n">
        <v>-0.072686</v>
      </c>
      <c r="V95" s="8" t="n">
        <v>0.012464</v>
      </c>
      <c r="W95" s="8" t="n">
        <v>0.5469000000000001</v>
      </c>
      <c r="X95" s="8" t="n">
        <v>-0.207843</v>
      </c>
      <c r="Y95" s="8" t="n">
        <v>-0.191832</v>
      </c>
      <c r="Z95" s="8" t="n">
        <v>-0.016011</v>
      </c>
      <c r="AA95" s="8" t="n">
        <v>0.48</v>
      </c>
    </row>
    <row r="96">
      <c r="A96" s="11" t="inlineStr">
        <is>
          <t>2023-01-04</t>
        </is>
      </c>
      <c r="B96" s="11" t="inlineStr">
        <is>
          <t>中间分位</t>
        </is>
      </c>
      <c r="C96" s="15" t="n">
        <v>0.3297</v>
      </c>
      <c r="D96" s="13" t="n">
        <v>-0.008921</v>
      </c>
      <c r="E96" s="13" t="n">
        <v>-0.003033</v>
      </c>
      <c r="F96" s="13" t="n">
        <v>-0.005888</v>
      </c>
      <c r="G96" s="13" t="n">
        <v>0.2537</v>
      </c>
      <c r="H96" s="13" t="n">
        <v>-0.017845</v>
      </c>
      <c r="I96" s="13" t="n">
        <v>-0.001516</v>
      </c>
      <c r="J96" s="13" t="n">
        <v>-0.016329</v>
      </c>
      <c r="K96" s="13" t="n">
        <v>0.07829999999999999</v>
      </c>
      <c r="L96" s="13" t="n">
        <v>-0.013536</v>
      </c>
      <c r="M96" s="13" t="n">
        <v>0.020849</v>
      </c>
      <c r="N96" s="13" t="n">
        <v>-0.034385</v>
      </c>
      <c r="O96" s="13" t="n">
        <v>0.6063</v>
      </c>
      <c r="P96" s="13" t="n">
        <v>0.001673</v>
      </c>
      <c r="Q96" s="13" t="n">
        <v>0.002654</v>
      </c>
      <c r="R96" s="13" t="n">
        <v>-0.0009810000000000001</v>
      </c>
      <c r="S96" s="13" t="n">
        <v>0.6133999999999999</v>
      </c>
      <c r="T96" s="13" t="n">
        <v>-0.072923</v>
      </c>
      <c r="U96" s="13" t="n">
        <v>-0.08415499999999999</v>
      </c>
      <c r="V96" s="13" t="n">
        <v>0.011232</v>
      </c>
      <c r="W96" s="13" t="n">
        <v>0.5358000000000001</v>
      </c>
      <c r="X96" s="13" t="n">
        <v>-0.204</v>
      </c>
      <c r="Y96" s="13" t="n">
        <v>-0.182335</v>
      </c>
      <c r="Z96" s="13" t="n">
        <v>-0.021665</v>
      </c>
      <c r="AA96" s="13" t="n">
        <v>0.472</v>
      </c>
    </row>
    <row r="97">
      <c r="A97" s="6" t="inlineStr">
        <is>
          <t>2023-01-05</t>
        </is>
      </c>
      <c r="B97" s="6" t="inlineStr">
        <is>
          <t>中间分位</t>
        </is>
      </c>
      <c r="C97" s="10" t="n">
        <v>0.2717</v>
      </c>
      <c r="D97" s="8" t="n">
        <v>-0.004657</v>
      </c>
      <c r="E97" s="8" t="n">
        <v>0.00076</v>
      </c>
      <c r="F97" s="8" t="n">
        <v>-0.005417</v>
      </c>
      <c r="G97" s="8" t="n">
        <v>0.1403</v>
      </c>
      <c r="H97" s="8" t="n">
        <v>-0.01149</v>
      </c>
      <c r="I97" s="8" t="n">
        <v>-0.003042</v>
      </c>
      <c r="J97" s="8" t="n">
        <v>-0.008448000000000001</v>
      </c>
      <c r="K97" s="8" t="n">
        <v>0.2093</v>
      </c>
      <c r="L97" s="8" t="n">
        <v>0.002172</v>
      </c>
      <c r="M97" s="8" t="n">
        <v>0.039163</v>
      </c>
      <c r="N97" s="8" t="n">
        <v>-0.036991</v>
      </c>
      <c r="O97" s="8" t="n">
        <v>0.9475</v>
      </c>
      <c r="P97" s="8" t="n">
        <v>0.003237</v>
      </c>
      <c r="Q97" s="8" t="n">
        <v>0.007605</v>
      </c>
      <c r="R97" s="8" t="n">
        <v>-0.004368</v>
      </c>
      <c r="S97" s="8" t="n">
        <v>0.7014</v>
      </c>
      <c r="T97" s="8" t="n">
        <v>-0.07854899999999999</v>
      </c>
      <c r="U97" s="8" t="n">
        <v>-0.08212899999999999</v>
      </c>
      <c r="V97" s="8" t="n">
        <v>0.00358</v>
      </c>
      <c r="W97" s="8" t="n">
        <v>0.5111</v>
      </c>
      <c r="X97" s="8" t="n">
        <v>-0.195282</v>
      </c>
      <c r="Y97" s="8" t="n">
        <v>-0.172624</v>
      </c>
      <c r="Z97" s="8" t="n">
        <v>-0.022658</v>
      </c>
      <c r="AA97" s="8" t="n">
        <v>0.4692</v>
      </c>
    </row>
    <row r="98">
      <c r="A98" s="11" t="inlineStr">
        <is>
          <t>2023-01-06</t>
        </is>
      </c>
      <c r="B98" s="11" t="inlineStr">
        <is>
          <t>中间分位</t>
        </is>
      </c>
      <c r="C98" s="15" t="n">
        <v>0.2581</v>
      </c>
      <c r="D98" s="13" t="n">
        <v>0.003118</v>
      </c>
      <c r="E98" s="13" t="n">
        <v>-0.013298</v>
      </c>
      <c r="F98" s="13" t="n">
        <v>0.016416</v>
      </c>
      <c r="G98" s="13" t="n">
        <v>0.8101</v>
      </c>
      <c r="H98" s="13" t="n">
        <v>-0.013415</v>
      </c>
      <c r="I98" s="13" t="n">
        <v>0.007979</v>
      </c>
      <c r="J98" s="13" t="n">
        <v>-0.021394</v>
      </c>
      <c r="K98" s="13" t="n">
        <v>0.373</v>
      </c>
      <c r="L98" s="13" t="n">
        <v>0.006861</v>
      </c>
      <c r="M98" s="13" t="n">
        <v>0.054331</v>
      </c>
      <c r="N98" s="13" t="n">
        <v>-0.04747</v>
      </c>
      <c r="O98" s="13" t="n">
        <v>0.8879</v>
      </c>
      <c r="P98" s="13" t="n">
        <v>0.014882</v>
      </c>
      <c r="Q98" s="13" t="n">
        <v>-0.012918</v>
      </c>
      <c r="R98" s="13" t="n">
        <v>0.0278</v>
      </c>
      <c r="S98" s="13" t="n">
        <v>0.4647</v>
      </c>
      <c r="T98" s="13" t="n">
        <v>-0.084217</v>
      </c>
      <c r="U98" s="13" t="n">
        <v>-0.09460499999999999</v>
      </c>
      <c r="V98" s="13" t="n">
        <v>0.010388</v>
      </c>
      <c r="W98" s="13" t="n">
        <v>0.529</v>
      </c>
      <c r="X98" s="13" t="n">
        <v>-0.187463</v>
      </c>
      <c r="Y98" s="13" t="n">
        <v>-0.148936</v>
      </c>
      <c r="Z98" s="13" t="n">
        <v>-0.038527</v>
      </c>
      <c r="AA98" s="13" t="n">
        <v>0.4427</v>
      </c>
    </row>
    <row r="99">
      <c r="A99" s="6" t="inlineStr">
        <is>
          <t>2023-01-09</t>
        </is>
      </c>
      <c r="B99" s="6" t="inlineStr">
        <is>
          <t>中间分位</t>
        </is>
      </c>
      <c r="C99" s="10" t="n">
        <v>0.383</v>
      </c>
      <c r="D99" s="8" t="n">
        <v>-0.012437</v>
      </c>
      <c r="E99" s="8" t="n">
        <v>0.010397</v>
      </c>
      <c r="F99" s="8" t="n">
        <v>-0.022834</v>
      </c>
      <c r="G99" s="8" t="n">
        <v>0.4553</v>
      </c>
      <c r="H99" s="8" t="n">
        <v>-0.010571</v>
      </c>
      <c r="I99" s="8" t="n">
        <v>0.010782</v>
      </c>
      <c r="J99" s="8" t="n">
        <v>-0.021353</v>
      </c>
      <c r="K99" s="8" t="n">
        <v>0.5049</v>
      </c>
      <c r="L99" s="8" t="n">
        <v>0.047265</v>
      </c>
      <c r="M99" s="8" t="n">
        <v>0.060839</v>
      </c>
      <c r="N99" s="8" t="n">
        <v>-0.013574</v>
      </c>
      <c r="O99" s="8" t="n">
        <v>0.5628</v>
      </c>
      <c r="P99" s="8" t="n">
        <v>0.003466</v>
      </c>
      <c r="Q99" s="8" t="n">
        <v>-0.016943</v>
      </c>
      <c r="R99" s="8" t="n">
        <v>0.020409</v>
      </c>
      <c r="S99" s="8" t="n">
        <v>0.8302</v>
      </c>
      <c r="T99" s="8" t="n">
        <v>-0.103854</v>
      </c>
      <c r="U99" s="8" t="n">
        <v>-0.077782</v>
      </c>
      <c r="V99" s="8" t="n">
        <v>-0.026072</v>
      </c>
      <c r="W99" s="8" t="n">
        <v>0.4282</v>
      </c>
      <c r="X99" s="8" t="n">
        <v>-0.164179</v>
      </c>
      <c r="Y99" s="8" t="n">
        <v>-0.123604</v>
      </c>
      <c r="Z99" s="8" t="n">
        <v>-0.040575</v>
      </c>
      <c r="AA99" s="8" t="n">
        <v>0.4295</v>
      </c>
    </row>
    <row r="100">
      <c r="A100" s="11" t="inlineStr">
        <is>
          <t>2023-01-10</t>
        </is>
      </c>
      <c r="B100" s="11" t="inlineStr">
        <is>
          <t>中间分位</t>
        </is>
      </c>
      <c r="C100" s="15" t="n">
        <v>0.2421</v>
      </c>
      <c r="D100" s="13" t="n">
        <v>0.005037</v>
      </c>
      <c r="E100" s="13" t="n">
        <v>0.003811</v>
      </c>
      <c r="F100" s="13" t="n">
        <v>0.001226</v>
      </c>
      <c r="G100" s="13" t="n">
        <v>0.4307</v>
      </c>
      <c r="H100" s="13" t="n">
        <v>-0.007874000000000001</v>
      </c>
      <c r="I100" s="13" t="n">
        <v>0.021341</v>
      </c>
      <c r="J100" s="13" t="n">
        <v>-0.029215</v>
      </c>
      <c r="K100" s="13" t="n">
        <v>0.7305</v>
      </c>
      <c r="L100" s="13" t="n">
        <v>0.046126</v>
      </c>
      <c r="M100" s="13" t="n">
        <v>0.049162</v>
      </c>
      <c r="N100" s="13" t="n">
        <v>-0.003036</v>
      </c>
      <c r="O100" s="13" t="n">
        <v>0.5159</v>
      </c>
      <c r="P100" s="13" t="n">
        <v>0.015831</v>
      </c>
      <c r="Q100" s="13" t="n">
        <v>-0.022485</v>
      </c>
      <c r="R100" s="13" t="n">
        <v>0.038316</v>
      </c>
      <c r="S100" s="13" t="n">
        <v>0.5868</v>
      </c>
      <c r="T100" s="13" t="n">
        <v>-0.083123</v>
      </c>
      <c r="U100" s="13" t="n">
        <v>-0.09032</v>
      </c>
      <c r="V100" s="13" t="n">
        <v>0.007197</v>
      </c>
      <c r="W100" s="13" t="n">
        <v>0.5207000000000001</v>
      </c>
      <c r="X100" s="13" t="n">
        <v>-0.141687</v>
      </c>
      <c r="Y100" s="13" t="n">
        <v>-0.141768</v>
      </c>
      <c r="Z100" s="13" t="n">
        <v>8.1e-05</v>
      </c>
      <c r="AA100" s="13" t="n">
        <v>0.5001</v>
      </c>
    </row>
    <row r="101">
      <c r="A101" s="6" t="inlineStr">
        <is>
          <t>2023-01-11</t>
        </is>
      </c>
      <c r="B101" s="6" t="inlineStr">
        <is>
          <t>中间分位</t>
        </is>
      </c>
      <c r="C101" s="10" t="n">
        <v>0.25</v>
      </c>
      <c r="D101" s="8" t="n">
        <v>-0.002508</v>
      </c>
      <c r="E101" s="8" t="n">
        <v>-0.004556</v>
      </c>
      <c r="F101" s="8" t="n">
        <v>0.002048</v>
      </c>
      <c r="G101" s="8" t="n">
        <v>0.645</v>
      </c>
      <c r="H101" s="8" t="n">
        <v>0.004387</v>
      </c>
      <c r="I101" s="8" t="n">
        <v>0.022399</v>
      </c>
      <c r="J101" s="8" t="n">
        <v>-0.018012</v>
      </c>
      <c r="K101" s="8" t="n">
        <v>0.8362000000000001</v>
      </c>
      <c r="L101" s="8" t="n">
        <v>0.037594</v>
      </c>
      <c r="M101" s="8" t="n">
        <v>0.047077</v>
      </c>
      <c r="N101" s="8" t="n">
        <v>-0.009483</v>
      </c>
      <c r="O101" s="8" t="n">
        <v>0.556</v>
      </c>
      <c r="P101" s="8" t="n">
        <v>0.011816</v>
      </c>
      <c r="Q101" s="8" t="n">
        <v>-0.030372</v>
      </c>
      <c r="R101" s="8" t="n">
        <v>0.042188</v>
      </c>
      <c r="S101" s="8" t="n">
        <v>0.7199</v>
      </c>
      <c r="T101" s="8" t="n">
        <v>-0.08019900000000001</v>
      </c>
      <c r="U101" s="8" t="n">
        <v>-0.092635</v>
      </c>
      <c r="V101" s="8" t="n">
        <v>0.012436</v>
      </c>
      <c r="W101" s="8" t="n">
        <v>0.536</v>
      </c>
      <c r="X101" s="8" t="n">
        <v>-0.154135</v>
      </c>
      <c r="Y101" s="8" t="n">
        <v>-0.11921</v>
      </c>
      <c r="Z101" s="8" t="n">
        <v>-0.034925</v>
      </c>
      <c r="AA101" s="8" t="n">
        <v>0.4361</v>
      </c>
    </row>
    <row r="102">
      <c r="A102" s="11" t="inlineStr">
        <is>
          <t>2023-01-12</t>
        </is>
      </c>
      <c r="B102" s="11" t="inlineStr">
        <is>
          <t>中间分位</t>
        </is>
      </c>
      <c r="C102" s="15" t="n">
        <v>0.268</v>
      </c>
      <c r="D102" s="13" t="n">
        <v>-0.006595</v>
      </c>
      <c r="E102" s="13" t="n">
        <v>0.011823</v>
      </c>
      <c r="F102" s="13" t="n">
        <v>-0.018418</v>
      </c>
      <c r="G102" s="13" t="n">
        <v>0.6419</v>
      </c>
      <c r="H102" s="13" t="n">
        <v>0.01382</v>
      </c>
      <c r="I102" s="13" t="n">
        <v>0.042334</v>
      </c>
      <c r="J102" s="13" t="n">
        <v>-0.028514</v>
      </c>
      <c r="K102" s="13" t="n">
        <v>0.7539</v>
      </c>
      <c r="L102" s="13" t="n">
        <v>0.04774</v>
      </c>
      <c r="M102" s="13" t="n">
        <v>0.025934</v>
      </c>
      <c r="N102" s="13" t="n">
        <v>0.021806</v>
      </c>
      <c r="O102" s="13" t="n">
        <v>0.352</v>
      </c>
      <c r="P102" s="13" t="n">
        <v>0.015972</v>
      </c>
      <c r="Q102" s="13" t="n">
        <v>-0.020214</v>
      </c>
      <c r="R102" s="13" t="n">
        <v>0.036186</v>
      </c>
      <c r="S102" s="13" t="n">
        <v>0.5586</v>
      </c>
      <c r="T102" s="13" t="n">
        <v>-0.068465</v>
      </c>
      <c r="U102" s="13" t="n">
        <v>-0.083524</v>
      </c>
      <c r="V102" s="13" t="n">
        <v>0.015059</v>
      </c>
      <c r="W102" s="13" t="n">
        <v>0.5495</v>
      </c>
      <c r="X102" s="13" t="n">
        <v>-0.127824</v>
      </c>
      <c r="Y102" s="13" t="n">
        <v>-0.154081</v>
      </c>
      <c r="Z102" s="13" t="n">
        <v>0.026257</v>
      </c>
      <c r="AA102" s="13" t="n">
        <v>0.5466</v>
      </c>
    </row>
    <row r="103">
      <c r="A103" s="6" t="inlineStr">
        <is>
          <t>2023-01-13</t>
        </is>
      </c>
      <c r="B103" s="6" t="inlineStr">
        <is>
          <t>中间分位</t>
        </is>
      </c>
      <c r="C103" s="10" t="n">
        <v>0.1633</v>
      </c>
      <c r="D103" s="8" t="n">
        <v>0.006009</v>
      </c>
      <c r="E103" s="8" t="n">
        <v>-0.010554</v>
      </c>
      <c r="F103" s="8" t="n">
        <v>0.016563</v>
      </c>
      <c r="G103" s="8" t="n">
        <v>0.6372</v>
      </c>
      <c r="H103" s="8" t="n">
        <v>0.020551</v>
      </c>
      <c r="I103" s="8" t="n">
        <v>0.045986</v>
      </c>
      <c r="J103" s="8" t="n">
        <v>-0.025435</v>
      </c>
      <c r="K103" s="8" t="n">
        <v>0.6911</v>
      </c>
      <c r="L103" s="8" t="n">
        <v>0.033196</v>
      </c>
      <c r="M103" s="8" t="n">
        <v>0.008292000000000001</v>
      </c>
      <c r="N103" s="8" t="n">
        <v>0.024904</v>
      </c>
      <c r="O103" s="8" t="n">
        <v>0.1999</v>
      </c>
      <c r="P103" s="8" t="n">
        <v>0.028682</v>
      </c>
      <c r="Q103" s="8" t="n">
        <v>-0.035055</v>
      </c>
      <c r="R103" s="8" t="n">
        <v>0.063737</v>
      </c>
      <c r="S103" s="8" t="n">
        <v>0.55</v>
      </c>
      <c r="T103" s="8" t="n">
        <v>-0.06228</v>
      </c>
      <c r="U103" s="8" t="n">
        <v>-0.08104</v>
      </c>
      <c r="V103" s="8" t="n">
        <v>0.01876</v>
      </c>
      <c r="W103" s="8" t="n">
        <v>0.5654</v>
      </c>
      <c r="X103" s="8" t="n">
        <v>-0.157446</v>
      </c>
      <c r="Y103" s="8" t="n">
        <v>-0.135319</v>
      </c>
      <c r="Z103" s="8" t="n">
        <v>-0.022127</v>
      </c>
      <c r="AA103" s="8" t="n">
        <v>0.4622</v>
      </c>
    </row>
    <row r="104">
      <c r="A104" s="11" t="inlineStr">
        <is>
          <t>2023-01-16</t>
        </is>
      </c>
      <c r="B104" s="11" t="inlineStr">
        <is>
          <t>中间分位</t>
        </is>
      </c>
      <c r="C104" s="15" t="n">
        <v>0.2626</v>
      </c>
      <c r="D104" s="13" t="n">
        <v>-0.009745</v>
      </c>
      <c r="E104" s="13" t="n">
        <v>0.020952</v>
      </c>
      <c r="F104" s="13" t="n">
        <v>-0.030697</v>
      </c>
      <c r="G104" s="13" t="n">
        <v>0.6825</v>
      </c>
      <c r="H104" s="13" t="n">
        <v>0.058454</v>
      </c>
      <c r="I104" s="13" t="n">
        <v>0.049524</v>
      </c>
      <c r="J104" s="13" t="n">
        <v>0.00893</v>
      </c>
      <c r="K104" s="13" t="n">
        <v>0.4586</v>
      </c>
      <c r="L104" s="13" t="n">
        <v>0.019844</v>
      </c>
      <c r="M104" s="13" t="n">
        <v>0.01981</v>
      </c>
      <c r="N104" s="13" t="n">
        <v>3.4e-05</v>
      </c>
      <c r="O104" s="13" t="n">
        <v>0.4996</v>
      </c>
      <c r="P104" s="13" t="n">
        <v>0.021997</v>
      </c>
      <c r="Q104" s="13" t="n">
        <v>-0.021333</v>
      </c>
      <c r="R104" s="13" t="n">
        <v>0.04333</v>
      </c>
      <c r="S104" s="13" t="n">
        <v>0.4923</v>
      </c>
      <c r="T104" s="13" t="n">
        <v>-0.045884</v>
      </c>
      <c r="U104" s="13" t="n">
        <v>-0.06819</v>
      </c>
      <c r="V104" s="13" t="n">
        <v>0.022306</v>
      </c>
      <c r="W104" s="13" t="n">
        <v>0.5978</v>
      </c>
      <c r="X104" s="13" t="n">
        <v>-0.135763</v>
      </c>
      <c r="Y104" s="13" t="n">
        <v>-0.135238</v>
      </c>
      <c r="Z104" s="13" t="n">
        <v>-0.000525</v>
      </c>
      <c r="AA104" s="13" t="n">
        <v>0.499</v>
      </c>
    </row>
    <row r="105">
      <c r="A105" s="6" t="inlineStr">
        <is>
          <t>2023-01-17</t>
        </is>
      </c>
      <c r="B105" s="6" t="inlineStr">
        <is>
          <t>低分位</t>
        </is>
      </c>
      <c r="C105" s="10" t="n">
        <v>0</v>
      </c>
      <c r="D105" s="8" t="n">
        <v>0.017457</v>
      </c>
      <c r="E105" s="8" t="n">
        <v>0.004851</v>
      </c>
      <c r="F105" s="8" t="n">
        <v>0.012606</v>
      </c>
      <c r="G105" s="8" t="n">
        <v>0.2175</v>
      </c>
      <c r="H105" s="8" t="n">
        <v>0.054429</v>
      </c>
      <c r="I105" s="8" t="n">
        <v>0.027239</v>
      </c>
      <c r="J105" s="8" t="n">
        <v>0.02719</v>
      </c>
      <c r="K105" s="8" t="n">
        <v>0.3335</v>
      </c>
      <c r="L105" s="8" t="n">
        <v>0.034774</v>
      </c>
      <c r="M105" s="8" t="n">
        <v>-0.004478</v>
      </c>
      <c r="N105" s="8" t="n">
        <v>0.039252</v>
      </c>
      <c r="O105" s="8" t="n">
        <v>0.1141</v>
      </c>
      <c r="P105" s="8" t="n">
        <v>0.024438</v>
      </c>
      <c r="Q105" s="8" t="n">
        <v>-0.028358</v>
      </c>
      <c r="R105" s="8" t="n">
        <v>0.052796</v>
      </c>
      <c r="S105" s="8" t="n">
        <v>0.5371</v>
      </c>
      <c r="T105" s="8" t="n">
        <v>-0.032371</v>
      </c>
      <c r="U105" s="8" t="n">
        <v>-0.091045</v>
      </c>
      <c r="V105" s="8" t="n">
        <v>0.058674</v>
      </c>
      <c r="W105" s="8" t="n">
        <v>0.7377</v>
      </c>
      <c r="X105" s="8" t="n">
        <v>-0.135511</v>
      </c>
      <c r="Y105" s="8" t="n">
        <v>-0.162313</v>
      </c>
      <c r="Z105" s="8" t="n">
        <v>0.026802</v>
      </c>
      <c r="AA105" s="8" t="n">
        <v>0.545</v>
      </c>
    </row>
    <row r="106">
      <c r="A106" s="11" t="inlineStr">
        <is>
          <t>2023-01-18</t>
        </is>
      </c>
      <c r="B106" s="11" t="inlineStr">
        <is>
          <t>中间分位</t>
        </is>
      </c>
      <c r="C106" s="15" t="n">
        <v>0.1683</v>
      </c>
      <c r="D106" s="13" t="n">
        <v>0.006861</v>
      </c>
      <c r="E106" s="13" t="n">
        <v>0.014853</v>
      </c>
      <c r="F106" s="13" t="n">
        <v>-0.007992000000000001</v>
      </c>
      <c r="G106" s="13" t="n">
        <v>0.6840000000000001</v>
      </c>
      <c r="H106" s="13" t="n">
        <v>0.033062</v>
      </c>
      <c r="I106" s="13" t="n">
        <v>0.024137</v>
      </c>
      <c r="J106" s="13" t="n">
        <v>0.008925000000000001</v>
      </c>
      <c r="K106" s="13" t="n">
        <v>0.422</v>
      </c>
      <c r="L106" s="13" t="n">
        <v>0.015417</v>
      </c>
      <c r="M106" s="13" t="n">
        <v>-0.017824</v>
      </c>
      <c r="N106" s="13" t="n">
        <v>0.033241</v>
      </c>
      <c r="O106" s="13" t="n">
        <v>0.5362</v>
      </c>
      <c r="P106" s="13" t="n">
        <v>0.015953</v>
      </c>
      <c r="Q106" s="13" t="n">
        <v>-0.028593</v>
      </c>
      <c r="R106" s="13" t="n">
        <v>0.044546</v>
      </c>
      <c r="S106" s="13" t="n">
        <v>0.6419</v>
      </c>
      <c r="T106" s="13" t="n">
        <v>-0.045541</v>
      </c>
      <c r="U106" s="13" t="n">
        <v>-0.084664</v>
      </c>
      <c r="V106" s="13" t="n">
        <v>0.039123</v>
      </c>
      <c r="W106" s="13" t="n">
        <v>0.6502</v>
      </c>
      <c r="X106" s="13" t="n">
        <v>-0.159391</v>
      </c>
      <c r="Y106" s="13" t="n">
        <v>-0.176383</v>
      </c>
      <c r="Z106" s="13" t="n">
        <v>0.016992</v>
      </c>
      <c r="AA106" s="13" t="n">
        <v>0.5253</v>
      </c>
    </row>
    <row r="107">
      <c r="A107" s="6" t="inlineStr">
        <is>
          <t>2023-01-19</t>
        </is>
      </c>
      <c r="B107" s="6" t="inlineStr">
        <is>
          <t>低分位</t>
        </is>
      </c>
      <c r="C107" s="10" t="n">
        <v>0.0588</v>
      </c>
      <c r="D107" s="8" t="n">
        <v>0</v>
      </c>
      <c r="E107" s="8" t="n">
        <v>0.015368</v>
      </c>
      <c r="F107" s="8" t="n">
        <v>-0.015368</v>
      </c>
      <c r="G107" s="8" t="n">
        <v>1</v>
      </c>
      <c r="H107" s="8" t="n">
        <v>0.033457</v>
      </c>
      <c r="I107" s="8" t="n">
        <v>-0.015734</v>
      </c>
      <c r="J107" s="8" t="n">
        <v>0.049191</v>
      </c>
      <c r="K107" s="8" t="n">
        <v>0.3199</v>
      </c>
      <c r="L107" s="8" t="n">
        <v>0.001063</v>
      </c>
      <c r="M107" s="8" t="n">
        <v>-0.03037</v>
      </c>
      <c r="N107" s="8" t="n">
        <v>0.031433</v>
      </c>
      <c r="O107" s="8" t="n">
        <v>0.9661999999999999</v>
      </c>
      <c r="P107" s="8" t="n">
        <v>0.010089</v>
      </c>
      <c r="Q107" s="8" t="n">
        <v>-0.027076</v>
      </c>
      <c r="R107" s="8" t="n">
        <v>0.037165</v>
      </c>
      <c r="S107" s="8" t="n">
        <v>0.7285</v>
      </c>
      <c r="T107" s="8" t="n">
        <v>-0.052045</v>
      </c>
      <c r="U107" s="8" t="n">
        <v>-0.095499</v>
      </c>
      <c r="V107" s="8" t="n">
        <v>0.043454</v>
      </c>
      <c r="W107" s="8" t="n">
        <v>0.6473</v>
      </c>
      <c r="X107" s="8" t="n">
        <v>-0.173171</v>
      </c>
      <c r="Y107" s="8" t="n">
        <v>-0.190999</v>
      </c>
      <c r="Z107" s="8" t="n">
        <v>0.017828</v>
      </c>
      <c r="AA107" s="8" t="n">
        <v>0.5245</v>
      </c>
    </row>
    <row r="108">
      <c r="A108" s="11" t="inlineStr">
        <is>
          <t>2023-01-20</t>
        </is>
      </c>
      <c r="B108" s="11" t="inlineStr">
        <is>
          <t>低分位</t>
        </is>
      </c>
      <c r="C108" s="15" t="n">
        <v>0</v>
      </c>
      <c r="D108" s="13" t="n">
        <v>0.043372</v>
      </c>
      <c r="E108" s="13" t="n">
        <v>-0.007207</v>
      </c>
      <c r="F108" s="13" t="n">
        <v>0.050579</v>
      </c>
      <c r="G108" s="13" t="n">
        <v>0.1425</v>
      </c>
      <c r="H108" s="13" t="n">
        <v>0.01239</v>
      </c>
      <c r="I108" s="13" t="n">
        <v>-0.036036</v>
      </c>
      <c r="J108" s="13" t="n">
        <v>0.048426</v>
      </c>
      <c r="K108" s="13" t="n">
        <v>0.7441</v>
      </c>
      <c r="L108" s="13" t="n">
        <v>0.007967</v>
      </c>
      <c r="M108" s="13" t="n">
        <v>-0.06378399999999999</v>
      </c>
      <c r="N108" s="13" t="n">
        <v>0.071751</v>
      </c>
      <c r="O108" s="13" t="n">
        <v>0.889</v>
      </c>
      <c r="P108" s="13" t="n">
        <v>0.026952</v>
      </c>
      <c r="Q108" s="13" t="n">
        <v>-0.037477</v>
      </c>
      <c r="R108" s="13" t="n">
        <v>0.064429</v>
      </c>
      <c r="S108" s="13" t="n">
        <v>0.5817</v>
      </c>
      <c r="T108" s="13" t="n">
        <v>-0.043989</v>
      </c>
      <c r="U108" s="13" t="n">
        <v>-0.131171</v>
      </c>
      <c r="V108" s="13" t="n">
        <v>0.087182</v>
      </c>
      <c r="W108" s="13" t="n">
        <v>0.7489</v>
      </c>
      <c r="X108" s="13" t="n">
        <v>-0.177818</v>
      </c>
      <c r="Y108" s="13" t="n">
        <v>-0.188108</v>
      </c>
      <c r="Z108" s="13" t="n">
        <v>0.01029</v>
      </c>
      <c r="AA108" s="13" t="n">
        <v>0.5141</v>
      </c>
    </row>
    <row r="109">
      <c r="A109" s="6" t="inlineStr">
        <is>
          <t>2023-01-30</t>
        </is>
      </c>
      <c r="B109" s="6" t="inlineStr">
        <is>
          <t>中间分位</t>
        </is>
      </c>
      <c r="C109" s="10" t="n">
        <v>0.3269</v>
      </c>
      <c r="D109" s="8" t="n">
        <v>-0.013511</v>
      </c>
      <c r="E109" s="8" t="n">
        <v>-0.000726</v>
      </c>
      <c r="F109" s="8" t="n">
        <v>-0.012785</v>
      </c>
      <c r="G109" s="8" t="n">
        <v>0.051</v>
      </c>
      <c r="H109" s="8" t="n">
        <v>-0.036477</v>
      </c>
      <c r="I109" s="8" t="n">
        <v>-0.028312</v>
      </c>
      <c r="J109" s="8" t="n">
        <v>-0.008165</v>
      </c>
      <c r="K109" s="8" t="n">
        <v>0.437</v>
      </c>
      <c r="L109" s="8" t="n">
        <v>-0.041822</v>
      </c>
      <c r="M109" s="8" t="n">
        <v>-0.073321</v>
      </c>
      <c r="N109" s="8" t="n">
        <v>0.031499</v>
      </c>
      <c r="O109" s="8" t="n">
        <v>0.6368</v>
      </c>
      <c r="P109" s="8" t="n">
        <v>-0.005939</v>
      </c>
      <c r="Q109" s="8" t="n">
        <v>-0.037387</v>
      </c>
      <c r="R109" s="8" t="n">
        <v>0.031448</v>
      </c>
      <c r="S109" s="8" t="n">
        <v>0.8629</v>
      </c>
      <c r="T109" s="8" t="n">
        <v>-0.102139</v>
      </c>
      <c r="U109" s="8" t="n">
        <v>-0.133938</v>
      </c>
      <c r="V109" s="8" t="n">
        <v>0.031799</v>
      </c>
      <c r="W109" s="8" t="n">
        <v>0.5673</v>
      </c>
      <c r="X109" s="8" t="n">
        <v>-0.196261</v>
      </c>
      <c r="Y109" s="8" t="n">
        <v>-0.179673</v>
      </c>
      <c r="Z109" s="8" t="n">
        <v>-0.016588</v>
      </c>
      <c r="AA109" s="8" t="n">
        <v>0.4779</v>
      </c>
    </row>
    <row r="110">
      <c r="A110" s="11" t="inlineStr">
        <is>
          <t>2023-01-31</t>
        </is>
      </c>
      <c r="B110" s="11" t="inlineStr">
        <is>
          <t>中间分位</t>
        </is>
      </c>
      <c r="C110" s="15" t="n">
        <v>0.2571</v>
      </c>
      <c r="D110" s="13" t="n">
        <v>-0.00316</v>
      </c>
      <c r="E110" s="13" t="n">
        <v>0.001816</v>
      </c>
      <c r="F110" s="13" t="n">
        <v>-0.004976</v>
      </c>
      <c r="G110" s="13" t="n">
        <v>0.365</v>
      </c>
      <c r="H110" s="13" t="n">
        <v>-0.01864</v>
      </c>
      <c r="I110" s="13" t="n">
        <v>-0.030875</v>
      </c>
      <c r="J110" s="13" t="n">
        <v>0.012235</v>
      </c>
      <c r="K110" s="13" t="n">
        <v>0.6235000000000001</v>
      </c>
      <c r="L110" s="13" t="n">
        <v>-0.028959</v>
      </c>
      <c r="M110" s="13" t="n">
        <v>-0.068289</v>
      </c>
      <c r="N110" s="13" t="n">
        <v>0.03933</v>
      </c>
      <c r="O110" s="13" t="n">
        <v>0.7022</v>
      </c>
      <c r="P110" s="13" t="n">
        <v>0.004363</v>
      </c>
      <c r="Q110" s="13" t="n">
        <v>-0.045768</v>
      </c>
      <c r="R110" s="13" t="n">
        <v>0.050131</v>
      </c>
      <c r="S110" s="13" t="n">
        <v>0.913</v>
      </c>
      <c r="T110" s="13" t="n">
        <v>-0.100074</v>
      </c>
      <c r="U110" s="13" t="n">
        <v>-0.153651</v>
      </c>
      <c r="V110" s="13" t="n">
        <v>0.053577</v>
      </c>
      <c r="W110" s="13" t="n">
        <v>0.6056</v>
      </c>
      <c r="X110" s="13" t="n">
        <v>-0.185253</v>
      </c>
      <c r="Y110" s="13" t="n">
        <v>-0.18053</v>
      </c>
      <c r="Z110" s="13" t="n">
        <v>-0.004723</v>
      </c>
      <c r="AA110" s="13" t="n">
        <v>0.4935</v>
      </c>
    </row>
    <row r="111">
      <c r="A111" s="6" t="inlineStr">
        <is>
          <t>2023-02-01</t>
        </is>
      </c>
      <c r="B111" s="6" t="inlineStr">
        <is>
          <t>中间分位</t>
        </is>
      </c>
      <c r="C111" s="10" t="n">
        <v>0.217</v>
      </c>
      <c r="D111" s="8" t="n">
        <v>0.007246</v>
      </c>
      <c r="E111" s="8" t="n">
        <v>-0.024656</v>
      </c>
      <c r="F111" s="8" t="n">
        <v>0.031902</v>
      </c>
      <c r="G111" s="8" t="n">
        <v>0.7729</v>
      </c>
      <c r="H111" s="8" t="n">
        <v>-0.01708</v>
      </c>
      <c r="I111" s="8" t="n">
        <v>-0.040972</v>
      </c>
      <c r="J111" s="8" t="n">
        <v>0.023892</v>
      </c>
      <c r="K111" s="8" t="n">
        <v>0.7058</v>
      </c>
      <c r="L111" s="8" t="n">
        <v>-0.024844</v>
      </c>
      <c r="M111" s="8" t="n">
        <v>-0.073967</v>
      </c>
      <c r="N111" s="8" t="n">
        <v>0.049123</v>
      </c>
      <c r="O111" s="8" t="n">
        <v>0.7486</v>
      </c>
      <c r="P111" s="8" t="n">
        <v>-0.00604</v>
      </c>
      <c r="Q111" s="8" t="n">
        <v>-0.04496</v>
      </c>
      <c r="R111" s="8" t="n">
        <v>0.03892</v>
      </c>
      <c r="S111" s="8" t="n">
        <v>0.8816000000000001</v>
      </c>
      <c r="T111" s="8" t="n">
        <v>-0.098431</v>
      </c>
      <c r="U111" s="8" t="n">
        <v>-0.153735</v>
      </c>
      <c r="V111" s="8" t="n">
        <v>0.055304</v>
      </c>
      <c r="W111" s="8" t="n">
        <v>0.6097</v>
      </c>
      <c r="X111" s="8" t="n">
        <v>-0.184482</v>
      </c>
      <c r="Y111" s="8" t="n">
        <v>-0.166788</v>
      </c>
      <c r="Z111" s="8" t="n">
        <v>-0.017694</v>
      </c>
      <c r="AA111" s="8" t="n">
        <v>0.4748</v>
      </c>
    </row>
    <row r="112">
      <c r="A112" s="11" t="inlineStr">
        <is>
          <t>2023-02-02</t>
        </is>
      </c>
      <c r="B112" s="11" t="inlineStr">
        <is>
          <t>中间分位</t>
        </is>
      </c>
      <c r="C112" s="15" t="n">
        <v>0.4766</v>
      </c>
      <c r="D112" s="13" t="n">
        <v>-0.020385</v>
      </c>
      <c r="E112" s="13" t="n">
        <v>-0.005576</v>
      </c>
      <c r="F112" s="13" t="n">
        <v>-0.014809</v>
      </c>
      <c r="G112" s="13" t="n">
        <v>0.2148</v>
      </c>
      <c r="H112" s="13" t="n">
        <v>-0.031345</v>
      </c>
      <c r="I112" s="13" t="n">
        <v>-0.01487</v>
      </c>
      <c r="J112" s="13" t="n">
        <v>-0.016475</v>
      </c>
      <c r="K112" s="13" t="n">
        <v>0.3218</v>
      </c>
      <c r="L112" s="13" t="n">
        <v>-0.03032</v>
      </c>
      <c r="M112" s="13" t="n">
        <v>-0.044981</v>
      </c>
      <c r="N112" s="13" t="n">
        <v>0.014661</v>
      </c>
      <c r="O112" s="13" t="n">
        <v>0.5973000000000001</v>
      </c>
      <c r="P112" s="13" t="n">
        <v>-0.015888</v>
      </c>
      <c r="Q112" s="13" t="n">
        <v>-0.02974</v>
      </c>
      <c r="R112" s="13" t="n">
        <v>0.013852</v>
      </c>
      <c r="S112" s="13" t="n">
        <v>0.6518</v>
      </c>
      <c r="T112" s="13" t="n">
        <v>-0.128299</v>
      </c>
      <c r="U112" s="13" t="n">
        <v>-0.143494</v>
      </c>
      <c r="V112" s="13" t="n">
        <v>0.015195</v>
      </c>
      <c r="W112" s="13" t="n">
        <v>0.528</v>
      </c>
      <c r="X112" s="13" t="n">
        <v>-0.179255</v>
      </c>
      <c r="Y112" s="13" t="n">
        <v>-0.149442</v>
      </c>
      <c r="Z112" s="13" t="n">
        <v>-0.029813</v>
      </c>
      <c r="AA112" s="13" t="n">
        <v>0.4546</v>
      </c>
    </row>
    <row r="113">
      <c r="A113" s="6" t="inlineStr">
        <is>
          <t>2023-02-03</t>
        </is>
      </c>
      <c r="B113" s="6" t="inlineStr">
        <is>
          <t>中间分位</t>
        </is>
      </c>
      <c r="C113" s="10" t="n">
        <v>0.3333</v>
      </c>
      <c r="D113" s="8" t="n">
        <v>-0.006991</v>
      </c>
      <c r="E113" s="8" t="n">
        <v>0.000748</v>
      </c>
      <c r="F113" s="8" t="n">
        <v>-0.007739</v>
      </c>
      <c r="G113" s="8" t="n">
        <v>0.09669999999999999</v>
      </c>
      <c r="H113" s="8" t="n">
        <v>-0.00437</v>
      </c>
      <c r="I113" s="8" t="n">
        <v>-0.028785</v>
      </c>
      <c r="J113" s="8" t="n">
        <v>0.024415</v>
      </c>
      <c r="K113" s="8" t="n">
        <v>0.8682</v>
      </c>
      <c r="L113" s="8" t="n">
        <v>-0.00437</v>
      </c>
      <c r="M113" s="8" t="n">
        <v>-0.042991</v>
      </c>
      <c r="N113" s="8" t="n">
        <v>0.038621</v>
      </c>
      <c r="O113" s="8" t="n">
        <v>0.9077</v>
      </c>
      <c r="P113" s="8" t="n">
        <v>-0.007953</v>
      </c>
      <c r="Q113" s="8" t="n">
        <v>-0.025047</v>
      </c>
      <c r="R113" s="8" t="n">
        <v>0.017094</v>
      </c>
      <c r="S113" s="8" t="n">
        <v>0.759</v>
      </c>
      <c r="T113" s="8" t="n">
        <v>-0.114441</v>
      </c>
      <c r="U113" s="8" t="n">
        <v>-0.14729</v>
      </c>
      <c r="V113" s="8" t="n">
        <v>0.032849</v>
      </c>
      <c r="W113" s="8" t="n">
        <v>0.5628</v>
      </c>
      <c r="X113" s="8" t="n">
        <v>-0.16279</v>
      </c>
      <c r="Y113" s="8" t="n">
        <v>-0.116636</v>
      </c>
      <c r="Z113" s="8" t="n">
        <v>-0.046154</v>
      </c>
      <c r="AA113" s="8" t="n">
        <v>0.4174</v>
      </c>
    </row>
    <row r="114">
      <c r="A114" s="11" t="inlineStr">
        <is>
          <t>2023-02-06</t>
        </is>
      </c>
      <c r="B114" s="11" t="inlineStr">
        <is>
          <t>中间分位</t>
        </is>
      </c>
      <c r="C114" s="15" t="n">
        <v>0.3028</v>
      </c>
      <c r="D114" s="13" t="n">
        <v>0.004752</v>
      </c>
      <c r="E114" s="13" t="n">
        <v>-0.003362</v>
      </c>
      <c r="F114" s="13" t="n">
        <v>0.008114</v>
      </c>
      <c r="G114" s="13" t="n">
        <v>0.4143</v>
      </c>
      <c r="H114" s="13" t="n">
        <v>-0.005547</v>
      </c>
      <c r="I114" s="13" t="n">
        <v>-0.046321</v>
      </c>
      <c r="J114" s="13" t="n">
        <v>0.040774</v>
      </c>
      <c r="K114" s="13" t="n">
        <v>0.8931</v>
      </c>
      <c r="L114" s="13" t="n">
        <v>0.002111</v>
      </c>
      <c r="M114" s="13" t="n">
        <v>-0.040344</v>
      </c>
      <c r="N114" s="13" t="n">
        <v>0.042455</v>
      </c>
      <c r="O114" s="13" t="n">
        <v>0.9503</v>
      </c>
      <c r="P114" s="13" t="n">
        <v>-0.004053</v>
      </c>
      <c r="Q114" s="13" t="n">
        <v>-0.028016</v>
      </c>
      <c r="R114" s="13" t="n">
        <v>0.023963</v>
      </c>
      <c r="S114" s="13" t="n">
        <v>0.8736</v>
      </c>
      <c r="T114" s="13" t="n">
        <v>-0.101428</v>
      </c>
      <c r="U114" s="13" t="n">
        <v>-0.128502</v>
      </c>
      <c r="V114" s="13" t="n">
        <v>0.027074</v>
      </c>
      <c r="W114" s="13" t="n">
        <v>0.5589</v>
      </c>
      <c r="X114" s="13" t="n">
        <v>-0.128855</v>
      </c>
      <c r="Y114" s="13" t="n">
        <v>-0.123272</v>
      </c>
      <c r="Z114" s="13" t="n">
        <v>-0.005583</v>
      </c>
      <c r="AA114" s="13" t="n">
        <v>0.4889</v>
      </c>
    </row>
    <row r="115">
      <c r="A115" s="6" t="inlineStr">
        <is>
          <t>2023-02-07</t>
        </is>
      </c>
      <c r="B115" s="6" t="inlineStr">
        <is>
          <t>中间分位</t>
        </is>
      </c>
      <c r="C115" s="10" t="n">
        <v>0.3455</v>
      </c>
      <c r="D115" s="8" t="n">
        <v>-0.001575</v>
      </c>
      <c r="E115" s="8" t="n">
        <v>-0.008621</v>
      </c>
      <c r="F115" s="8" t="n">
        <v>0.007046</v>
      </c>
      <c r="G115" s="8" t="n">
        <v>0.8455</v>
      </c>
      <c r="H115" s="8" t="n">
        <v>-0.010515</v>
      </c>
      <c r="I115" s="8" t="n">
        <v>-0.038606</v>
      </c>
      <c r="J115" s="8" t="n">
        <v>0.028091</v>
      </c>
      <c r="K115" s="8" t="n">
        <v>0.7859</v>
      </c>
      <c r="L115" s="8" t="n">
        <v>-0.009988</v>
      </c>
      <c r="M115" s="8" t="n">
        <v>-0.023988</v>
      </c>
      <c r="N115" s="8" t="n">
        <v>0.014</v>
      </c>
      <c r="O115" s="8" t="n">
        <v>0.706</v>
      </c>
      <c r="P115" s="8" t="n">
        <v>-0.014894</v>
      </c>
      <c r="Q115" s="8" t="n">
        <v>-0.019865</v>
      </c>
      <c r="R115" s="8" t="n">
        <v>0.004971</v>
      </c>
      <c r="S115" s="8" t="n">
        <v>0.5715</v>
      </c>
      <c r="T115" s="8" t="n">
        <v>-0.101382</v>
      </c>
      <c r="U115" s="8" t="n">
        <v>-0.142804</v>
      </c>
      <c r="V115" s="8" t="n">
        <v>0.041422</v>
      </c>
      <c r="W115" s="8" t="n">
        <v>0.5848</v>
      </c>
      <c r="X115" s="8" t="n">
        <v>-0.138186</v>
      </c>
      <c r="Y115" s="8" t="n">
        <v>-0.129685</v>
      </c>
      <c r="Z115" s="8" t="n">
        <v>-0.008501</v>
      </c>
      <c r="AA115" s="8" t="n">
        <v>0.4841</v>
      </c>
    </row>
    <row r="116">
      <c r="A116" s="11" t="inlineStr">
        <is>
          <t>2023-02-08</t>
        </is>
      </c>
      <c r="B116" s="11" t="inlineStr">
        <is>
          <t>中间分位</t>
        </is>
      </c>
      <c r="C116" s="15" t="n">
        <v>0.4234</v>
      </c>
      <c r="D116" s="13" t="n">
        <v>-0.007372</v>
      </c>
      <c r="E116" s="13" t="n">
        <v>0.00189</v>
      </c>
      <c r="F116" s="13" t="n">
        <v>-0.009261999999999999</v>
      </c>
      <c r="G116" s="13" t="n">
        <v>0.2041</v>
      </c>
      <c r="H116" s="13" t="n">
        <v>-0.007899</v>
      </c>
      <c r="I116" s="13" t="n">
        <v>-0.034405</v>
      </c>
      <c r="J116" s="13" t="n">
        <v>0.026506</v>
      </c>
      <c r="K116" s="13" t="n">
        <v>0.8133</v>
      </c>
      <c r="L116" s="13" t="n">
        <v>0.000527</v>
      </c>
      <c r="M116" s="13" t="n">
        <v>-0.010964</v>
      </c>
      <c r="N116" s="13" t="n">
        <v>0.011491</v>
      </c>
      <c r="O116" s="13" t="n">
        <v>0.9540999999999999</v>
      </c>
      <c r="P116" s="13" t="n">
        <v>-0.011807</v>
      </c>
      <c r="Q116" s="13" t="n">
        <v>-0.026087</v>
      </c>
      <c r="R116" s="13" t="n">
        <v>0.01428</v>
      </c>
      <c r="S116" s="13" t="n">
        <v>0.6884</v>
      </c>
      <c r="T116" s="13" t="n">
        <v>-0.114709</v>
      </c>
      <c r="U116" s="13" t="n">
        <v>-0.144045</v>
      </c>
      <c r="V116" s="13" t="n">
        <v>0.029336</v>
      </c>
      <c r="W116" s="13" t="n">
        <v>0.5567</v>
      </c>
      <c r="X116" s="13" t="n">
        <v>-0.140822</v>
      </c>
      <c r="Y116" s="13" t="n">
        <v>-0.113422</v>
      </c>
      <c r="Z116" s="13" t="n">
        <v>-0.0274</v>
      </c>
      <c r="AA116" s="13" t="n">
        <v>0.4461</v>
      </c>
    </row>
    <row r="117">
      <c r="A117" s="6" t="inlineStr">
        <is>
          <t>2023-02-09</t>
        </is>
      </c>
      <c r="B117" s="6" t="inlineStr">
        <is>
          <t>中间分位</t>
        </is>
      </c>
      <c r="C117" s="10" t="n">
        <v>0.3304</v>
      </c>
      <c r="D117" s="8" t="n">
        <v>0.006896</v>
      </c>
      <c r="E117" s="8" t="n">
        <v>-0.019623</v>
      </c>
      <c r="F117" s="8" t="n">
        <v>0.026519</v>
      </c>
      <c r="G117" s="8" t="n">
        <v>0.74</v>
      </c>
      <c r="H117" s="8" t="n">
        <v>0.001058</v>
      </c>
      <c r="I117" s="8" t="n">
        <v>-0.030566</v>
      </c>
      <c r="J117" s="8" t="n">
        <v>0.031624</v>
      </c>
      <c r="K117" s="8" t="n">
        <v>0.9665</v>
      </c>
      <c r="L117" s="8" t="n">
        <v>0.009016</v>
      </c>
      <c r="M117" s="8" t="n">
        <v>0.003396</v>
      </c>
      <c r="N117" s="8" t="n">
        <v>0.00562</v>
      </c>
      <c r="O117" s="8" t="n">
        <v>0.2736</v>
      </c>
      <c r="P117" s="8" t="n">
        <v>-0.017465</v>
      </c>
      <c r="Q117" s="8" t="n">
        <v>-0.028302</v>
      </c>
      <c r="R117" s="8" t="n">
        <v>0.010837</v>
      </c>
      <c r="S117" s="8" t="n">
        <v>0.6183999999999999</v>
      </c>
      <c r="T117" s="8" t="n">
        <v>-0.119895</v>
      </c>
      <c r="U117" s="8" t="n">
        <v>-0.14717</v>
      </c>
      <c r="V117" s="8" t="n">
        <v>0.027275</v>
      </c>
      <c r="W117" s="8" t="n">
        <v>0.5511</v>
      </c>
      <c r="X117" s="8" t="n">
        <v>-0.127322</v>
      </c>
      <c r="Y117" s="8" t="n">
        <v>-0.096604</v>
      </c>
      <c r="Z117" s="8" t="n">
        <v>-0.030718</v>
      </c>
      <c r="AA117" s="8" t="n">
        <v>0.4314</v>
      </c>
    </row>
    <row r="118">
      <c r="A118" s="11" t="inlineStr">
        <is>
          <t>2023-02-10</t>
        </is>
      </c>
      <c r="B118" s="11" t="inlineStr">
        <is>
          <t>中间分位</t>
        </is>
      </c>
      <c r="C118" s="15" t="n">
        <v>0.5841</v>
      </c>
      <c r="D118" s="13" t="n">
        <v>-0.008165</v>
      </c>
      <c r="E118" s="13" t="n">
        <v>-0.017321</v>
      </c>
      <c r="F118" s="13" t="n">
        <v>0.009155999999999999</v>
      </c>
      <c r="G118" s="13" t="n">
        <v>0.6796</v>
      </c>
      <c r="H118" s="13" t="n">
        <v>0</v>
      </c>
      <c r="I118" s="13" t="n">
        <v>-0.014627</v>
      </c>
      <c r="J118" s="13" t="n">
        <v>0.014627</v>
      </c>
      <c r="K118" s="13" t="n">
        <v>1</v>
      </c>
      <c r="L118" s="13" t="n">
        <v>0.018835</v>
      </c>
      <c r="M118" s="13" t="n">
        <v>0.028099</v>
      </c>
      <c r="N118" s="13" t="n">
        <v>-0.009264</v>
      </c>
      <c r="O118" s="13" t="n">
        <v>0.5987</v>
      </c>
      <c r="P118" s="13" t="n">
        <v>-0.02696</v>
      </c>
      <c r="Q118" s="13" t="n">
        <v>-0.02194</v>
      </c>
      <c r="R118" s="13" t="n">
        <v>-0.00502</v>
      </c>
      <c r="S118" s="13" t="n">
        <v>0.4487</v>
      </c>
      <c r="T118" s="13" t="n">
        <v>-0.129611</v>
      </c>
      <c r="U118" s="13" t="n">
        <v>-0.147036</v>
      </c>
      <c r="V118" s="13" t="n">
        <v>0.017425</v>
      </c>
      <c r="W118" s="13" t="n">
        <v>0.5315</v>
      </c>
      <c r="X118" s="13" t="n">
        <v>-0.140675</v>
      </c>
      <c r="Y118" s="13" t="n">
        <v>-0.078137</v>
      </c>
      <c r="Z118" s="13" t="n">
        <v>-0.062538</v>
      </c>
      <c r="AA118" s="13" t="n">
        <v>0.3571</v>
      </c>
    </row>
    <row r="119">
      <c r="A119" s="6" t="inlineStr">
        <is>
          <t>2023-02-13</t>
        </is>
      </c>
      <c r="B119" s="6" t="inlineStr">
        <is>
          <t>中间分位</t>
        </is>
      </c>
      <c r="C119" s="10" t="n">
        <v>0.6491</v>
      </c>
      <c r="D119" s="8" t="n">
        <v>-0.000268</v>
      </c>
      <c r="E119" s="8" t="n">
        <v>0.0047</v>
      </c>
      <c r="F119" s="8" t="n">
        <v>-0.004968</v>
      </c>
      <c r="G119" s="8" t="n">
        <v>0.9461000000000001</v>
      </c>
      <c r="H119" s="8" t="n">
        <v>0.007701</v>
      </c>
      <c r="I119" s="8" t="n">
        <v>0.006267</v>
      </c>
      <c r="J119" s="8" t="n">
        <v>0.001434</v>
      </c>
      <c r="K119" s="8" t="n">
        <v>0.4487</v>
      </c>
      <c r="L119" s="8" t="n">
        <v>0.037449</v>
      </c>
      <c r="M119" s="8" t="n">
        <v>0.038778</v>
      </c>
      <c r="N119" s="8" t="n">
        <v>-0.001329</v>
      </c>
      <c r="O119" s="8" t="n">
        <v>0.5087</v>
      </c>
      <c r="P119" s="8" t="n">
        <v>-0.025457</v>
      </c>
      <c r="Q119" s="8" t="n">
        <v>0.010576</v>
      </c>
      <c r="R119" s="8" t="n">
        <v>-0.036033</v>
      </c>
      <c r="S119" s="8" t="n">
        <v>0.2935</v>
      </c>
      <c r="T119" s="8" t="n">
        <v>-0.13453</v>
      </c>
      <c r="U119" s="8" t="n">
        <v>-0.124168</v>
      </c>
      <c r="V119" s="8" t="n">
        <v>-0.010362</v>
      </c>
      <c r="W119" s="8" t="n">
        <v>0.48</v>
      </c>
      <c r="X119" s="8" t="n">
        <v>-0.13112</v>
      </c>
      <c r="Y119" s="8" t="n">
        <v>-0.04857</v>
      </c>
      <c r="Z119" s="8" t="n">
        <v>-0.08255</v>
      </c>
      <c r="AA119" s="8" t="n">
        <v>0.2703</v>
      </c>
    </row>
    <row r="120">
      <c r="A120" s="11" t="inlineStr">
        <is>
          <t>2023-02-14</t>
        </is>
      </c>
      <c r="B120" s="11" t="inlineStr">
        <is>
          <t>中间分位</t>
        </is>
      </c>
      <c r="C120" s="15" t="n">
        <v>0.6087</v>
      </c>
      <c r="D120" s="13" t="n">
        <v>0.001064</v>
      </c>
      <c r="E120" s="13" t="n">
        <v>-0.004288</v>
      </c>
      <c r="F120" s="13" t="n">
        <v>0.005352</v>
      </c>
      <c r="G120" s="13" t="n">
        <v>0.8012</v>
      </c>
      <c r="H120" s="13" t="n">
        <v>0.000532</v>
      </c>
      <c r="I120" s="13" t="n">
        <v>0.015205</v>
      </c>
      <c r="J120" s="13" t="n">
        <v>-0.014673</v>
      </c>
      <c r="K120" s="13" t="n">
        <v>0.9661999999999999</v>
      </c>
      <c r="L120" s="13" t="n">
        <v>0.034316</v>
      </c>
      <c r="M120" s="13" t="n">
        <v>0.024172</v>
      </c>
      <c r="N120" s="13" t="n">
        <v>0.010144</v>
      </c>
      <c r="O120" s="13" t="n">
        <v>0.4133</v>
      </c>
      <c r="P120" s="13" t="n">
        <v>-0.015276</v>
      </c>
      <c r="Q120" s="13" t="n">
        <v>0.004288</v>
      </c>
      <c r="R120" s="13" t="n">
        <v>-0.019564</v>
      </c>
      <c r="S120" s="13" t="n">
        <v>0.2192</v>
      </c>
      <c r="T120" s="13" t="n">
        <v>-0.1312</v>
      </c>
      <c r="U120" s="13" t="n">
        <v>-0.123197</v>
      </c>
      <c r="V120" s="13" t="n">
        <v>-0.008003</v>
      </c>
      <c r="W120" s="13" t="n">
        <v>0.4843</v>
      </c>
      <c r="X120" s="13" t="n">
        <v>-0.11849</v>
      </c>
      <c r="Y120" s="13" t="n">
        <v>-0.049903</v>
      </c>
      <c r="Z120" s="13" t="n">
        <v>-0.068587</v>
      </c>
      <c r="AA120" s="13" t="n">
        <v>0.2963</v>
      </c>
    </row>
    <row r="121">
      <c r="A121" s="6" t="inlineStr">
        <is>
          <t>2023-02-15</t>
        </is>
      </c>
      <c r="B121" s="6" t="inlineStr">
        <is>
          <t>中间分位</t>
        </is>
      </c>
      <c r="C121" s="10" t="n">
        <v>0.6637999999999999</v>
      </c>
      <c r="D121" s="8" t="n">
        <v>0.00159</v>
      </c>
      <c r="E121" s="8" t="n">
        <v>0.005873</v>
      </c>
      <c r="F121" s="8" t="n">
        <v>-0.004283</v>
      </c>
      <c r="G121" s="8" t="n">
        <v>0.7869</v>
      </c>
      <c r="H121" s="8" t="n">
        <v>0.008494</v>
      </c>
      <c r="I121" s="8" t="n">
        <v>0.024276</v>
      </c>
      <c r="J121" s="8" t="n">
        <v>-0.015782</v>
      </c>
      <c r="K121" s="8" t="n">
        <v>0.7408</v>
      </c>
      <c r="L121" s="8" t="n">
        <v>0.019283</v>
      </c>
      <c r="M121" s="8" t="n">
        <v>0.031323</v>
      </c>
      <c r="N121" s="8" t="n">
        <v>-0.01204</v>
      </c>
      <c r="O121" s="8" t="n">
        <v>0.619</v>
      </c>
      <c r="P121" s="8" t="n">
        <v>-0.019109</v>
      </c>
      <c r="Q121" s="8" t="n">
        <v>0</v>
      </c>
      <c r="R121" s="8" t="n">
        <v>-0.019109</v>
      </c>
      <c r="S121" s="8" t="n">
        <v>0</v>
      </c>
      <c r="T121" s="8" t="n">
        <v>-0.128716</v>
      </c>
      <c r="U121" s="8" t="n">
        <v>-0.108849</v>
      </c>
      <c r="V121" s="8" t="n">
        <v>-0.019867</v>
      </c>
      <c r="W121" s="8" t="n">
        <v>0.4582</v>
      </c>
      <c r="X121" s="8" t="n">
        <v>-0.120664</v>
      </c>
      <c r="Y121" s="8" t="n">
        <v>-0.03563</v>
      </c>
      <c r="Z121" s="8" t="n">
        <v>-0.085034</v>
      </c>
      <c r="AA121" s="8" t="n">
        <v>0.228</v>
      </c>
    </row>
    <row r="122">
      <c r="A122" s="11" t="inlineStr">
        <is>
          <t>2023-02-16</t>
        </is>
      </c>
      <c r="B122" s="11" t="inlineStr">
        <is>
          <t>中间分位</t>
        </is>
      </c>
      <c r="C122" s="15" t="n">
        <v>0.6068</v>
      </c>
      <c r="D122" s="13" t="n">
        <v>0.005831</v>
      </c>
      <c r="E122" s="13" t="n">
        <v>-0.003503</v>
      </c>
      <c r="F122" s="13" t="n">
        <v>0.009334</v>
      </c>
      <c r="G122" s="13" t="n">
        <v>0.3753</v>
      </c>
      <c r="H122" s="13" t="n">
        <v>0.00795</v>
      </c>
      <c r="I122" s="13" t="n">
        <v>0.035033</v>
      </c>
      <c r="J122" s="13" t="n">
        <v>-0.027083</v>
      </c>
      <c r="K122" s="13" t="n">
        <v>0.8149999999999999</v>
      </c>
      <c r="L122" s="13" t="n">
        <v>0.014883</v>
      </c>
      <c r="M122" s="13" t="n">
        <v>0.01596</v>
      </c>
      <c r="N122" s="13" t="n">
        <v>-0.001077</v>
      </c>
      <c r="O122" s="13" t="n">
        <v>0.5175</v>
      </c>
      <c r="P122" s="13" t="n">
        <v>-0.024684</v>
      </c>
      <c r="Q122" s="13" t="n">
        <v>-0.038147</v>
      </c>
      <c r="R122" s="13" t="n">
        <v>0.013463</v>
      </c>
      <c r="S122" s="13" t="n">
        <v>0.6071</v>
      </c>
      <c r="T122" s="13" t="n">
        <v>-0.122372</v>
      </c>
      <c r="U122" s="13" t="n">
        <v>-0.128065</v>
      </c>
      <c r="V122" s="13" t="n">
        <v>0.005693</v>
      </c>
      <c r="W122" s="13" t="n">
        <v>0.5114</v>
      </c>
      <c r="X122" s="13" t="n">
        <v>-0.116808</v>
      </c>
      <c r="Y122" s="13" t="n">
        <v>-0.059946</v>
      </c>
      <c r="Z122" s="13" t="n">
        <v>-0.056862</v>
      </c>
      <c r="AA122" s="13" t="n">
        <v>0.3391</v>
      </c>
    </row>
    <row r="123">
      <c r="A123" s="6" t="inlineStr">
        <is>
          <t>2023-02-17</t>
        </is>
      </c>
      <c r="B123" s="6" t="inlineStr">
        <is>
          <t>中间分位</t>
        </is>
      </c>
      <c r="C123" s="10" t="n">
        <v>0.7034</v>
      </c>
      <c r="D123" s="8" t="n">
        <v>-0.000527</v>
      </c>
      <c r="E123" s="8" t="n">
        <v>0.003516</v>
      </c>
      <c r="F123" s="8" t="n">
        <v>-0.004043</v>
      </c>
      <c r="G123" s="8" t="n">
        <v>0.8697</v>
      </c>
      <c r="H123" s="8" t="n">
        <v>0.018835</v>
      </c>
      <c r="I123" s="8" t="n">
        <v>0.043359</v>
      </c>
      <c r="J123" s="8" t="n">
        <v>-0.024524</v>
      </c>
      <c r="K123" s="8" t="n">
        <v>0.6972</v>
      </c>
      <c r="L123" s="8" t="n">
        <v>-0.0036</v>
      </c>
      <c r="M123" s="8" t="n">
        <v>0.01875</v>
      </c>
      <c r="N123" s="8" t="n">
        <v>-0.02235</v>
      </c>
      <c r="O123" s="8" t="n">
        <v>0.8389</v>
      </c>
      <c r="P123" s="8" t="n">
        <v>-0.050011</v>
      </c>
      <c r="Q123" s="8" t="n">
        <v>-0.020703</v>
      </c>
      <c r="R123" s="8" t="n">
        <v>-0.029308</v>
      </c>
      <c r="S123" s="8" t="n">
        <v>0.2928</v>
      </c>
      <c r="T123" s="8" t="n">
        <v>-0.135759</v>
      </c>
      <c r="U123" s="8" t="n">
        <v>-0.153516</v>
      </c>
      <c r="V123" s="8" t="n">
        <v>0.017757</v>
      </c>
      <c r="W123" s="8" t="n">
        <v>0.5306999999999999</v>
      </c>
      <c r="X123" s="8" t="n">
        <v>-0.131149</v>
      </c>
      <c r="Y123" s="8" t="n">
        <v>-0.051953</v>
      </c>
      <c r="Z123" s="8" t="n">
        <v>-0.079196</v>
      </c>
      <c r="AA123" s="8" t="n">
        <v>0.2837</v>
      </c>
    </row>
    <row r="124">
      <c r="A124" s="11" t="inlineStr">
        <is>
          <t>2023-02-20</t>
        </is>
      </c>
      <c r="B124" s="11" t="inlineStr">
        <is>
          <t>中间分位</t>
        </is>
      </c>
      <c r="C124" s="15" t="n">
        <v>0.6723</v>
      </c>
      <c r="D124" s="13" t="n">
        <v>-0.00738</v>
      </c>
      <c r="E124" s="13" t="n">
        <v>0.013624</v>
      </c>
      <c r="F124" s="13" t="n">
        <v>-0.021004</v>
      </c>
      <c r="G124" s="13" t="n">
        <v>0.6486</v>
      </c>
      <c r="H124" s="13" t="n">
        <v>0.02952</v>
      </c>
      <c r="I124" s="13" t="n">
        <v>0.032308</v>
      </c>
      <c r="J124" s="13" t="n">
        <v>-0.002788</v>
      </c>
      <c r="K124" s="13" t="n">
        <v>0.5225</v>
      </c>
      <c r="L124" s="13" t="n">
        <v>-0.006151</v>
      </c>
      <c r="M124" s="13" t="n">
        <v>0.012845</v>
      </c>
      <c r="N124" s="13" t="n">
        <v>-0.018996</v>
      </c>
      <c r="O124" s="13" t="n">
        <v>0.6762</v>
      </c>
      <c r="P124" s="13" t="n">
        <v>-0.036284</v>
      </c>
      <c r="Q124" s="13" t="n">
        <v>-0.019074</v>
      </c>
      <c r="R124" s="13" t="n">
        <v>-0.01721</v>
      </c>
      <c r="S124" s="13" t="n">
        <v>0.3446</v>
      </c>
      <c r="T124" s="13" t="n">
        <v>-0.157749</v>
      </c>
      <c r="U124" s="13" t="n">
        <v>-0.1884</v>
      </c>
      <c r="V124" s="13" t="n">
        <v>0.030651</v>
      </c>
      <c r="W124" s="13" t="n">
        <v>0.5443</v>
      </c>
      <c r="X124" s="13" t="n">
        <v>-0.127</v>
      </c>
      <c r="Y124" s="13" t="n">
        <v>-0.082912</v>
      </c>
      <c r="Z124" s="13" t="n">
        <v>-0.044088</v>
      </c>
      <c r="AA124" s="13" t="n">
        <v>0.395</v>
      </c>
    </row>
    <row r="125">
      <c r="A125" s="6" t="inlineStr">
        <is>
          <t>2023-02-21</t>
        </is>
      </c>
      <c r="B125" s="6" t="inlineStr">
        <is>
          <t>中间分位</t>
        </is>
      </c>
      <c r="C125" s="10" t="n">
        <v>0.4583</v>
      </c>
      <c r="D125" s="8" t="n">
        <v>0.00903</v>
      </c>
      <c r="E125" s="8" t="n">
        <v>0.004608</v>
      </c>
      <c r="F125" s="8" t="n">
        <v>0.004422</v>
      </c>
      <c r="G125" s="8" t="n">
        <v>0.3379</v>
      </c>
      <c r="H125" s="8" t="n">
        <v>0.033766</v>
      </c>
      <c r="I125" s="8" t="n">
        <v>0.008833000000000001</v>
      </c>
      <c r="J125" s="8" t="n">
        <v>0.024933</v>
      </c>
      <c r="K125" s="8" t="n">
        <v>0.2074</v>
      </c>
      <c r="L125" s="8" t="n">
        <v>-0.004955</v>
      </c>
      <c r="M125" s="8" t="n">
        <v>0.004224</v>
      </c>
      <c r="N125" s="8" t="n">
        <v>-0.009179</v>
      </c>
      <c r="O125" s="8" t="n">
        <v>0.4602</v>
      </c>
      <c r="P125" s="8" t="n">
        <v>-0.026643</v>
      </c>
      <c r="Q125" s="8" t="n">
        <v>-0.041475</v>
      </c>
      <c r="R125" s="8" t="n">
        <v>0.014832</v>
      </c>
      <c r="S125" s="8" t="n">
        <v>0.6089</v>
      </c>
      <c r="T125" s="8" t="n">
        <v>-0.185565</v>
      </c>
      <c r="U125" s="8" t="n">
        <v>-0.210061</v>
      </c>
      <c r="V125" s="8" t="n">
        <v>0.024496</v>
      </c>
      <c r="W125" s="8" t="n">
        <v>0.531</v>
      </c>
      <c r="X125" s="8" t="n">
        <v>-0.133208</v>
      </c>
      <c r="Y125" s="8" t="n">
        <v>-0.08294899999999999</v>
      </c>
      <c r="Z125" s="8" t="n">
        <v>-0.050259</v>
      </c>
      <c r="AA125" s="8" t="n">
        <v>0.3837</v>
      </c>
    </row>
    <row r="126">
      <c r="A126" s="11" t="inlineStr">
        <is>
          <t>2023-02-22</t>
        </is>
      </c>
      <c r="B126" s="11" t="inlineStr">
        <is>
          <t>中间分位</t>
        </is>
      </c>
      <c r="C126" s="15" t="n">
        <v>0.5207000000000001</v>
      </c>
      <c r="D126" s="13" t="n">
        <v>0.00105</v>
      </c>
      <c r="E126" s="13" t="n">
        <v>0.016437</v>
      </c>
      <c r="F126" s="13" t="n">
        <v>-0.015387</v>
      </c>
      <c r="G126" s="13" t="n">
        <v>0.9399999999999999</v>
      </c>
      <c r="H126" s="13" t="n">
        <v>0.010699</v>
      </c>
      <c r="I126" s="13" t="n">
        <v>0.006881</v>
      </c>
      <c r="J126" s="13" t="n">
        <v>0.003818</v>
      </c>
      <c r="K126" s="13" t="n">
        <v>0.3914</v>
      </c>
      <c r="L126" s="13" t="n">
        <v>-0.012327</v>
      </c>
      <c r="M126" s="13" t="n">
        <v>-0.015291</v>
      </c>
      <c r="N126" s="13" t="n">
        <v>0.002964</v>
      </c>
      <c r="O126" s="13" t="n">
        <v>0.5537</v>
      </c>
      <c r="P126" s="13" t="n">
        <v>-0.045176</v>
      </c>
      <c r="Q126" s="13" t="n">
        <v>-0.037462</v>
      </c>
      <c r="R126" s="13" t="n">
        <v>-0.007714</v>
      </c>
      <c r="S126" s="13" t="n">
        <v>0.4533</v>
      </c>
      <c r="T126" s="13" t="n">
        <v>-0.198991</v>
      </c>
      <c r="U126" s="13" t="n">
        <v>-0.208333</v>
      </c>
      <c r="V126" s="13" t="n">
        <v>0.009342</v>
      </c>
      <c r="W126" s="13" t="n">
        <v>0.5115</v>
      </c>
      <c r="X126" s="13" t="n">
        <v>-0.132064</v>
      </c>
      <c r="Y126" s="13" t="n">
        <v>-0.06383800000000001</v>
      </c>
      <c r="Z126" s="13" t="n">
        <v>-0.06822599999999999</v>
      </c>
      <c r="AA126" s="13" t="n">
        <v>0.3259</v>
      </c>
    </row>
    <row r="127">
      <c r="A127" s="6" t="inlineStr">
        <is>
          <t>2023-02-23</t>
        </is>
      </c>
      <c r="B127" s="6" t="inlineStr">
        <is>
          <t>中间分位</t>
        </is>
      </c>
      <c r="C127" s="10" t="n">
        <v>0.3607</v>
      </c>
      <c r="D127" s="8" t="n">
        <v>0.016694</v>
      </c>
      <c r="E127" s="8" t="n">
        <v>0.004513</v>
      </c>
      <c r="F127" s="8" t="n">
        <v>0.012181</v>
      </c>
      <c r="G127" s="8" t="n">
        <v>0.2128</v>
      </c>
      <c r="H127" s="8" t="n">
        <v>0.006879</v>
      </c>
      <c r="I127" s="8" t="n">
        <v>-0.018428</v>
      </c>
      <c r="J127" s="8" t="n">
        <v>0.025307</v>
      </c>
      <c r="K127" s="8" t="n">
        <v>0.7282</v>
      </c>
      <c r="L127" s="8" t="n">
        <v>-0.026245</v>
      </c>
      <c r="M127" s="8" t="n">
        <v>-0.031591</v>
      </c>
      <c r="N127" s="8" t="n">
        <v>0.005346</v>
      </c>
      <c r="O127" s="8" t="n">
        <v>0.5462</v>
      </c>
      <c r="P127" s="8" t="n">
        <v>-0.037591</v>
      </c>
      <c r="Q127" s="8" t="n">
        <v>-0.053404</v>
      </c>
      <c r="R127" s="8" t="n">
        <v>0.015813</v>
      </c>
      <c r="S127" s="8" t="n">
        <v>0.5869</v>
      </c>
      <c r="T127" s="8" t="n">
        <v>-0.199221</v>
      </c>
      <c r="U127" s="8" t="n">
        <v>-0.243325</v>
      </c>
      <c r="V127" s="8" t="n">
        <v>0.044104</v>
      </c>
      <c r="W127" s="8" t="n">
        <v>0.5498</v>
      </c>
      <c r="X127" s="8" t="n">
        <v>-0.116718</v>
      </c>
      <c r="Y127" s="8" t="n">
        <v>-0.056412</v>
      </c>
      <c r="Z127" s="8" t="n">
        <v>-0.060306</v>
      </c>
      <c r="AA127" s="8" t="n">
        <v>0.3258</v>
      </c>
    </row>
    <row r="128">
      <c r="A128" s="11" t="inlineStr">
        <is>
          <t>2023-02-24</t>
        </is>
      </c>
      <c r="B128" s="11" t="inlineStr">
        <is>
          <t>中间分位</t>
        </is>
      </c>
      <c r="C128" s="15" t="n">
        <v>0.4959</v>
      </c>
      <c r="D128" s="13" t="n">
        <v>0.009955</v>
      </c>
      <c r="E128" s="13" t="n">
        <v>-0.007113</v>
      </c>
      <c r="F128" s="13" t="n">
        <v>0.017068</v>
      </c>
      <c r="G128" s="13" t="n">
        <v>0.4167</v>
      </c>
      <c r="H128" s="13" t="n">
        <v>-0.02202</v>
      </c>
      <c r="I128" s="13" t="n">
        <v>-0.023587</v>
      </c>
      <c r="J128" s="13" t="n">
        <v>0.001567</v>
      </c>
      <c r="K128" s="13" t="n">
        <v>0.5172</v>
      </c>
      <c r="L128" s="13" t="n">
        <v>-0.044948</v>
      </c>
      <c r="M128" s="13" t="n">
        <v>-0.048671</v>
      </c>
      <c r="N128" s="13" t="n">
        <v>0.003723</v>
      </c>
      <c r="O128" s="13" t="n">
        <v>0.5199</v>
      </c>
      <c r="P128" s="13" t="n">
        <v>-0.055204</v>
      </c>
      <c r="Q128" s="13" t="n">
        <v>-0.062149</v>
      </c>
      <c r="R128" s="13" t="n">
        <v>0.006945</v>
      </c>
      <c r="S128" s="13" t="n">
        <v>0.5296</v>
      </c>
      <c r="T128" s="13" t="n">
        <v>-0.226849</v>
      </c>
      <c r="U128" s="13" t="n">
        <v>-0.232872</v>
      </c>
      <c r="V128" s="13" t="n">
        <v>0.006023</v>
      </c>
      <c r="W128" s="13" t="n">
        <v>0.5066000000000001</v>
      </c>
      <c r="X128" s="13" t="n">
        <v>-0.113727</v>
      </c>
      <c r="Y128" s="13" t="n">
        <v>-0.059528</v>
      </c>
      <c r="Z128" s="13" t="n">
        <v>-0.054199</v>
      </c>
      <c r="AA128" s="13" t="n">
        <v>0.3436</v>
      </c>
    </row>
    <row r="129">
      <c r="A129" s="6" t="inlineStr">
        <is>
          <t>2023-02-27</t>
        </is>
      </c>
      <c r="B129" s="6" t="inlineStr">
        <is>
          <t>中间分位</t>
        </is>
      </c>
      <c r="C129" s="10" t="n">
        <v>0.6371</v>
      </c>
      <c r="D129" s="8" t="n">
        <v>-0.003287</v>
      </c>
      <c r="E129" s="8" t="n">
        <v>-0.009427</v>
      </c>
      <c r="F129" s="8" t="n">
        <v>0.00614</v>
      </c>
      <c r="G129" s="8" t="n">
        <v>0.7415</v>
      </c>
      <c r="H129" s="8" t="n">
        <v>-0.034649</v>
      </c>
      <c r="I129" s="8" t="n">
        <v>-0.018854</v>
      </c>
      <c r="J129" s="8" t="n">
        <v>-0.015795</v>
      </c>
      <c r="K129" s="8" t="n">
        <v>0.3524</v>
      </c>
      <c r="L129" s="8" t="n">
        <v>-0.060634</v>
      </c>
      <c r="M129" s="8" t="n">
        <v>-0.027149</v>
      </c>
      <c r="N129" s="8" t="n">
        <v>-0.033485</v>
      </c>
      <c r="O129" s="8" t="n">
        <v>0.3093</v>
      </c>
      <c r="P129" s="8" t="n">
        <v>-0.070491</v>
      </c>
      <c r="Q129" s="8" t="n">
        <v>-0.057315</v>
      </c>
      <c r="R129" s="8" t="n">
        <v>-0.013176</v>
      </c>
      <c r="S129" s="8" t="n">
        <v>0.4485</v>
      </c>
      <c r="T129" s="8" t="n">
        <v>-0.213559</v>
      </c>
      <c r="U129" s="8" t="n">
        <v>-0.226621</v>
      </c>
      <c r="V129" s="8" t="n">
        <v>0.013062</v>
      </c>
      <c r="W129" s="8" t="n">
        <v>0.5148</v>
      </c>
      <c r="X129" s="8" t="n">
        <v>-0.121864</v>
      </c>
      <c r="Y129" s="8" t="n">
        <v>-0.049774</v>
      </c>
      <c r="Z129" s="8" t="n">
        <v>-0.07209</v>
      </c>
      <c r="AA129" s="8" t="n">
        <v>0.29</v>
      </c>
    </row>
    <row r="130">
      <c r="A130" s="11" t="inlineStr">
        <is>
          <t>2023-02-28</t>
        </is>
      </c>
      <c r="B130" s="11" t="inlineStr">
        <is>
          <t>中间分位</t>
        </is>
      </c>
      <c r="C130" s="15" t="n">
        <v>0.712</v>
      </c>
      <c r="D130" s="13" t="n">
        <v>-0.013485</v>
      </c>
      <c r="E130" s="13" t="n">
        <v>0.002665</v>
      </c>
      <c r="F130" s="13" t="n">
        <v>-0.01615</v>
      </c>
      <c r="G130" s="13" t="n">
        <v>0.165</v>
      </c>
      <c r="H130" s="13" t="n">
        <v>-0.037456</v>
      </c>
      <c r="I130" s="13" t="n">
        <v>-0.004568</v>
      </c>
      <c r="J130" s="13" t="n">
        <v>-0.032888</v>
      </c>
      <c r="K130" s="13" t="n">
        <v>0.1087</v>
      </c>
      <c r="L130" s="13" t="n">
        <v>-0.047946</v>
      </c>
      <c r="M130" s="13" t="n">
        <v>-0.019414</v>
      </c>
      <c r="N130" s="13" t="n">
        <v>-0.028532</v>
      </c>
      <c r="O130" s="13" t="n">
        <v>0.2882</v>
      </c>
      <c r="P130" s="13" t="n">
        <v>-0.071619</v>
      </c>
      <c r="Q130" s="13" t="n">
        <v>-0.05748</v>
      </c>
      <c r="R130" s="13" t="n">
        <v>-0.014139</v>
      </c>
      <c r="S130" s="13" t="n">
        <v>0.4452</v>
      </c>
      <c r="T130" s="13" t="n">
        <v>-0.205874</v>
      </c>
      <c r="U130" s="13" t="n">
        <v>-0.231823</v>
      </c>
      <c r="V130" s="13" t="n">
        <v>0.025949</v>
      </c>
      <c r="W130" s="13" t="n">
        <v>0.5296</v>
      </c>
      <c r="X130" s="13" t="n">
        <v>-0.115372</v>
      </c>
      <c r="Y130" s="13" t="n">
        <v>-0.041492</v>
      </c>
      <c r="Z130" s="13" t="n">
        <v>-0.07388</v>
      </c>
      <c r="AA130" s="13" t="n">
        <v>0.2645</v>
      </c>
    </row>
    <row r="131">
      <c r="A131" s="6" t="inlineStr">
        <is>
          <t>2023-03-01</t>
        </is>
      </c>
      <c r="B131" s="6" t="inlineStr">
        <is>
          <t>中间分位</t>
        </is>
      </c>
      <c r="C131" s="10" t="n">
        <v>0.5397</v>
      </c>
      <c r="D131" s="8" t="n">
        <v>-0.002734</v>
      </c>
      <c r="E131" s="8" t="n">
        <v>-0.009112</v>
      </c>
      <c r="F131" s="8" t="n">
        <v>0.006378</v>
      </c>
      <c r="G131" s="8" t="n">
        <v>0.7692</v>
      </c>
      <c r="H131" s="8" t="n">
        <v>-0.022783</v>
      </c>
      <c r="I131" s="8" t="n">
        <v>-0.02202</v>
      </c>
      <c r="J131" s="8" t="n">
        <v>-0.000763</v>
      </c>
      <c r="K131" s="8" t="n">
        <v>0.4915</v>
      </c>
      <c r="L131" s="8" t="n">
        <v>-0.037666</v>
      </c>
      <c r="M131" s="8" t="n">
        <v>-0.030372</v>
      </c>
      <c r="N131" s="8" t="n">
        <v>-0.007294</v>
      </c>
      <c r="O131" s="8" t="n">
        <v>0.4464</v>
      </c>
      <c r="P131" s="8" t="n">
        <v>-0.074118</v>
      </c>
      <c r="Q131" s="8" t="n">
        <v>-0.059605</v>
      </c>
      <c r="R131" s="8" t="n">
        <v>-0.014513</v>
      </c>
      <c r="S131" s="8" t="n">
        <v>0.4457</v>
      </c>
      <c r="T131" s="8" t="n">
        <v>-0.207168</v>
      </c>
      <c r="U131" s="8" t="n">
        <v>-0.233106</v>
      </c>
      <c r="V131" s="8" t="n">
        <v>0.025938</v>
      </c>
      <c r="W131" s="8" t="n">
        <v>0.5295</v>
      </c>
      <c r="X131" s="8" t="n">
        <v>-0.1048</v>
      </c>
      <c r="Y131" s="8" t="n">
        <v>-0.039104</v>
      </c>
      <c r="Z131" s="8" t="n">
        <v>-0.065696</v>
      </c>
      <c r="AA131" s="8" t="n">
        <v>0.2717</v>
      </c>
    </row>
    <row r="132">
      <c r="A132" s="11" t="inlineStr">
        <is>
          <t>2023-03-02</t>
        </is>
      </c>
      <c r="B132" s="11" t="inlineStr">
        <is>
          <t>中间分位</t>
        </is>
      </c>
      <c r="C132" s="15" t="n">
        <v>0.5984</v>
      </c>
      <c r="D132" s="13" t="n">
        <v>-0.012486</v>
      </c>
      <c r="E132" s="13" t="n">
        <v>-0.000766</v>
      </c>
      <c r="F132" s="13" t="n">
        <v>-0.01172</v>
      </c>
      <c r="G132" s="13" t="n">
        <v>0.0578</v>
      </c>
      <c r="H132" s="13" t="n">
        <v>-0.032897</v>
      </c>
      <c r="I132" s="13" t="n">
        <v>-0.01341</v>
      </c>
      <c r="J132" s="13" t="n">
        <v>-0.019487</v>
      </c>
      <c r="K132" s="13" t="n">
        <v>0.2896</v>
      </c>
      <c r="L132" s="13" t="n">
        <v>-0.038986</v>
      </c>
      <c r="M132" s="13" t="n">
        <v>-0.053257</v>
      </c>
      <c r="N132" s="13" t="n">
        <v>0.014271</v>
      </c>
      <c r="O132" s="13" t="n">
        <v>0.5774</v>
      </c>
      <c r="P132" s="13" t="n">
        <v>-0.073407</v>
      </c>
      <c r="Q132" s="13" t="n">
        <v>-0.04636</v>
      </c>
      <c r="R132" s="13" t="n">
        <v>-0.027047</v>
      </c>
      <c r="S132" s="13" t="n">
        <v>0.3871</v>
      </c>
      <c r="T132" s="13" t="n">
        <v>-0.210477</v>
      </c>
      <c r="U132" s="13" t="n">
        <v>-0.212261</v>
      </c>
      <c r="V132" s="13" t="n">
        <v>0.001784</v>
      </c>
      <c r="W132" s="13" t="n">
        <v>0.5021</v>
      </c>
      <c r="X132" s="13" t="n">
        <v>-0.09808</v>
      </c>
      <c r="Y132" s="13" t="n">
        <v>-0.037548</v>
      </c>
      <c r="Z132" s="13" t="n">
        <v>-0.060532</v>
      </c>
      <c r="AA132" s="13" t="n">
        <v>0.2768</v>
      </c>
    </row>
    <row r="133">
      <c r="A133" s="6" t="inlineStr">
        <is>
          <t>2023-03-03</t>
        </is>
      </c>
      <c r="B133" s="6" t="inlineStr">
        <is>
          <t>中间分位</t>
        </is>
      </c>
      <c r="C133" s="10" t="n">
        <v>0.5</v>
      </c>
      <c r="D133" s="8" t="n">
        <v>-0.003087</v>
      </c>
      <c r="E133" s="8" t="n">
        <v>-0.002301</v>
      </c>
      <c r="F133" s="8" t="n">
        <v>-0.000786</v>
      </c>
      <c r="G133" s="8" t="n">
        <v>0.4271</v>
      </c>
      <c r="H133" s="8" t="n">
        <v>-0.023445</v>
      </c>
      <c r="I133" s="8" t="n">
        <v>-0.02569</v>
      </c>
      <c r="J133" s="8" t="n">
        <v>0.002245</v>
      </c>
      <c r="K133" s="8" t="n">
        <v>0.5228</v>
      </c>
      <c r="L133" s="8" t="n">
        <v>-0.046579</v>
      </c>
      <c r="M133" s="8" t="n">
        <v>-0.038727</v>
      </c>
      <c r="N133" s="8" t="n">
        <v>-0.007852</v>
      </c>
      <c r="O133" s="8" t="n">
        <v>0.454</v>
      </c>
      <c r="P133" s="8" t="n">
        <v>-0.058608</v>
      </c>
      <c r="Q133" s="8" t="n">
        <v>-0.034509</v>
      </c>
      <c r="R133" s="8" t="n">
        <v>-0.024099</v>
      </c>
      <c r="S133" s="8" t="n">
        <v>0.3706</v>
      </c>
      <c r="T133" s="8" t="n">
        <v>-0.199876</v>
      </c>
      <c r="U133" s="8" t="n">
        <v>-0.199003</v>
      </c>
      <c r="V133" s="8" t="n">
        <v>-0.000873</v>
      </c>
      <c r="W133" s="8" t="n">
        <v>0.4989</v>
      </c>
      <c r="X133" s="8" t="n">
        <v>-0.09253500000000001</v>
      </c>
      <c r="Y133" s="8" t="n">
        <v>-0.03681</v>
      </c>
      <c r="Z133" s="8" t="n">
        <v>-0.055725</v>
      </c>
      <c r="AA133" s="8" t="n">
        <v>0.2846</v>
      </c>
    </row>
    <row r="134">
      <c r="A134" s="11" t="inlineStr">
        <is>
          <t>2023-03-06</t>
        </is>
      </c>
      <c r="B134" s="11" t="inlineStr">
        <is>
          <t>中间分位</t>
        </is>
      </c>
      <c r="C134" s="15" t="n">
        <v>0.4806</v>
      </c>
      <c r="D134" s="13" t="n">
        <v>-0.006186</v>
      </c>
      <c r="E134" s="13" t="n">
        <v>0.004996</v>
      </c>
      <c r="F134" s="13" t="n">
        <v>-0.011182</v>
      </c>
      <c r="G134" s="13" t="n">
        <v>0.4468</v>
      </c>
      <c r="H134" s="13" t="n">
        <v>-0.026918</v>
      </c>
      <c r="I134" s="13" t="n">
        <v>-0.008455000000000001</v>
      </c>
      <c r="J134" s="13" t="n">
        <v>-0.018463</v>
      </c>
      <c r="K134" s="13" t="n">
        <v>0.239</v>
      </c>
      <c r="L134" s="13" t="n">
        <v>-0.030319</v>
      </c>
      <c r="M134" s="13" t="n">
        <v>-0.031514</v>
      </c>
      <c r="N134" s="13" t="n">
        <v>0.001195</v>
      </c>
      <c r="O134" s="13" t="n">
        <v>0.5097</v>
      </c>
      <c r="P134" s="13" t="n">
        <v>-0.048884</v>
      </c>
      <c r="Q134" s="13" t="n">
        <v>-0.046503</v>
      </c>
      <c r="R134" s="13" t="n">
        <v>-0.002381</v>
      </c>
      <c r="S134" s="13" t="n">
        <v>0.4875</v>
      </c>
      <c r="T134" s="13" t="n">
        <v>-0.18626</v>
      </c>
      <c r="U134" s="13" t="n">
        <v>-0.208686</v>
      </c>
      <c r="V134" s="13" t="n">
        <v>0.022426</v>
      </c>
      <c r="W134" s="13" t="n">
        <v>0.5284</v>
      </c>
      <c r="X134" s="13" t="n">
        <v>-0.089725</v>
      </c>
      <c r="Y134" s="13" t="n">
        <v>-0.002306</v>
      </c>
      <c r="Z134" s="13" t="n">
        <v>-0.087419</v>
      </c>
      <c r="AA134" s="13" t="n">
        <v>0.0251</v>
      </c>
    </row>
    <row r="135">
      <c r="A135" s="6" t="inlineStr">
        <is>
          <t>2023-03-07</t>
        </is>
      </c>
      <c r="B135" s="6" t="inlineStr">
        <is>
          <t>中间分位</t>
        </is>
      </c>
      <c r="C135" s="10" t="n">
        <v>0.3538</v>
      </c>
      <c r="D135" s="8" t="n">
        <v>0.001554</v>
      </c>
      <c r="E135" s="8" t="n">
        <v>-0.014914</v>
      </c>
      <c r="F135" s="8" t="n">
        <v>0.016468</v>
      </c>
      <c r="G135" s="8" t="n">
        <v>0.9056</v>
      </c>
      <c r="H135" s="8" t="n">
        <v>-0.010898</v>
      </c>
      <c r="I135" s="8" t="n">
        <v>-0.014914</v>
      </c>
      <c r="J135" s="8" t="n">
        <v>0.004016</v>
      </c>
      <c r="K135" s="8" t="n">
        <v>0.5778</v>
      </c>
      <c r="L135" s="8" t="n">
        <v>-0.021796</v>
      </c>
      <c r="M135" s="8" t="n">
        <v>-0.045507</v>
      </c>
      <c r="N135" s="8" t="n">
        <v>0.023711</v>
      </c>
      <c r="O135" s="8" t="n">
        <v>0.6762</v>
      </c>
      <c r="P135" s="8" t="n">
        <v>-0.052618</v>
      </c>
      <c r="Q135" s="8" t="n">
        <v>-0.053537</v>
      </c>
      <c r="R135" s="8" t="n">
        <v>0.000919</v>
      </c>
      <c r="S135" s="8" t="n">
        <v>0.5043</v>
      </c>
      <c r="T135" s="8" t="n">
        <v>-0.185555</v>
      </c>
      <c r="U135" s="8" t="n">
        <v>-0.219503</v>
      </c>
      <c r="V135" s="8" t="n">
        <v>0.033948</v>
      </c>
      <c r="W135" s="8" t="n">
        <v>0.5419</v>
      </c>
      <c r="X135" s="8" t="n">
        <v>-0.050436</v>
      </c>
      <c r="Y135" s="8" t="n">
        <v>-0.014532</v>
      </c>
      <c r="Z135" s="8" t="n">
        <v>-0.035904</v>
      </c>
      <c r="AA135" s="8" t="n">
        <v>0.2237</v>
      </c>
    </row>
    <row r="136">
      <c r="A136" s="11" t="inlineStr">
        <is>
          <t>2023-03-08</t>
        </is>
      </c>
      <c r="B136" s="11" t="inlineStr">
        <is>
          <t>中间分位</t>
        </is>
      </c>
      <c r="C136" s="15" t="n">
        <v>0.542</v>
      </c>
      <c r="D136" s="13" t="n">
        <v>-0.013056</v>
      </c>
      <c r="E136" s="13" t="n">
        <v>-0.000388</v>
      </c>
      <c r="F136" s="13" t="n">
        <v>-0.012668</v>
      </c>
      <c r="G136" s="13" t="n">
        <v>0.0289</v>
      </c>
      <c r="H136" s="13" t="n">
        <v>-0.01523</v>
      </c>
      <c r="I136" s="13" t="n">
        <v>-0.008540000000000001</v>
      </c>
      <c r="J136" s="13" t="n">
        <v>-0.00669</v>
      </c>
      <c r="K136" s="13" t="n">
        <v>0.3593</v>
      </c>
      <c r="L136" s="13" t="n">
        <v>-0.033258</v>
      </c>
      <c r="M136" s="13" t="n">
        <v>-0.022516</v>
      </c>
      <c r="N136" s="13" t="n">
        <v>-0.010742</v>
      </c>
      <c r="O136" s="13" t="n">
        <v>0.4037</v>
      </c>
      <c r="P136" s="13" t="n">
        <v>-0.063413</v>
      </c>
      <c r="Q136" s="13" t="n">
        <v>-0.062112</v>
      </c>
      <c r="R136" s="13" t="n">
        <v>-0.001301</v>
      </c>
      <c r="S136" s="13" t="n">
        <v>0.4948</v>
      </c>
      <c r="T136" s="13" t="n">
        <v>-0.20174</v>
      </c>
      <c r="U136" s="13" t="n">
        <v>-0.220497</v>
      </c>
      <c r="V136" s="13" t="n">
        <v>0.018757</v>
      </c>
      <c r="W136" s="13" t="n">
        <v>0.5222</v>
      </c>
      <c r="X136" s="13" t="n">
        <v>-0.058128</v>
      </c>
      <c r="Y136" s="13" t="n">
        <v>0.013199</v>
      </c>
      <c r="Z136" s="13" t="n">
        <v>-0.071327</v>
      </c>
      <c r="AA136" s="13" t="n">
        <v>0.185</v>
      </c>
    </row>
    <row r="137">
      <c r="A137" s="6" t="inlineStr">
        <is>
          <t>2023-03-09</t>
        </is>
      </c>
      <c r="B137" s="6" t="inlineStr">
        <is>
          <t>中间分位</t>
        </is>
      </c>
      <c r="C137" s="10" t="n">
        <v>0.4091</v>
      </c>
      <c r="D137" s="8" t="n">
        <v>-0.002835</v>
      </c>
      <c r="E137" s="8" t="n">
        <v>-0.013204</v>
      </c>
      <c r="F137" s="8" t="n">
        <v>0.010369</v>
      </c>
      <c r="G137" s="8" t="n">
        <v>0.8232</v>
      </c>
      <c r="H137" s="8" t="n">
        <v>-0.006297</v>
      </c>
      <c r="I137" s="8" t="n">
        <v>-0.040388</v>
      </c>
      <c r="J137" s="8" t="n">
        <v>0.034091</v>
      </c>
      <c r="K137" s="8" t="n">
        <v>0.8651</v>
      </c>
      <c r="L137" s="8" t="n">
        <v>-0.011652</v>
      </c>
      <c r="M137" s="8" t="n">
        <v>-0.022524</v>
      </c>
      <c r="N137" s="8" t="n">
        <v>0.010872</v>
      </c>
      <c r="O137" s="8" t="n">
        <v>0.6591</v>
      </c>
      <c r="P137" s="8" t="n">
        <v>-0.065197</v>
      </c>
      <c r="Q137" s="8" t="n">
        <v>-0.062524</v>
      </c>
      <c r="R137" s="8" t="n">
        <v>-0.002673</v>
      </c>
      <c r="S137" s="8" t="n">
        <v>0.4895</v>
      </c>
      <c r="T137" s="8" t="n">
        <v>-0.200943</v>
      </c>
      <c r="U137" s="8" t="n">
        <v>-0.207379</v>
      </c>
      <c r="V137" s="8" t="n">
        <v>0.006436</v>
      </c>
      <c r="W137" s="8" t="n">
        <v>0.5079</v>
      </c>
      <c r="X137" s="8" t="n">
        <v>-0.035588</v>
      </c>
      <c r="Y137" s="8" t="n">
        <v>-0.000777</v>
      </c>
      <c r="Z137" s="8" t="n">
        <v>-0.034811</v>
      </c>
      <c r="AA137" s="8" t="n">
        <v>0.0214</v>
      </c>
    </row>
    <row r="138">
      <c r="A138" s="11" t="inlineStr">
        <is>
          <t>2023-03-10</t>
        </is>
      </c>
      <c r="B138" s="11" t="inlineStr">
        <is>
          <t>中间分位</t>
        </is>
      </c>
      <c r="C138" s="15" t="n">
        <v>0.5263</v>
      </c>
      <c r="D138" s="13" t="n">
        <v>-0.006633</v>
      </c>
      <c r="E138" s="13" t="n">
        <v>0.015348</v>
      </c>
      <c r="F138" s="13" t="n">
        <v>-0.021981</v>
      </c>
      <c r="G138" s="13" t="n">
        <v>0.6982</v>
      </c>
      <c r="H138" s="13" t="n">
        <v>-0.023689</v>
      </c>
      <c r="I138" s="13" t="n">
        <v>-0.013381</v>
      </c>
      <c r="J138" s="13" t="n">
        <v>-0.010308</v>
      </c>
      <c r="K138" s="13" t="n">
        <v>0.361</v>
      </c>
      <c r="L138" s="13" t="n">
        <v>-0.010738</v>
      </c>
      <c r="M138" s="13" t="n">
        <v>-0.014168</v>
      </c>
      <c r="N138" s="13" t="n">
        <v>0.00343</v>
      </c>
      <c r="O138" s="13" t="n">
        <v>0.5689</v>
      </c>
      <c r="P138" s="13" t="n">
        <v>-0.072644</v>
      </c>
      <c r="Q138" s="13" t="n">
        <v>-0.06218</v>
      </c>
      <c r="R138" s="13" t="n">
        <v>-0.010464</v>
      </c>
      <c r="S138" s="13" t="n">
        <v>0.4612</v>
      </c>
      <c r="T138" s="13" t="n">
        <v>-0.209413</v>
      </c>
      <c r="U138" s="13" t="n">
        <v>-0.195986</v>
      </c>
      <c r="V138" s="13" t="n">
        <v>-0.013427</v>
      </c>
      <c r="W138" s="13" t="n">
        <v>0.4834</v>
      </c>
      <c r="X138" s="13" t="n">
        <v>-0.044217</v>
      </c>
      <c r="Y138" s="13" t="n">
        <v>0.019284</v>
      </c>
      <c r="Z138" s="13" t="n">
        <v>-0.063501</v>
      </c>
      <c r="AA138" s="13" t="n">
        <v>0.3037</v>
      </c>
    </row>
    <row r="139">
      <c r="A139" s="6" t="inlineStr">
        <is>
          <t>2023-03-13</t>
        </is>
      </c>
      <c r="B139" s="6" t="inlineStr">
        <is>
          <t>中间分位</t>
        </is>
      </c>
      <c r="C139" s="10" t="n">
        <v>0.2761</v>
      </c>
      <c r="D139" s="8" t="n">
        <v>0.010176</v>
      </c>
      <c r="E139" s="8" t="n">
        <v>-0.00155</v>
      </c>
      <c r="F139" s="8" t="n">
        <v>0.011726</v>
      </c>
      <c r="G139" s="8" t="n">
        <v>0.1322</v>
      </c>
      <c r="H139" s="8" t="n">
        <v>-0.003495</v>
      </c>
      <c r="I139" s="8" t="n">
        <v>-0.023256</v>
      </c>
      <c r="J139" s="8" t="n">
        <v>0.019761</v>
      </c>
      <c r="K139" s="8" t="n">
        <v>0.8694</v>
      </c>
      <c r="L139" s="8" t="n">
        <v>-0.010493</v>
      </c>
      <c r="M139" s="8" t="n">
        <v>-0.031008</v>
      </c>
      <c r="N139" s="8" t="n">
        <v>0.020515</v>
      </c>
      <c r="O139" s="8" t="n">
        <v>0.7472</v>
      </c>
      <c r="P139" s="8" t="n">
        <v>-0.083622</v>
      </c>
      <c r="Q139" s="8" t="n">
        <v>-0.071705</v>
      </c>
      <c r="R139" s="8" t="n">
        <v>-0.011917</v>
      </c>
      <c r="S139" s="8" t="n">
        <v>0.4616</v>
      </c>
      <c r="T139" s="8" t="n">
        <v>-0.208266</v>
      </c>
      <c r="U139" s="8" t="n">
        <v>-0.236822</v>
      </c>
      <c r="V139" s="8" t="n">
        <v>0.028556</v>
      </c>
      <c r="W139" s="8" t="n">
        <v>0.5321</v>
      </c>
      <c r="X139" s="8" t="n">
        <v>-0.030841</v>
      </c>
      <c r="Y139" s="8" t="n">
        <v>0.002326</v>
      </c>
      <c r="Z139" s="8" t="n">
        <v>-0.033167</v>
      </c>
      <c r="AA139" s="8" t="n">
        <v>0.0701</v>
      </c>
    </row>
    <row r="140">
      <c r="A140" s="11" t="inlineStr">
        <is>
          <t>2023-03-14</t>
        </is>
      </c>
      <c r="B140" s="11" t="inlineStr">
        <is>
          <t>中间分位</t>
        </is>
      </c>
      <c r="C140" s="15" t="n">
        <v>0.4148</v>
      </c>
      <c r="D140" s="13" t="n">
        <v>-0.002833</v>
      </c>
      <c r="E140" s="13" t="n">
        <v>-0.008540000000000001</v>
      </c>
      <c r="F140" s="13" t="n">
        <v>0.005707</v>
      </c>
      <c r="G140" s="13" t="n">
        <v>0.7509</v>
      </c>
      <c r="H140" s="13" t="n">
        <v>-0.011018</v>
      </c>
      <c r="I140" s="13" t="n">
        <v>-0.031056</v>
      </c>
      <c r="J140" s="13" t="n">
        <v>0.020038</v>
      </c>
      <c r="K140" s="13" t="n">
        <v>0.7381</v>
      </c>
      <c r="L140" s="13" t="n">
        <v>-0.024865</v>
      </c>
      <c r="M140" s="13" t="n">
        <v>-0.03882</v>
      </c>
      <c r="N140" s="13" t="n">
        <v>0.013955</v>
      </c>
      <c r="O140" s="13" t="n">
        <v>0.6096</v>
      </c>
      <c r="P140" s="13" t="n">
        <v>-0.083411</v>
      </c>
      <c r="Q140" s="13" t="n">
        <v>-0.07337</v>
      </c>
      <c r="R140" s="13" t="n">
        <v>-0.010041</v>
      </c>
      <c r="S140" s="13" t="n">
        <v>0.468</v>
      </c>
      <c r="T140" s="13" t="n">
        <v>-0.238591</v>
      </c>
      <c r="U140" s="13" t="n">
        <v>-0.219332</v>
      </c>
      <c r="V140" s="13" t="n">
        <v>-0.019259</v>
      </c>
      <c r="W140" s="13" t="n">
        <v>0.479</v>
      </c>
      <c r="X140" s="13" t="n">
        <v>-0.040291</v>
      </c>
      <c r="Y140" s="13" t="n">
        <v>-0.015528</v>
      </c>
      <c r="Z140" s="13" t="n">
        <v>-0.024763</v>
      </c>
      <c r="AA140" s="13" t="n">
        <v>0.2782</v>
      </c>
    </row>
    <row r="141">
      <c r="A141" s="6" t="inlineStr">
        <is>
          <t>2023-03-15</t>
        </is>
      </c>
      <c r="B141" s="6" t="inlineStr">
        <is>
          <t>中间分位</t>
        </is>
      </c>
      <c r="C141" s="10" t="n">
        <v>0.4632</v>
      </c>
      <c r="D141" s="8" t="n">
        <v>-0.004102</v>
      </c>
      <c r="E141" s="8" t="n">
        <v>-0.032498</v>
      </c>
      <c r="F141" s="8" t="n">
        <v>0.028396</v>
      </c>
      <c r="G141" s="8" t="n">
        <v>0.8879</v>
      </c>
      <c r="H141" s="8" t="n">
        <v>-0.018307</v>
      </c>
      <c r="I141" s="8" t="n">
        <v>-0.014096</v>
      </c>
      <c r="J141" s="8" t="n">
        <v>-0.004211</v>
      </c>
      <c r="K141" s="8" t="n">
        <v>0.435</v>
      </c>
      <c r="L141" s="8" t="n">
        <v>-0.037879</v>
      </c>
      <c r="M141" s="8" t="n">
        <v>-0.030149</v>
      </c>
      <c r="N141" s="8" t="n">
        <v>-0.00773</v>
      </c>
      <c r="O141" s="8" t="n">
        <v>0.4432</v>
      </c>
      <c r="P141" s="8" t="n">
        <v>-0.073231</v>
      </c>
      <c r="Q141" s="8" t="n">
        <v>-0.06421300000000001</v>
      </c>
      <c r="R141" s="8" t="n">
        <v>-0.009018</v>
      </c>
      <c r="S141" s="8" t="n">
        <v>0.4672</v>
      </c>
      <c r="T141" s="8" t="n">
        <v>-0.22317</v>
      </c>
      <c r="U141" s="8" t="n">
        <v>-0.211433</v>
      </c>
      <c r="V141" s="8" t="n">
        <v>-0.011737</v>
      </c>
      <c r="W141" s="8" t="n">
        <v>0.4865</v>
      </c>
      <c r="X141" s="8" t="n">
        <v>-0.053345</v>
      </c>
      <c r="Y141" s="8" t="n">
        <v>-0.012138</v>
      </c>
      <c r="Z141" s="8" t="n">
        <v>-0.041207</v>
      </c>
      <c r="AA141" s="8" t="n">
        <v>0.1854</v>
      </c>
    </row>
    <row r="142">
      <c r="A142" s="11" t="inlineStr">
        <is>
          <t>2023-03-16</t>
        </is>
      </c>
      <c r="B142" s="11" t="inlineStr">
        <is>
          <t>中间分位</t>
        </is>
      </c>
      <c r="C142" s="15" t="n">
        <v>0.7664</v>
      </c>
      <c r="D142" s="13" t="n">
        <v>-0.020288</v>
      </c>
      <c r="E142" s="13" t="n">
        <v>0.014569</v>
      </c>
      <c r="F142" s="13" t="n">
        <v>-0.034857</v>
      </c>
      <c r="G142" s="13" t="n">
        <v>0.418</v>
      </c>
      <c r="H142" s="13" t="n">
        <v>-0.00539</v>
      </c>
      <c r="I142" s="13" t="n">
        <v>0.018616</v>
      </c>
      <c r="J142" s="13" t="n">
        <v>-0.024006</v>
      </c>
      <c r="K142" s="13" t="n">
        <v>0.7755</v>
      </c>
      <c r="L142" s="13" t="n">
        <v>-0.035817</v>
      </c>
      <c r="M142" s="13" t="n">
        <v>0.007285</v>
      </c>
      <c r="N142" s="13" t="n">
        <v>-0.043102</v>
      </c>
      <c r="O142" s="13" t="n">
        <v>0.169</v>
      </c>
      <c r="P142" s="13" t="n">
        <v>-0.059905</v>
      </c>
      <c r="Q142" s="13" t="n">
        <v>-0.027519</v>
      </c>
      <c r="R142" s="13" t="n">
        <v>-0.032386</v>
      </c>
      <c r="S142" s="13" t="n">
        <v>0.3148</v>
      </c>
      <c r="T142" s="13" t="n">
        <v>-0.223139</v>
      </c>
      <c r="U142" s="13" t="n">
        <v>-0.176042</v>
      </c>
      <c r="V142" s="13" t="n">
        <v>-0.047097</v>
      </c>
      <c r="W142" s="13" t="n">
        <v>0.441</v>
      </c>
      <c r="X142" s="13" t="n">
        <v>-0.054519</v>
      </c>
      <c r="Y142" s="13" t="n">
        <v>0.032376</v>
      </c>
      <c r="Z142" s="13" t="n">
        <v>-0.086895</v>
      </c>
      <c r="AA142" s="13" t="n">
        <v>0.3726</v>
      </c>
    </row>
    <row r="143">
      <c r="A143" s="6" t="inlineStr">
        <is>
          <t>2023-03-17</t>
        </is>
      </c>
      <c r="B143" s="6" t="inlineStr">
        <is>
          <t>中间分位</t>
        </is>
      </c>
      <c r="C143" s="10" t="n">
        <v>0.3913</v>
      </c>
      <c r="D143" s="8" t="n">
        <v>0.013914</v>
      </c>
      <c r="E143" s="8" t="n">
        <v>0.005185</v>
      </c>
      <c r="F143" s="8" t="n">
        <v>0.008729000000000001</v>
      </c>
      <c r="G143" s="8" t="n">
        <v>0.2715</v>
      </c>
      <c r="H143" s="8" t="n">
        <v>0.013266</v>
      </c>
      <c r="I143" s="8" t="n">
        <v>-0.000798</v>
      </c>
      <c r="J143" s="8" t="n">
        <v>0.014064</v>
      </c>
      <c r="K143" s="8" t="n">
        <v>0.0567</v>
      </c>
      <c r="L143" s="8" t="n">
        <v>-0.012617</v>
      </c>
      <c r="M143" s="8" t="n">
        <v>0.004388</v>
      </c>
      <c r="N143" s="8" t="n">
        <v>-0.017005</v>
      </c>
      <c r="O143" s="8" t="n">
        <v>0.258</v>
      </c>
      <c r="P143" s="8" t="n">
        <v>-0.040437</v>
      </c>
      <c r="Q143" s="8" t="n">
        <v>-0.027523</v>
      </c>
      <c r="R143" s="8" t="n">
        <v>-0.012914</v>
      </c>
      <c r="S143" s="8" t="n">
        <v>0.405</v>
      </c>
      <c r="T143" s="8" t="n">
        <v>-0.200258</v>
      </c>
      <c r="U143" s="8" t="n">
        <v>-0.179099</v>
      </c>
      <c r="V143" s="8" t="n">
        <v>-0.021159</v>
      </c>
      <c r="W143" s="8" t="n">
        <v>0.4721</v>
      </c>
      <c r="X143" s="8" t="n">
        <v>-0.025557</v>
      </c>
      <c r="Y143" s="8" t="n">
        <v>0.023534</v>
      </c>
      <c r="Z143" s="8" t="n">
        <v>-0.049091</v>
      </c>
      <c r="AA143" s="8" t="n">
        <v>0.4794</v>
      </c>
    </row>
    <row r="144">
      <c r="A144" s="11" t="inlineStr">
        <is>
          <t>2023-03-20</t>
        </is>
      </c>
      <c r="B144" s="11" t="inlineStr">
        <is>
          <t>中间分位</t>
        </is>
      </c>
      <c r="C144" s="15" t="n">
        <v>0.518</v>
      </c>
      <c r="D144" s="13" t="n">
        <v>0.00255</v>
      </c>
      <c r="E144" s="13" t="n">
        <v>-0.009523999999999999</v>
      </c>
      <c r="F144" s="13" t="n">
        <v>0.012074</v>
      </c>
      <c r="G144" s="13" t="n">
        <v>0.7887999999999999</v>
      </c>
      <c r="H144" s="13" t="n">
        <v>-0.007022</v>
      </c>
      <c r="I144" s="13" t="n">
        <v>-0.007937</v>
      </c>
      <c r="J144" s="13" t="n">
        <v>0.000915</v>
      </c>
      <c r="K144" s="13" t="n">
        <v>0.5306</v>
      </c>
      <c r="L144" s="13" t="n">
        <v>-0.019145</v>
      </c>
      <c r="M144" s="13" t="n">
        <v>-0.015476</v>
      </c>
      <c r="N144" s="13" t="n">
        <v>-0.003669</v>
      </c>
      <c r="O144" s="13" t="n">
        <v>0.447</v>
      </c>
      <c r="P144" s="13" t="n">
        <v>-0.031271</v>
      </c>
      <c r="Q144" s="13" t="n">
        <v>-0.029365</v>
      </c>
      <c r="R144" s="13" t="n">
        <v>-0.001906</v>
      </c>
      <c r="S144" s="13" t="n">
        <v>0.4843</v>
      </c>
      <c r="T144" s="13" t="n">
        <v>-0.205807</v>
      </c>
      <c r="U144" s="13" t="n">
        <v>-0.186111</v>
      </c>
      <c r="V144" s="13" t="n">
        <v>-0.019696</v>
      </c>
      <c r="W144" s="13" t="n">
        <v>0.4749</v>
      </c>
      <c r="X144" s="13" t="n">
        <v>-0.033503</v>
      </c>
      <c r="Y144" s="13" t="n">
        <v>0.001984</v>
      </c>
      <c r="Z144" s="13" t="n">
        <v>-0.035487</v>
      </c>
      <c r="AA144" s="13" t="n">
        <v>0.0559</v>
      </c>
    </row>
    <row r="145">
      <c r="A145" s="6" t="inlineStr">
        <is>
          <t>2023-03-21</t>
        </is>
      </c>
      <c r="B145" s="6" t="inlineStr">
        <is>
          <t>中间分位</t>
        </is>
      </c>
      <c r="C145" s="10" t="n">
        <v>0.6286</v>
      </c>
      <c r="D145" s="8" t="n">
        <v>-0.010182</v>
      </c>
      <c r="E145" s="8" t="n">
        <v>0.008814000000000001</v>
      </c>
      <c r="F145" s="8" t="n">
        <v>-0.018996</v>
      </c>
      <c r="G145" s="8" t="n">
        <v>0.464</v>
      </c>
      <c r="H145" s="8" t="n">
        <v>-0.014001</v>
      </c>
      <c r="I145" s="8" t="n">
        <v>-0.008012999999999999</v>
      </c>
      <c r="J145" s="8" t="n">
        <v>-0.005988</v>
      </c>
      <c r="K145" s="8" t="n">
        <v>0.364</v>
      </c>
      <c r="L145" s="8" t="n">
        <v>-0.031509</v>
      </c>
      <c r="M145" s="8" t="n">
        <v>-0.008413</v>
      </c>
      <c r="N145" s="8" t="n">
        <v>-0.023096</v>
      </c>
      <c r="O145" s="8" t="n">
        <v>0.2107</v>
      </c>
      <c r="P145" s="8" t="n">
        <v>-0.029599</v>
      </c>
      <c r="Q145" s="8" t="n">
        <v>-0.024038</v>
      </c>
      <c r="R145" s="8" t="n">
        <v>-0.005561</v>
      </c>
      <c r="S145" s="8" t="n">
        <v>0.4482</v>
      </c>
      <c r="T145" s="8" t="n">
        <v>-0.211012</v>
      </c>
      <c r="U145" s="8" t="n">
        <v>-0.166667</v>
      </c>
      <c r="V145" s="8" t="n">
        <v>-0.044345</v>
      </c>
      <c r="W145" s="8" t="n">
        <v>0.4413</v>
      </c>
      <c r="X145" s="8" t="n">
        <v>-0.048374</v>
      </c>
      <c r="Y145" s="8" t="n">
        <v>0.026442</v>
      </c>
      <c r="Z145" s="8" t="n">
        <v>-0.07481599999999999</v>
      </c>
      <c r="AA145" s="8" t="n">
        <v>0.3534</v>
      </c>
    </row>
    <row r="146">
      <c r="A146" s="11" t="inlineStr">
        <is>
          <t>2023-03-22</t>
        </is>
      </c>
      <c r="B146" s="11" t="inlineStr">
        <is>
          <t>中间分位</t>
        </is>
      </c>
      <c r="C146" s="15" t="n">
        <v>0.4113</v>
      </c>
      <c r="D146" s="13" t="n">
        <v>0.009002</v>
      </c>
      <c r="E146" s="13" t="n">
        <v>-0.000397</v>
      </c>
      <c r="F146" s="13" t="n">
        <v>0.009398999999999999</v>
      </c>
      <c r="G146" s="13" t="n">
        <v>0.0422</v>
      </c>
      <c r="H146" s="13" t="n">
        <v>-0.019937</v>
      </c>
      <c r="I146" s="13" t="n">
        <v>-0.016283</v>
      </c>
      <c r="J146" s="13" t="n">
        <v>-0.003654</v>
      </c>
      <c r="K146" s="13" t="n">
        <v>0.4496</v>
      </c>
      <c r="L146" s="13" t="n">
        <v>-0.031192</v>
      </c>
      <c r="M146" s="13" t="n">
        <v>-0.040508</v>
      </c>
      <c r="N146" s="13" t="n">
        <v>0.009316</v>
      </c>
      <c r="O146" s="13" t="n">
        <v>0.5649999999999999</v>
      </c>
      <c r="P146" s="13" t="n">
        <v>-0.016078</v>
      </c>
      <c r="Q146" s="13" t="n">
        <v>-0.021048</v>
      </c>
      <c r="R146" s="13" t="n">
        <v>0.00497</v>
      </c>
      <c r="S146" s="13" t="n">
        <v>0.5669</v>
      </c>
      <c r="T146" s="13" t="n">
        <v>-0.192926</v>
      </c>
      <c r="U146" s="13" t="n">
        <v>-0.175933</v>
      </c>
      <c r="V146" s="13" t="n">
        <v>-0.016993</v>
      </c>
      <c r="W146" s="13" t="n">
        <v>0.477</v>
      </c>
      <c r="X146" s="13" t="n">
        <v>-0.02476</v>
      </c>
      <c r="Y146" s="13" t="n">
        <v>0.018268</v>
      </c>
      <c r="Z146" s="13" t="n">
        <v>-0.043028</v>
      </c>
      <c r="AA146" s="13" t="n">
        <v>0.4246</v>
      </c>
    </row>
    <row r="147">
      <c r="A147" s="6" t="inlineStr">
        <is>
          <t>2023-03-23</t>
        </is>
      </c>
      <c r="B147" s="6" t="inlineStr">
        <is>
          <t>中间分位</t>
        </is>
      </c>
      <c r="C147" s="10" t="n">
        <v>0.5493</v>
      </c>
      <c r="D147" s="8" t="n">
        <v>-0.001912</v>
      </c>
      <c r="E147" s="8" t="n">
        <v>-0.004768</v>
      </c>
      <c r="F147" s="8" t="n">
        <v>0.002856</v>
      </c>
      <c r="G147" s="8" t="n">
        <v>0.7138</v>
      </c>
      <c r="H147" s="8" t="n">
        <v>-0.030593</v>
      </c>
      <c r="I147" s="8" t="n">
        <v>-0.011124</v>
      </c>
      <c r="J147" s="8" t="n">
        <v>-0.019469</v>
      </c>
      <c r="K147" s="8" t="n">
        <v>0.2667</v>
      </c>
      <c r="L147" s="8" t="n">
        <v>-0.054176</v>
      </c>
      <c r="M147" s="8" t="n">
        <v>-0.040922</v>
      </c>
      <c r="N147" s="8" t="n">
        <v>-0.013254</v>
      </c>
      <c r="O147" s="8" t="n">
        <v>0.4303</v>
      </c>
      <c r="P147" s="8" t="n">
        <v>-0.024857</v>
      </c>
      <c r="Q147" s="8" t="n">
        <v>-0.017878</v>
      </c>
      <c r="R147" s="8" t="n">
        <v>-0.006979</v>
      </c>
      <c r="S147" s="8" t="n">
        <v>0.4183</v>
      </c>
      <c r="T147" s="8" t="n">
        <v>-0.204589</v>
      </c>
      <c r="U147" s="8" t="n">
        <v>-0.187525</v>
      </c>
      <c r="V147" s="8" t="n">
        <v>-0.017064</v>
      </c>
      <c r="W147" s="8" t="n">
        <v>0.4782</v>
      </c>
      <c r="X147" s="8" t="n">
        <v>-0.030593</v>
      </c>
      <c r="Y147" s="8" t="n">
        <v>0.042908</v>
      </c>
      <c r="Z147" s="8" t="n">
        <v>-0.073501</v>
      </c>
      <c r="AA147" s="8" t="n">
        <v>0.5838</v>
      </c>
    </row>
    <row r="148">
      <c r="A148" s="11" t="inlineStr">
        <is>
          <t>2023-03-24</t>
        </is>
      </c>
      <c r="B148" s="11" t="inlineStr">
        <is>
          <t>中间分位</t>
        </is>
      </c>
      <c r="C148" s="15" t="n">
        <v>0.5734</v>
      </c>
      <c r="D148" s="13" t="n">
        <v>-0.006387</v>
      </c>
      <c r="E148" s="13" t="n">
        <v>-0.001996</v>
      </c>
      <c r="F148" s="13" t="n">
        <v>-0.004391</v>
      </c>
      <c r="G148" s="13" t="n">
        <v>0.2381</v>
      </c>
      <c r="H148" s="13" t="n">
        <v>-0.025544</v>
      </c>
      <c r="I148" s="13" t="n">
        <v>0.00519</v>
      </c>
      <c r="J148" s="13" t="n">
        <v>-0.030734</v>
      </c>
      <c r="K148" s="13" t="n">
        <v>0.1689</v>
      </c>
      <c r="L148" s="13" t="n">
        <v>-0.062579</v>
      </c>
      <c r="M148" s="13" t="n">
        <v>-0.048703</v>
      </c>
      <c r="N148" s="13" t="n">
        <v>-0.013876</v>
      </c>
      <c r="O148" s="13" t="n">
        <v>0.4377</v>
      </c>
      <c r="P148" s="13" t="n">
        <v>-0.014686</v>
      </c>
      <c r="Q148" s="13" t="n">
        <v>-0.037525</v>
      </c>
      <c r="R148" s="13" t="n">
        <v>0.022839</v>
      </c>
      <c r="S148" s="13" t="n">
        <v>0.7187</v>
      </c>
      <c r="T148" s="13" t="n">
        <v>-0.205299</v>
      </c>
      <c r="U148" s="13" t="n">
        <v>-0.165269</v>
      </c>
      <c r="V148" s="13" t="n">
        <v>-0.04003</v>
      </c>
      <c r="W148" s="13" t="n">
        <v>0.446</v>
      </c>
      <c r="X148" s="13" t="n">
        <v>-0.005429</v>
      </c>
      <c r="Y148" s="13" t="n">
        <v>0.051098</v>
      </c>
      <c r="Z148" s="13" t="n">
        <v>-0.056527</v>
      </c>
      <c r="AA148" s="13" t="n">
        <v>0.904</v>
      </c>
    </row>
    <row r="149">
      <c r="A149" s="6" t="inlineStr">
        <is>
          <t>2023-03-27</t>
        </is>
      </c>
      <c r="B149" s="6" t="inlineStr">
        <is>
          <t>中间分位</t>
        </is>
      </c>
      <c r="C149" s="10" t="n">
        <v>0.5208</v>
      </c>
      <c r="D149" s="8" t="n">
        <v>-0.004496</v>
      </c>
      <c r="E149" s="8" t="n">
        <v>-0.009599999999999999</v>
      </c>
      <c r="F149" s="8" t="n">
        <v>0.005104</v>
      </c>
      <c r="G149" s="8" t="n">
        <v>0.681</v>
      </c>
      <c r="H149" s="8" t="n">
        <v>-0.012208</v>
      </c>
      <c r="I149" s="8" t="n">
        <v>-0.0076</v>
      </c>
      <c r="J149" s="8" t="n">
        <v>-0.004608</v>
      </c>
      <c r="K149" s="8" t="n">
        <v>0.3837</v>
      </c>
      <c r="L149" s="8" t="n">
        <v>-0.073905</v>
      </c>
      <c r="M149" s="8" t="n">
        <v>-0.042</v>
      </c>
      <c r="N149" s="8" t="n">
        <v>-0.031905</v>
      </c>
      <c r="O149" s="8" t="n">
        <v>0.3624</v>
      </c>
      <c r="P149" s="8" t="n">
        <v>-0.028276</v>
      </c>
      <c r="Q149" s="8" t="n">
        <v>-0.0456</v>
      </c>
      <c r="R149" s="8" t="n">
        <v>0.017324</v>
      </c>
      <c r="S149" s="8" t="n">
        <v>0.6173</v>
      </c>
      <c r="T149" s="8" t="n">
        <v>-0.184766</v>
      </c>
      <c r="U149" s="8" t="n">
        <v>-0.1608</v>
      </c>
      <c r="V149" s="8" t="n">
        <v>-0.023966</v>
      </c>
      <c r="W149" s="8" t="n">
        <v>0.4653</v>
      </c>
      <c r="X149" s="8" t="n">
        <v>0.00482</v>
      </c>
      <c r="Y149" s="8" t="n">
        <v>0.0364</v>
      </c>
      <c r="Z149" s="8" t="n">
        <v>-0.03158</v>
      </c>
      <c r="AA149" s="8" t="n">
        <v>0.8831</v>
      </c>
    </row>
    <row r="150">
      <c r="A150" s="11" t="inlineStr">
        <is>
          <t>2023-03-28</t>
        </is>
      </c>
      <c r="B150" s="11" t="inlineStr">
        <is>
          <t>中间分位</t>
        </is>
      </c>
      <c r="C150" s="15" t="n">
        <v>0.5931</v>
      </c>
      <c r="D150" s="13" t="n">
        <v>-0.016141</v>
      </c>
      <c r="E150" s="13" t="n">
        <v>0.000404</v>
      </c>
      <c r="F150" s="13" t="n">
        <v>-0.016545</v>
      </c>
      <c r="G150" s="13" t="n">
        <v>0.0244</v>
      </c>
      <c r="H150" s="13" t="n">
        <v>-0.017756</v>
      </c>
      <c r="I150" s="13" t="n">
        <v>-0.000404</v>
      </c>
      <c r="J150" s="13" t="n">
        <v>-0.017352</v>
      </c>
      <c r="K150" s="13" t="n">
        <v>0.0222</v>
      </c>
      <c r="L150" s="13" t="n">
        <v>-0.060039</v>
      </c>
      <c r="M150" s="13" t="n">
        <v>-0.035945</v>
      </c>
      <c r="N150" s="13" t="n">
        <v>-0.024094</v>
      </c>
      <c r="O150" s="13" t="n">
        <v>0.3745</v>
      </c>
      <c r="P150" s="13" t="n">
        <v>-0.034861</v>
      </c>
      <c r="Q150" s="13" t="n">
        <v>-0.058966</v>
      </c>
      <c r="R150" s="13" t="n">
        <v>0.024105</v>
      </c>
      <c r="S150" s="13" t="n">
        <v>0.6284999999999999</v>
      </c>
      <c r="T150" s="13" t="n">
        <v>-0.178826</v>
      </c>
      <c r="U150" s="13" t="n">
        <v>-0.134087</v>
      </c>
      <c r="V150" s="13" t="n">
        <v>-0.044739</v>
      </c>
      <c r="W150" s="13" t="n">
        <v>0.4285</v>
      </c>
      <c r="X150" s="13" t="n">
        <v>-0.00581</v>
      </c>
      <c r="Y150" s="13" t="n">
        <v>0.028675</v>
      </c>
      <c r="Z150" s="13" t="n">
        <v>-0.034485</v>
      </c>
      <c r="AA150" s="13" t="n">
        <v>0.8315</v>
      </c>
    </row>
    <row r="151">
      <c r="A151" s="6" t="inlineStr">
        <is>
          <t>2023-03-29</t>
        </is>
      </c>
      <c r="B151" s="6" t="inlineStr">
        <is>
          <t>中间分位</t>
        </is>
      </c>
      <c r="C151" s="10" t="n">
        <v>0.3493</v>
      </c>
      <c r="D151" s="8" t="n">
        <v>-0.001969</v>
      </c>
      <c r="E151" s="8" t="n">
        <v>0.004845</v>
      </c>
      <c r="F151" s="8" t="n">
        <v>-0.006814</v>
      </c>
      <c r="G151" s="8" t="n">
        <v>0.711</v>
      </c>
      <c r="H151" s="8" t="n">
        <v>-0.011484</v>
      </c>
      <c r="I151" s="8" t="n">
        <v>-0.024627</v>
      </c>
      <c r="J151" s="8" t="n">
        <v>0.013143</v>
      </c>
      <c r="K151" s="8" t="n">
        <v>0.6820000000000001</v>
      </c>
      <c r="L151" s="8" t="n">
        <v>-0.036744</v>
      </c>
      <c r="M151" s="8" t="n">
        <v>-0.035123</v>
      </c>
      <c r="N151" s="8" t="n">
        <v>-0.001621</v>
      </c>
      <c r="O151" s="8" t="n">
        <v>0.4887</v>
      </c>
      <c r="P151" s="8" t="n">
        <v>-0.020343</v>
      </c>
      <c r="Q151" s="8" t="n">
        <v>-0.057731</v>
      </c>
      <c r="R151" s="8" t="n">
        <v>0.037388</v>
      </c>
      <c r="S151" s="8" t="n">
        <v>0.7393999999999999</v>
      </c>
      <c r="T151" s="8" t="n">
        <v>-0.148949</v>
      </c>
      <c r="U151" s="8" t="n">
        <v>-0.127574</v>
      </c>
      <c r="V151" s="8" t="n">
        <v>-0.021375</v>
      </c>
      <c r="W151" s="8" t="n">
        <v>0.4614</v>
      </c>
      <c r="X151" s="8" t="n">
        <v>-0.000327</v>
      </c>
      <c r="Y151" s="8" t="n">
        <v>0.026241</v>
      </c>
      <c r="Z151" s="8" t="n">
        <v>-0.026568</v>
      </c>
      <c r="AA151" s="8" t="n">
        <v>0.9877</v>
      </c>
    </row>
    <row r="152">
      <c r="A152" s="11" t="inlineStr">
        <is>
          <t>2023-03-30</t>
        </is>
      </c>
      <c r="B152" s="11" t="inlineStr">
        <is>
          <t>中间分位</t>
        </is>
      </c>
      <c r="C152" s="15" t="n">
        <v>0.2789</v>
      </c>
      <c r="D152" s="13" t="n">
        <v>0.003286</v>
      </c>
      <c r="E152" s="13" t="n">
        <v>0.011651</v>
      </c>
      <c r="F152" s="13" t="n">
        <v>-0.008364999999999999</v>
      </c>
      <c r="G152" s="13" t="n">
        <v>0.78</v>
      </c>
      <c r="H152" s="13" t="n">
        <v>-0.024327</v>
      </c>
      <c r="I152" s="13" t="n">
        <v>-0.030133</v>
      </c>
      <c r="J152" s="13" t="n">
        <v>0.005806</v>
      </c>
      <c r="K152" s="13" t="n">
        <v>0.5533</v>
      </c>
      <c r="L152" s="13" t="n">
        <v>-0.024982</v>
      </c>
      <c r="M152" s="13" t="n">
        <v>-0.034552</v>
      </c>
      <c r="N152" s="13" t="n">
        <v>0.00957</v>
      </c>
      <c r="O152" s="13" t="n">
        <v>0.5804</v>
      </c>
      <c r="P152" s="13" t="n">
        <v>-0.044051</v>
      </c>
      <c r="Q152" s="13" t="n">
        <v>-0.074327</v>
      </c>
      <c r="R152" s="13" t="n">
        <v>0.030276</v>
      </c>
      <c r="S152" s="13" t="n">
        <v>0.6279</v>
      </c>
      <c r="T152" s="13" t="n">
        <v>-0.140039</v>
      </c>
      <c r="U152" s="13" t="n">
        <v>-0.130575</v>
      </c>
      <c r="V152" s="13" t="n">
        <v>-0.009464</v>
      </c>
      <c r="W152" s="13" t="n">
        <v>0.4825</v>
      </c>
      <c r="X152" s="13" t="n">
        <v>0.000327</v>
      </c>
      <c r="Y152" s="13" t="n">
        <v>-0.003616</v>
      </c>
      <c r="Z152" s="13" t="n">
        <v>0.003943</v>
      </c>
      <c r="AA152" s="13" t="n">
        <v>0.9171</v>
      </c>
    </row>
    <row r="153">
      <c r="A153" s="6" t="inlineStr">
        <is>
          <t>2023-03-31</t>
        </is>
      </c>
      <c r="B153" s="6" t="inlineStr">
        <is>
          <t>中间分位</t>
        </is>
      </c>
      <c r="C153" s="10" t="n">
        <v>0.2162</v>
      </c>
      <c r="D153" s="8" t="n">
        <v>0.007211</v>
      </c>
      <c r="E153" s="8" t="n">
        <v>-0.014694</v>
      </c>
      <c r="F153" s="8" t="n">
        <v>0.021905</v>
      </c>
      <c r="G153" s="8" t="n">
        <v>0.6708</v>
      </c>
      <c r="H153" s="8" t="n">
        <v>-0.038005</v>
      </c>
      <c r="I153" s="8" t="n">
        <v>-0.053614</v>
      </c>
      <c r="J153" s="8" t="n">
        <v>0.015609</v>
      </c>
      <c r="K153" s="8" t="n">
        <v>0.5852000000000001</v>
      </c>
      <c r="L153" s="8" t="n">
        <v>-0.028176</v>
      </c>
      <c r="M153" s="8" t="n">
        <v>-0.031771</v>
      </c>
      <c r="N153" s="8" t="n">
        <v>0.003595</v>
      </c>
      <c r="O153" s="8" t="n">
        <v>0.53</v>
      </c>
      <c r="P153" s="8" t="n">
        <v>-0.051767</v>
      </c>
      <c r="Q153" s="8" t="n">
        <v>-0.094122</v>
      </c>
      <c r="R153" s="8" t="n">
        <v>0.042355</v>
      </c>
      <c r="S153" s="8" t="n">
        <v>0.6452</v>
      </c>
      <c r="T153" s="8" t="n">
        <v>-0.142856</v>
      </c>
      <c r="U153" s="8" t="n">
        <v>-0.144559</v>
      </c>
      <c r="V153" s="8" t="n">
        <v>0.001703</v>
      </c>
      <c r="W153" s="8" t="n">
        <v>0.503</v>
      </c>
      <c r="X153" s="8" t="n">
        <v>-0.023261</v>
      </c>
      <c r="Y153" s="8" t="n">
        <v>-0.024226</v>
      </c>
      <c r="Z153" s="8" t="n">
        <v>0.000965</v>
      </c>
      <c r="AA153" s="8" t="n">
        <v>0.5102</v>
      </c>
    </row>
    <row r="154">
      <c r="A154" s="11" t="inlineStr">
        <is>
          <t>2023-04-03</t>
        </is>
      </c>
      <c r="B154" s="11" t="inlineStr">
        <is>
          <t>中间分位</t>
        </is>
      </c>
      <c r="C154" s="15" t="n">
        <v>0.4295</v>
      </c>
      <c r="D154" s="13" t="n">
        <v>-0.010087</v>
      </c>
      <c r="E154" s="13" t="n">
        <v>-0.002418</v>
      </c>
      <c r="F154" s="13" t="n">
        <v>-0.007669</v>
      </c>
      <c r="G154" s="13" t="n">
        <v>0.1934</v>
      </c>
      <c r="H154" s="13" t="n">
        <v>-0.062459</v>
      </c>
      <c r="I154" s="13" t="n">
        <v>-0.034663</v>
      </c>
      <c r="J154" s="13" t="n">
        <v>-0.027796</v>
      </c>
      <c r="K154" s="13" t="n">
        <v>0.3569</v>
      </c>
      <c r="L154" s="13" t="n">
        <v>-0.012363</v>
      </c>
      <c r="M154" s="13" t="n">
        <v>-0.014107</v>
      </c>
      <c r="N154" s="13" t="n">
        <v>0.001744</v>
      </c>
      <c r="O154" s="13" t="n">
        <v>0.5329</v>
      </c>
      <c r="P154" s="13" t="n">
        <v>-0.0514</v>
      </c>
      <c r="Q154" s="13" t="n">
        <v>-0.059653</v>
      </c>
      <c r="R154" s="13" t="n">
        <v>0.008253</v>
      </c>
      <c r="S154" s="13" t="n">
        <v>0.5372</v>
      </c>
      <c r="T154" s="13" t="n">
        <v>-0.152896</v>
      </c>
      <c r="U154" s="13" t="n">
        <v>-0.143894</v>
      </c>
      <c r="V154" s="13" t="n">
        <v>-0.009002</v>
      </c>
      <c r="W154" s="13" t="n">
        <v>0.4848</v>
      </c>
      <c r="X154" s="13" t="n">
        <v>-0.039689</v>
      </c>
      <c r="Y154" s="13" t="n">
        <v>-0.002015</v>
      </c>
      <c r="Z154" s="13" t="n">
        <v>-0.037674</v>
      </c>
      <c r="AA154" s="13" t="n">
        <v>0.0483</v>
      </c>
    </row>
    <row r="155">
      <c r="A155" s="6" t="inlineStr">
        <is>
          <t>2023-04-04</t>
        </is>
      </c>
      <c r="B155" s="6" t="inlineStr">
        <is>
          <t>中间分位</t>
        </is>
      </c>
      <c r="C155" s="10" t="n">
        <v>0.3533</v>
      </c>
      <c r="D155" s="8" t="n">
        <v>-0.009859</v>
      </c>
      <c r="E155" s="8" t="n">
        <v>-0.023838</v>
      </c>
      <c r="F155" s="8" t="n">
        <v>0.013979</v>
      </c>
      <c r="G155" s="8" t="n">
        <v>0.7074</v>
      </c>
      <c r="H155" s="8" t="n">
        <v>-0.043047</v>
      </c>
      <c r="I155" s="8" t="n">
        <v>-0.035556</v>
      </c>
      <c r="J155" s="8" t="n">
        <v>-0.007491</v>
      </c>
      <c r="K155" s="8" t="n">
        <v>0.4523</v>
      </c>
      <c r="L155" s="8" t="n">
        <v>0.001972</v>
      </c>
      <c r="M155" s="8" t="n">
        <v>-0.015758</v>
      </c>
      <c r="N155" s="8" t="n">
        <v>0.01773</v>
      </c>
      <c r="O155" s="8" t="n">
        <v>0.8888</v>
      </c>
      <c r="P155" s="8" t="n">
        <v>-0.037132</v>
      </c>
      <c r="Q155" s="8" t="n">
        <v>-0.07596</v>
      </c>
      <c r="R155" s="8" t="n">
        <v>0.038828</v>
      </c>
      <c r="S155" s="8" t="n">
        <v>0.6717</v>
      </c>
      <c r="T155" s="8" t="n">
        <v>-0.157081</v>
      </c>
      <c r="U155" s="8" t="n">
        <v>-0.128485</v>
      </c>
      <c r="V155" s="8" t="n">
        <v>-0.028596</v>
      </c>
      <c r="W155" s="8" t="n">
        <v>0.4499</v>
      </c>
      <c r="X155" s="8" t="n">
        <v>-0.023661</v>
      </c>
      <c r="Y155" s="8" t="n">
        <v>-0.00202</v>
      </c>
      <c r="Z155" s="8" t="n">
        <v>-0.021641</v>
      </c>
      <c r="AA155" s="8" t="n">
        <v>0.07870000000000001</v>
      </c>
    </row>
    <row r="156">
      <c r="A156" s="11" t="inlineStr">
        <is>
          <t>2023-04-06</t>
        </is>
      </c>
      <c r="B156" s="11" t="inlineStr">
        <is>
          <t>中间分位</t>
        </is>
      </c>
      <c r="C156" s="15" t="n">
        <v>0.5629</v>
      </c>
      <c r="D156" s="13" t="n">
        <v>-0.014935</v>
      </c>
      <c r="E156" s="13" t="n">
        <v>-0.000828</v>
      </c>
      <c r="F156" s="13" t="n">
        <v>-0.014107</v>
      </c>
      <c r="G156" s="13" t="n">
        <v>0.0525</v>
      </c>
      <c r="H156" s="13" t="n">
        <v>-0.025553</v>
      </c>
      <c r="I156" s="13" t="n">
        <v>-0.010762</v>
      </c>
      <c r="J156" s="13" t="n">
        <v>-0.014791</v>
      </c>
      <c r="K156" s="13" t="n">
        <v>0.2964</v>
      </c>
      <c r="L156" s="13" t="n">
        <v>0.0156</v>
      </c>
      <c r="M156" s="13" t="n">
        <v>0.020281</v>
      </c>
      <c r="N156" s="13" t="n">
        <v>-0.004681</v>
      </c>
      <c r="O156" s="13" t="n">
        <v>0.5652</v>
      </c>
      <c r="P156" s="13" t="n">
        <v>-0.043476</v>
      </c>
      <c r="Q156" s="13" t="n">
        <v>-0.062914</v>
      </c>
      <c r="R156" s="13" t="n">
        <v>0.019438</v>
      </c>
      <c r="S156" s="13" t="n">
        <v>0.5914</v>
      </c>
      <c r="T156" s="13" t="n">
        <v>-0.141388</v>
      </c>
      <c r="U156" s="13" t="n">
        <v>-0.107202</v>
      </c>
      <c r="V156" s="13" t="n">
        <v>-0.034186</v>
      </c>
      <c r="W156" s="13" t="n">
        <v>0.4312</v>
      </c>
      <c r="X156" s="13" t="n">
        <v>-0.020244</v>
      </c>
      <c r="Y156" s="13" t="n">
        <v>0.029801</v>
      </c>
      <c r="Z156" s="13" t="n">
        <v>-0.050045</v>
      </c>
      <c r="AA156" s="13" t="n">
        <v>0.5955</v>
      </c>
    </row>
    <row r="157">
      <c r="A157" s="6" t="inlineStr">
        <is>
          <t>2023-04-07</t>
        </is>
      </c>
      <c r="B157" s="6" t="inlineStr">
        <is>
          <t>中间分位</t>
        </is>
      </c>
      <c r="C157" s="10" t="n">
        <v>0.3487</v>
      </c>
      <c r="D157" s="8" t="n">
        <v>-0.010779</v>
      </c>
      <c r="E157" s="8" t="n">
        <v>-0.012842</v>
      </c>
      <c r="F157" s="8" t="n">
        <v>0.002063</v>
      </c>
      <c r="G157" s="8" t="n">
        <v>0.5437</v>
      </c>
      <c r="H157" s="8" t="n">
        <v>-0.000671</v>
      </c>
      <c r="I157" s="8" t="n">
        <v>-0.004557</v>
      </c>
      <c r="J157" s="8" t="n">
        <v>0.003886</v>
      </c>
      <c r="K157" s="8" t="n">
        <v>0.8717</v>
      </c>
      <c r="L157" s="8" t="n">
        <v>0.030999</v>
      </c>
      <c r="M157" s="8" t="n">
        <v>0.024027</v>
      </c>
      <c r="N157" s="8" t="n">
        <v>0.006972</v>
      </c>
      <c r="O157" s="8" t="n">
        <v>0.4366</v>
      </c>
      <c r="P157" s="8" t="n">
        <v>-0.041778</v>
      </c>
      <c r="Q157" s="8" t="n">
        <v>-0.063795</v>
      </c>
      <c r="R157" s="8" t="n">
        <v>0.022017</v>
      </c>
      <c r="S157" s="8" t="n">
        <v>0.6042999999999999</v>
      </c>
      <c r="T157" s="8" t="n">
        <v>-0.126683</v>
      </c>
      <c r="U157" s="8" t="n">
        <v>-0.098592</v>
      </c>
      <c r="V157" s="8" t="n">
        <v>-0.028091</v>
      </c>
      <c r="W157" s="8" t="n">
        <v>0.4377</v>
      </c>
      <c r="X157" s="8" t="n">
        <v>0.010108</v>
      </c>
      <c r="Y157" s="8" t="n">
        <v>0.004143</v>
      </c>
      <c r="Z157" s="8" t="n">
        <v>0.005965</v>
      </c>
      <c r="AA157" s="8" t="n">
        <v>0.2907</v>
      </c>
    </row>
    <row r="158">
      <c r="A158" s="11" t="inlineStr">
        <is>
          <t>2023-04-10</t>
        </is>
      </c>
      <c r="B158" s="11" t="inlineStr">
        <is>
          <t>中间分位</t>
        </is>
      </c>
      <c r="C158" s="15" t="n">
        <v>0.3791</v>
      </c>
      <c r="D158" s="13" t="n">
        <v>-0.018392</v>
      </c>
      <c r="E158" s="13" t="n">
        <v>0.005036</v>
      </c>
      <c r="F158" s="13" t="n">
        <v>-0.023428</v>
      </c>
      <c r="G158" s="13" t="n">
        <v>0.215</v>
      </c>
      <c r="H158" s="13" t="n">
        <v>0.010218</v>
      </c>
      <c r="I158" s="13" t="n">
        <v>0.02308</v>
      </c>
      <c r="J158" s="13" t="n">
        <v>-0.012862</v>
      </c>
      <c r="K158" s="13" t="n">
        <v>0.6931</v>
      </c>
      <c r="L158" s="13" t="n">
        <v>0.05109</v>
      </c>
      <c r="M158" s="13" t="n">
        <v>0.01175</v>
      </c>
      <c r="N158" s="13" t="n">
        <v>0.03934</v>
      </c>
      <c r="O158" s="13" t="n">
        <v>0.187</v>
      </c>
      <c r="P158" s="13" t="n">
        <v>-0.035424</v>
      </c>
      <c r="Q158" s="13" t="n">
        <v>-0.07008</v>
      </c>
      <c r="R158" s="13" t="n">
        <v>0.034656</v>
      </c>
      <c r="S158" s="13" t="n">
        <v>0.6642</v>
      </c>
      <c r="T158" s="13" t="n">
        <v>-0.112741</v>
      </c>
      <c r="U158" s="13" t="n">
        <v>-0.060008</v>
      </c>
      <c r="V158" s="13" t="n">
        <v>-0.052733</v>
      </c>
      <c r="W158" s="13" t="n">
        <v>0.3474</v>
      </c>
      <c r="X158" s="13" t="n">
        <v>0.001361</v>
      </c>
      <c r="Y158" s="13" t="n">
        <v>0.030214</v>
      </c>
      <c r="Z158" s="13" t="n">
        <v>-0.028853</v>
      </c>
      <c r="AA158" s="13" t="n">
        <v>0.9569</v>
      </c>
    </row>
    <row r="159">
      <c r="A159" s="6" t="inlineStr">
        <is>
          <t>2023-04-11</t>
        </is>
      </c>
      <c r="B159" s="6" t="inlineStr">
        <is>
          <t>中间分位</t>
        </is>
      </c>
      <c r="C159" s="10" t="n">
        <v>0.1623</v>
      </c>
      <c r="D159" s="8" t="n">
        <v>0.010409</v>
      </c>
      <c r="E159" s="8" t="n">
        <v>-0.00334</v>
      </c>
      <c r="F159" s="8" t="n">
        <v>0.013749</v>
      </c>
      <c r="G159" s="8" t="n">
        <v>0.2429</v>
      </c>
      <c r="H159" s="8" t="n">
        <v>0.053434</v>
      </c>
      <c r="I159" s="8" t="n">
        <v>0.021294</v>
      </c>
      <c r="J159" s="8" t="n">
        <v>0.03214</v>
      </c>
      <c r="K159" s="8" t="n">
        <v>0.285</v>
      </c>
      <c r="L159" s="8" t="n">
        <v>0.04927</v>
      </c>
      <c r="M159" s="8" t="n">
        <v>-0.003758</v>
      </c>
      <c r="N159" s="8" t="n">
        <v>0.053028</v>
      </c>
      <c r="O159" s="8" t="n">
        <v>0.0709</v>
      </c>
      <c r="P159" s="8" t="n">
        <v>-0.030883</v>
      </c>
      <c r="Q159" s="8" t="n">
        <v>-0.066388</v>
      </c>
      <c r="R159" s="8" t="n">
        <v>0.035505</v>
      </c>
      <c r="S159" s="8" t="n">
        <v>0.6825</v>
      </c>
      <c r="T159" s="8" t="n">
        <v>-0.067316</v>
      </c>
      <c r="U159" s="8" t="n">
        <v>-0.049687</v>
      </c>
      <c r="V159" s="8" t="n">
        <v>-0.017629</v>
      </c>
      <c r="W159" s="8" t="n">
        <v>0.4247</v>
      </c>
      <c r="X159" s="8" t="n">
        <v>0.030187</v>
      </c>
      <c r="Y159" s="8" t="n">
        <v>0.020042</v>
      </c>
      <c r="Z159" s="8" t="n">
        <v>0.010145</v>
      </c>
      <c r="AA159" s="8" t="n">
        <v>0.399</v>
      </c>
    </row>
    <row r="160">
      <c r="A160" s="11" t="inlineStr">
        <is>
          <t>2023-04-12</t>
        </is>
      </c>
      <c r="B160" s="11" t="inlineStr">
        <is>
          <t>中间分位</t>
        </is>
      </c>
      <c r="C160" s="15" t="n">
        <v>0.2645</v>
      </c>
      <c r="D160" s="13" t="n">
        <v>0.008241999999999999</v>
      </c>
      <c r="E160" s="13" t="n">
        <v>0.001257</v>
      </c>
      <c r="F160" s="13" t="n">
        <v>0.006985</v>
      </c>
      <c r="G160" s="13" t="n">
        <v>0.1323</v>
      </c>
      <c r="H160" s="13" t="n">
        <v>0.047044</v>
      </c>
      <c r="I160" s="13" t="n">
        <v>0.020528</v>
      </c>
      <c r="J160" s="13" t="n">
        <v>0.026516</v>
      </c>
      <c r="K160" s="13" t="n">
        <v>0.3038</v>
      </c>
      <c r="L160" s="13" t="n">
        <v>0.026786</v>
      </c>
      <c r="M160" s="13" t="n">
        <v>-0.023879</v>
      </c>
      <c r="N160" s="13" t="n">
        <v>0.050665</v>
      </c>
      <c r="O160" s="13" t="n">
        <v>0.4713</v>
      </c>
      <c r="P160" s="13" t="n">
        <v>-0.037434</v>
      </c>
      <c r="Q160" s="13" t="n">
        <v>-0.057813</v>
      </c>
      <c r="R160" s="13" t="n">
        <v>0.020379</v>
      </c>
      <c r="S160" s="13" t="n">
        <v>0.607</v>
      </c>
      <c r="T160" s="13" t="n">
        <v>-0.063874</v>
      </c>
      <c r="U160" s="13" t="n">
        <v>-0.056556</v>
      </c>
      <c r="V160" s="13" t="n">
        <v>-0.007318</v>
      </c>
      <c r="W160" s="13" t="n">
        <v>0.4696</v>
      </c>
      <c r="X160" s="13" t="n">
        <v>0.021977</v>
      </c>
      <c r="Y160" s="13" t="n">
        <v>0.022623</v>
      </c>
      <c r="Z160" s="13" t="n">
        <v>-0.000646</v>
      </c>
      <c r="AA160" s="13" t="n">
        <v>0.5072</v>
      </c>
    </row>
    <row r="161">
      <c r="A161" s="6" t="inlineStr">
        <is>
          <t>2023-04-13</t>
        </is>
      </c>
      <c r="B161" s="6" t="inlineStr">
        <is>
          <t>中间分位</t>
        </is>
      </c>
      <c r="C161" s="10" t="n">
        <v>0.3333</v>
      </c>
      <c r="D161" s="8" t="n">
        <v>0.010218</v>
      </c>
      <c r="E161" s="8" t="n">
        <v>0.005439</v>
      </c>
      <c r="F161" s="8" t="n">
        <v>0.004779</v>
      </c>
      <c r="G161" s="8" t="n">
        <v>0.3474</v>
      </c>
      <c r="H161" s="8" t="n">
        <v>0.042233</v>
      </c>
      <c r="I161" s="8" t="n">
        <v>0.031381</v>
      </c>
      <c r="J161" s="8" t="n">
        <v>0.010852</v>
      </c>
      <c r="K161" s="8" t="n">
        <v>0.4263</v>
      </c>
      <c r="L161" s="8" t="n">
        <v>0.017027</v>
      </c>
      <c r="M161" s="8" t="n">
        <v>-0.023431</v>
      </c>
      <c r="N161" s="8" t="n">
        <v>0.040458</v>
      </c>
      <c r="O161" s="8" t="n">
        <v>0.5790999999999999</v>
      </c>
      <c r="P161" s="8" t="n">
        <v>-0.041554</v>
      </c>
      <c r="Q161" s="8" t="n">
        <v>-0.047699</v>
      </c>
      <c r="R161" s="8" t="n">
        <v>0.006145</v>
      </c>
      <c r="S161" s="8" t="n">
        <v>0.5344</v>
      </c>
      <c r="T161" s="8" t="n">
        <v>-0.080383</v>
      </c>
      <c r="U161" s="8" t="n">
        <v>-0.029289</v>
      </c>
      <c r="V161" s="8" t="n">
        <v>-0.051094</v>
      </c>
      <c r="W161" s="8" t="n">
        <v>0.2671</v>
      </c>
      <c r="X161" s="8" t="n">
        <v>0.013962</v>
      </c>
      <c r="Y161" s="8" t="n">
        <v>0.032636</v>
      </c>
      <c r="Z161" s="8" t="n">
        <v>-0.018674</v>
      </c>
      <c r="AA161" s="8" t="n">
        <v>0.7004</v>
      </c>
    </row>
    <row r="162">
      <c r="A162" s="11" t="inlineStr">
        <is>
          <t>2023-04-14</t>
        </is>
      </c>
      <c r="B162" s="11" t="inlineStr">
        <is>
          <t>中间分位</t>
        </is>
      </c>
      <c r="C162" s="15" t="n">
        <v>0.4268</v>
      </c>
      <c r="D162" s="13" t="n">
        <v>0</v>
      </c>
      <c r="E162" s="13" t="n">
        <v>0.014565</v>
      </c>
      <c r="F162" s="13" t="n">
        <v>-0.014565</v>
      </c>
      <c r="G162" s="13" t="n">
        <v>1</v>
      </c>
      <c r="H162" s="13" t="n">
        <v>0.031691</v>
      </c>
      <c r="I162" s="13" t="n">
        <v>0.028714</v>
      </c>
      <c r="J162" s="13" t="n">
        <v>0.002977</v>
      </c>
      <c r="K162" s="13" t="n">
        <v>0.4754</v>
      </c>
      <c r="L162" s="13" t="n">
        <v>-0.019558</v>
      </c>
      <c r="M162" s="13" t="n">
        <v>-0.041199</v>
      </c>
      <c r="N162" s="13" t="n">
        <v>0.021641</v>
      </c>
      <c r="O162" s="13" t="n">
        <v>0.6781</v>
      </c>
      <c r="P162" s="13" t="n">
        <v>-0.042821</v>
      </c>
      <c r="Q162" s="13" t="n">
        <v>-0.067832</v>
      </c>
      <c r="R162" s="13" t="n">
        <v>0.025011</v>
      </c>
      <c r="S162" s="13" t="n">
        <v>0.613</v>
      </c>
      <c r="T162" s="13" t="n">
        <v>-0.063722</v>
      </c>
      <c r="U162" s="13" t="n">
        <v>-0.076987</v>
      </c>
      <c r="V162" s="13" t="n">
        <v>0.013265</v>
      </c>
      <c r="W162" s="13" t="n">
        <v>0.5471</v>
      </c>
      <c r="X162" s="13" t="n">
        <v>0.015844</v>
      </c>
      <c r="Y162" s="13" t="n">
        <v>0.00541</v>
      </c>
      <c r="Z162" s="13" t="n">
        <v>0.010434</v>
      </c>
      <c r="AA162" s="13" t="n">
        <v>0.2545</v>
      </c>
    </row>
    <row r="163">
      <c r="A163" s="6" t="inlineStr">
        <is>
          <t>2023-04-17</t>
        </is>
      </c>
      <c r="B163" s="6" t="inlineStr">
        <is>
          <t>中间分位</t>
        </is>
      </c>
      <c r="C163" s="10" t="n">
        <v>0.2405</v>
      </c>
      <c r="D163" s="8" t="n">
        <v>0.023599</v>
      </c>
      <c r="E163" s="8" t="n">
        <v>0.003281</v>
      </c>
      <c r="F163" s="8" t="n">
        <v>0.020318</v>
      </c>
      <c r="G163" s="8" t="n">
        <v>0.1221</v>
      </c>
      <c r="H163" s="8" t="n">
        <v>0.040458</v>
      </c>
      <c r="I163" s="8" t="n">
        <v>-0.011075</v>
      </c>
      <c r="J163" s="8" t="n">
        <v>0.051533</v>
      </c>
      <c r="K163" s="8" t="n">
        <v>0.2149</v>
      </c>
      <c r="L163" s="8" t="n">
        <v>-0.024275</v>
      </c>
      <c r="M163" s="8" t="n">
        <v>-0.064397</v>
      </c>
      <c r="N163" s="8" t="n">
        <v>0.040122</v>
      </c>
      <c r="O163" s="8" t="n">
        <v>0.7262</v>
      </c>
      <c r="P163" s="8" t="n">
        <v>-0.051924</v>
      </c>
      <c r="Q163" s="8" t="n">
        <v>-0.111157</v>
      </c>
      <c r="R163" s="8" t="n">
        <v>0.059233</v>
      </c>
      <c r="S163" s="8" t="n">
        <v>0.6816</v>
      </c>
      <c r="T163" s="8" t="n">
        <v>-0.101486</v>
      </c>
      <c r="U163" s="8" t="n">
        <v>-0.059065</v>
      </c>
      <c r="V163" s="8" t="n">
        <v>-0.042421</v>
      </c>
      <c r="W163" s="8" t="n">
        <v>0.3679</v>
      </c>
      <c r="X163" s="8" t="n">
        <v>-0.004722</v>
      </c>
      <c r="Y163" s="8" t="n">
        <v>-0.02297</v>
      </c>
      <c r="Z163" s="8" t="n">
        <v>0.018248</v>
      </c>
      <c r="AA163" s="8" t="n">
        <v>0.8295</v>
      </c>
    </row>
    <row r="164">
      <c r="A164" s="11" t="inlineStr">
        <is>
          <t>2023-04-18</t>
        </is>
      </c>
      <c r="B164" s="11" t="inlineStr">
        <is>
          <t>中间分位</t>
        </is>
      </c>
      <c r="C164" s="15" t="n">
        <v>0.5094</v>
      </c>
      <c r="D164" s="13" t="n">
        <v>0.004281</v>
      </c>
      <c r="E164" s="13" t="n">
        <v>-0.004088</v>
      </c>
      <c r="F164" s="13" t="n">
        <v>0.008369</v>
      </c>
      <c r="G164" s="13" t="n">
        <v>0.4885</v>
      </c>
      <c r="H164" s="13" t="n">
        <v>-0.003953</v>
      </c>
      <c r="I164" s="13" t="n">
        <v>-0.02453</v>
      </c>
      <c r="J164" s="13" t="n">
        <v>0.020577</v>
      </c>
      <c r="K164" s="13" t="n">
        <v>0.8612</v>
      </c>
      <c r="L164" s="13" t="n">
        <v>-0.039526</v>
      </c>
      <c r="M164" s="13" t="n">
        <v>-0.046198</v>
      </c>
      <c r="N164" s="13" t="n">
        <v>0.006672</v>
      </c>
      <c r="O164" s="13" t="n">
        <v>0.5389</v>
      </c>
      <c r="P164" s="13" t="n">
        <v>-0.097826</v>
      </c>
      <c r="Q164" s="13" t="n">
        <v>-0.147588</v>
      </c>
      <c r="R164" s="13" t="n">
        <v>0.049762</v>
      </c>
      <c r="S164" s="13" t="n">
        <v>0.6014</v>
      </c>
      <c r="T164" s="13" t="n">
        <v>-0.09420199999999999</v>
      </c>
      <c r="U164" s="13" t="n">
        <v>-0.071954</v>
      </c>
      <c r="V164" s="13" t="n">
        <v>-0.022248</v>
      </c>
      <c r="W164" s="13" t="n">
        <v>0.4331</v>
      </c>
      <c r="X164" s="13" t="n">
        <v>-0.04315</v>
      </c>
      <c r="Y164" s="13" t="n">
        <v>-0.011856</v>
      </c>
      <c r="Z164" s="13" t="n">
        <v>-0.031294</v>
      </c>
      <c r="AA164" s="13" t="n">
        <v>0.2155</v>
      </c>
    </row>
    <row r="165">
      <c r="A165" s="6" t="inlineStr">
        <is>
          <t>2023-04-19</t>
        </is>
      </c>
      <c r="B165" s="6" t="inlineStr">
        <is>
          <t>中间分位</t>
        </is>
      </c>
      <c r="C165" s="10" t="n">
        <v>0.6312</v>
      </c>
      <c r="D165" s="8" t="n">
        <v>0.003609</v>
      </c>
      <c r="E165" s="8" t="n">
        <v>0.011905</v>
      </c>
      <c r="F165" s="8" t="n">
        <v>-0.008296</v>
      </c>
      <c r="G165" s="8" t="n">
        <v>0.7674</v>
      </c>
      <c r="H165" s="8" t="n">
        <v>-0.019348</v>
      </c>
      <c r="I165" s="8" t="n">
        <v>-0.043514</v>
      </c>
      <c r="J165" s="8" t="n">
        <v>0.024166</v>
      </c>
      <c r="K165" s="8" t="n">
        <v>0.6922</v>
      </c>
      <c r="L165" s="8" t="n">
        <v>-0.039027</v>
      </c>
      <c r="M165" s="8" t="n">
        <v>-0.061166</v>
      </c>
      <c r="N165" s="8" t="n">
        <v>0.022139</v>
      </c>
      <c r="O165" s="8" t="n">
        <v>0.6105</v>
      </c>
      <c r="P165" s="8" t="n">
        <v>-0.13775</v>
      </c>
      <c r="Q165" s="8" t="n">
        <v>-0.155583</v>
      </c>
      <c r="R165" s="8" t="n">
        <v>0.017833</v>
      </c>
      <c r="S165" s="8" t="n">
        <v>0.5304</v>
      </c>
      <c r="T165" s="8" t="n">
        <v>-0.106591</v>
      </c>
      <c r="U165" s="8" t="n">
        <v>-0.078407</v>
      </c>
      <c r="V165" s="8" t="n">
        <v>-0.028184</v>
      </c>
      <c r="W165" s="8" t="n">
        <v>0.4238</v>
      </c>
      <c r="X165" s="8" t="n">
        <v>-0.035748</v>
      </c>
      <c r="Y165" s="8" t="n">
        <v>-0.002053</v>
      </c>
      <c r="Z165" s="8" t="n">
        <v>-0.033695</v>
      </c>
      <c r="AA165" s="8" t="n">
        <v>0.0543</v>
      </c>
    </row>
    <row r="166">
      <c r="A166" s="11" t="inlineStr">
        <is>
          <t>2023-04-20</t>
        </is>
      </c>
      <c r="B166" s="11" t="inlineStr">
        <is>
          <t>中间分位</t>
        </is>
      </c>
      <c r="C166" s="15" t="n">
        <v>0.5093</v>
      </c>
      <c r="D166" s="13" t="n">
        <v>0</v>
      </c>
      <c r="E166" s="13" t="n">
        <v>0.00284</v>
      </c>
      <c r="F166" s="13" t="n">
        <v>-0.00284</v>
      </c>
      <c r="G166" s="13" t="n">
        <v>1</v>
      </c>
      <c r="H166" s="13" t="n">
        <v>-0.024184</v>
      </c>
      <c r="I166" s="13" t="n">
        <v>-0.053144</v>
      </c>
      <c r="J166" s="13" t="n">
        <v>0.02896</v>
      </c>
      <c r="K166" s="13" t="n">
        <v>0.6873</v>
      </c>
      <c r="L166" s="13" t="n">
        <v>-0.058169</v>
      </c>
      <c r="M166" s="13" t="n">
        <v>-0.081542</v>
      </c>
      <c r="N166" s="13" t="n">
        <v>0.023373</v>
      </c>
      <c r="O166" s="13" t="n">
        <v>0.5836</v>
      </c>
      <c r="P166" s="13" t="n">
        <v>-0.147384</v>
      </c>
      <c r="Q166" s="13" t="n">
        <v>-0.159838</v>
      </c>
      <c r="R166" s="13" t="n">
        <v>0.012454</v>
      </c>
      <c r="S166" s="13" t="n">
        <v>0.5203</v>
      </c>
      <c r="T166" s="13" t="n">
        <v>-0.119282</v>
      </c>
      <c r="U166" s="13" t="n">
        <v>-0.100203</v>
      </c>
      <c r="V166" s="13" t="n">
        <v>-0.019079</v>
      </c>
      <c r="W166" s="13" t="n">
        <v>0.4565</v>
      </c>
      <c r="X166" s="13" t="n">
        <v>-0.036929</v>
      </c>
      <c r="Y166" s="13" t="n">
        <v>-0.024746</v>
      </c>
      <c r="Z166" s="13" t="n">
        <v>-0.012183</v>
      </c>
      <c r="AA166" s="13" t="n">
        <v>0.4012</v>
      </c>
    </row>
    <row r="167">
      <c r="A167" s="6" t="inlineStr">
        <is>
          <t>2023-04-21</t>
        </is>
      </c>
      <c r="B167" s="6" t="inlineStr">
        <is>
          <t>中间分位</t>
        </is>
      </c>
      <c r="C167" s="10" t="n">
        <v>0.4321</v>
      </c>
      <c r="D167" s="8" t="n">
        <v>0.008498</v>
      </c>
      <c r="E167" s="8" t="n">
        <v>-0.024676</v>
      </c>
      <c r="F167" s="8" t="n">
        <v>0.033174</v>
      </c>
      <c r="G167" s="8" t="n">
        <v>0.7438</v>
      </c>
      <c r="H167" s="8" t="n">
        <v>-0.049675</v>
      </c>
      <c r="I167" s="8" t="n">
        <v>-0.06796099999999999</v>
      </c>
      <c r="J167" s="8" t="n">
        <v>0.018286</v>
      </c>
      <c r="K167" s="8" t="n">
        <v>0.5777</v>
      </c>
      <c r="L167" s="8" t="n">
        <v>-0.070588</v>
      </c>
      <c r="M167" s="8" t="n">
        <v>-0.085761</v>
      </c>
      <c r="N167" s="8" t="n">
        <v>0.015173</v>
      </c>
      <c r="O167" s="8" t="n">
        <v>0.5485</v>
      </c>
      <c r="P167" s="8" t="n">
        <v>-0.146733</v>
      </c>
      <c r="Q167" s="8" t="n">
        <v>-0.186084</v>
      </c>
      <c r="R167" s="8" t="n">
        <v>0.039351</v>
      </c>
      <c r="S167" s="8" t="n">
        <v>0.5591</v>
      </c>
      <c r="T167" s="8" t="n">
        <v>-0.127776</v>
      </c>
      <c r="U167" s="8" t="n">
        <v>-0.105583</v>
      </c>
      <c r="V167" s="8" t="n">
        <v>-0.022193</v>
      </c>
      <c r="W167" s="8" t="n">
        <v>0.4524</v>
      </c>
      <c r="X167" s="8" t="n">
        <v>-0.044773</v>
      </c>
      <c r="Y167" s="8" t="n">
        <v>-0.033576</v>
      </c>
      <c r="Z167" s="8" t="n">
        <v>-0.011197</v>
      </c>
      <c r="AA167" s="8" t="n">
        <v>0.4285</v>
      </c>
    </row>
    <row r="168">
      <c r="A168" s="11" t="inlineStr">
        <is>
          <t>2023-04-24</t>
        </is>
      </c>
      <c r="B168" s="11" t="inlineStr">
        <is>
          <t>中间分位</t>
        </is>
      </c>
      <c r="C168" s="15" t="n">
        <v>0.8037</v>
      </c>
      <c r="D168" s="13" t="n">
        <v>-0.020092</v>
      </c>
      <c r="E168" s="13" t="n">
        <v>-0.010369</v>
      </c>
      <c r="F168" s="13" t="n">
        <v>-0.009723000000000001</v>
      </c>
      <c r="G168" s="13" t="n">
        <v>0.3404</v>
      </c>
      <c r="H168" s="13" t="n">
        <v>-0.062216</v>
      </c>
      <c r="I168" s="13" t="n">
        <v>-0.05392</v>
      </c>
      <c r="J168" s="13" t="n">
        <v>-0.008296</v>
      </c>
      <c r="K168" s="13" t="n">
        <v>0.4643</v>
      </c>
      <c r="L168" s="13" t="n">
        <v>-0.08230800000000001</v>
      </c>
      <c r="M168" s="13" t="n">
        <v>-0.08087900000000001</v>
      </c>
      <c r="N168" s="13" t="n">
        <v>-0.001429</v>
      </c>
      <c r="O168" s="13" t="n">
        <v>0.4956</v>
      </c>
      <c r="P168" s="13" t="n">
        <v>-0.169477</v>
      </c>
      <c r="Q168" s="13" t="n">
        <v>-0.150145</v>
      </c>
      <c r="R168" s="13" t="n">
        <v>-0.019332</v>
      </c>
      <c r="S168" s="13" t="n">
        <v>0.4698</v>
      </c>
      <c r="T168" s="13" t="n">
        <v>-0.139987</v>
      </c>
      <c r="U168" s="13" t="n">
        <v>-0.06553299999999999</v>
      </c>
      <c r="V168" s="13" t="n">
        <v>-0.07445400000000001</v>
      </c>
      <c r="W168" s="13" t="n">
        <v>0.3189</v>
      </c>
      <c r="X168" s="13" t="n">
        <v>-0.05671</v>
      </c>
      <c r="Y168" s="13" t="n">
        <v>0</v>
      </c>
      <c r="Z168" s="13" t="n">
        <v>-0.05671</v>
      </c>
      <c r="AA168" s="13" t="n">
        <v>0</v>
      </c>
    </row>
    <row r="169">
      <c r="A169" s="6" t="inlineStr">
        <is>
          <t>2023-04-26</t>
        </is>
      </c>
      <c r="B169" s="6" t="inlineStr">
        <is>
          <t>中间分位</t>
        </is>
      </c>
      <c r="C169" s="10" t="n">
        <v>0.75</v>
      </c>
      <c r="D169" s="8" t="n">
        <v>-0.011242</v>
      </c>
      <c r="E169" s="8" t="n">
        <v>-0.02347</v>
      </c>
      <c r="F169" s="8" t="n">
        <v>0.012228</v>
      </c>
      <c r="G169" s="8" t="n">
        <v>0.6761</v>
      </c>
      <c r="H169" s="8" t="n">
        <v>-0.035714</v>
      </c>
      <c r="I169" s="8" t="n">
        <v>-0.022213</v>
      </c>
      <c r="J169" s="8" t="n">
        <v>-0.013501</v>
      </c>
      <c r="K169" s="8" t="n">
        <v>0.3835</v>
      </c>
      <c r="L169" s="8" t="n">
        <v>-0.076389</v>
      </c>
      <c r="M169" s="8" t="n">
        <v>-0.06286700000000001</v>
      </c>
      <c r="N169" s="8" t="n">
        <v>-0.013522</v>
      </c>
      <c r="O169" s="8" t="n">
        <v>0.4514</v>
      </c>
      <c r="P169" s="8" t="n">
        <v>-0.129298</v>
      </c>
      <c r="Q169" s="8" t="n">
        <v>-0.140402</v>
      </c>
      <c r="R169" s="8" t="n">
        <v>0.011104</v>
      </c>
      <c r="S169" s="8" t="n">
        <v>0.5206</v>
      </c>
      <c r="T169" s="8" t="n">
        <v>-0.104829</v>
      </c>
      <c r="U169" s="8" t="n">
        <v>-0.052808</v>
      </c>
      <c r="V169" s="8" t="n">
        <v>-0.052021</v>
      </c>
      <c r="W169" s="8" t="n">
        <v>0.335</v>
      </c>
      <c r="X169" s="8" t="n">
        <v>-0.031746</v>
      </c>
      <c r="Y169" s="8" t="n">
        <v>0.007125</v>
      </c>
      <c r="Z169" s="8" t="n">
        <v>-0.038871</v>
      </c>
      <c r="AA169" s="8" t="n">
        <v>0.1833</v>
      </c>
    </row>
    <row r="170">
      <c r="A170" s="11" t="inlineStr">
        <is>
          <t>2023-04-27</t>
        </is>
      </c>
      <c r="B170" s="11" t="inlineStr">
        <is>
          <t>中间分位</t>
        </is>
      </c>
      <c r="C170" s="15" t="n">
        <v>0.8121</v>
      </c>
      <c r="D170" s="13" t="n">
        <v>-0.00134</v>
      </c>
      <c r="E170" s="13" t="n">
        <v>0.001717</v>
      </c>
      <c r="F170" s="13" t="n">
        <v>-0.003057</v>
      </c>
      <c r="G170" s="13" t="n">
        <v>0.5617</v>
      </c>
      <c r="H170" s="13" t="n">
        <v>-0.020067</v>
      </c>
      <c r="I170" s="13" t="n">
        <v>-0.018455</v>
      </c>
      <c r="J170" s="13" t="n">
        <v>-0.001612</v>
      </c>
      <c r="K170" s="13" t="n">
        <v>0.4791</v>
      </c>
      <c r="L170" s="13" t="n">
        <v>-0.062544</v>
      </c>
      <c r="M170" s="13" t="n">
        <v>-0.034764</v>
      </c>
      <c r="N170" s="13" t="n">
        <v>-0.02778</v>
      </c>
      <c r="O170" s="13" t="n">
        <v>0.3573</v>
      </c>
      <c r="P170" s="13" t="n">
        <v>-0.113715</v>
      </c>
      <c r="Q170" s="13" t="n">
        <v>-0.133906</v>
      </c>
      <c r="R170" s="13" t="n">
        <v>0.020191</v>
      </c>
      <c r="S170" s="13" t="n">
        <v>0.5407999999999999</v>
      </c>
      <c r="T170" s="13" t="n">
        <v>-0.094651</v>
      </c>
      <c r="U170" s="13" t="n">
        <v>-0.03176</v>
      </c>
      <c r="V170" s="13" t="n">
        <v>-0.062891</v>
      </c>
      <c r="W170" s="13" t="n">
        <v>0.2512</v>
      </c>
      <c r="X170" s="13" t="n">
        <v>-0.02475</v>
      </c>
      <c r="Y170" s="13" t="n">
        <v>0.045923</v>
      </c>
      <c r="Z170" s="13" t="n">
        <v>-0.070673</v>
      </c>
      <c r="AA170" s="13" t="n">
        <v>0.6498</v>
      </c>
    </row>
    <row r="171">
      <c r="A171" s="6" t="inlineStr">
        <is>
          <t>2023-04-28</t>
        </is>
      </c>
      <c r="B171" s="6" t="inlineStr">
        <is>
          <t>中间分位</t>
        </is>
      </c>
      <c r="C171" s="10" t="n">
        <v>0.7952</v>
      </c>
      <c r="D171" s="8" t="n">
        <v>-0.026122</v>
      </c>
      <c r="E171" s="8" t="n">
        <v>-0.012853</v>
      </c>
      <c r="F171" s="8" t="n">
        <v>-0.013269</v>
      </c>
      <c r="G171" s="8" t="n">
        <v>0.3298</v>
      </c>
      <c r="H171" s="8" t="n">
        <v>-0.034827</v>
      </c>
      <c r="I171" s="8" t="n">
        <v>-0.029991</v>
      </c>
      <c r="J171" s="8" t="n">
        <v>-0.004836</v>
      </c>
      <c r="K171" s="8" t="n">
        <v>0.4627</v>
      </c>
      <c r="L171" s="8" t="n">
        <v>-0.057601</v>
      </c>
      <c r="M171" s="8" t="n">
        <v>-0.02485</v>
      </c>
      <c r="N171" s="8" t="n">
        <v>-0.032751</v>
      </c>
      <c r="O171" s="8" t="n">
        <v>0.3014</v>
      </c>
      <c r="P171" s="8" t="n">
        <v>-0.12592</v>
      </c>
      <c r="Q171" s="8" t="n">
        <v>-0.134533</v>
      </c>
      <c r="R171" s="8" t="n">
        <v>0.008613000000000001</v>
      </c>
      <c r="S171" s="8" t="n">
        <v>0.5165</v>
      </c>
      <c r="T171" s="8" t="n">
        <v>-0.095446</v>
      </c>
      <c r="U171" s="8" t="n">
        <v>-0.015424</v>
      </c>
      <c r="V171" s="8" t="n">
        <v>-0.080022</v>
      </c>
      <c r="W171" s="8" t="n">
        <v>0.1391</v>
      </c>
      <c r="X171" s="8" t="n">
        <v>-0.01708</v>
      </c>
      <c r="Y171" s="8" t="n">
        <v>0.054413</v>
      </c>
      <c r="Z171" s="8" t="n">
        <v>-0.071493</v>
      </c>
      <c r="AA171" s="8" t="n">
        <v>0.7611</v>
      </c>
    </row>
    <row r="172">
      <c r="A172" s="11" t="inlineStr">
        <is>
          <t>2023-05-04</t>
        </is>
      </c>
      <c r="B172" s="11" t="inlineStr">
        <is>
          <t>中间分位</t>
        </is>
      </c>
      <c r="C172" s="15" t="n">
        <v>0.6826</v>
      </c>
      <c r="D172" s="13" t="n">
        <v>-0.004812</v>
      </c>
      <c r="E172" s="13" t="n">
        <v>-0.009983000000000001</v>
      </c>
      <c r="F172" s="13" t="n">
        <v>0.005171</v>
      </c>
      <c r="G172" s="13" t="n">
        <v>0.6748</v>
      </c>
      <c r="H172" s="13" t="n">
        <v>-0.022007</v>
      </c>
      <c r="I172" s="13" t="n">
        <v>-0.019097</v>
      </c>
      <c r="J172" s="13" t="n">
        <v>-0.00291</v>
      </c>
      <c r="K172" s="13" t="n">
        <v>0.4646</v>
      </c>
      <c r="L172" s="13" t="n">
        <v>-0.023728</v>
      </c>
      <c r="M172" s="13" t="n">
        <v>-0.027778</v>
      </c>
      <c r="N172" s="13" t="n">
        <v>0.00405</v>
      </c>
      <c r="O172" s="13" t="n">
        <v>0.5393</v>
      </c>
      <c r="P172" s="13" t="n">
        <v>-0.108665</v>
      </c>
      <c r="Q172" s="13" t="n">
        <v>-0.107639</v>
      </c>
      <c r="R172" s="13" t="n">
        <v>-0.001026</v>
      </c>
      <c r="S172" s="13" t="n">
        <v>0.4976</v>
      </c>
      <c r="T172" s="13" t="n">
        <v>-0.058457</v>
      </c>
      <c r="U172" s="13" t="n">
        <v>-0.006944</v>
      </c>
      <c r="V172" s="13" t="n">
        <v>-0.051513</v>
      </c>
      <c r="W172" s="13" t="n">
        <v>0.1062</v>
      </c>
      <c r="X172" s="13" t="n">
        <v>0.0141</v>
      </c>
      <c r="Y172" s="13" t="n">
        <v>0.053385</v>
      </c>
      <c r="Z172" s="13" t="n">
        <v>-0.039285</v>
      </c>
      <c r="AA172" s="13" t="n">
        <v>0.7911</v>
      </c>
    </row>
    <row r="173">
      <c r="A173" s="6" t="inlineStr">
        <is>
          <t>2023-05-05</t>
        </is>
      </c>
      <c r="B173" s="6" t="inlineStr">
        <is>
          <t>中间分位</t>
        </is>
      </c>
      <c r="C173" s="10" t="n">
        <v>0.75</v>
      </c>
      <c r="D173" s="8" t="n">
        <v>0.007601</v>
      </c>
      <c r="E173" s="8" t="n">
        <v>0.022797</v>
      </c>
      <c r="F173" s="8" t="n">
        <v>-0.015196</v>
      </c>
      <c r="G173" s="8" t="n">
        <v>0.75</v>
      </c>
      <c r="H173" s="8" t="n">
        <v>-0.021425</v>
      </c>
      <c r="I173" s="8" t="n">
        <v>-0.028496</v>
      </c>
      <c r="J173" s="8" t="n">
        <v>0.007071</v>
      </c>
      <c r="K173" s="8" t="n">
        <v>0.5708</v>
      </c>
      <c r="L173" s="8" t="n">
        <v>-0.028337</v>
      </c>
      <c r="M173" s="8" t="n">
        <v>-0.049978</v>
      </c>
      <c r="N173" s="8" t="n">
        <v>0.021641</v>
      </c>
      <c r="O173" s="8" t="n">
        <v>0.6382</v>
      </c>
      <c r="P173" s="8" t="n">
        <v>-0.103663</v>
      </c>
      <c r="Q173" s="8" t="n">
        <v>-0.084174</v>
      </c>
      <c r="R173" s="8" t="n">
        <v>-0.019489</v>
      </c>
      <c r="S173" s="8" t="n">
        <v>0.4481</v>
      </c>
      <c r="T173" s="8" t="n">
        <v>-0.054597</v>
      </c>
      <c r="U173" s="8" t="n">
        <v>0.035949</v>
      </c>
      <c r="V173" s="8" t="n">
        <v>-0.090546</v>
      </c>
      <c r="W173" s="8" t="n">
        <v>0.397</v>
      </c>
      <c r="X173" s="8" t="n">
        <v>0.007945000000000001</v>
      </c>
      <c r="Y173" s="8" t="n">
        <v>0.057431</v>
      </c>
      <c r="Z173" s="8" t="n">
        <v>-0.049486</v>
      </c>
      <c r="AA173" s="8" t="n">
        <v>0.8784999999999999</v>
      </c>
    </row>
    <row r="174">
      <c r="A174" s="11" t="inlineStr">
        <is>
          <t>2023-05-08</t>
        </is>
      </c>
      <c r="B174" s="11" t="inlineStr">
        <is>
          <t>中间分位</t>
        </is>
      </c>
      <c r="C174" s="15" t="n">
        <v>0.5858</v>
      </c>
      <c r="D174" s="13" t="n">
        <v>0.004802</v>
      </c>
      <c r="E174" s="13" t="n">
        <v>-0.019717</v>
      </c>
      <c r="F174" s="13" t="n">
        <v>0.024519</v>
      </c>
      <c r="G174" s="13" t="n">
        <v>0.8042</v>
      </c>
      <c r="H174" s="13" t="n">
        <v>-0.042181</v>
      </c>
      <c r="I174" s="13" t="n">
        <v>-0.041577</v>
      </c>
      <c r="J174" s="13" t="n">
        <v>-0.000604</v>
      </c>
      <c r="K174" s="13" t="n">
        <v>0.4964</v>
      </c>
      <c r="L174" s="13" t="n">
        <v>-0.0607</v>
      </c>
      <c r="M174" s="13" t="n">
        <v>-0.106301</v>
      </c>
      <c r="N174" s="13" t="n">
        <v>0.045601</v>
      </c>
      <c r="O174" s="13" t="n">
        <v>0.6365</v>
      </c>
      <c r="P174" s="13" t="n">
        <v>-0.098078</v>
      </c>
      <c r="Q174" s="13" t="n">
        <v>-0.117445</v>
      </c>
      <c r="R174" s="13" t="n">
        <v>0.019367</v>
      </c>
      <c r="S174" s="13" t="n">
        <v>0.5449000000000001</v>
      </c>
      <c r="T174" s="13" t="n">
        <v>-0.030523</v>
      </c>
      <c r="U174" s="13" t="n">
        <v>0.006001</v>
      </c>
      <c r="V174" s="13" t="n">
        <v>-0.036524</v>
      </c>
      <c r="W174" s="13" t="n">
        <v>0.1643</v>
      </c>
      <c r="X174" s="13" t="n">
        <v>-0.001716</v>
      </c>
      <c r="Y174" s="13" t="n">
        <v>0.025718</v>
      </c>
      <c r="Z174" s="13" t="n">
        <v>-0.027434</v>
      </c>
      <c r="AA174" s="13" t="n">
        <v>0.9374</v>
      </c>
    </row>
    <row r="175">
      <c r="A175" s="6" t="inlineStr">
        <is>
          <t>2023-05-09</t>
        </is>
      </c>
      <c r="B175" s="6" t="inlineStr">
        <is>
          <t>中间分位</t>
        </is>
      </c>
      <c r="C175" s="10" t="n">
        <v>0.8118</v>
      </c>
      <c r="D175" s="8" t="n">
        <v>-0.016382</v>
      </c>
      <c r="E175" s="8" t="n">
        <v>-0.010057</v>
      </c>
      <c r="F175" s="8" t="n">
        <v>-0.006325</v>
      </c>
      <c r="G175" s="8" t="n">
        <v>0.3804</v>
      </c>
      <c r="H175" s="8" t="n">
        <v>-0.043347</v>
      </c>
      <c r="I175" s="8" t="n">
        <v>-0.016616</v>
      </c>
      <c r="J175" s="8" t="n">
        <v>-0.026731</v>
      </c>
      <c r="K175" s="8" t="n">
        <v>0.2771</v>
      </c>
      <c r="L175" s="8" t="n">
        <v>-0.102733</v>
      </c>
      <c r="M175" s="8" t="n">
        <v>-0.100568</v>
      </c>
      <c r="N175" s="8" t="n">
        <v>-0.002165</v>
      </c>
      <c r="O175" s="8" t="n">
        <v>0.4947</v>
      </c>
      <c r="P175" s="8" t="n">
        <v>-0.107168</v>
      </c>
      <c r="Q175" s="8" t="n">
        <v>-0.107564</v>
      </c>
      <c r="R175" s="8" t="n">
        <v>0.000396</v>
      </c>
      <c r="S175" s="8" t="n">
        <v>0.5009</v>
      </c>
      <c r="T175" s="8" t="n">
        <v>-0.040956</v>
      </c>
      <c r="U175" s="8" t="n">
        <v>0.015304</v>
      </c>
      <c r="V175" s="8" t="n">
        <v>-0.05626</v>
      </c>
      <c r="W175" s="8" t="n">
        <v>0.272</v>
      </c>
      <c r="X175" s="8" t="n">
        <v>-0.012971</v>
      </c>
      <c r="Y175" s="8" t="n">
        <v>0.070398</v>
      </c>
      <c r="Z175" s="8" t="n">
        <v>-0.083369</v>
      </c>
      <c r="AA175" s="8" t="n">
        <v>0.8444</v>
      </c>
    </row>
    <row r="176">
      <c r="A176" s="11" t="inlineStr">
        <is>
          <t>2023-05-10</t>
        </is>
      </c>
      <c r="B176" s="11" t="inlineStr">
        <is>
          <t>中间分位</t>
        </is>
      </c>
      <c r="C176" s="15" t="n">
        <v>0.7778</v>
      </c>
      <c r="D176" s="13" t="n">
        <v>-0.013187</v>
      </c>
      <c r="E176" s="13" t="n">
        <v>-0.001767</v>
      </c>
      <c r="F176" s="13" t="n">
        <v>-0.01142</v>
      </c>
      <c r="G176" s="13" t="n">
        <v>0.1182</v>
      </c>
      <c r="H176" s="13" t="n">
        <v>-0.023596</v>
      </c>
      <c r="I176" s="13" t="n">
        <v>0.0053</v>
      </c>
      <c r="J176" s="13" t="n">
        <v>-0.028896</v>
      </c>
      <c r="K176" s="13" t="n">
        <v>0.1834</v>
      </c>
      <c r="L176" s="13" t="n">
        <v>-0.094726</v>
      </c>
      <c r="M176" s="13" t="n">
        <v>-0.085247</v>
      </c>
      <c r="N176" s="13" t="n">
        <v>-0.009479</v>
      </c>
      <c r="O176" s="13" t="n">
        <v>0.4737</v>
      </c>
      <c r="P176" s="13" t="n">
        <v>-0.108953</v>
      </c>
      <c r="Q176" s="13" t="n">
        <v>-0.113074</v>
      </c>
      <c r="R176" s="13" t="n">
        <v>0.004121</v>
      </c>
      <c r="S176" s="13" t="n">
        <v>0.5093</v>
      </c>
      <c r="T176" s="13" t="n">
        <v>-0.029496</v>
      </c>
      <c r="U176" s="13" t="n">
        <v>0.035777</v>
      </c>
      <c r="V176" s="13" t="n">
        <v>-0.065273</v>
      </c>
      <c r="W176" s="13" t="n">
        <v>0.5481</v>
      </c>
      <c r="X176" s="13" t="n">
        <v>0.023942</v>
      </c>
      <c r="Y176" s="13" t="n">
        <v>0.09496499999999999</v>
      </c>
      <c r="Z176" s="13" t="n">
        <v>-0.071023</v>
      </c>
      <c r="AA176" s="13" t="n">
        <v>0.7986</v>
      </c>
    </row>
    <row r="177">
      <c r="A177" s="6" t="inlineStr">
        <is>
          <t>2023-05-11</t>
        </is>
      </c>
      <c r="B177" s="6" t="inlineStr">
        <is>
          <t>中间分位</t>
        </is>
      </c>
      <c r="C177" s="10" t="n">
        <v>0.6453</v>
      </c>
      <c r="D177" s="8" t="n">
        <v>-0.004219</v>
      </c>
      <c r="E177" s="8" t="n">
        <v>-0.019469</v>
      </c>
      <c r="F177" s="8" t="n">
        <v>0.01525</v>
      </c>
      <c r="G177" s="8" t="n">
        <v>0.8219</v>
      </c>
      <c r="H177" s="8" t="n">
        <v>-0.001759</v>
      </c>
      <c r="I177" s="8" t="n">
        <v>-0.00885</v>
      </c>
      <c r="J177" s="8" t="n">
        <v>0.007091</v>
      </c>
      <c r="K177" s="8" t="n">
        <v>0.8342000000000001</v>
      </c>
      <c r="L177" s="8" t="n">
        <v>-0.081928</v>
      </c>
      <c r="M177" s="8" t="n">
        <v>-0.109735</v>
      </c>
      <c r="N177" s="8" t="n">
        <v>0.027807</v>
      </c>
      <c r="O177" s="8" t="n">
        <v>0.5725</v>
      </c>
      <c r="P177" s="8" t="n">
        <v>-0.107945</v>
      </c>
      <c r="Q177" s="8" t="n">
        <v>-0.096903</v>
      </c>
      <c r="R177" s="8" t="n">
        <v>-0.011042</v>
      </c>
      <c r="S177" s="8" t="n">
        <v>0.473</v>
      </c>
      <c r="T177" s="8" t="n">
        <v>-0.008439</v>
      </c>
      <c r="U177" s="8" t="n">
        <v>0.059292</v>
      </c>
      <c r="V177" s="8" t="n">
        <v>-0.067731</v>
      </c>
      <c r="W177" s="8" t="n">
        <v>0.8754</v>
      </c>
      <c r="X177" s="8" t="n">
        <v>0.047118</v>
      </c>
      <c r="Y177" s="8" t="n">
        <v>0.095133</v>
      </c>
      <c r="Z177" s="8" t="n">
        <v>-0.048015</v>
      </c>
      <c r="AA177" s="8" t="n">
        <v>0.6688</v>
      </c>
    </row>
    <row r="178">
      <c r="A178" s="11" t="inlineStr">
        <is>
          <t>2023-05-12</t>
        </is>
      </c>
      <c r="B178" s="11" t="inlineStr">
        <is>
          <t>中间分位</t>
        </is>
      </c>
      <c r="C178" s="15" t="n">
        <v>0.7919</v>
      </c>
      <c r="D178" s="13" t="n">
        <v>-0.013771</v>
      </c>
      <c r="E178" s="13" t="n">
        <v>0.009025</v>
      </c>
      <c r="F178" s="13" t="n">
        <v>-0.022796</v>
      </c>
      <c r="G178" s="13" t="n">
        <v>0.3959</v>
      </c>
      <c r="H178" s="13" t="n">
        <v>-0.007064</v>
      </c>
      <c r="I178" s="13" t="n">
        <v>-0.022112</v>
      </c>
      <c r="J178" s="13" t="n">
        <v>0.015048</v>
      </c>
      <c r="K178" s="13" t="n">
        <v>0.7579</v>
      </c>
      <c r="L178" s="13" t="n">
        <v>-0.094987</v>
      </c>
      <c r="M178" s="13" t="n">
        <v>-0.075361</v>
      </c>
      <c r="N178" s="13" t="n">
        <v>-0.019626</v>
      </c>
      <c r="O178" s="13" t="n">
        <v>0.4424</v>
      </c>
      <c r="P178" s="13" t="n">
        <v>-0.116174</v>
      </c>
      <c r="Q178" s="13" t="n">
        <v>-0.078069</v>
      </c>
      <c r="R178" s="13" t="n">
        <v>-0.038105</v>
      </c>
      <c r="S178" s="13" t="n">
        <v>0.4019</v>
      </c>
      <c r="T178" s="13" t="n">
        <v>-0.012712</v>
      </c>
      <c r="U178" s="13" t="n">
        <v>0.080776</v>
      </c>
      <c r="V178" s="13" t="n">
        <v>-0.093488</v>
      </c>
      <c r="W178" s="13" t="n">
        <v>0.864</v>
      </c>
      <c r="X178" s="13" t="n">
        <v>0.052966</v>
      </c>
      <c r="Y178" s="13" t="n">
        <v>0.134477</v>
      </c>
      <c r="Z178" s="13" t="n">
        <v>-0.081511</v>
      </c>
      <c r="AA178" s="13" t="n">
        <v>0.7174</v>
      </c>
    </row>
    <row r="179">
      <c r="A179" s="6" t="inlineStr">
        <is>
          <t>2023-05-15</t>
        </is>
      </c>
      <c r="B179" s="6" t="inlineStr">
        <is>
          <t>中间分位</t>
        </is>
      </c>
      <c r="C179" s="10" t="n">
        <v>0.5632</v>
      </c>
      <c r="D179" s="8" t="n">
        <v>0.003579</v>
      </c>
      <c r="E179" s="8" t="n">
        <v>0.005814</v>
      </c>
      <c r="F179" s="8" t="n">
        <v>-0.002235</v>
      </c>
      <c r="G179" s="8" t="n">
        <v>0.619</v>
      </c>
      <c r="H179" s="8" t="n">
        <v>-0.019334</v>
      </c>
      <c r="I179" s="8" t="n">
        <v>-0.06753099999999999</v>
      </c>
      <c r="J179" s="8" t="n">
        <v>0.048197</v>
      </c>
      <c r="K179" s="8" t="n">
        <v>0.7774</v>
      </c>
      <c r="L179" s="8" t="n">
        <v>-0.057285</v>
      </c>
      <c r="M179" s="8" t="n">
        <v>-0.082737</v>
      </c>
      <c r="N179" s="8" t="n">
        <v>0.025452</v>
      </c>
      <c r="O179" s="8" t="n">
        <v>0.5909</v>
      </c>
      <c r="P179" s="8" t="n">
        <v>-0.108485</v>
      </c>
      <c r="Q179" s="8" t="n">
        <v>-0.11941</v>
      </c>
      <c r="R179" s="8" t="n">
        <v>0.010925</v>
      </c>
      <c r="S179" s="8" t="n">
        <v>0.524</v>
      </c>
      <c r="T179" s="8" t="n">
        <v>0.00394</v>
      </c>
      <c r="U179" s="8" t="n">
        <v>0.086315</v>
      </c>
      <c r="V179" s="8" t="n">
        <v>-0.082375</v>
      </c>
      <c r="W179" s="8" t="n">
        <v>0.9563</v>
      </c>
      <c r="X179" s="8" t="n">
        <v>0.082707</v>
      </c>
      <c r="Y179" s="8" t="n">
        <v>0.121646</v>
      </c>
      <c r="Z179" s="8" t="n">
        <v>-0.038939</v>
      </c>
      <c r="AA179" s="8" t="n">
        <v>0.5953000000000001</v>
      </c>
    </row>
    <row r="180">
      <c r="A180" s="11" t="inlineStr">
        <is>
          <t>2023-05-16</t>
        </is>
      </c>
      <c r="B180" s="11" t="inlineStr">
        <is>
          <t>中间分位</t>
        </is>
      </c>
      <c r="C180" s="15" t="n">
        <v>0.5314</v>
      </c>
      <c r="D180" s="13" t="n">
        <v>0.003926</v>
      </c>
      <c r="E180" s="13" t="n">
        <v>0.012005</v>
      </c>
      <c r="F180" s="13" t="n">
        <v>-0.008078999999999999</v>
      </c>
      <c r="G180" s="13" t="n">
        <v>0.7536</v>
      </c>
      <c r="H180" s="13" t="n">
        <v>-0.062076</v>
      </c>
      <c r="I180" s="13" t="n">
        <v>-0.085371</v>
      </c>
      <c r="J180" s="13" t="n">
        <v>0.023295</v>
      </c>
      <c r="K180" s="13" t="n">
        <v>0.579</v>
      </c>
      <c r="L180" s="13" t="n">
        <v>-0.054584</v>
      </c>
      <c r="M180" s="13" t="n">
        <v>-0.102712</v>
      </c>
      <c r="N180" s="13" t="n">
        <v>0.048128</v>
      </c>
      <c r="O180" s="13" t="n">
        <v>0.653</v>
      </c>
      <c r="P180" s="13" t="n">
        <v>-0.136996</v>
      </c>
      <c r="Q180" s="13" t="n">
        <v>-0.105825</v>
      </c>
      <c r="R180" s="13" t="n">
        <v>-0.031171</v>
      </c>
      <c r="S180" s="13" t="n">
        <v>0.4358</v>
      </c>
      <c r="T180" s="13" t="n">
        <v>0.014629</v>
      </c>
      <c r="U180" s="13" t="n">
        <v>0.083593</v>
      </c>
      <c r="V180" s="13" t="n">
        <v>-0.068964</v>
      </c>
      <c r="W180" s="13" t="n">
        <v>0.8511</v>
      </c>
      <c r="X180" s="13" t="n">
        <v>0.072779</v>
      </c>
      <c r="Y180" s="13" t="n">
        <v>0.105825</v>
      </c>
      <c r="Z180" s="13" t="n">
        <v>-0.033046</v>
      </c>
      <c r="AA180" s="13" t="n">
        <v>0.5925</v>
      </c>
    </row>
    <row r="181">
      <c r="A181" s="6" t="inlineStr">
        <is>
          <t>2023-05-17</t>
        </is>
      </c>
      <c r="B181" s="6" t="inlineStr">
        <is>
          <t>中间分位</t>
        </is>
      </c>
      <c r="C181" s="10" t="n">
        <v>0.3977</v>
      </c>
      <c r="D181" s="8" t="n">
        <v>0.008883</v>
      </c>
      <c r="E181" s="8" t="n">
        <v>-0.015817</v>
      </c>
      <c r="F181" s="8" t="n">
        <v>0.0247</v>
      </c>
      <c r="G181" s="8" t="n">
        <v>0.6404</v>
      </c>
      <c r="H181" s="8" t="n">
        <v>-0.072849</v>
      </c>
      <c r="I181" s="8" t="n">
        <v>-0.09007</v>
      </c>
      <c r="J181" s="8" t="n">
        <v>0.017221</v>
      </c>
      <c r="K181" s="8" t="n">
        <v>0.5528999999999999</v>
      </c>
      <c r="L181" s="8" t="n">
        <v>-0.072495</v>
      </c>
      <c r="M181" s="8" t="n">
        <v>-0.112478</v>
      </c>
      <c r="N181" s="8" t="n">
        <v>0.039983</v>
      </c>
      <c r="O181" s="8" t="n">
        <v>0.6081</v>
      </c>
      <c r="P181" s="8" t="n">
        <v>-0.125446</v>
      </c>
      <c r="Q181" s="8" t="n">
        <v>-0.115114</v>
      </c>
      <c r="R181" s="8" t="n">
        <v>-0.010332</v>
      </c>
      <c r="S181" s="8" t="n">
        <v>0.4785</v>
      </c>
      <c r="T181" s="8" t="n">
        <v>0.009240999999999999</v>
      </c>
      <c r="U181" s="8" t="n">
        <v>0.082162</v>
      </c>
      <c r="V181" s="8" t="n">
        <v>-0.072921</v>
      </c>
      <c r="W181" s="8" t="n">
        <v>0.8989</v>
      </c>
      <c r="X181" s="8" t="n">
        <v>0.060055</v>
      </c>
      <c r="Y181" s="8" t="n">
        <v>0.079086</v>
      </c>
      <c r="Z181" s="8" t="n">
        <v>-0.019031</v>
      </c>
      <c r="AA181" s="8" t="n">
        <v>0.5684</v>
      </c>
    </row>
    <row r="182">
      <c r="A182" s="11" t="inlineStr">
        <is>
          <t>2023-05-18</t>
        </is>
      </c>
      <c r="B182" s="11" t="inlineStr">
        <is>
          <t>中间分位</t>
        </is>
      </c>
      <c r="C182" s="15" t="n">
        <v>0.7345</v>
      </c>
      <c r="D182" s="13" t="n">
        <v>-0.009509999999999999</v>
      </c>
      <c r="E182" s="13" t="n">
        <v>-0.032589</v>
      </c>
      <c r="F182" s="13" t="n">
        <v>0.023079</v>
      </c>
      <c r="G182" s="13" t="n">
        <v>0.7741</v>
      </c>
      <c r="H182" s="13" t="n">
        <v>-0.08031000000000001</v>
      </c>
      <c r="I182" s="13" t="n">
        <v>-0.101786</v>
      </c>
      <c r="J182" s="13" t="n">
        <v>0.021476</v>
      </c>
      <c r="K182" s="13" t="n">
        <v>0.5590000000000001</v>
      </c>
      <c r="L182" s="13" t="n">
        <v>-0.087001</v>
      </c>
      <c r="M182" s="13" t="n">
        <v>-0.08214299999999999</v>
      </c>
      <c r="N182" s="13" t="n">
        <v>-0.004858</v>
      </c>
      <c r="O182" s="13" t="n">
        <v>0.4856</v>
      </c>
      <c r="P182" s="13" t="n">
        <v>-0.136667</v>
      </c>
      <c r="Q182" s="13" t="n">
        <v>-0.091071</v>
      </c>
      <c r="R182" s="13" t="n">
        <v>-0.045596</v>
      </c>
      <c r="S182" s="13" t="n">
        <v>0.3999</v>
      </c>
      <c r="T182" s="13" t="n">
        <v>0.00634</v>
      </c>
      <c r="U182" s="13" t="n">
        <v>0.078125</v>
      </c>
      <c r="V182" s="13" t="n">
        <v>-0.071785</v>
      </c>
      <c r="W182" s="13" t="n">
        <v>0.9249000000000001</v>
      </c>
      <c r="X182" s="13" t="n">
        <v>0.040155</v>
      </c>
      <c r="Y182" s="13" t="n">
        <v>0.097321</v>
      </c>
      <c r="Z182" s="13" t="n">
        <v>-0.057166</v>
      </c>
      <c r="AA182" s="13" t="n">
        <v>0.7079</v>
      </c>
    </row>
    <row r="183">
      <c r="A183" s="6" t="inlineStr">
        <is>
          <t>2023-05-19</t>
        </is>
      </c>
      <c r="B183" s="6" t="inlineStr">
        <is>
          <t>中间分位</t>
        </is>
      </c>
      <c r="C183" s="10" t="n">
        <v>0.882</v>
      </c>
      <c r="D183" s="8" t="n">
        <v>-0.025959</v>
      </c>
      <c r="E183" s="8" t="n">
        <v>-0.03784</v>
      </c>
      <c r="F183" s="8" t="n">
        <v>0.011881</v>
      </c>
      <c r="G183" s="8" t="n">
        <v>0.5931</v>
      </c>
      <c r="H183" s="8" t="n">
        <v>-0.088549</v>
      </c>
      <c r="I183" s="8" t="n">
        <v>-0.054453</v>
      </c>
      <c r="J183" s="8" t="n">
        <v>-0.034096</v>
      </c>
      <c r="K183" s="8" t="n">
        <v>0.3808</v>
      </c>
      <c r="L183" s="8" t="n">
        <v>-0.07752199999999999</v>
      </c>
      <c r="M183" s="8" t="n">
        <v>-0.035994</v>
      </c>
      <c r="N183" s="8" t="n">
        <v>-0.041528</v>
      </c>
      <c r="O183" s="8" t="n">
        <v>0.3171</v>
      </c>
      <c r="P183" s="8" t="n">
        <v>-0.120909</v>
      </c>
      <c r="Q183" s="8" t="n">
        <v>-0.0503</v>
      </c>
      <c r="R183" s="8" t="n">
        <v>-0.07060900000000001</v>
      </c>
      <c r="S183" s="8" t="n">
        <v>0.2938</v>
      </c>
      <c r="T183" s="8" t="n">
        <v>0.005334</v>
      </c>
      <c r="U183" s="8" t="n">
        <v>0.119982</v>
      </c>
      <c r="V183" s="8" t="n">
        <v>-0.114648</v>
      </c>
      <c r="W183" s="8" t="n">
        <v>0.9574</v>
      </c>
      <c r="X183" s="8" t="n">
        <v>0.052276</v>
      </c>
      <c r="Y183" s="8" t="n">
        <v>0.146747</v>
      </c>
      <c r="Z183" s="8" t="n">
        <v>-0.094471</v>
      </c>
      <c r="AA183" s="8" t="n">
        <v>0.7373</v>
      </c>
    </row>
    <row r="184">
      <c r="A184" s="11" t="inlineStr">
        <is>
          <t>2023-05-22</t>
        </is>
      </c>
      <c r="B184" s="11" t="inlineStr">
        <is>
          <t>高分位</t>
        </is>
      </c>
      <c r="C184" s="15" t="n">
        <v>0.905</v>
      </c>
      <c r="D184" s="13" t="n">
        <v>-0.040162</v>
      </c>
      <c r="E184" s="13" t="n">
        <v>-0.013429</v>
      </c>
      <c r="F184" s="13" t="n">
        <v>-0.026733</v>
      </c>
      <c r="G184" s="13" t="n">
        <v>0.2506</v>
      </c>
      <c r="H184" s="13" t="n">
        <v>-0.038699</v>
      </c>
      <c r="I184" s="13" t="n">
        <v>-0.016307</v>
      </c>
      <c r="J184" s="13" t="n">
        <v>-0.022392</v>
      </c>
      <c r="K184" s="13" t="n">
        <v>0.2965</v>
      </c>
      <c r="L184" s="13" t="n">
        <v>-0.039794</v>
      </c>
      <c r="M184" s="13" t="n">
        <v>-0.01247</v>
      </c>
      <c r="N184" s="13" t="n">
        <v>-0.027324</v>
      </c>
      <c r="O184" s="13" t="n">
        <v>0.2386</v>
      </c>
      <c r="P184" s="13" t="n">
        <v>-0.09127300000000001</v>
      </c>
      <c r="Q184" s="13" t="n">
        <v>-0.016307</v>
      </c>
      <c r="R184" s="13" t="n">
        <v>-0.074966</v>
      </c>
      <c r="S184" s="13" t="n">
        <v>0.1516</v>
      </c>
      <c r="T184" s="13" t="n">
        <v>0.036508</v>
      </c>
      <c r="U184" s="13" t="n">
        <v>0.129976</v>
      </c>
      <c r="V184" s="13" t="n">
        <v>-0.093468</v>
      </c>
      <c r="W184" s="13" t="n">
        <v>0.7806999999999999</v>
      </c>
      <c r="X184" s="13" t="n">
        <v>0.08871900000000001</v>
      </c>
      <c r="Y184" s="13" t="n">
        <v>0.198082</v>
      </c>
      <c r="Z184" s="13" t="n">
        <v>-0.109363</v>
      </c>
      <c r="AA184" s="13" t="n">
        <v>0.6907</v>
      </c>
    </row>
    <row r="185">
      <c r="A185" s="6" t="inlineStr">
        <is>
          <t>2023-05-23</t>
        </is>
      </c>
      <c r="B185" s="6" t="inlineStr">
        <is>
          <t>中间分位</t>
        </is>
      </c>
      <c r="C185" s="10" t="n">
        <v>0.7889</v>
      </c>
      <c r="D185" s="8" t="n">
        <v>-0.007604</v>
      </c>
      <c r="E185" s="8" t="n">
        <v>0.006806</v>
      </c>
      <c r="F185" s="8" t="n">
        <v>-0.01441</v>
      </c>
      <c r="G185" s="8" t="n">
        <v>0.4723</v>
      </c>
      <c r="H185" s="8" t="n">
        <v>0.007988</v>
      </c>
      <c r="I185" s="8" t="n">
        <v>-0.01896</v>
      </c>
      <c r="J185" s="8" t="n">
        <v>0.026948</v>
      </c>
      <c r="K185" s="8" t="n">
        <v>0.7036</v>
      </c>
      <c r="L185" s="8" t="n">
        <v>-0.004943</v>
      </c>
      <c r="M185" s="8" t="n">
        <v>-0.007778</v>
      </c>
      <c r="N185" s="8" t="n">
        <v>0.002835</v>
      </c>
      <c r="O185" s="8" t="n">
        <v>0.6114000000000001</v>
      </c>
      <c r="P185" s="8" t="n">
        <v>-0.057056</v>
      </c>
      <c r="Q185" s="8" t="n">
        <v>0.011181</v>
      </c>
      <c r="R185" s="8" t="n">
        <v>-0.06823700000000001</v>
      </c>
      <c r="S185" s="8" t="n">
        <v>0.1639</v>
      </c>
      <c r="T185" s="8" t="n">
        <v>0.064286</v>
      </c>
      <c r="U185" s="8" t="n">
        <v>0.160914</v>
      </c>
      <c r="V185" s="8" t="n">
        <v>-0.09662800000000001</v>
      </c>
      <c r="W185" s="8" t="n">
        <v>0.7145</v>
      </c>
      <c r="X185" s="8" t="n">
        <v>0.139217</v>
      </c>
      <c r="Y185" s="8" t="n">
        <v>0.214876</v>
      </c>
      <c r="Z185" s="8" t="n">
        <v>-0.075659</v>
      </c>
      <c r="AA185" s="8" t="n">
        <v>0.6068</v>
      </c>
    </row>
    <row r="186">
      <c r="A186" s="11" t="inlineStr">
        <is>
          <t>2023-05-24</t>
        </is>
      </c>
      <c r="B186" s="11" t="inlineStr">
        <is>
          <t>中间分位</t>
        </is>
      </c>
      <c r="C186" s="15" t="n">
        <v>0.6464</v>
      </c>
      <c r="D186" s="13" t="n">
        <v>0.000764</v>
      </c>
      <c r="E186" s="13" t="n">
        <v>-0.028489</v>
      </c>
      <c r="F186" s="13" t="n">
        <v>0.029253</v>
      </c>
      <c r="G186" s="13" t="n">
        <v>0.9739</v>
      </c>
      <c r="H186" s="13" t="n">
        <v>0.000382</v>
      </c>
      <c r="I186" s="13" t="n">
        <v>-0.024626</v>
      </c>
      <c r="J186" s="13" t="n">
        <v>0.025008</v>
      </c>
      <c r="K186" s="13" t="n">
        <v>0.9847</v>
      </c>
      <c r="L186" s="13" t="n">
        <v>-0.015716</v>
      </c>
      <c r="M186" s="13" t="n">
        <v>-0.03042</v>
      </c>
      <c r="N186" s="13" t="n">
        <v>0.014704</v>
      </c>
      <c r="O186" s="13" t="n">
        <v>0.6594</v>
      </c>
      <c r="P186" s="13" t="n">
        <v>-0.037946</v>
      </c>
      <c r="Q186" s="13" t="n">
        <v>0.001931</v>
      </c>
      <c r="R186" s="13" t="n">
        <v>-0.039877</v>
      </c>
      <c r="S186" s="13" t="n">
        <v>0.0484</v>
      </c>
      <c r="T186" s="13" t="n">
        <v>0.083554</v>
      </c>
      <c r="U186" s="13" t="n">
        <v>0.182521</v>
      </c>
      <c r="V186" s="13" t="n">
        <v>-0.098967</v>
      </c>
      <c r="W186" s="13" t="n">
        <v>0.6860000000000001</v>
      </c>
      <c r="X186" s="13" t="n">
        <v>0.145265</v>
      </c>
      <c r="Y186" s="13" t="n">
        <v>0.181555</v>
      </c>
      <c r="Z186" s="13" t="n">
        <v>-0.03629</v>
      </c>
      <c r="AA186" s="13" t="n">
        <v>0.5555</v>
      </c>
    </row>
    <row r="187">
      <c r="A187" s="6" t="inlineStr">
        <is>
          <t>2023-05-25</t>
        </is>
      </c>
      <c r="B187" s="6" t="inlineStr">
        <is>
          <t>中间分位</t>
        </is>
      </c>
      <c r="C187" s="10" t="n">
        <v>0.8791</v>
      </c>
      <c r="D187" s="8" t="n">
        <v>-0.018384</v>
      </c>
      <c r="E187" s="8" t="n">
        <v>0.01839</v>
      </c>
      <c r="F187" s="8" t="n">
        <v>-0.036774</v>
      </c>
      <c r="G187" s="8" t="n">
        <v>0.5001</v>
      </c>
      <c r="H187" s="8" t="n">
        <v>-0.007275</v>
      </c>
      <c r="I187" s="8" t="n">
        <v>0.021869</v>
      </c>
      <c r="J187" s="8" t="n">
        <v>-0.029144</v>
      </c>
      <c r="K187" s="8" t="n">
        <v>0.7504</v>
      </c>
      <c r="L187" s="8" t="n">
        <v>-0.028339</v>
      </c>
      <c r="M187" s="8" t="n">
        <v>0.014414</v>
      </c>
      <c r="N187" s="8" t="n">
        <v>-0.042753</v>
      </c>
      <c r="O187" s="8" t="n">
        <v>0.3371</v>
      </c>
      <c r="P187" s="8" t="n">
        <v>-0.044043</v>
      </c>
      <c r="Q187" s="8" t="n">
        <v>0.016402</v>
      </c>
      <c r="R187" s="8" t="n">
        <v>-0.060445</v>
      </c>
      <c r="S187" s="8" t="n">
        <v>0.2714</v>
      </c>
      <c r="T187" s="8" t="n">
        <v>0.103027</v>
      </c>
      <c r="U187" s="8" t="n">
        <v>0.247018</v>
      </c>
      <c r="V187" s="8" t="n">
        <v>-0.143991</v>
      </c>
      <c r="W187" s="8" t="n">
        <v>0.7057</v>
      </c>
      <c r="X187" s="8" t="n">
        <v>0.126007</v>
      </c>
      <c r="Y187" s="8" t="n">
        <v>0.186879</v>
      </c>
      <c r="Z187" s="8" t="n">
        <v>-0.060872</v>
      </c>
      <c r="AA187" s="8" t="n">
        <v>0.5973000000000001</v>
      </c>
    </row>
    <row r="188">
      <c r="A188" s="11" t="inlineStr">
        <is>
          <t>2023-05-26</t>
        </is>
      </c>
      <c r="B188" s="11" t="inlineStr">
        <is>
          <t>中间分位</t>
        </is>
      </c>
      <c r="C188" s="15" t="n">
        <v>0.5738</v>
      </c>
      <c r="D188" s="13" t="n">
        <v>0.027315</v>
      </c>
      <c r="E188" s="13" t="n">
        <v>0.000976</v>
      </c>
      <c r="F188" s="13" t="n">
        <v>0.026339</v>
      </c>
      <c r="G188" s="13" t="n">
        <v>0.0345</v>
      </c>
      <c r="H188" s="13" t="n">
        <v>0.012098</v>
      </c>
      <c r="I188" s="13" t="n">
        <v>0.019522</v>
      </c>
      <c r="J188" s="13" t="n">
        <v>-0.007424</v>
      </c>
      <c r="K188" s="13" t="n">
        <v>0.6173999999999999</v>
      </c>
      <c r="L188" s="13" t="n">
        <v>-0.02341</v>
      </c>
      <c r="M188" s="13" t="n">
        <v>-0.002928</v>
      </c>
      <c r="N188" s="13" t="n">
        <v>-0.020482</v>
      </c>
      <c r="O188" s="13" t="n">
        <v>0.1112</v>
      </c>
      <c r="P188" s="13" t="n">
        <v>-0.028869</v>
      </c>
      <c r="Q188" s="13" t="n">
        <v>0.020498</v>
      </c>
      <c r="R188" s="13" t="n">
        <v>-0.049367</v>
      </c>
      <c r="S188" s="13" t="n">
        <v>0.4152</v>
      </c>
      <c r="T188" s="13" t="n">
        <v>0.146313</v>
      </c>
      <c r="U188" s="13" t="n">
        <v>0.225964</v>
      </c>
      <c r="V188" s="13" t="n">
        <v>-0.079651</v>
      </c>
      <c r="W188" s="13" t="n">
        <v>0.607</v>
      </c>
      <c r="X188" s="13" t="n">
        <v>0.121344</v>
      </c>
      <c r="Y188" s="13" t="n">
        <v>0.169351</v>
      </c>
      <c r="Z188" s="13" t="n">
        <v>-0.048007</v>
      </c>
      <c r="AA188" s="13" t="n">
        <v>0.5826</v>
      </c>
    </row>
    <row r="189">
      <c r="A189" s="6" t="inlineStr">
        <is>
          <t>2023-05-29</t>
        </is>
      </c>
      <c r="B189" s="6" t="inlineStr">
        <is>
          <t>中间分位</t>
        </is>
      </c>
      <c r="C189" s="10" t="n">
        <v>0.8207</v>
      </c>
      <c r="D189" s="8" t="n">
        <v>0.006453</v>
      </c>
      <c r="E189" s="8" t="n">
        <v>-0.01609</v>
      </c>
      <c r="F189" s="8" t="n">
        <v>0.022543</v>
      </c>
      <c r="G189" s="8" t="n">
        <v>0.7137</v>
      </c>
      <c r="H189" s="8" t="n">
        <v>-0.001139</v>
      </c>
      <c r="I189" s="8" t="n">
        <v>0.003901</v>
      </c>
      <c r="J189" s="8" t="n">
        <v>-0.00504</v>
      </c>
      <c r="K189" s="8" t="n">
        <v>0.774</v>
      </c>
      <c r="L189" s="8" t="n">
        <v>-0.054312</v>
      </c>
      <c r="M189" s="8" t="n">
        <v>-0.03998</v>
      </c>
      <c r="N189" s="8" t="n">
        <v>-0.014332</v>
      </c>
      <c r="O189" s="8" t="n">
        <v>0.424</v>
      </c>
      <c r="P189" s="8" t="n">
        <v>-0.03646</v>
      </c>
      <c r="Q189" s="8" t="n">
        <v>0.022916</v>
      </c>
      <c r="R189" s="8" t="n">
        <v>-0.059376</v>
      </c>
      <c r="S189" s="8" t="n">
        <v>0.3859</v>
      </c>
      <c r="T189" s="8" t="n">
        <v>0.116595</v>
      </c>
      <c r="U189" s="8" t="n">
        <v>0.228669</v>
      </c>
      <c r="V189" s="8" t="n">
        <v>-0.112074</v>
      </c>
      <c r="W189" s="8" t="n">
        <v>0.6623</v>
      </c>
      <c r="X189" s="8" t="n">
        <v>0.094569</v>
      </c>
      <c r="Y189" s="8" t="n">
        <v>0.145295</v>
      </c>
      <c r="Z189" s="8" t="n">
        <v>-0.050726</v>
      </c>
      <c r="AA189" s="8" t="n">
        <v>0.6057</v>
      </c>
    </row>
    <row r="190">
      <c r="A190" s="11" t="inlineStr">
        <is>
          <t>2023-05-30</t>
        </is>
      </c>
      <c r="B190" s="11" t="inlineStr">
        <is>
          <t>高分位</t>
        </is>
      </c>
      <c r="C190" s="15" t="n">
        <v>0.9026999999999999</v>
      </c>
      <c r="D190" s="13" t="n">
        <v>-0.015093</v>
      </c>
      <c r="E190" s="13" t="n">
        <v>0.0009909999999999999</v>
      </c>
      <c r="F190" s="13" t="n">
        <v>-0.016084</v>
      </c>
      <c r="G190" s="13" t="n">
        <v>0.0616</v>
      </c>
      <c r="H190" s="13" t="n">
        <v>-0.012829</v>
      </c>
      <c r="I190" s="13" t="n">
        <v>0.011397</v>
      </c>
      <c r="J190" s="13" t="n">
        <v>-0.024226</v>
      </c>
      <c r="K190" s="13" t="n">
        <v>0.4704</v>
      </c>
      <c r="L190" s="13" t="n">
        <v>-0.08717</v>
      </c>
      <c r="M190" s="13" t="n">
        <v>-0.003469</v>
      </c>
      <c r="N190" s="13" t="n">
        <v>-0.083701</v>
      </c>
      <c r="O190" s="13" t="n">
        <v>0.0383</v>
      </c>
      <c r="P190" s="13" t="n">
        <v>-0.039999</v>
      </c>
      <c r="Q190" s="13" t="n">
        <v>0.062438</v>
      </c>
      <c r="R190" s="13" t="n">
        <v>-0.102437</v>
      </c>
      <c r="S190" s="13" t="n">
        <v>0.6095</v>
      </c>
      <c r="T190" s="13" t="n">
        <v>0.113964</v>
      </c>
      <c r="U190" s="13" t="n">
        <v>0.24777</v>
      </c>
      <c r="V190" s="13" t="n">
        <v>-0.133806</v>
      </c>
      <c r="W190" s="13" t="n">
        <v>0.6850000000000001</v>
      </c>
      <c r="X190" s="13" t="n">
        <v>0.071321</v>
      </c>
      <c r="Y190" s="13" t="n">
        <v>0.185332</v>
      </c>
      <c r="Z190" s="13" t="n">
        <v>-0.114011</v>
      </c>
      <c r="AA190" s="13" t="n">
        <v>0.7221</v>
      </c>
    </row>
    <row r="191">
      <c r="A191" s="6" t="inlineStr">
        <is>
          <t>2023-05-31</t>
        </is>
      </c>
      <c r="B191" s="6" t="inlineStr">
        <is>
          <t>中间分位</t>
        </is>
      </c>
      <c r="C191" s="10" t="n">
        <v>0.8333</v>
      </c>
      <c r="D191" s="8" t="n">
        <v>-0.006897</v>
      </c>
      <c r="E191" s="8" t="n">
        <v>0.017822</v>
      </c>
      <c r="F191" s="8" t="n">
        <v>-0.024719</v>
      </c>
      <c r="G191" s="8" t="n">
        <v>0.721</v>
      </c>
      <c r="H191" s="8" t="n">
        <v>-0.016092</v>
      </c>
      <c r="I191" s="8" t="n">
        <v>-0.005941</v>
      </c>
      <c r="J191" s="8" t="n">
        <v>-0.010151</v>
      </c>
      <c r="K191" s="8" t="n">
        <v>0.2696</v>
      </c>
      <c r="L191" s="8" t="n">
        <v>-0.05709</v>
      </c>
      <c r="M191" s="8" t="n">
        <v>-0.00297</v>
      </c>
      <c r="N191" s="8" t="n">
        <v>-0.05412</v>
      </c>
      <c r="O191" s="8" t="n">
        <v>0.0495</v>
      </c>
      <c r="P191" s="8" t="n">
        <v>-0.006129</v>
      </c>
      <c r="Q191" s="8" t="n">
        <v>0.069802</v>
      </c>
      <c r="R191" s="8" t="n">
        <v>-0.075931</v>
      </c>
      <c r="S191" s="8" t="n">
        <v>0.9193</v>
      </c>
      <c r="T191" s="8" t="n">
        <v>0.129117</v>
      </c>
      <c r="U191" s="8" t="n">
        <v>0.25297</v>
      </c>
      <c r="V191" s="8" t="n">
        <v>-0.123853</v>
      </c>
      <c r="W191" s="8" t="n">
        <v>0.6621</v>
      </c>
      <c r="X191" s="8" t="n">
        <v>0.10383</v>
      </c>
      <c r="Y191" s="8" t="n">
        <v>0.199505</v>
      </c>
      <c r="Z191" s="8" t="n">
        <v>-0.095675</v>
      </c>
      <c r="AA191" s="8" t="n">
        <v>0.6577</v>
      </c>
    </row>
    <row r="192">
      <c r="A192" s="11" t="inlineStr">
        <is>
          <t>2023-06-01</t>
        </is>
      </c>
      <c r="B192" s="11" t="inlineStr">
        <is>
          <t>中间分位</t>
        </is>
      </c>
      <c r="C192" s="15" t="n">
        <v>0.6417</v>
      </c>
      <c r="D192" s="13" t="n">
        <v>0.000773</v>
      </c>
      <c r="E192" s="13" t="n">
        <v>0.016051</v>
      </c>
      <c r="F192" s="13" t="n">
        <v>-0.015278</v>
      </c>
      <c r="G192" s="13" t="n">
        <v>0.9540999999999999</v>
      </c>
      <c r="H192" s="13" t="n">
        <v>-0.021218</v>
      </c>
      <c r="I192" s="13" t="n">
        <v>-0.007296</v>
      </c>
      <c r="J192" s="13" t="n">
        <v>-0.013922</v>
      </c>
      <c r="K192" s="13" t="n">
        <v>0.2559</v>
      </c>
      <c r="L192" s="13" t="n">
        <v>-0.054398</v>
      </c>
      <c r="M192" s="13" t="n">
        <v>-0.009728000000000001</v>
      </c>
      <c r="N192" s="13" t="n">
        <v>-0.04467</v>
      </c>
      <c r="O192" s="13" t="n">
        <v>0.1517</v>
      </c>
      <c r="P192" s="13" t="n">
        <v>0.009259</v>
      </c>
      <c r="Q192" s="13" t="n">
        <v>0.052529</v>
      </c>
      <c r="R192" s="13" t="n">
        <v>-0.04327</v>
      </c>
      <c r="S192" s="13" t="n">
        <v>0.8501</v>
      </c>
      <c r="T192" s="13" t="n">
        <v>0.142361</v>
      </c>
      <c r="U192" s="13" t="n">
        <v>0.22179</v>
      </c>
      <c r="V192" s="13" t="n">
        <v>-0.079429</v>
      </c>
      <c r="W192" s="13" t="n">
        <v>0.6091</v>
      </c>
      <c r="X192" s="13" t="n">
        <v>0.125384</v>
      </c>
      <c r="Y192" s="13" t="n">
        <v>0.177529</v>
      </c>
      <c r="Z192" s="13" t="n">
        <v>-0.052145</v>
      </c>
      <c r="AA192" s="13" t="n">
        <v>0.5861</v>
      </c>
    </row>
    <row r="193">
      <c r="A193" s="6" t="inlineStr">
        <is>
          <t>2023-06-02</t>
        </is>
      </c>
      <c r="B193" s="6" t="inlineStr">
        <is>
          <t>中间分位</t>
        </is>
      </c>
      <c r="C193" s="10" t="n">
        <v>0.4521</v>
      </c>
      <c r="D193" s="8" t="n">
        <v>0.013878</v>
      </c>
      <c r="E193" s="8" t="n">
        <v>-0.014361</v>
      </c>
      <c r="F193" s="8" t="n">
        <v>0.028239</v>
      </c>
      <c r="G193" s="8" t="n">
        <v>0.5086000000000001</v>
      </c>
      <c r="H193" s="8" t="n">
        <v>-0.035084</v>
      </c>
      <c r="I193" s="8" t="n">
        <v>-0.02202</v>
      </c>
      <c r="J193" s="8" t="n">
        <v>-0.013064</v>
      </c>
      <c r="K193" s="8" t="n">
        <v>0.3856</v>
      </c>
      <c r="L193" s="8" t="n">
        <v>-0.047033</v>
      </c>
      <c r="M193" s="8" t="n">
        <v>-0.01484</v>
      </c>
      <c r="N193" s="8" t="n">
        <v>-0.032193</v>
      </c>
      <c r="O193" s="8" t="n">
        <v>0.2398</v>
      </c>
      <c r="P193" s="8" t="n">
        <v>0.00848</v>
      </c>
      <c r="Q193" s="8" t="n">
        <v>0.031115</v>
      </c>
      <c r="R193" s="8" t="n">
        <v>-0.022635</v>
      </c>
      <c r="S193" s="8" t="n">
        <v>0.7858000000000001</v>
      </c>
      <c r="T193" s="8" t="n">
        <v>0.134156</v>
      </c>
      <c r="U193" s="8" t="n">
        <v>0.202489</v>
      </c>
      <c r="V193" s="8" t="n">
        <v>-0.068333</v>
      </c>
      <c r="W193" s="8" t="n">
        <v>0.6015</v>
      </c>
      <c r="X193" s="8" t="n">
        <v>0.124515</v>
      </c>
      <c r="Y193" s="8" t="n">
        <v>0.159885</v>
      </c>
      <c r="Z193" s="8" t="n">
        <v>-0.03537</v>
      </c>
      <c r="AA193" s="8" t="n">
        <v>0.5622</v>
      </c>
    </row>
    <row r="194">
      <c r="A194" s="11" t="inlineStr">
        <is>
          <t>2023-06-05</t>
        </is>
      </c>
      <c r="B194" s="11" t="inlineStr">
        <is>
          <t>中间分位</t>
        </is>
      </c>
      <c r="C194" s="15" t="n">
        <v>0.7672</v>
      </c>
      <c r="D194" s="13" t="n">
        <v>-0.005325</v>
      </c>
      <c r="E194" s="13" t="n">
        <v>-0.008742</v>
      </c>
      <c r="F194" s="13" t="n">
        <v>0.003417</v>
      </c>
      <c r="G194" s="13" t="n">
        <v>0.6215000000000001</v>
      </c>
      <c r="H194" s="13" t="n">
        <v>-0.053233</v>
      </c>
      <c r="I194" s="13" t="n">
        <v>-0.043711</v>
      </c>
      <c r="J194" s="13" t="n">
        <v>-0.009521999999999999</v>
      </c>
      <c r="K194" s="13" t="n">
        <v>0.4509</v>
      </c>
      <c r="L194" s="13" t="n">
        <v>-0.053612</v>
      </c>
      <c r="M194" s="13" t="n">
        <v>-0.003885</v>
      </c>
      <c r="N194" s="13" t="n">
        <v>-0.049727</v>
      </c>
      <c r="O194" s="13" t="n">
        <v>0.06759999999999999</v>
      </c>
      <c r="P194" s="13" t="n">
        <v>-0.009887</v>
      </c>
      <c r="Q194" s="13" t="n">
        <v>0.031569</v>
      </c>
      <c r="R194" s="13" t="n">
        <v>-0.041456</v>
      </c>
      <c r="S194" s="13" t="n">
        <v>0.7615</v>
      </c>
      <c r="T194" s="13" t="n">
        <v>0.118631</v>
      </c>
      <c r="U194" s="13" t="n">
        <v>0.260806</v>
      </c>
      <c r="V194" s="13" t="n">
        <v>-0.142175</v>
      </c>
      <c r="W194" s="13" t="n">
        <v>0.6873</v>
      </c>
      <c r="X194" s="13" t="n">
        <v>0.111404</v>
      </c>
      <c r="Y194" s="13" t="n">
        <v>0.214667</v>
      </c>
      <c r="Z194" s="13" t="n">
        <v>-0.103263</v>
      </c>
      <c r="AA194" s="13" t="n">
        <v>0.6583</v>
      </c>
    </row>
    <row r="195">
      <c r="A195" s="6" t="inlineStr">
        <is>
          <t>2023-06-06</t>
        </is>
      </c>
      <c r="B195" s="6" t="inlineStr">
        <is>
          <t>中间分位</t>
        </is>
      </c>
      <c r="C195" s="10" t="n">
        <v>0.8</v>
      </c>
      <c r="D195" s="8" t="n">
        <v>-0.018349</v>
      </c>
      <c r="E195" s="8" t="n">
        <v>-0.016169</v>
      </c>
      <c r="F195" s="8" t="n">
        <v>-0.00218</v>
      </c>
      <c r="G195" s="8" t="n">
        <v>0.4684</v>
      </c>
      <c r="H195" s="8" t="n">
        <v>-0.075307</v>
      </c>
      <c r="I195" s="8" t="n">
        <v>-0.014699</v>
      </c>
      <c r="J195" s="8" t="n">
        <v>-0.060608</v>
      </c>
      <c r="K195" s="8" t="n">
        <v>0.1633</v>
      </c>
      <c r="L195" s="8" t="n">
        <v>-0.052372</v>
      </c>
      <c r="M195" s="8" t="n">
        <v>0.019108</v>
      </c>
      <c r="N195" s="8" t="n">
        <v>-0.07148</v>
      </c>
      <c r="O195" s="8" t="n">
        <v>0.2673</v>
      </c>
      <c r="P195" s="8" t="n">
        <v>-0.019495</v>
      </c>
      <c r="Q195" s="8" t="n">
        <v>0.056835</v>
      </c>
      <c r="R195" s="8" t="n">
        <v>-0.07633</v>
      </c>
      <c r="S195" s="8" t="n">
        <v>0.7446</v>
      </c>
      <c r="T195" s="8" t="n">
        <v>0.165904</v>
      </c>
      <c r="U195" s="8" t="n">
        <v>0.262616</v>
      </c>
      <c r="V195" s="8" t="n">
        <v>-0.09671200000000001</v>
      </c>
      <c r="W195" s="8" t="n">
        <v>0.6128</v>
      </c>
      <c r="X195" s="8" t="n">
        <v>0.151757</v>
      </c>
      <c r="Y195" s="8" t="n">
        <v>0.22391</v>
      </c>
      <c r="Z195" s="8" t="n">
        <v>-0.07215299999999999</v>
      </c>
      <c r="AA195" s="8" t="n">
        <v>0.596</v>
      </c>
    </row>
    <row r="196">
      <c r="A196" s="11" t="inlineStr">
        <is>
          <t>2023-06-07</t>
        </is>
      </c>
      <c r="B196" s="11" t="inlineStr">
        <is>
          <t>中间分位</t>
        </is>
      </c>
      <c r="C196" s="15" t="n">
        <v>0.7749</v>
      </c>
      <c r="D196" s="13" t="n">
        <v>-0.01207</v>
      </c>
      <c r="E196" s="13" t="n">
        <v>0.016434</v>
      </c>
      <c r="F196" s="13" t="n">
        <v>-0.028504</v>
      </c>
      <c r="G196" s="13" t="n">
        <v>0.5766</v>
      </c>
      <c r="H196" s="13" t="n">
        <v>-0.041668</v>
      </c>
      <c r="I196" s="13" t="n">
        <v>0.002988</v>
      </c>
      <c r="J196" s="13" t="n">
        <v>-0.044656</v>
      </c>
      <c r="K196" s="13" t="n">
        <v>0.0669</v>
      </c>
      <c r="L196" s="13" t="n">
        <v>-0.022584</v>
      </c>
      <c r="M196" s="13" t="n">
        <v>0.033367</v>
      </c>
      <c r="N196" s="13" t="n">
        <v>-0.055951</v>
      </c>
      <c r="O196" s="13" t="n">
        <v>0.5964</v>
      </c>
      <c r="P196" s="13" t="n">
        <v>0.007397</v>
      </c>
      <c r="Q196" s="13" t="n">
        <v>0.07420300000000001</v>
      </c>
      <c r="R196" s="13" t="n">
        <v>-0.066806</v>
      </c>
      <c r="S196" s="13" t="n">
        <v>0.9094</v>
      </c>
      <c r="T196" s="13" t="n">
        <v>0.179907</v>
      </c>
      <c r="U196" s="13" t="n">
        <v>0.299801</v>
      </c>
      <c r="V196" s="13" t="n">
        <v>-0.119894</v>
      </c>
      <c r="W196" s="13" t="n">
        <v>0.625</v>
      </c>
      <c r="X196" s="13" t="n">
        <v>0.170561</v>
      </c>
      <c r="Y196" s="13" t="n">
        <v>0.210159</v>
      </c>
      <c r="Z196" s="13" t="n">
        <v>-0.039598</v>
      </c>
      <c r="AA196" s="13" t="n">
        <v>0.552</v>
      </c>
    </row>
    <row r="197">
      <c r="A197" s="6" t="inlineStr">
        <is>
          <t>2023-06-08</t>
        </is>
      </c>
      <c r="B197" s="6" t="inlineStr">
        <is>
          <t>中间分位</t>
        </is>
      </c>
      <c r="C197" s="10" t="n">
        <v>0.4635</v>
      </c>
      <c r="D197" s="8" t="n">
        <v>-0.013405</v>
      </c>
      <c r="E197" s="8" t="n">
        <v>0.00098</v>
      </c>
      <c r="F197" s="8" t="n">
        <v>-0.014385</v>
      </c>
      <c r="G197" s="8" t="n">
        <v>0.06809999999999999</v>
      </c>
      <c r="H197" s="8" t="n">
        <v>-0.0339</v>
      </c>
      <c r="I197" s="8" t="n">
        <v>-0.00245</v>
      </c>
      <c r="J197" s="8" t="n">
        <v>-0.03145</v>
      </c>
      <c r="K197" s="8" t="n">
        <v>0.0674</v>
      </c>
      <c r="L197" s="8" t="n">
        <v>-0.016162</v>
      </c>
      <c r="M197" s="8" t="n">
        <v>0.00196</v>
      </c>
      <c r="N197" s="8" t="n">
        <v>-0.018122</v>
      </c>
      <c r="O197" s="8" t="n">
        <v>0.1082</v>
      </c>
      <c r="P197" s="8" t="n">
        <v>0.021678</v>
      </c>
      <c r="Q197" s="8" t="n">
        <v>0.06614399999999999</v>
      </c>
      <c r="R197" s="8" t="n">
        <v>-0.044466</v>
      </c>
      <c r="S197" s="8" t="n">
        <v>0.7532</v>
      </c>
      <c r="T197" s="8" t="n">
        <v>0.206937</v>
      </c>
      <c r="U197" s="8" t="n">
        <v>0.260657</v>
      </c>
      <c r="V197" s="8" t="n">
        <v>-0.05372</v>
      </c>
      <c r="W197" s="8" t="n">
        <v>0.5574</v>
      </c>
      <c r="X197" s="8" t="n">
        <v>0.154117</v>
      </c>
      <c r="Y197" s="8" t="n">
        <v>0.177364</v>
      </c>
      <c r="Z197" s="8" t="n">
        <v>-0.023247</v>
      </c>
      <c r="AA197" s="8" t="n">
        <v>0.5351</v>
      </c>
    </row>
    <row r="198">
      <c r="A198" s="11" t="inlineStr">
        <is>
          <t>2023-06-09</t>
        </is>
      </c>
      <c r="B198" s="11" t="inlineStr">
        <is>
          <t>中间分位</t>
        </is>
      </c>
      <c r="C198" s="15" t="n">
        <v>0.2539</v>
      </c>
      <c r="D198" s="13" t="n">
        <v>-0.005192</v>
      </c>
      <c r="E198" s="13" t="n">
        <v>-0.036221</v>
      </c>
      <c r="F198" s="13" t="n">
        <v>0.031029</v>
      </c>
      <c r="G198" s="13" t="n">
        <v>0.8746</v>
      </c>
      <c r="H198" s="13" t="n">
        <v>-0.012384</v>
      </c>
      <c r="I198" s="13" t="n">
        <v>0.007342</v>
      </c>
      <c r="J198" s="13" t="n">
        <v>-0.019726</v>
      </c>
      <c r="K198" s="13" t="n">
        <v>0.3722</v>
      </c>
      <c r="L198" s="13" t="n">
        <v>-0.00559</v>
      </c>
      <c r="M198" s="13" t="n">
        <v>0.023495</v>
      </c>
      <c r="N198" s="13" t="n">
        <v>-0.029085</v>
      </c>
      <c r="O198" s="13" t="n">
        <v>0.8078</v>
      </c>
      <c r="P198" s="13" t="n">
        <v>0.040751</v>
      </c>
      <c r="Q198" s="13" t="n">
        <v>0.096427</v>
      </c>
      <c r="R198" s="13" t="n">
        <v>-0.055676</v>
      </c>
      <c r="S198" s="13" t="n">
        <v>0.7029</v>
      </c>
      <c r="T198" s="13" t="n">
        <v>0.208953</v>
      </c>
      <c r="U198" s="13" t="n">
        <v>0.267744</v>
      </c>
      <c r="V198" s="13" t="n">
        <v>-0.058791</v>
      </c>
      <c r="W198" s="13" t="n">
        <v>0.5617</v>
      </c>
      <c r="X198" s="13" t="n">
        <v>0.170196</v>
      </c>
      <c r="Y198" s="13" t="n">
        <v>0.180617</v>
      </c>
      <c r="Z198" s="13" t="n">
        <v>-0.010421</v>
      </c>
      <c r="AA198" s="13" t="n">
        <v>0.5149</v>
      </c>
    </row>
    <row r="199">
      <c r="A199" s="6" t="inlineStr">
        <is>
          <t>2023-06-12</t>
        </is>
      </c>
      <c r="B199" s="6" t="inlineStr">
        <is>
          <t>中间分位</t>
        </is>
      </c>
      <c r="C199" s="10" t="n">
        <v>0.6804</v>
      </c>
      <c r="D199" s="8" t="n">
        <v>-0.028516</v>
      </c>
      <c r="E199" s="8" t="n">
        <v>0.021331</v>
      </c>
      <c r="F199" s="8" t="n">
        <v>-0.049847</v>
      </c>
      <c r="G199" s="8" t="n">
        <v>0.4279</v>
      </c>
      <c r="H199" s="8" t="n">
        <v>-0.0004</v>
      </c>
      <c r="I199" s="8" t="n">
        <v>0.041646</v>
      </c>
      <c r="J199" s="8" t="n">
        <v>-0.042046</v>
      </c>
      <c r="K199" s="8" t="n">
        <v>0.9905</v>
      </c>
      <c r="L199" s="8" t="n">
        <v>0.018877</v>
      </c>
      <c r="M199" s="8" t="n">
        <v>0.065515</v>
      </c>
      <c r="N199" s="8" t="n">
        <v>-0.046638</v>
      </c>
      <c r="O199" s="8" t="n">
        <v>0.7763</v>
      </c>
      <c r="P199" s="8" t="n">
        <v>0.07951800000000001</v>
      </c>
      <c r="Q199" s="8" t="n">
        <v>0.155917</v>
      </c>
      <c r="R199" s="8" t="n">
        <v>-0.07639899999999999</v>
      </c>
      <c r="S199" s="8" t="n">
        <v>0.6623</v>
      </c>
      <c r="T199" s="8" t="n">
        <v>0.224096</v>
      </c>
      <c r="U199" s="8" t="n">
        <v>0.313357</v>
      </c>
      <c r="V199" s="8" t="n">
        <v>-0.08926099999999999</v>
      </c>
      <c r="W199" s="8" t="n">
        <v>0.583</v>
      </c>
      <c r="X199" s="8" t="n">
        <v>0.175904</v>
      </c>
      <c r="Y199" s="8" t="n">
        <v>0.235653</v>
      </c>
      <c r="Z199" s="8" t="n">
        <v>-0.059749</v>
      </c>
      <c r="AA199" s="8" t="n">
        <v>0.5726</v>
      </c>
    </row>
    <row r="200">
      <c r="A200" s="11" t="inlineStr">
        <is>
          <t>2023-06-13</t>
        </is>
      </c>
      <c r="B200" s="11" t="inlineStr">
        <is>
          <t>中间分位</t>
        </is>
      </c>
      <c r="C200" s="15" t="n">
        <v>0.1282</v>
      </c>
      <c r="D200" s="13" t="n">
        <v>0.017363</v>
      </c>
      <c r="E200" s="13" t="n">
        <v>0.001492</v>
      </c>
      <c r="F200" s="13" t="n">
        <v>0.015871</v>
      </c>
      <c r="G200" s="13" t="n">
        <v>0.0791</v>
      </c>
      <c r="H200" s="13" t="n">
        <v>0.024804</v>
      </c>
      <c r="I200" s="13" t="n">
        <v>0.034311</v>
      </c>
      <c r="J200" s="13" t="n">
        <v>-0.009507</v>
      </c>
      <c r="K200" s="13" t="n">
        <v>0.5804</v>
      </c>
      <c r="L200" s="13" t="n">
        <v>0.051676</v>
      </c>
      <c r="M200" s="13" t="n">
        <v>0.066136</v>
      </c>
      <c r="N200" s="13" t="n">
        <v>-0.01446</v>
      </c>
      <c r="O200" s="13" t="n">
        <v>0.5614</v>
      </c>
      <c r="P200" s="13" t="n">
        <v>0.126915</v>
      </c>
      <c r="Q200" s="13" t="n">
        <v>0.119841</v>
      </c>
      <c r="R200" s="13" t="n">
        <v>0.007074</v>
      </c>
      <c r="S200" s="13" t="n">
        <v>0.4857</v>
      </c>
      <c r="T200" s="13" t="n">
        <v>0.260439</v>
      </c>
      <c r="U200" s="13" t="n">
        <v>0.261064</v>
      </c>
      <c r="V200" s="13" t="n">
        <v>-0.000625</v>
      </c>
      <c r="W200" s="13" t="n">
        <v>0.5006</v>
      </c>
      <c r="X200" s="13" t="n">
        <v>0.217861</v>
      </c>
      <c r="Y200" s="13" t="n">
        <v>0.204376</v>
      </c>
      <c r="Z200" s="13" t="n">
        <v>0.013485</v>
      </c>
      <c r="AA200" s="13" t="n">
        <v>0.484</v>
      </c>
    </row>
    <row r="201">
      <c r="A201" s="6" t="inlineStr">
        <is>
          <t>2023-06-14</t>
        </is>
      </c>
      <c r="B201" s="6" t="inlineStr">
        <is>
          <t>中间分位</t>
        </is>
      </c>
      <c r="C201" s="10" t="n">
        <v>0.2296</v>
      </c>
      <c r="D201" s="8" t="n">
        <v>-0.004062</v>
      </c>
      <c r="E201" s="8" t="n">
        <v>0.010924</v>
      </c>
      <c r="F201" s="8" t="n">
        <v>-0.014986</v>
      </c>
      <c r="G201" s="8" t="n">
        <v>0.7289</v>
      </c>
      <c r="H201" s="8" t="n">
        <v>0.019914</v>
      </c>
      <c r="I201" s="8" t="n">
        <v>0.030288</v>
      </c>
      <c r="J201" s="8" t="n">
        <v>-0.010374</v>
      </c>
      <c r="K201" s="8" t="n">
        <v>0.6032999999999999</v>
      </c>
      <c r="L201" s="8" t="n">
        <v>0.054046</v>
      </c>
      <c r="M201" s="8" t="n">
        <v>0.072989</v>
      </c>
      <c r="N201" s="8" t="n">
        <v>-0.018943</v>
      </c>
      <c r="O201" s="8" t="n">
        <v>0.5746</v>
      </c>
      <c r="P201" s="8" t="n">
        <v>0.09711699999999999</v>
      </c>
      <c r="Q201" s="8" t="n">
        <v>0.151936</v>
      </c>
      <c r="R201" s="8" t="n">
        <v>-0.054819</v>
      </c>
      <c r="S201" s="8" t="n">
        <v>0.6101</v>
      </c>
      <c r="T201" s="8" t="n">
        <v>0.218614</v>
      </c>
      <c r="U201" s="8" t="n">
        <v>0.252731</v>
      </c>
      <c r="V201" s="8" t="n">
        <v>-0.034117</v>
      </c>
      <c r="W201" s="8" t="n">
        <v>0.5362</v>
      </c>
      <c r="X201" s="8" t="n">
        <v>0.194638</v>
      </c>
      <c r="Y201" s="8" t="n">
        <v>0.190169</v>
      </c>
      <c r="Z201" s="8" t="n">
        <v>0.004469</v>
      </c>
      <c r="AA201" s="8" t="n">
        <v>0.4942</v>
      </c>
    </row>
    <row r="202">
      <c r="A202" s="11" t="inlineStr">
        <is>
          <t>2023-06-15</t>
        </is>
      </c>
      <c r="B202" s="11" t="inlineStr">
        <is>
          <t>中间分位</t>
        </is>
      </c>
      <c r="C202" s="15" t="n">
        <v>0.1371</v>
      </c>
      <c r="D202" s="13" t="n">
        <v>0.008567999999999999</v>
      </c>
      <c r="E202" s="13" t="n">
        <v>0.010806</v>
      </c>
      <c r="F202" s="13" t="n">
        <v>-0.002238</v>
      </c>
      <c r="G202" s="13" t="n">
        <v>0.5578</v>
      </c>
      <c r="H202" s="13" t="n">
        <v>0.01836</v>
      </c>
      <c r="I202" s="13" t="n">
        <v>0.00442</v>
      </c>
      <c r="J202" s="13" t="n">
        <v>0.01394</v>
      </c>
      <c r="K202" s="13" t="n">
        <v>0.194</v>
      </c>
      <c r="L202" s="13" t="n">
        <v>0.067319</v>
      </c>
      <c r="M202" s="13" t="n">
        <v>0.06286799999999999</v>
      </c>
      <c r="N202" s="13" t="n">
        <v>0.004451</v>
      </c>
      <c r="O202" s="13" t="n">
        <v>0.4829</v>
      </c>
      <c r="P202" s="13" t="n">
        <v>0.133009</v>
      </c>
      <c r="Q202" s="13" t="n">
        <v>0.089391</v>
      </c>
      <c r="R202" s="13" t="n">
        <v>0.043618</v>
      </c>
      <c r="S202" s="13" t="n">
        <v>0.4019</v>
      </c>
      <c r="T202" s="13" t="n">
        <v>0.217053</v>
      </c>
      <c r="U202" s="13" t="n">
        <v>0.252947</v>
      </c>
      <c r="V202" s="13" t="n">
        <v>-0.035894</v>
      </c>
      <c r="W202" s="13" t="n">
        <v>0.5382</v>
      </c>
      <c r="X202" s="13" t="n">
        <v>0.195432</v>
      </c>
      <c r="Y202" s="13" t="n">
        <v>0.185658</v>
      </c>
      <c r="Z202" s="13" t="n">
        <v>0.009774</v>
      </c>
      <c r="AA202" s="13" t="n">
        <v>0.4872</v>
      </c>
    </row>
    <row r="203">
      <c r="A203" s="6" t="inlineStr">
        <is>
          <t>2023-06-16</t>
        </is>
      </c>
      <c r="B203" s="6" t="inlineStr">
        <is>
          <t>中间分位</t>
        </is>
      </c>
      <c r="C203" s="10" t="n">
        <v>0.1212</v>
      </c>
      <c r="D203" s="8" t="n">
        <v>0.006879</v>
      </c>
      <c r="E203" s="8" t="n">
        <v>-0.003401</v>
      </c>
      <c r="F203" s="8" t="n">
        <v>0.01028</v>
      </c>
      <c r="G203" s="8" t="n">
        <v>0.3308</v>
      </c>
      <c r="H203" s="8" t="n">
        <v>0.006879</v>
      </c>
      <c r="I203" s="8" t="n">
        <v>0.016035</v>
      </c>
      <c r="J203" s="8" t="n">
        <v>-0.009155999999999999</v>
      </c>
      <c r="K203" s="8" t="n">
        <v>0.6998</v>
      </c>
      <c r="L203" s="8" t="n">
        <v>0.058252</v>
      </c>
      <c r="M203" s="8" t="n">
        <v>0.046647</v>
      </c>
      <c r="N203" s="8" t="n">
        <v>0.011605</v>
      </c>
      <c r="O203" s="8" t="n">
        <v>0.4447</v>
      </c>
      <c r="P203" s="8" t="n">
        <v>0.078073</v>
      </c>
      <c r="Q203" s="8" t="n">
        <v>0.114674</v>
      </c>
      <c r="R203" s="8" t="n">
        <v>-0.036601</v>
      </c>
      <c r="S203" s="8" t="n">
        <v>0.5949</v>
      </c>
      <c r="T203" s="8" t="n">
        <v>0.218447</v>
      </c>
      <c r="U203" s="8" t="n">
        <v>0.246842</v>
      </c>
      <c r="V203" s="8" t="n">
        <v>-0.028395</v>
      </c>
      <c r="W203" s="8" t="n">
        <v>0.5305</v>
      </c>
      <c r="X203" s="8" t="n">
        <v>0.18932</v>
      </c>
      <c r="Y203" s="8" t="n">
        <v>0.150632</v>
      </c>
      <c r="Z203" s="8" t="n">
        <v>0.038688</v>
      </c>
      <c r="AA203" s="8" t="n">
        <v>0.4431</v>
      </c>
    </row>
    <row r="204">
      <c r="A204" s="11" t="inlineStr">
        <is>
          <t>2023-06-19</t>
        </is>
      </c>
      <c r="B204" s="11" t="inlineStr">
        <is>
          <t>中间分位</t>
        </is>
      </c>
      <c r="C204" s="15" t="n">
        <v>0.201</v>
      </c>
      <c r="D204" s="13" t="n">
        <v>-0.004021</v>
      </c>
      <c r="E204" s="13" t="n">
        <v>0.014139</v>
      </c>
      <c r="F204" s="13" t="n">
        <v>-0.01816</v>
      </c>
      <c r="G204" s="13" t="n">
        <v>0.7786</v>
      </c>
      <c r="H204" s="13" t="n">
        <v>0.019285</v>
      </c>
      <c r="I204" s="13" t="n">
        <v>0.022916</v>
      </c>
      <c r="J204" s="13" t="n">
        <v>-0.003631</v>
      </c>
      <c r="K204" s="13" t="n">
        <v>0.543</v>
      </c>
      <c r="L204" s="13" t="n">
        <v>0.046202</v>
      </c>
      <c r="M204" s="13" t="n">
        <v>0.035592</v>
      </c>
      <c r="N204" s="13" t="n">
        <v>0.01061</v>
      </c>
      <c r="O204" s="13" t="n">
        <v>0.4351</v>
      </c>
      <c r="P204" s="13" t="n">
        <v>0.104861</v>
      </c>
      <c r="Q204" s="13" t="n">
        <v>0.106777</v>
      </c>
      <c r="R204" s="13" t="n">
        <v>-0.001916</v>
      </c>
      <c r="S204" s="13" t="n">
        <v>0.5044999999999999</v>
      </c>
      <c r="T204" s="13" t="n">
        <v>0.216954</v>
      </c>
      <c r="U204" s="13" t="n">
        <v>0.231107</v>
      </c>
      <c r="V204" s="13" t="n">
        <v>-0.014153</v>
      </c>
      <c r="W204" s="13" t="n">
        <v>0.5158</v>
      </c>
      <c r="X204" s="13" t="n">
        <v>0.167132</v>
      </c>
      <c r="Y204" s="13" t="n">
        <v>0.156021</v>
      </c>
      <c r="Z204" s="13" t="n">
        <v>0.011111</v>
      </c>
      <c r="AA204" s="13" t="n">
        <v>0.4828</v>
      </c>
    </row>
    <row r="205">
      <c r="A205" s="6" t="inlineStr">
        <is>
          <t>2023-06-20</t>
        </is>
      </c>
      <c r="B205" s="6" t="inlineStr">
        <is>
          <t>低分位</t>
        </is>
      </c>
      <c r="C205" s="10" t="n">
        <v>0.1</v>
      </c>
      <c r="D205" s="8" t="n">
        <v>0.012508</v>
      </c>
      <c r="E205" s="8" t="n">
        <v>-0.002404</v>
      </c>
      <c r="F205" s="8" t="n">
        <v>0.014912</v>
      </c>
      <c r="G205" s="8" t="n">
        <v>0.1612</v>
      </c>
      <c r="H205" s="8" t="n">
        <v>0.026222</v>
      </c>
      <c r="I205" s="8" t="n">
        <v>0.030769</v>
      </c>
      <c r="J205" s="8" t="n">
        <v>-0.004547</v>
      </c>
      <c r="K205" s="8" t="n">
        <v>0.5399</v>
      </c>
      <c r="L205" s="8" t="n">
        <v>0.034693</v>
      </c>
      <c r="M205" s="8" t="n">
        <v>0.037019</v>
      </c>
      <c r="N205" s="8" t="n">
        <v>-0.002326</v>
      </c>
      <c r="O205" s="8" t="n">
        <v>0.5162</v>
      </c>
      <c r="P205" s="8" t="n">
        <v>0.098832</v>
      </c>
      <c r="Q205" s="8" t="n">
        <v>0.07932699999999999</v>
      </c>
      <c r="R205" s="8" t="n">
        <v>0.019505</v>
      </c>
      <c r="S205" s="8" t="n">
        <v>0.4453</v>
      </c>
      <c r="T205" s="8" t="n">
        <v>0.206135</v>
      </c>
      <c r="U205" s="8" t="n">
        <v>0.231731</v>
      </c>
      <c r="V205" s="8" t="n">
        <v>-0.025596</v>
      </c>
      <c r="W205" s="8" t="n">
        <v>0.5292</v>
      </c>
      <c r="X205" s="8" t="n">
        <v>0.171844</v>
      </c>
      <c r="Y205" s="8" t="n">
        <v>0.135096</v>
      </c>
      <c r="Z205" s="8" t="n">
        <v>0.036748</v>
      </c>
      <c r="AA205" s="8" t="n">
        <v>0.4401</v>
      </c>
    </row>
    <row r="206">
      <c r="A206" s="11" t="inlineStr">
        <is>
          <t>2023-06-21</t>
        </is>
      </c>
      <c r="B206" s="11" t="inlineStr">
        <is>
          <t>中间分位</t>
        </is>
      </c>
      <c r="C206" s="15" t="n">
        <v>0.1741</v>
      </c>
      <c r="D206" s="13" t="n">
        <v>-0.005579</v>
      </c>
      <c r="E206" s="13" t="n">
        <v>-0.014458</v>
      </c>
      <c r="F206" s="13" t="n">
        <v>0.008879</v>
      </c>
      <c r="G206" s="13" t="n">
        <v>0.7216</v>
      </c>
      <c r="H206" s="13" t="n">
        <v>0.033466</v>
      </c>
      <c r="I206" s="13" t="n">
        <v>0.041446</v>
      </c>
      <c r="J206" s="13" t="n">
        <v>-0.007979999999999999</v>
      </c>
      <c r="K206" s="13" t="n">
        <v>0.5533</v>
      </c>
      <c r="L206" s="13" t="n">
        <v>0.030674</v>
      </c>
      <c r="M206" s="13" t="n">
        <v>0.039518</v>
      </c>
      <c r="N206" s="13" t="n">
        <v>-0.008843999999999999</v>
      </c>
      <c r="O206" s="13" t="n">
        <v>0.5629999999999999</v>
      </c>
      <c r="P206" s="13" t="n">
        <v>0.073702</v>
      </c>
      <c r="Q206" s="13" t="n">
        <v>0.06891600000000001</v>
      </c>
      <c r="R206" s="13" t="n">
        <v>0.004786</v>
      </c>
      <c r="S206" s="13" t="n">
        <v>0.4832</v>
      </c>
      <c r="T206" s="13" t="n">
        <v>0.208365</v>
      </c>
      <c r="U206" s="13" t="n">
        <v>0.235663</v>
      </c>
      <c r="V206" s="13" t="n">
        <v>-0.027298</v>
      </c>
      <c r="W206" s="13" t="n">
        <v>0.5306999999999999</v>
      </c>
      <c r="X206" s="13" t="n">
        <v>0.161751</v>
      </c>
      <c r="Y206" s="13" t="n">
        <v>0.142651</v>
      </c>
      <c r="Z206" s="13" t="n">
        <v>0.0191</v>
      </c>
      <c r="AA206" s="13" t="n">
        <v>0.4686</v>
      </c>
    </row>
    <row r="207">
      <c r="A207" s="6" t="inlineStr">
        <is>
          <t>2023-06-26</t>
        </is>
      </c>
      <c r="B207" s="6" t="inlineStr">
        <is>
          <t>中间分位</t>
        </is>
      </c>
      <c r="C207" s="10" t="n">
        <v>0.2426</v>
      </c>
      <c r="D207" s="8" t="n">
        <v>-0.002803</v>
      </c>
      <c r="E207" s="8" t="n">
        <v>0.022494</v>
      </c>
      <c r="F207" s="8" t="n">
        <v>-0.025297</v>
      </c>
      <c r="G207" s="8" t="n">
        <v>0.8892</v>
      </c>
      <c r="H207" s="8" t="n">
        <v>0.048077</v>
      </c>
      <c r="I207" s="8" t="n">
        <v>0.058191</v>
      </c>
      <c r="J207" s="8" t="n">
        <v>-0.010114</v>
      </c>
      <c r="K207" s="8" t="n">
        <v>0.5476</v>
      </c>
      <c r="L207" s="8" t="n">
        <v>0.038462</v>
      </c>
      <c r="M207" s="8" t="n">
        <v>0.064059</v>
      </c>
      <c r="N207" s="8" t="n">
        <v>-0.025597</v>
      </c>
      <c r="O207" s="8" t="n">
        <v>0.6248</v>
      </c>
      <c r="P207" s="8" t="n">
        <v>0.069313</v>
      </c>
      <c r="Q207" s="8" t="n">
        <v>0.081174</v>
      </c>
      <c r="R207" s="8" t="n">
        <v>-0.011861</v>
      </c>
      <c r="S207" s="8" t="n">
        <v>0.5394</v>
      </c>
      <c r="T207" s="8" t="n">
        <v>0.21875</v>
      </c>
      <c r="U207" s="8" t="n">
        <v>0.283619</v>
      </c>
      <c r="V207" s="8" t="n">
        <v>-0.064869</v>
      </c>
      <c r="W207" s="8" t="n">
        <v>0.5646</v>
      </c>
      <c r="X207" s="8" t="n">
        <v>0.178284</v>
      </c>
      <c r="Y207" s="8" t="n">
        <v>0.164792</v>
      </c>
      <c r="Z207" s="8" t="n">
        <v>0.013492</v>
      </c>
      <c r="AA207" s="8" t="n">
        <v>0.4803</v>
      </c>
    </row>
    <row r="208">
      <c r="A208" s="11" t="inlineStr">
        <is>
          <t>2023-06-27</t>
        </is>
      </c>
      <c r="B208" s="11" t="inlineStr">
        <is>
          <t>低分位</t>
        </is>
      </c>
      <c r="C208" s="15" t="n">
        <v>0.0887</v>
      </c>
      <c r="D208" s="13" t="n">
        <v>0.019285</v>
      </c>
      <c r="E208" s="13" t="n">
        <v>0.003348</v>
      </c>
      <c r="F208" s="13" t="n">
        <v>0.015937</v>
      </c>
      <c r="G208" s="13" t="n">
        <v>0.1479</v>
      </c>
      <c r="H208" s="13" t="n">
        <v>0.051023</v>
      </c>
      <c r="I208" s="13" t="n">
        <v>0.030129</v>
      </c>
      <c r="J208" s="13" t="n">
        <v>0.020894</v>
      </c>
      <c r="K208" s="13" t="n">
        <v>0.3713</v>
      </c>
      <c r="L208" s="13" t="n">
        <v>0.046602</v>
      </c>
      <c r="M208" s="13" t="n">
        <v>0.071258</v>
      </c>
      <c r="N208" s="13" t="n">
        <v>-0.024656</v>
      </c>
      <c r="O208" s="13" t="n">
        <v>0.6046</v>
      </c>
      <c r="P208" s="13" t="n">
        <v>0.066292</v>
      </c>
      <c r="Q208" s="13" t="n">
        <v>0.077475</v>
      </c>
      <c r="R208" s="13" t="n">
        <v>-0.011183</v>
      </c>
      <c r="S208" s="13" t="n">
        <v>0.5389</v>
      </c>
      <c r="T208" s="13" t="n">
        <v>0.251503</v>
      </c>
      <c r="U208" s="13" t="n">
        <v>0.259206</v>
      </c>
      <c r="V208" s="13" t="n">
        <v>-0.007703</v>
      </c>
      <c r="W208" s="13" t="n">
        <v>0.5075</v>
      </c>
      <c r="X208" s="13" t="n">
        <v>0.184006</v>
      </c>
      <c r="Y208" s="13" t="n">
        <v>0.162123</v>
      </c>
      <c r="Z208" s="13" t="n">
        <v>0.021883</v>
      </c>
      <c r="AA208" s="13" t="n">
        <v>0.4684</v>
      </c>
    </row>
    <row r="209">
      <c r="A209" s="6" t="inlineStr">
        <is>
          <t>2023-06-28</t>
        </is>
      </c>
      <c r="B209" s="6" t="inlineStr">
        <is>
          <t>中间分位</t>
        </is>
      </c>
      <c r="C209" s="10" t="n">
        <v>0.1765</v>
      </c>
      <c r="D209" s="8" t="n">
        <v>0.002758</v>
      </c>
      <c r="E209" s="8" t="n">
        <v>0.021926</v>
      </c>
      <c r="F209" s="8" t="n">
        <v>-0.019168</v>
      </c>
      <c r="G209" s="8" t="n">
        <v>0.8883</v>
      </c>
      <c r="H209" s="8" t="n">
        <v>0.026408</v>
      </c>
      <c r="I209" s="8" t="n">
        <v>0.012393</v>
      </c>
      <c r="J209" s="8" t="n">
        <v>0.014015</v>
      </c>
      <c r="K209" s="8" t="n">
        <v>0.3194</v>
      </c>
      <c r="L209" s="8" t="n">
        <v>0.059517</v>
      </c>
      <c r="M209" s="8" t="n">
        <v>0.084843</v>
      </c>
      <c r="N209" s="8" t="n">
        <v>-0.025326</v>
      </c>
      <c r="O209" s="8" t="n">
        <v>0.5877</v>
      </c>
      <c r="P209" s="8" t="n">
        <v>0.067005</v>
      </c>
      <c r="Q209" s="8" t="n">
        <v>0.07721600000000001</v>
      </c>
      <c r="R209" s="8" t="n">
        <v>-0.010211</v>
      </c>
      <c r="S209" s="8" t="n">
        <v>0.5354</v>
      </c>
      <c r="T209" s="8" t="n">
        <v>0.232555</v>
      </c>
      <c r="U209" s="8" t="n">
        <v>0.234986</v>
      </c>
      <c r="V209" s="8" t="n">
        <v>-0.002431</v>
      </c>
      <c r="W209" s="8" t="n">
        <v>0.5026</v>
      </c>
      <c r="X209" s="8" t="n">
        <v>0.176977</v>
      </c>
      <c r="Y209" s="8" t="n">
        <v>0.165396</v>
      </c>
      <c r="Z209" s="8" t="n">
        <v>0.011581</v>
      </c>
      <c r="AA209" s="8" t="n">
        <v>0.4831</v>
      </c>
    </row>
    <row r="210">
      <c r="A210" s="11" t="inlineStr">
        <is>
          <t>2023-06-29</t>
        </is>
      </c>
      <c r="B210" s="11" t="inlineStr">
        <is>
          <t>低分位</t>
        </is>
      </c>
      <c r="C210" s="15" t="n">
        <v>0.0683</v>
      </c>
      <c r="D210" s="13" t="n">
        <v>0.019656</v>
      </c>
      <c r="E210" s="13" t="n">
        <v>0.007929</v>
      </c>
      <c r="F210" s="13" t="n">
        <v>0.011727</v>
      </c>
      <c r="G210" s="13" t="n">
        <v>0.2874</v>
      </c>
      <c r="H210" s="13" t="n">
        <v>0.008255</v>
      </c>
      <c r="I210" s="13" t="n">
        <v>0.006063</v>
      </c>
      <c r="J210" s="13" t="n">
        <v>0.002192</v>
      </c>
      <c r="K210" s="13" t="n">
        <v>0.4235</v>
      </c>
      <c r="L210" s="13" t="n">
        <v>0.07154199999999999</v>
      </c>
      <c r="M210" s="13" t="n">
        <v>0.050373</v>
      </c>
      <c r="N210" s="13" t="n">
        <v>0.021169</v>
      </c>
      <c r="O210" s="13" t="n">
        <v>0.4132</v>
      </c>
      <c r="P210" s="13" t="n">
        <v>0.064071</v>
      </c>
      <c r="Q210" s="13" t="n">
        <v>0.052239</v>
      </c>
      <c r="R210" s="13" t="n">
        <v>0.011832</v>
      </c>
      <c r="S210" s="13" t="n">
        <v>0.4491</v>
      </c>
      <c r="T210" s="13" t="n">
        <v>0.210693</v>
      </c>
      <c r="U210" s="13" t="n">
        <v>0.187966</v>
      </c>
      <c r="V210" s="13" t="n">
        <v>0.022727</v>
      </c>
      <c r="W210" s="13" t="n">
        <v>0.4715</v>
      </c>
      <c r="X210" s="13" t="n">
        <v>0.172561</v>
      </c>
      <c r="Y210" s="13" t="n">
        <v>0.159515</v>
      </c>
      <c r="Z210" s="13" t="n">
        <v>0.013046</v>
      </c>
      <c r="AA210" s="13" t="n">
        <v>0.4804</v>
      </c>
    </row>
    <row r="211">
      <c r="A211" s="6" t="inlineStr">
        <is>
          <t>2023-06-30</t>
        </is>
      </c>
      <c r="B211" s="6" t="inlineStr">
        <is>
          <t>中间分位</t>
        </is>
      </c>
      <c r="C211" s="10" t="n">
        <v>0.1262</v>
      </c>
      <c r="D211" s="8" t="n">
        <v>0.00848</v>
      </c>
      <c r="E211" s="8" t="n">
        <v>0.001388</v>
      </c>
      <c r="F211" s="8" t="n">
        <v>0.007092</v>
      </c>
      <c r="G211" s="8" t="n">
        <v>0.1407</v>
      </c>
      <c r="H211" s="8" t="n">
        <v>-0.002702</v>
      </c>
      <c r="I211" s="8" t="n">
        <v>-0.001851</v>
      </c>
      <c r="J211" s="8" t="n">
        <v>-0.000851</v>
      </c>
      <c r="K211" s="8" t="n">
        <v>0.4065</v>
      </c>
      <c r="L211" s="8" t="n">
        <v>0.040862</v>
      </c>
      <c r="M211" s="8" t="n">
        <v>0.073577</v>
      </c>
      <c r="N211" s="8" t="n">
        <v>-0.032715</v>
      </c>
      <c r="O211" s="8" t="n">
        <v>0.6429</v>
      </c>
      <c r="P211" s="8" t="n">
        <v>0.041246</v>
      </c>
      <c r="Q211" s="8" t="n">
        <v>0.063397</v>
      </c>
      <c r="R211" s="8" t="n">
        <v>-0.022151</v>
      </c>
      <c r="S211" s="8" t="n">
        <v>0.6058</v>
      </c>
      <c r="T211" s="8" t="n">
        <v>0.174634</v>
      </c>
      <c r="U211" s="8" t="n">
        <v>0.176307</v>
      </c>
      <c r="V211" s="8" t="n">
        <v>-0.001673</v>
      </c>
      <c r="W211" s="8" t="n">
        <v>0.5024</v>
      </c>
      <c r="X211" s="8" t="n">
        <v>0.15921</v>
      </c>
      <c r="Y211" s="8" t="n">
        <v>0.130495</v>
      </c>
      <c r="Z211" s="8" t="n">
        <v>0.028715</v>
      </c>
      <c r="AA211" s="8" t="n">
        <v>0.4504</v>
      </c>
    </row>
    <row r="212">
      <c r="A212" s="11" t="inlineStr">
        <is>
          <t>2023-07-03</t>
        </is>
      </c>
      <c r="B212" s="11" t="inlineStr">
        <is>
          <t>中间分位</t>
        </is>
      </c>
      <c r="C212" s="15" t="n">
        <v>0.1787</v>
      </c>
      <c r="D212" s="13" t="n">
        <v>0</v>
      </c>
      <c r="E212" s="13" t="n">
        <v>-0.004621</v>
      </c>
      <c r="F212" s="13" t="n">
        <v>0.004621</v>
      </c>
      <c r="G212" s="13" t="n">
        <v>1</v>
      </c>
      <c r="H212" s="13" t="n">
        <v>-0.009174</v>
      </c>
      <c r="I212" s="13" t="n">
        <v>0.005545</v>
      </c>
      <c r="J212" s="13" t="n">
        <v>-0.014719</v>
      </c>
      <c r="K212" s="13" t="n">
        <v>0.3767</v>
      </c>
      <c r="L212" s="13" t="n">
        <v>0.061546</v>
      </c>
      <c r="M212" s="13" t="n">
        <v>0.024954</v>
      </c>
      <c r="N212" s="13" t="n">
        <v>0.036592</v>
      </c>
      <c r="O212" s="13" t="n">
        <v>0.2885</v>
      </c>
      <c r="P212" s="13" t="n">
        <v>0.046638</v>
      </c>
      <c r="Q212" s="13" t="n">
        <v>0.057301</v>
      </c>
      <c r="R212" s="13" t="n">
        <v>-0.010663</v>
      </c>
      <c r="S212" s="13" t="n">
        <v>0.5513</v>
      </c>
      <c r="T212" s="13" t="n">
        <v>0.163225</v>
      </c>
      <c r="U212" s="13" t="n">
        <v>0.146026</v>
      </c>
      <c r="V212" s="13" t="n">
        <v>0.017199</v>
      </c>
      <c r="W212" s="13" t="n">
        <v>0.4722</v>
      </c>
      <c r="X212" s="13" t="n">
        <v>0.135702</v>
      </c>
      <c r="Y212" s="13" t="n">
        <v>0.125231</v>
      </c>
      <c r="Z212" s="13" t="n">
        <v>0.010471</v>
      </c>
      <c r="AA212" s="13" t="n">
        <v>0.4799</v>
      </c>
    </row>
    <row r="213">
      <c r="A213" s="6" t="inlineStr">
        <is>
          <t>2023-07-04</t>
        </is>
      </c>
      <c r="B213" s="6" t="inlineStr">
        <is>
          <t>中间分位</t>
        </is>
      </c>
      <c r="C213" s="10" t="n">
        <v>0.2356</v>
      </c>
      <c r="D213" s="8" t="n">
        <v>-0.004587</v>
      </c>
      <c r="E213" s="8" t="n">
        <v>-0.013928</v>
      </c>
      <c r="F213" s="8" t="n">
        <v>0.009341</v>
      </c>
      <c r="G213" s="8" t="n">
        <v>0.7523</v>
      </c>
      <c r="H213" s="8" t="n">
        <v>-0.004206</v>
      </c>
      <c r="I213" s="8" t="n">
        <v>0.039926</v>
      </c>
      <c r="J213" s="8" t="n">
        <v>-0.044132</v>
      </c>
      <c r="K213" s="8" t="n">
        <v>0.9046999999999999</v>
      </c>
      <c r="L213" s="8" t="n">
        <v>0.018729</v>
      </c>
      <c r="M213" s="8" t="n">
        <v>0.064995</v>
      </c>
      <c r="N213" s="8" t="n">
        <v>-0.046266</v>
      </c>
      <c r="O213" s="8" t="n">
        <v>0.7763</v>
      </c>
      <c r="P213" s="8" t="n">
        <v>0.045872</v>
      </c>
      <c r="Q213" s="8" t="n">
        <v>0.097029</v>
      </c>
      <c r="R213" s="8" t="n">
        <v>-0.051157</v>
      </c>
      <c r="S213" s="8" t="n">
        <v>0.679</v>
      </c>
      <c r="T213" s="8" t="n">
        <v>0.139528</v>
      </c>
      <c r="U213" s="8" t="n">
        <v>0.140669</v>
      </c>
      <c r="V213" s="8" t="n">
        <v>-0.001141</v>
      </c>
      <c r="W213" s="8" t="n">
        <v>0.502</v>
      </c>
      <c r="X213" s="8" t="n">
        <v>0.131115</v>
      </c>
      <c r="Y213" s="8" t="n">
        <v>0.126277</v>
      </c>
      <c r="Z213" s="8" t="n">
        <v>0.004838</v>
      </c>
      <c r="AA213" s="8" t="n">
        <v>0.4906</v>
      </c>
    </row>
    <row r="214">
      <c r="A214" s="11" t="inlineStr">
        <is>
          <t>2023-07-05</t>
        </is>
      </c>
      <c r="B214" s="11" t="inlineStr">
        <is>
          <t>中间分位</t>
        </is>
      </c>
      <c r="C214" s="15" t="n">
        <v>0.3062</v>
      </c>
      <c r="D214" s="13" t="n">
        <v>-0.014977</v>
      </c>
      <c r="E214" s="13" t="n">
        <v>0.015537</v>
      </c>
      <c r="F214" s="13" t="n">
        <v>-0.030514</v>
      </c>
      <c r="G214" s="13" t="n">
        <v>0.5092</v>
      </c>
      <c r="H214" s="13" t="n">
        <v>0.032258</v>
      </c>
      <c r="I214" s="13" t="n">
        <v>0.071563</v>
      </c>
      <c r="J214" s="13" t="n">
        <v>-0.039305</v>
      </c>
      <c r="K214" s="13" t="n">
        <v>0.6893</v>
      </c>
      <c r="L214" s="13" t="n">
        <v>0.056069</v>
      </c>
      <c r="M214" s="13" t="n">
        <v>0.06873799999999999</v>
      </c>
      <c r="N214" s="13" t="n">
        <v>-0.012669</v>
      </c>
      <c r="O214" s="13" t="n">
        <v>0.5508</v>
      </c>
      <c r="P214" s="13" t="n">
        <v>0.085636</v>
      </c>
      <c r="Q214" s="13" t="n">
        <v>0.104991</v>
      </c>
      <c r="R214" s="13" t="n">
        <v>-0.019355</v>
      </c>
      <c r="S214" s="13" t="n">
        <v>0.5508</v>
      </c>
      <c r="T214" s="13" t="n">
        <v>0.133641</v>
      </c>
      <c r="U214" s="13" t="n">
        <v>0.165725</v>
      </c>
      <c r="V214" s="13" t="n">
        <v>-0.032084</v>
      </c>
      <c r="W214" s="13" t="n">
        <v>0.5536</v>
      </c>
      <c r="X214" s="13" t="n">
        <v>0.12788</v>
      </c>
      <c r="Y214" s="13" t="n">
        <v>0.152072</v>
      </c>
      <c r="Z214" s="13" t="n">
        <v>-0.024192</v>
      </c>
      <c r="AA214" s="13" t="n">
        <v>0.5432</v>
      </c>
    </row>
    <row r="215">
      <c r="A215" s="6" t="inlineStr">
        <is>
          <t>2023-07-06</t>
        </is>
      </c>
      <c r="B215" s="6" t="inlineStr">
        <is>
          <t>低分位</t>
        </is>
      </c>
      <c r="C215" s="10" t="n">
        <v>0.081</v>
      </c>
      <c r="D215" s="8" t="n">
        <v>0.008574999999999999</v>
      </c>
      <c r="E215" s="8" t="n">
        <v>0</v>
      </c>
      <c r="F215" s="8" t="n">
        <v>0.008574999999999999</v>
      </c>
      <c r="G215" s="8" t="n">
        <v>0</v>
      </c>
      <c r="H215" s="8" t="n">
        <v>0.06277000000000001</v>
      </c>
      <c r="I215" s="8" t="n">
        <v>0.044043</v>
      </c>
      <c r="J215" s="8" t="n">
        <v>0.018727</v>
      </c>
      <c r="K215" s="8" t="n">
        <v>0.4123</v>
      </c>
      <c r="L215" s="8" t="n">
        <v>0.061988</v>
      </c>
      <c r="M215" s="8" t="n">
        <v>0.040797</v>
      </c>
      <c r="N215" s="8" t="n">
        <v>0.021191</v>
      </c>
      <c r="O215" s="8" t="n">
        <v>0.3969</v>
      </c>
      <c r="P215" s="8" t="n">
        <v>0.09551800000000001</v>
      </c>
      <c r="Q215" s="8" t="n">
        <v>0.07649499999999999</v>
      </c>
      <c r="R215" s="8" t="n">
        <v>0.019023</v>
      </c>
      <c r="S215" s="8" t="n">
        <v>0.4447</v>
      </c>
      <c r="T215" s="8" t="n">
        <v>0.158283</v>
      </c>
      <c r="U215" s="8" t="n">
        <v>0.145109</v>
      </c>
      <c r="V215" s="8" t="n">
        <v>0.013174</v>
      </c>
      <c r="W215" s="8" t="n">
        <v>0.4783</v>
      </c>
      <c r="X215" s="8" t="n">
        <v>0.149319</v>
      </c>
      <c r="Y215" s="8" t="n">
        <v>0.127028</v>
      </c>
      <c r="Z215" s="8" t="n">
        <v>0.022291</v>
      </c>
      <c r="AA215" s="8" t="n">
        <v>0.4597</v>
      </c>
    </row>
    <row r="216">
      <c r="A216" s="11" t="inlineStr">
        <is>
          <t>2023-07-07</t>
        </is>
      </c>
      <c r="B216" s="11" t="inlineStr">
        <is>
          <t>中间分位</t>
        </is>
      </c>
      <c r="C216" s="15" t="n">
        <v>0.128</v>
      </c>
      <c r="D216" s="13" t="n">
        <v>0.001934</v>
      </c>
      <c r="E216" s="13" t="n">
        <v>0.008809000000000001</v>
      </c>
      <c r="F216" s="13" t="n">
        <v>-0.006875</v>
      </c>
      <c r="G216" s="13" t="n">
        <v>0.82</v>
      </c>
      <c r="H216" s="13" t="n">
        <v>0.043682</v>
      </c>
      <c r="I216" s="13" t="n">
        <v>0.075568</v>
      </c>
      <c r="J216" s="13" t="n">
        <v>-0.031886</v>
      </c>
      <c r="K216" s="13" t="n">
        <v>0.6337</v>
      </c>
      <c r="L216" s="13" t="n">
        <v>0.041747</v>
      </c>
      <c r="M216" s="13" t="n">
        <v>0.02828</v>
      </c>
      <c r="N216" s="13" t="n">
        <v>0.013467</v>
      </c>
      <c r="O216" s="13" t="n">
        <v>0.4038</v>
      </c>
      <c r="P216" s="13" t="n">
        <v>0.081175</v>
      </c>
      <c r="Q216" s="13" t="n">
        <v>0.087158</v>
      </c>
      <c r="R216" s="13" t="n">
        <v>-0.005983</v>
      </c>
      <c r="S216" s="13" t="n">
        <v>0.5178</v>
      </c>
      <c r="T216" s="13" t="n">
        <v>0.141092</v>
      </c>
      <c r="U216" s="13" t="n">
        <v>0.153454</v>
      </c>
      <c r="V216" s="13" t="n">
        <v>-0.012362</v>
      </c>
      <c r="W216" s="13" t="n">
        <v>0.521</v>
      </c>
      <c r="X216" s="13" t="n">
        <v>0.136453</v>
      </c>
      <c r="Y216" s="13" t="n">
        <v>0.110338</v>
      </c>
      <c r="Z216" s="13" t="n">
        <v>0.026115</v>
      </c>
      <c r="AA216" s="13" t="n">
        <v>0.4471</v>
      </c>
    </row>
    <row r="217">
      <c r="A217" s="6" t="inlineStr">
        <is>
          <t>2023-07-10</t>
        </is>
      </c>
      <c r="B217" s="6" t="inlineStr">
        <is>
          <t>中间分位</t>
        </is>
      </c>
      <c r="C217" s="10" t="n">
        <v>0.1085</v>
      </c>
      <c r="D217" s="8" t="n">
        <v>0.005014</v>
      </c>
      <c r="E217" s="8" t="n">
        <v>0.029412</v>
      </c>
      <c r="F217" s="8" t="n">
        <v>-0.024398</v>
      </c>
      <c r="G217" s="8" t="n">
        <v>0.8544</v>
      </c>
      <c r="H217" s="8" t="n">
        <v>0.07137499999999999</v>
      </c>
      <c r="I217" s="8" t="n">
        <v>0.019301</v>
      </c>
      <c r="J217" s="8" t="n">
        <v>0.052074</v>
      </c>
      <c r="K217" s="8" t="n">
        <v>0.2129</v>
      </c>
      <c r="L217" s="8" t="n">
        <v>0.029708</v>
      </c>
      <c r="M217" s="8" t="n">
        <v>0.016085</v>
      </c>
      <c r="N217" s="8" t="n">
        <v>0.013623</v>
      </c>
      <c r="O217" s="8" t="n">
        <v>0.3513</v>
      </c>
      <c r="P217" s="8" t="n">
        <v>0.087963</v>
      </c>
      <c r="Q217" s="8" t="n">
        <v>0.100184</v>
      </c>
      <c r="R217" s="8" t="n">
        <v>-0.012221</v>
      </c>
      <c r="S217" s="8" t="n">
        <v>0.5325</v>
      </c>
      <c r="T217" s="8" t="n">
        <v>0.156634</v>
      </c>
      <c r="U217" s="8" t="n">
        <v>0.113971</v>
      </c>
      <c r="V217" s="8" t="n">
        <v>0.042663</v>
      </c>
      <c r="W217" s="8" t="n">
        <v>0.4212</v>
      </c>
      <c r="X217" s="8" t="n">
        <v>0.12037</v>
      </c>
      <c r="Y217" s="8" t="n">
        <v>0.104779</v>
      </c>
      <c r="Z217" s="8" t="n">
        <v>0.015591</v>
      </c>
      <c r="AA217" s="8" t="n">
        <v>0.4654</v>
      </c>
    </row>
    <row r="218">
      <c r="A218" s="11" t="inlineStr">
        <is>
          <t>2023-07-11</t>
        </is>
      </c>
      <c r="B218" s="11" t="inlineStr">
        <is>
          <t>低分位</t>
        </is>
      </c>
      <c r="C218" s="15" t="n">
        <v>0</v>
      </c>
      <c r="D218" s="13" t="n">
        <v>0.031863</v>
      </c>
      <c r="E218" s="13" t="n">
        <v>0.016071</v>
      </c>
      <c r="F218" s="13" t="n">
        <v>0.015792</v>
      </c>
      <c r="G218" s="13" t="n">
        <v>0.3353</v>
      </c>
      <c r="H218" s="13" t="n">
        <v>0.023033</v>
      </c>
      <c r="I218" s="13" t="n">
        <v>0.024107</v>
      </c>
      <c r="J218" s="13" t="n">
        <v>-0.001074</v>
      </c>
      <c r="K218" s="13" t="n">
        <v>0.5114</v>
      </c>
      <c r="L218" s="13" t="n">
        <v>0.018813</v>
      </c>
      <c r="M218" s="13" t="n">
        <v>0.005804</v>
      </c>
      <c r="N218" s="13" t="n">
        <v>0.013009</v>
      </c>
      <c r="O218" s="13" t="n">
        <v>0.2358</v>
      </c>
      <c r="P218" s="13" t="n">
        <v>0.073322</v>
      </c>
      <c r="Q218" s="13" t="n">
        <v>0.06919599999999999</v>
      </c>
      <c r="R218" s="13" t="n">
        <v>0.004126</v>
      </c>
      <c r="S218" s="13" t="n">
        <v>0.4855</v>
      </c>
      <c r="T218" s="13" t="n">
        <v>0.128601</v>
      </c>
      <c r="U218" s="13" t="n">
        <v>0.095982</v>
      </c>
      <c r="V218" s="13" t="n">
        <v>0.032619</v>
      </c>
      <c r="W218" s="13" t="n">
        <v>0.4274</v>
      </c>
      <c r="X218" s="13" t="n">
        <v>0.115933</v>
      </c>
      <c r="Y218" s="13" t="n">
        <v>0.065625</v>
      </c>
      <c r="Z218" s="13" t="n">
        <v>0.050308</v>
      </c>
      <c r="AA218" s="13" t="n">
        <v>0.3615</v>
      </c>
    </row>
    <row r="219">
      <c r="A219" s="6" t="inlineStr">
        <is>
          <t>2023-07-12</t>
        </is>
      </c>
      <c r="B219" s="6" t="inlineStr">
        <is>
          <t>低分位</t>
        </is>
      </c>
      <c r="C219" s="10" t="n">
        <v>0.0374</v>
      </c>
      <c r="D219" s="8" t="n">
        <v>0.014138</v>
      </c>
      <c r="E219" s="8" t="n">
        <v>-0.010545</v>
      </c>
      <c r="F219" s="8" t="n">
        <v>0.024683</v>
      </c>
      <c r="G219" s="8" t="n">
        <v>0.4272</v>
      </c>
      <c r="H219" s="8" t="n">
        <v>0.023067</v>
      </c>
      <c r="I219" s="8" t="n">
        <v>-0.002636</v>
      </c>
      <c r="J219" s="8" t="n">
        <v>0.025703</v>
      </c>
      <c r="K219" s="8" t="n">
        <v>0.1026</v>
      </c>
      <c r="L219" s="8" t="n">
        <v>0.007067</v>
      </c>
      <c r="M219" s="8" t="n">
        <v>-0.00703</v>
      </c>
      <c r="N219" s="8" t="n">
        <v>0.014097</v>
      </c>
      <c r="O219" s="8" t="n">
        <v>0.4987</v>
      </c>
      <c r="P219" s="8" t="n">
        <v>0.043156</v>
      </c>
      <c r="Q219" s="8" t="n">
        <v>0.067223</v>
      </c>
      <c r="R219" s="8" t="n">
        <v>-0.024067</v>
      </c>
      <c r="S219" s="8" t="n">
        <v>0.609</v>
      </c>
      <c r="T219" s="8" t="n">
        <v>0.10454</v>
      </c>
      <c r="U219" s="8" t="n">
        <v>0.07337399999999999</v>
      </c>
      <c r="V219" s="8" t="n">
        <v>0.031166</v>
      </c>
      <c r="W219" s="8" t="n">
        <v>0.4124</v>
      </c>
      <c r="X219" s="8" t="n">
        <v>0.077754</v>
      </c>
      <c r="Y219" s="8" t="n">
        <v>0.04833</v>
      </c>
      <c r="Z219" s="8" t="n">
        <v>0.029424</v>
      </c>
      <c r="AA219" s="8" t="n">
        <v>0.3833</v>
      </c>
    </row>
    <row r="220">
      <c r="A220" s="11" t="inlineStr">
        <is>
          <t>2023-07-13</t>
        </is>
      </c>
      <c r="B220" s="11" t="inlineStr">
        <is>
          <t>中间分位</t>
        </is>
      </c>
      <c r="C220" s="15" t="n">
        <v>0.2186</v>
      </c>
      <c r="D220" s="13" t="n">
        <v>-0.009539000000000001</v>
      </c>
      <c r="E220" s="13" t="n">
        <v>0.030195</v>
      </c>
      <c r="F220" s="13" t="n">
        <v>-0.039734</v>
      </c>
      <c r="G220" s="13" t="n">
        <v>0.7599</v>
      </c>
      <c r="H220" s="13" t="n">
        <v>-0.000735</v>
      </c>
      <c r="I220" s="13" t="n">
        <v>-0.003108</v>
      </c>
      <c r="J220" s="13" t="n">
        <v>0.002373</v>
      </c>
      <c r="K220" s="13" t="n">
        <v>0.8087</v>
      </c>
      <c r="L220" s="13" t="n">
        <v>-0.006973</v>
      </c>
      <c r="M220" s="13" t="n">
        <v>0.001776</v>
      </c>
      <c r="N220" s="13" t="n">
        <v>-0.008749</v>
      </c>
      <c r="O220" s="13" t="n">
        <v>0.203</v>
      </c>
      <c r="P220" s="13" t="n">
        <v>0.043285</v>
      </c>
      <c r="Q220" s="13" t="n">
        <v>0.082149</v>
      </c>
      <c r="R220" s="13" t="n">
        <v>-0.038864</v>
      </c>
      <c r="S220" s="13" t="n">
        <v>0.6549</v>
      </c>
      <c r="T220" s="13" t="n">
        <v>0.091708</v>
      </c>
      <c r="U220" s="13" t="n">
        <v>0.083925</v>
      </c>
      <c r="V220" s="13" t="n">
        <v>0.007783</v>
      </c>
      <c r="W220" s="13" t="n">
        <v>0.4778</v>
      </c>
      <c r="X220" s="13" t="n">
        <v>0.060528</v>
      </c>
      <c r="Y220" s="13" t="n">
        <v>0.059947</v>
      </c>
      <c r="Z220" s="13" t="n">
        <v>0.000581</v>
      </c>
      <c r="AA220" s="13" t="n">
        <v>0.4976</v>
      </c>
    </row>
    <row r="221">
      <c r="A221" s="6" t="inlineStr">
        <is>
          <t>2023-07-14</t>
        </is>
      </c>
      <c r="B221" s="6" t="inlineStr">
        <is>
          <t>低分位</t>
        </is>
      </c>
      <c r="C221" s="10" t="n">
        <v>0.009299999999999999</v>
      </c>
      <c r="D221" s="8" t="n">
        <v>0.02852</v>
      </c>
      <c r="E221" s="8" t="n">
        <v>-0.043966</v>
      </c>
      <c r="F221" s="8" t="n">
        <v>0.07248599999999999</v>
      </c>
      <c r="G221" s="8" t="n">
        <v>0.6065</v>
      </c>
      <c r="H221" s="8" t="n">
        <v>-0.001853</v>
      </c>
      <c r="I221" s="8" t="n">
        <v>-0.043966</v>
      </c>
      <c r="J221" s="8" t="n">
        <v>0.042113</v>
      </c>
      <c r="K221" s="8" t="n">
        <v>0.9596</v>
      </c>
      <c r="L221" s="8" t="n">
        <v>0.000369</v>
      </c>
      <c r="M221" s="8" t="n">
        <v>-0.009483</v>
      </c>
      <c r="N221" s="8" t="n">
        <v>0.009852</v>
      </c>
      <c r="O221" s="8" t="n">
        <v>0.9625</v>
      </c>
      <c r="P221" s="8" t="n">
        <v>0.051853</v>
      </c>
      <c r="Q221" s="8" t="n">
        <v>0.061638</v>
      </c>
      <c r="R221" s="8" t="n">
        <v>-0.009785</v>
      </c>
      <c r="S221" s="8" t="n">
        <v>0.5431</v>
      </c>
      <c r="T221" s="8" t="n">
        <v>0.102591</v>
      </c>
      <c r="U221" s="8" t="n">
        <v>0.063793</v>
      </c>
      <c r="V221" s="8" t="n">
        <v>0.038798</v>
      </c>
      <c r="W221" s="8" t="n">
        <v>0.3834</v>
      </c>
      <c r="X221" s="8" t="n">
        <v>0.07703599999999999</v>
      </c>
      <c r="Y221" s="8" t="n">
        <v>0.027586</v>
      </c>
      <c r="Z221" s="8" t="n">
        <v>0.04945</v>
      </c>
      <c r="AA221" s="8" t="n">
        <v>0.2637</v>
      </c>
    </row>
    <row r="222">
      <c r="A222" s="11" t="inlineStr">
        <is>
          <t>2023-07-17</t>
        </is>
      </c>
      <c r="B222" s="11" t="inlineStr">
        <is>
          <t>中间分位</t>
        </is>
      </c>
      <c r="C222" s="15" t="n">
        <v>0.6175</v>
      </c>
      <c r="D222" s="13" t="n">
        <v>-0.040334</v>
      </c>
      <c r="E222" s="13" t="n">
        <v>0.034265</v>
      </c>
      <c r="F222" s="13" t="n">
        <v>-0.074599</v>
      </c>
      <c r="G222" s="13" t="n">
        <v>0.4593</v>
      </c>
      <c r="H222" s="13" t="n">
        <v>-0.038891</v>
      </c>
      <c r="I222" s="13" t="n">
        <v>-0.003156</v>
      </c>
      <c r="J222" s="13" t="n">
        <v>-0.035735</v>
      </c>
      <c r="K222" s="13" t="n">
        <v>0.0751</v>
      </c>
      <c r="L222" s="13" t="n">
        <v>-0.014044</v>
      </c>
      <c r="M222" s="13" t="n">
        <v>0.03156</v>
      </c>
      <c r="N222" s="13" t="n">
        <v>-0.045604</v>
      </c>
      <c r="O222" s="13" t="n">
        <v>0.6919999999999999</v>
      </c>
      <c r="P222" s="13" t="n">
        <v>0.028805</v>
      </c>
      <c r="Q222" s="13" t="n">
        <v>0.088819</v>
      </c>
      <c r="R222" s="13" t="n">
        <v>-0.060014</v>
      </c>
      <c r="S222" s="13" t="n">
        <v>0.7551</v>
      </c>
      <c r="T222" s="13" t="n">
        <v>0.084981</v>
      </c>
      <c r="U222" s="13" t="n">
        <v>0.08927</v>
      </c>
      <c r="V222" s="13" t="n">
        <v>-0.004289</v>
      </c>
      <c r="W222" s="13" t="n">
        <v>0.5123</v>
      </c>
      <c r="X222" s="13" t="n">
        <v>0.051854</v>
      </c>
      <c r="Y222" s="13" t="n">
        <v>0.036519</v>
      </c>
      <c r="Z222" s="13" t="n">
        <v>0.015335</v>
      </c>
      <c r="AA222" s="13" t="n">
        <v>0.4132</v>
      </c>
    </row>
    <row r="223">
      <c r="A223" s="6" t="inlineStr">
        <is>
          <t>2023-07-18</t>
        </is>
      </c>
      <c r="B223" s="6" t="inlineStr">
        <is>
          <t>低分位</t>
        </is>
      </c>
      <c r="C223" s="10" t="n">
        <v>0</v>
      </c>
      <c r="D223" s="8" t="n">
        <v>0.031898</v>
      </c>
      <c r="E223" s="8" t="n">
        <v>-0.010462</v>
      </c>
      <c r="F223" s="8" t="n">
        <v>0.04236</v>
      </c>
      <c r="G223" s="8" t="n">
        <v>0.247</v>
      </c>
      <c r="H223" s="8" t="n">
        <v>-0.004125</v>
      </c>
      <c r="I223" s="8" t="n">
        <v>-0.017873</v>
      </c>
      <c r="J223" s="8" t="n">
        <v>0.013748</v>
      </c>
      <c r="K223" s="8" t="n">
        <v>0.8125</v>
      </c>
      <c r="L223" s="8" t="n">
        <v>0.026643</v>
      </c>
      <c r="M223" s="8" t="n">
        <v>0.030078</v>
      </c>
      <c r="N223" s="8" t="n">
        <v>-0.003435</v>
      </c>
      <c r="O223" s="8" t="n">
        <v>0.5303</v>
      </c>
      <c r="P223" s="8" t="n">
        <v>0.060788</v>
      </c>
      <c r="Q223" s="8" t="n">
        <v>0.057977</v>
      </c>
      <c r="R223" s="8" t="n">
        <v>0.002811</v>
      </c>
      <c r="S223" s="8" t="n">
        <v>0.4882</v>
      </c>
      <c r="T223" s="8" t="n">
        <v>0.107694</v>
      </c>
      <c r="U223" s="8" t="n">
        <v>0.038361</v>
      </c>
      <c r="V223" s="8" t="n">
        <v>0.06933300000000001</v>
      </c>
      <c r="W223" s="8" t="n">
        <v>0.2626</v>
      </c>
      <c r="X223" s="8" t="n">
        <v>0.06716900000000001</v>
      </c>
      <c r="Y223" s="8" t="n">
        <v>0.018745</v>
      </c>
      <c r="Z223" s="8" t="n">
        <v>0.048424</v>
      </c>
      <c r="AA223" s="8" t="n">
        <v>0.2182</v>
      </c>
    </row>
    <row r="224">
      <c r="A224" s="11" t="inlineStr">
        <is>
          <t>2023-07-19</t>
        </is>
      </c>
      <c r="B224" s="11" t="inlineStr">
        <is>
          <t>中间分位</t>
        </is>
      </c>
      <c r="C224" s="15" t="n">
        <v>0.2283</v>
      </c>
      <c r="D224" s="13" t="n">
        <v>-0.009456000000000001</v>
      </c>
      <c r="E224" s="13" t="n">
        <v>-0.011013</v>
      </c>
      <c r="F224" s="13" t="n">
        <v>0.001557</v>
      </c>
      <c r="G224" s="13" t="n">
        <v>0.538</v>
      </c>
      <c r="H224" s="13" t="n">
        <v>-0.015639</v>
      </c>
      <c r="I224" s="13" t="n">
        <v>-0.004405</v>
      </c>
      <c r="J224" s="13" t="n">
        <v>-0.011234</v>
      </c>
      <c r="K224" s="13" t="n">
        <v>0.2198</v>
      </c>
      <c r="L224" s="13" t="n">
        <v>0.027997</v>
      </c>
      <c r="M224" s="13" t="n">
        <v>0.033921</v>
      </c>
      <c r="N224" s="13" t="n">
        <v>-0.005924</v>
      </c>
      <c r="O224" s="13" t="n">
        <v>0.5478</v>
      </c>
      <c r="P224" s="13" t="n">
        <v>0.032361</v>
      </c>
      <c r="Q224" s="13" t="n">
        <v>0.037885</v>
      </c>
      <c r="R224" s="13" t="n">
        <v>-0.005524</v>
      </c>
      <c r="S224" s="13" t="n">
        <v>0.5393</v>
      </c>
      <c r="T224" s="13" t="n">
        <v>0.056361</v>
      </c>
      <c r="U224" s="13" t="n">
        <v>0.064758</v>
      </c>
      <c r="V224" s="13" t="n">
        <v>-0.008397</v>
      </c>
      <c r="W224" s="13" t="n">
        <v>0.5347</v>
      </c>
      <c r="X224" s="13" t="n">
        <v>0.054179</v>
      </c>
      <c r="Y224" s="13" t="n">
        <v>0.032159</v>
      </c>
      <c r="Z224" s="13" t="n">
        <v>0.02202</v>
      </c>
      <c r="AA224" s="13" t="n">
        <v>0.3725</v>
      </c>
    </row>
    <row r="225">
      <c r="A225" s="6" t="inlineStr">
        <is>
          <t>2023-07-20</t>
        </is>
      </c>
      <c r="B225" s="6" t="inlineStr">
        <is>
          <t>中间分位</t>
        </is>
      </c>
      <c r="C225" s="10" t="n">
        <v>0.2545</v>
      </c>
      <c r="D225" s="8" t="n">
        <v>-0.010648</v>
      </c>
      <c r="E225" s="8" t="n">
        <v>-0.012027</v>
      </c>
      <c r="F225" s="8" t="n">
        <v>0.001379</v>
      </c>
      <c r="G225" s="8" t="n">
        <v>0.5304</v>
      </c>
      <c r="H225" s="8" t="n">
        <v>-0.006242</v>
      </c>
      <c r="I225" s="8" t="n">
        <v>0.0049</v>
      </c>
      <c r="J225" s="8" t="n">
        <v>-0.011142</v>
      </c>
      <c r="K225" s="8" t="n">
        <v>0.4398</v>
      </c>
      <c r="L225" s="8" t="n">
        <v>0.031573</v>
      </c>
      <c r="M225" s="8" t="n">
        <v>0.034298</v>
      </c>
      <c r="N225" s="8" t="n">
        <v>-0.002725</v>
      </c>
      <c r="O225" s="8" t="n">
        <v>0.5207000000000001</v>
      </c>
      <c r="P225" s="8" t="n">
        <v>0.027167</v>
      </c>
      <c r="Q225" s="8" t="n">
        <v>0.063697</v>
      </c>
      <c r="R225" s="8" t="n">
        <v>-0.03653</v>
      </c>
      <c r="S225" s="8" t="n">
        <v>0.701</v>
      </c>
      <c r="T225" s="8" t="n">
        <v>0.079295</v>
      </c>
      <c r="U225" s="8" t="n">
        <v>0.08285099999999999</v>
      </c>
      <c r="V225" s="8" t="n">
        <v>-0.003556</v>
      </c>
      <c r="W225" s="8" t="n">
        <v>0.511</v>
      </c>
      <c r="X225" s="8" t="n">
        <v>0.06424199999999999</v>
      </c>
      <c r="Y225" s="8" t="n">
        <v>0.054343</v>
      </c>
      <c r="Z225" s="8" t="n">
        <v>0.009899</v>
      </c>
      <c r="AA225" s="8" t="n">
        <v>0.4583</v>
      </c>
    </row>
    <row r="226">
      <c r="A226" s="11" t="inlineStr">
        <is>
          <t>2023-07-21</t>
        </is>
      </c>
      <c r="B226" s="11" t="inlineStr">
        <is>
          <t>中间分位</t>
        </is>
      </c>
      <c r="C226" s="15" t="n">
        <v>0.2715</v>
      </c>
      <c r="D226" s="13" t="n">
        <v>-0.009645000000000001</v>
      </c>
      <c r="E226" s="13" t="n">
        <v>-0.003156</v>
      </c>
      <c r="F226" s="13" t="n">
        <v>-0.006489</v>
      </c>
      <c r="G226" s="13" t="n">
        <v>0.2465</v>
      </c>
      <c r="H226" s="13" t="n">
        <v>0.002226</v>
      </c>
      <c r="I226" s="13" t="n">
        <v>0.036069</v>
      </c>
      <c r="J226" s="13" t="n">
        <v>-0.033843</v>
      </c>
      <c r="K226" s="13" t="n">
        <v>0.9419</v>
      </c>
      <c r="L226" s="13" t="n">
        <v>0.037848</v>
      </c>
      <c r="M226" s="13" t="n">
        <v>0.057259</v>
      </c>
      <c r="N226" s="13" t="n">
        <v>-0.019411</v>
      </c>
      <c r="O226" s="13" t="n">
        <v>0.602</v>
      </c>
      <c r="P226" s="13" t="n">
        <v>0.04898</v>
      </c>
      <c r="Q226" s="13" t="n">
        <v>0.104148</v>
      </c>
      <c r="R226" s="13" t="n">
        <v>-0.055168</v>
      </c>
      <c r="S226" s="13" t="n">
        <v>0.6801</v>
      </c>
      <c r="T226" s="13" t="n">
        <v>0.09350700000000001</v>
      </c>
      <c r="U226" s="13" t="n">
        <v>0.083859</v>
      </c>
      <c r="V226" s="13" t="n">
        <v>0.009648</v>
      </c>
      <c r="W226" s="13" t="n">
        <v>0.4728</v>
      </c>
      <c r="X226" s="13" t="n">
        <v>0.098333</v>
      </c>
      <c r="Y226" s="13" t="n">
        <v>0.061317</v>
      </c>
      <c r="Z226" s="13" t="n">
        <v>0.037016</v>
      </c>
      <c r="AA226" s="13" t="n">
        <v>0.3841</v>
      </c>
    </row>
    <row r="227">
      <c r="A227" s="6" t="inlineStr">
        <is>
          <t>2023-07-24</t>
        </is>
      </c>
      <c r="B227" s="6" t="inlineStr">
        <is>
          <t>中间分位</t>
        </is>
      </c>
      <c r="C227" s="10" t="n">
        <v>0.1982</v>
      </c>
      <c r="D227" s="8" t="n">
        <v>-0.00562</v>
      </c>
      <c r="E227" s="8" t="n">
        <v>0.018996</v>
      </c>
      <c r="F227" s="8" t="n">
        <v>-0.024616</v>
      </c>
      <c r="G227" s="8" t="n">
        <v>0.7717000000000001</v>
      </c>
      <c r="H227" s="8" t="n">
        <v>0.025852</v>
      </c>
      <c r="I227" s="8" t="n">
        <v>0.034826</v>
      </c>
      <c r="J227" s="8" t="n">
        <v>-0.008973999999999999</v>
      </c>
      <c r="K227" s="8" t="n">
        <v>0.5739</v>
      </c>
      <c r="L227" s="8" t="n">
        <v>0.056574</v>
      </c>
      <c r="M227" s="8" t="n">
        <v>0.08276799999999999</v>
      </c>
      <c r="N227" s="8" t="n">
        <v>-0.026194</v>
      </c>
      <c r="O227" s="8" t="n">
        <v>0.594</v>
      </c>
      <c r="P227" s="8" t="n">
        <v>0.079054</v>
      </c>
      <c r="Q227" s="8" t="n">
        <v>0.134781</v>
      </c>
      <c r="R227" s="8" t="n">
        <v>-0.055727</v>
      </c>
      <c r="S227" s="8" t="n">
        <v>0.6303</v>
      </c>
      <c r="T227" s="8" t="n">
        <v>0.095164</v>
      </c>
      <c r="U227" s="8" t="n">
        <v>0.080507</v>
      </c>
      <c r="V227" s="8" t="n">
        <v>0.014657</v>
      </c>
      <c r="W227" s="8" t="n">
        <v>0.4583</v>
      </c>
      <c r="X227" s="8" t="n">
        <v>0.093666</v>
      </c>
      <c r="Y227" s="8" t="n">
        <v>0.056988</v>
      </c>
      <c r="Z227" s="8" t="n">
        <v>0.036678</v>
      </c>
      <c r="AA227" s="8" t="n">
        <v>0.3783</v>
      </c>
    </row>
    <row r="228">
      <c r="A228" s="11" t="inlineStr">
        <is>
          <t>2023-07-25</t>
        </is>
      </c>
      <c r="B228" s="11" t="inlineStr">
        <is>
          <t>低分位</t>
        </is>
      </c>
      <c r="C228" s="15" t="n">
        <v>0.0269</v>
      </c>
      <c r="D228" s="13" t="n">
        <v>0.019967</v>
      </c>
      <c r="E228" s="13" t="n">
        <v>0.003107</v>
      </c>
      <c r="F228" s="13" t="n">
        <v>0.01686</v>
      </c>
      <c r="G228" s="13" t="n">
        <v>0.1347</v>
      </c>
      <c r="H228" s="13" t="n">
        <v>0.030895</v>
      </c>
      <c r="I228" s="13" t="n">
        <v>0.048824</v>
      </c>
      <c r="J228" s="13" t="n">
        <v>-0.017929</v>
      </c>
      <c r="K228" s="13" t="n">
        <v>0.6125</v>
      </c>
      <c r="L228" s="13" t="n">
        <v>0.053503</v>
      </c>
      <c r="M228" s="13" t="n">
        <v>0.063027</v>
      </c>
      <c r="N228" s="13" t="n">
        <v>-0.009523999999999999</v>
      </c>
      <c r="O228" s="13" t="n">
        <v>0.5409</v>
      </c>
      <c r="P228" s="13" t="n">
        <v>0.107005</v>
      </c>
      <c r="Q228" s="13" t="n">
        <v>0.114958</v>
      </c>
      <c r="R228" s="13" t="n">
        <v>-0.007953</v>
      </c>
      <c r="S228" s="13" t="n">
        <v>0.5179</v>
      </c>
      <c r="T228" s="13" t="n">
        <v>0.096832</v>
      </c>
      <c r="U228" s="13" t="n">
        <v>0.070129</v>
      </c>
      <c r="V228" s="13" t="n">
        <v>0.026703</v>
      </c>
      <c r="W228" s="13" t="n">
        <v>0.42</v>
      </c>
      <c r="X228" s="13" t="n">
        <v>0.094196</v>
      </c>
      <c r="Y228" s="13" t="n">
        <v>0.052375</v>
      </c>
      <c r="Z228" s="13" t="n">
        <v>0.041821</v>
      </c>
      <c r="AA228" s="13" t="n">
        <v>0.3573</v>
      </c>
    </row>
    <row r="229">
      <c r="A229" s="6" t="inlineStr">
        <is>
          <t>2023-07-26</t>
        </is>
      </c>
      <c r="B229" s="6" t="inlineStr">
        <is>
          <t>中间分位</t>
        </is>
      </c>
      <c r="C229" s="10" t="n">
        <v>0.1429</v>
      </c>
      <c r="D229" s="8" t="n">
        <v>0</v>
      </c>
      <c r="E229" s="8" t="n">
        <v>-0.00177</v>
      </c>
      <c r="F229" s="8" t="n">
        <v>0.00177</v>
      </c>
      <c r="G229" s="8" t="n">
        <v>1</v>
      </c>
      <c r="H229" s="8" t="n">
        <v>0.04433</v>
      </c>
      <c r="I229" s="8" t="n">
        <v>0.038496</v>
      </c>
      <c r="J229" s="8" t="n">
        <v>0.005834</v>
      </c>
      <c r="K229" s="8" t="n">
        <v>0.4648</v>
      </c>
      <c r="L229" s="8" t="n">
        <v>0.035836</v>
      </c>
      <c r="M229" s="8" t="n">
        <v>0.074779</v>
      </c>
      <c r="N229" s="8" t="n">
        <v>-0.038943</v>
      </c>
      <c r="O229" s="8" t="n">
        <v>0.676</v>
      </c>
      <c r="P229" s="8" t="n">
        <v>0.086075</v>
      </c>
      <c r="Q229" s="8" t="n">
        <v>0.115044</v>
      </c>
      <c r="R229" s="8" t="n">
        <v>-0.028969</v>
      </c>
      <c r="S229" s="8" t="n">
        <v>0.572</v>
      </c>
      <c r="T229" s="8" t="n">
        <v>0.08164200000000001</v>
      </c>
      <c r="U229" s="8" t="n">
        <v>0.063274</v>
      </c>
      <c r="V229" s="8" t="n">
        <v>0.018368</v>
      </c>
      <c r="W229" s="8" t="n">
        <v>0.4366</v>
      </c>
      <c r="X229" s="8" t="n">
        <v>0.084967</v>
      </c>
      <c r="Y229" s="8" t="n">
        <v>0.040265</v>
      </c>
      <c r="Z229" s="8" t="n">
        <v>0.044702</v>
      </c>
      <c r="AA229" s="8" t="n">
        <v>0.3215</v>
      </c>
    </row>
    <row r="230">
      <c r="A230" s="11" t="inlineStr">
        <is>
          <t>2023-07-27</t>
        </is>
      </c>
      <c r="B230" s="11" t="inlineStr">
        <is>
          <t>中间分位</t>
        </is>
      </c>
      <c r="C230" s="15" t="n">
        <v>0.1556</v>
      </c>
      <c r="D230" s="13" t="n">
        <v>-0.002216</v>
      </c>
      <c r="E230" s="13" t="n">
        <v>0.018617</v>
      </c>
      <c r="F230" s="13" t="n">
        <v>-0.020833</v>
      </c>
      <c r="G230" s="13" t="n">
        <v>0.8935999999999999</v>
      </c>
      <c r="H230" s="13" t="n">
        <v>0.038053</v>
      </c>
      <c r="I230" s="13" t="n">
        <v>0.029255</v>
      </c>
      <c r="J230" s="13" t="n">
        <v>0.008798</v>
      </c>
      <c r="K230" s="13" t="n">
        <v>0.4346</v>
      </c>
      <c r="L230" s="13" t="n">
        <v>0.050611</v>
      </c>
      <c r="M230" s="13" t="n">
        <v>0.08023</v>
      </c>
      <c r="N230" s="13" t="n">
        <v>-0.029619</v>
      </c>
      <c r="O230" s="13" t="n">
        <v>0.6132</v>
      </c>
      <c r="P230" s="13" t="n">
        <v>0.09050800000000001</v>
      </c>
      <c r="Q230" s="13" t="n">
        <v>0.116135</v>
      </c>
      <c r="R230" s="13" t="n">
        <v>-0.025627</v>
      </c>
      <c r="S230" s="13" t="n">
        <v>0.5620000000000001</v>
      </c>
      <c r="T230" s="13" t="n">
        <v>0.077209</v>
      </c>
      <c r="U230" s="13" t="n">
        <v>0.08023</v>
      </c>
      <c r="V230" s="13" t="n">
        <v>-0.003021</v>
      </c>
      <c r="W230" s="13" t="n">
        <v>0.5096000000000001</v>
      </c>
      <c r="X230" s="13" t="n">
        <v>0.083858</v>
      </c>
      <c r="Y230" s="13" t="n">
        <v>0.063387</v>
      </c>
      <c r="Z230" s="13" t="n">
        <v>0.020471</v>
      </c>
      <c r="AA230" s="13" t="n">
        <v>0.4305</v>
      </c>
    </row>
    <row r="231">
      <c r="A231" s="6" t="inlineStr">
        <is>
          <t>2023-07-28</t>
        </is>
      </c>
      <c r="B231" s="6" t="inlineStr">
        <is>
          <t>低分位</t>
        </is>
      </c>
      <c r="C231" s="10" t="n">
        <v>0.0177</v>
      </c>
      <c r="D231" s="8" t="n">
        <v>0.013702</v>
      </c>
      <c r="E231" s="8" t="n">
        <v>-0.004352</v>
      </c>
      <c r="F231" s="8" t="n">
        <v>0.018054</v>
      </c>
      <c r="G231" s="8" t="n">
        <v>0.2411</v>
      </c>
      <c r="H231" s="8" t="n">
        <v>0.035542</v>
      </c>
      <c r="I231" s="8" t="n">
        <v>0.020453</v>
      </c>
      <c r="J231" s="8" t="n">
        <v>0.015089</v>
      </c>
      <c r="K231" s="8" t="n">
        <v>0.3653</v>
      </c>
      <c r="L231" s="8" t="n">
        <v>0.051465</v>
      </c>
      <c r="M231" s="8" t="n">
        <v>0.071802</v>
      </c>
      <c r="N231" s="8" t="n">
        <v>-0.020337</v>
      </c>
      <c r="O231" s="8" t="n">
        <v>0.5825</v>
      </c>
      <c r="P231" s="8" t="n">
        <v>0.09107800000000001</v>
      </c>
      <c r="Q231" s="8" t="n">
        <v>0.101393</v>
      </c>
      <c r="R231" s="8" t="n">
        <v>-0.010315</v>
      </c>
      <c r="S231" s="8" t="n">
        <v>0.5268</v>
      </c>
      <c r="T231" s="8" t="n">
        <v>0.086635</v>
      </c>
      <c r="U231" s="8" t="n">
        <v>0.07093099999999999</v>
      </c>
      <c r="V231" s="8" t="n">
        <v>0.015704</v>
      </c>
      <c r="W231" s="8" t="n">
        <v>0.4502</v>
      </c>
      <c r="X231" s="8" t="n">
        <v>0.114402</v>
      </c>
      <c r="Y231" s="8" t="n">
        <v>0.047433</v>
      </c>
      <c r="Z231" s="8" t="n">
        <v>0.066969</v>
      </c>
      <c r="AA231" s="8" t="n">
        <v>0.2931</v>
      </c>
    </row>
    <row r="232">
      <c r="A232" s="11" t="inlineStr">
        <is>
          <t>2023-07-31</t>
        </is>
      </c>
      <c r="B232" s="11" t="inlineStr">
        <is>
          <t>中间分位</t>
        </is>
      </c>
      <c r="C232" s="15" t="n">
        <v>0.1454</v>
      </c>
      <c r="D232" s="13" t="n">
        <v>-0.000732</v>
      </c>
      <c r="E232" s="13" t="n">
        <v>0.03278</v>
      </c>
      <c r="F232" s="13" t="n">
        <v>-0.033512</v>
      </c>
      <c r="G232" s="13" t="n">
        <v>0.9782</v>
      </c>
      <c r="H232" s="13" t="n">
        <v>0.029947</v>
      </c>
      <c r="I232" s="13" t="n">
        <v>0.046329</v>
      </c>
      <c r="J232" s="13" t="n">
        <v>-0.016382</v>
      </c>
      <c r="K232" s="13" t="n">
        <v>0.6074000000000001</v>
      </c>
      <c r="L232" s="13" t="n">
        <v>0.043459</v>
      </c>
      <c r="M232" s="13" t="n">
        <v>0.055507</v>
      </c>
      <c r="N232" s="13" t="n">
        <v>-0.012048</v>
      </c>
      <c r="O232" s="13" t="n">
        <v>0.5609</v>
      </c>
      <c r="P232" s="13" t="n">
        <v>0.081445</v>
      </c>
      <c r="Q232" s="13" t="n">
        <v>0.097902</v>
      </c>
      <c r="R232" s="13" t="n">
        <v>-0.016457</v>
      </c>
      <c r="S232" s="13" t="n">
        <v>0.5459000000000001</v>
      </c>
      <c r="T232" s="13" t="n">
        <v>0.07706200000000001</v>
      </c>
      <c r="U232" s="13" t="n">
        <v>0.060752</v>
      </c>
      <c r="V232" s="13" t="n">
        <v>0.01631</v>
      </c>
      <c r="W232" s="13" t="n">
        <v>0.4408</v>
      </c>
      <c r="X232" s="13" t="n">
        <v>0.115411</v>
      </c>
      <c r="Y232" s="13" t="n">
        <v>0.065997</v>
      </c>
      <c r="Z232" s="13" t="n">
        <v>0.049414</v>
      </c>
      <c r="AA232" s="13" t="n">
        <v>0.3638</v>
      </c>
    </row>
    <row r="233">
      <c r="A233" s="6" t="inlineStr">
        <is>
          <t>2023-08-01</t>
        </is>
      </c>
      <c r="B233" s="6" t="inlineStr">
        <is>
          <t>低分位</t>
        </is>
      </c>
      <c r="C233" s="10" t="n">
        <v>0</v>
      </c>
      <c r="D233" s="8" t="n">
        <v>0.033259</v>
      </c>
      <c r="E233" s="8" t="n">
        <v>-0.006771</v>
      </c>
      <c r="F233" s="8" t="n">
        <v>0.04003</v>
      </c>
      <c r="G233" s="8" t="n">
        <v>0.1691</v>
      </c>
      <c r="H233" s="8" t="n">
        <v>0.02193</v>
      </c>
      <c r="I233" s="8" t="n">
        <v>0.013542</v>
      </c>
      <c r="J233" s="8" t="n">
        <v>0.008388</v>
      </c>
      <c r="K233" s="8" t="n">
        <v>0.3818</v>
      </c>
      <c r="L233" s="8" t="n">
        <v>0.033259</v>
      </c>
      <c r="M233" s="8" t="n">
        <v>0.027084</v>
      </c>
      <c r="N233" s="8" t="n">
        <v>0.006175</v>
      </c>
      <c r="O233" s="8" t="n">
        <v>0.4488</v>
      </c>
      <c r="P233" s="8" t="n">
        <v>0.075294</v>
      </c>
      <c r="Q233" s="8" t="n">
        <v>0.063055</v>
      </c>
      <c r="R233" s="8" t="n">
        <v>0.012239</v>
      </c>
      <c r="S233" s="8" t="n">
        <v>0.4558</v>
      </c>
      <c r="T233" s="8" t="n">
        <v>0.066154</v>
      </c>
      <c r="U233" s="8" t="n">
        <v>0.020736</v>
      </c>
      <c r="V233" s="8" t="n">
        <v>0.045418</v>
      </c>
      <c r="W233" s="8" t="n">
        <v>0.2386</v>
      </c>
      <c r="X233" s="8" t="n">
        <v>0.135965</v>
      </c>
      <c r="Y233" s="8" t="n">
        <v>0.032586</v>
      </c>
      <c r="Z233" s="8" t="n">
        <v>0.103379</v>
      </c>
      <c r="AA233" s="8" t="n">
        <v>0.1933</v>
      </c>
    </row>
    <row r="234">
      <c r="A234" s="11" t="inlineStr">
        <is>
          <t>2023-08-02</t>
        </is>
      </c>
      <c r="B234" s="11" t="inlineStr">
        <is>
          <t>中间分位</t>
        </is>
      </c>
      <c r="C234" s="15" t="n">
        <v>0.2052</v>
      </c>
      <c r="D234" s="13" t="n">
        <v>-0.006011</v>
      </c>
      <c r="E234" s="13" t="n">
        <v>-0.010652</v>
      </c>
      <c r="F234" s="13" t="n">
        <v>0.004641</v>
      </c>
      <c r="G234" s="13" t="n">
        <v>0.6393</v>
      </c>
      <c r="H234" s="13" t="n">
        <v>-0.008133</v>
      </c>
      <c r="I234" s="13" t="n">
        <v>0.034938</v>
      </c>
      <c r="J234" s="13" t="n">
        <v>-0.043071</v>
      </c>
      <c r="K234" s="13" t="n">
        <v>0.8112</v>
      </c>
      <c r="L234" s="13" t="n">
        <v>0.004245</v>
      </c>
      <c r="M234" s="13" t="n">
        <v>0.003835</v>
      </c>
      <c r="N234" s="13" t="n">
        <v>0.00041</v>
      </c>
      <c r="O234" s="13" t="n">
        <v>0.4746</v>
      </c>
      <c r="P234" s="13" t="n">
        <v>0.040682</v>
      </c>
      <c r="Q234" s="13" t="n">
        <v>0.106093</v>
      </c>
      <c r="R234" s="13" t="n">
        <v>-0.065411</v>
      </c>
      <c r="S234" s="13" t="n">
        <v>0.7228</v>
      </c>
      <c r="T234" s="13" t="n">
        <v>0.029714</v>
      </c>
      <c r="U234" s="13" t="n">
        <v>0.019599</v>
      </c>
      <c r="V234" s="13" t="n">
        <v>0.010115</v>
      </c>
      <c r="W234" s="13" t="n">
        <v>0.3974</v>
      </c>
      <c r="X234" s="13" t="n">
        <v>0.110364</v>
      </c>
      <c r="Y234" s="13" t="n">
        <v>0.038347</v>
      </c>
      <c r="Z234" s="13" t="n">
        <v>0.072017</v>
      </c>
      <c r="AA234" s="13" t="n">
        <v>0.2579</v>
      </c>
    </row>
    <row r="235">
      <c r="A235" s="6" t="inlineStr">
        <is>
          <t>2023-08-03</t>
        </is>
      </c>
      <c r="B235" s="6" t="inlineStr">
        <is>
          <t>中间分位</t>
        </is>
      </c>
      <c r="C235" s="10" t="n">
        <v>0.2435</v>
      </c>
      <c r="D235" s="8" t="n">
        <v>-0.004629</v>
      </c>
      <c r="E235" s="8" t="n">
        <v>0.009905000000000001</v>
      </c>
      <c r="F235" s="8" t="n">
        <v>-0.014534</v>
      </c>
      <c r="G235" s="8" t="n">
        <v>0.6815</v>
      </c>
      <c r="H235" s="8" t="n">
        <v>0.012098</v>
      </c>
      <c r="I235" s="8" t="n">
        <v>0.049526</v>
      </c>
      <c r="J235" s="8" t="n">
        <v>-0.037428</v>
      </c>
      <c r="K235" s="8" t="n">
        <v>0.8037</v>
      </c>
      <c r="L235" s="8" t="n">
        <v>-0.00427</v>
      </c>
      <c r="M235" s="8" t="n">
        <v>0.028424</v>
      </c>
      <c r="N235" s="8" t="n">
        <v>-0.032694</v>
      </c>
      <c r="O235" s="8" t="n">
        <v>0.8694</v>
      </c>
      <c r="P235" s="8" t="n">
        <v>0.085409</v>
      </c>
      <c r="Q235" s="8" t="n">
        <v>0.109819</v>
      </c>
      <c r="R235" s="8" t="n">
        <v>-0.02441</v>
      </c>
      <c r="S235" s="8" t="n">
        <v>0.5625</v>
      </c>
      <c r="T235" s="8" t="n">
        <v>0.02918</v>
      </c>
      <c r="U235" s="8" t="n">
        <v>0.054264</v>
      </c>
      <c r="V235" s="8" t="n">
        <v>-0.025084</v>
      </c>
      <c r="W235" s="8" t="n">
        <v>0.6503</v>
      </c>
      <c r="X235" s="8" t="n">
        <v>0.09465899999999999</v>
      </c>
      <c r="Y235" s="8" t="n">
        <v>0.063307</v>
      </c>
      <c r="Z235" s="8" t="n">
        <v>0.031352</v>
      </c>
      <c r="AA235" s="8" t="n">
        <v>0.4008</v>
      </c>
    </row>
    <row r="236">
      <c r="A236" s="11" t="inlineStr">
        <is>
          <t>2023-08-04</t>
        </is>
      </c>
      <c r="B236" s="11" t="inlineStr">
        <is>
          <t>中间分位</t>
        </is>
      </c>
      <c r="C236" s="15" t="n">
        <v>0.1429</v>
      </c>
      <c r="D236" s="13" t="n">
        <v>0.008225</v>
      </c>
      <c r="E236" s="13" t="n">
        <v>0.020896</v>
      </c>
      <c r="F236" s="13" t="n">
        <v>-0.012671</v>
      </c>
      <c r="G236" s="13" t="n">
        <v>0.7176</v>
      </c>
      <c r="H236" s="13" t="n">
        <v>0.015376</v>
      </c>
      <c r="I236" s="13" t="n">
        <v>0.05032</v>
      </c>
      <c r="J236" s="13" t="n">
        <v>-0.034944</v>
      </c>
      <c r="K236" s="13" t="n">
        <v>0.766</v>
      </c>
      <c r="L236" s="13" t="n">
        <v>0.010726</v>
      </c>
      <c r="M236" s="13" t="n">
        <v>0.04435</v>
      </c>
      <c r="N236" s="13" t="n">
        <v>-0.033624</v>
      </c>
      <c r="O236" s="13" t="n">
        <v>0.8053</v>
      </c>
      <c r="P236" s="13" t="n">
        <v>0.083305</v>
      </c>
      <c r="Q236" s="13" t="n">
        <v>0.113006</v>
      </c>
      <c r="R236" s="13" t="n">
        <v>-0.029701</v>
      </c>
      <c r="S236" s="13" t="n">
        <v>0.5756</v>
      </c>
      <c r="T236" s="13" t="n">
        <v>0.055062</v>
      </c>
      <c r="U236" s="13" t="n">
        <v>0.057143</v>
      </c>
      <c r="V236" s="13" t="n">
        <v>-0.002081</v>
      </c>
      <c r="W236" s="13" t="n">
        <v>0.5093</v>
      </c>
      <c r="X236" s="13" t="n">
        <v>0.106902</v>
      </c>
      <c r="Y236" s="13" t="n">
        <v>0.052452</v>
      </c>
      <c r="Z236" s="13" t="n">
        <v>0.05445</v>
      </c>
      <c r="AA236" s="13" t="n">
        <v>0.3292</v>
      </c>
    </row>
    <row r="237">
      <c r="A237" s="6" t="inlineStr">
        <is>
          <t>2023-08-07</t>
        </is>
      </c>
      <c r="B237" s="6" t="inlineStr">
        <is>
          <t>低分位</t>
        </is>
      </c>
      <c r="C237" s="10" t="n">
        <v>0.0345</v>
      </c>
      <c r="D237" s="8" t="n">
        <v>-0.008510999999999999</v>
      </c>
      <c r="E237" s="8" t="n">
        <v>0.000418</v>
      </c>
      <c r="F237" s="8" t="n">
        <v>-0.008928999999999999</v>
      </c>
      <c r="G237" s="8" t="n">
        <v>0.0468</v>
      </c>
      <c r="H237" s="8" t="n">
        <v>0.013119</v>
      </c>
      <c r="I237" s="8" t="n">
        <v>0.008772</v>
      </c>
      <c r="J237" s="8" t="n">
        <v>0.004347</v>
      </c>
      <c r="K237" s="8" t="n">
        <v>0.4007</v>
      </c>
      <c r="L237" s="8" t="n">
        <v>0.021277</v>
      </c>
      <c r="M237" s="8" t="n">
        <v>0.048037</v>
      </c>
      <c r="N237" s="8" t="n">
        <v>-0.02676</v>
      </c>
      <c r="O237" s="8" t="n">
        <v>0.6929999999999999</v>
      </c>
      <c r="P237" s="8" t="n">
        <v>0.085817</v>
      </c>
      <c r="Q237" s="8" t="n">
        <v>0.07477</v>
      </c>
      <c r="R237" s="8" t="n">
        <v>0.011047</v>
      </c>
      <c r="S237" s="8" t="n">
        <v>0.4656</v>
      </c>
      <c r="T237" s="8" t="n">
        <v>0.05603</v>
      </c>
      <c r="U237" s="8" t="n">
        <v>0.033835</v>
      </c>
      <c r="V237" s="8" t="n">
        <v>0.022195</v>
      </c>
      <c r="W237" s="8" t="n">
        <v>0.3765</v>
      </c>
      <c r="X237" s="8" t="n">
        <v>0.094328</v>
      </c>
      <c r="Y237" s="8" t="n">
        <v>0.036341</v>
      </c>
      <c r="Z237" s="8" t="n">
        <v>0.057987</v>
      </c>
      <c r="AA237" s="8" t="n">
        <v>0.2781</v>
      </c>
    </row>
    <row r="238">
      <c r="A238" s="11" t="inlineStr">
        <is>
          <t>2023-08-08</t>
        </is>
      </c>
      <c r="B238" s="11" t="inlineStr">
        <is>
          <t>低分位</t>
        </is>
      </c>
      <c r="C238" s="15" t="n">
        <v>0.0215</v>
      </c>
      <c r="D238" s="13" t="n">
        <v>0.002863</v>
      </c>
      <c r="E238" s="13" t="n">
        <v>0.014196</v>
      </c>
      <c r="F238" s="13" t="n">
        <v>-0.011333</v>
      </c>
      <c r="G238" s="13" t="n">
        <v>0.8322000000000001</v>
      </c>
      <c r="H238" s="13" t="n">
        <v>0.011086</v>
      </c>
      <c r="I238" s="13" t="n">
        <v>0.013361</v>
      </c>
      <c r="J238" s="13" t="n">
        <v>-0.002275</v>
      </c>
      <c r="K238" s="13" t="n">
        <v>0.5465</v>
      </c>
      <c r="L238" s="13" t="n">
        <v>0.050785</v>
      </c>
      <c r="M238" s="13" t="n">
        <v>0.048852</v>
      </c>
      <c r="N238" s="13" t="n">
        <v>0.001933</v>
      </c>
      <c r="O238" s="13" t="n">
        <v>0.4903</v>
      </c>
      <c r="P238" s="13" t="n">
        <v>0.082262</v>
      </c>
      <c r="Q238" s="13" t="n">
        <v>0.08142000000000001</v>
      </c>
      <c r="R238" s="13" t="n">
        <v>0.000842</v>
      </c>
      <c r="S238" s="13" t="n">
        <v>0.4974</v>
      </c>
      <c r="T238" s="13" t="n">
        <v>0.066524</v>
      </c>
      <c r="U238" s="13" t="n">
        <v>0.049687</v>
      </c>
      <c r="V238" s="13" t="n">
        <v>0.016837</v>
      </c>
      <c r="W238" s="13" t="n">
        <v>0.4276</v>
      </c>
      <c r="X238" s="13" t="n">
        <v>0.107652</v>
      </c>
      <c r="Y238" s="13" t="n">
        <v>0.027557</v>
      </c>
      <c r="Z238" s="13" t="n">
        <v>0.080095</v>
      </c>
      <c r="AA238" s="13" t="n">
        <v>0.2038</v>
      </c>
    </row>
    <row r="239">
      <c r="A239" s="6" t="inlineStr">
        <is>
          <t>2023-08-09</t>
        </is>
      </c>
      <c r="B239" s="6" t="inlineStr">
        <is>
          <t>低分位</t>
        </is>
      </c>
      <c r="C239" s="10" t="n">
        <v>0</v>
      </c>
      <c r="D239" s="8" t="n">
        <v>0.014264</v>
      </c>
      <c r="E239" s="8" t="n">
        <v>0.003294</v>
      </c>
      <c r="F239" s="8" t="n">
        <v>0.01097</v>
      </c>
      <c r="G239" s="8" t="n">
        <v>0.1876</v>
      </c>
      <c r="H239" s="8" t="n">
        <v>0.012479</v>
      </c>
      <c r="I239" s="8" t="n">
        <v>-0.030054</v>
      </c>
      <c r="J239" s="8" t="n">
        <v>0.042533</v>
      </c>
      <c r="K239" s="8" t="n">
        <v>0.7066</v>
      </c>
      <c r="L239" s="8" t="n">
        <v>0.048501</v>
      </c>
      <c r="M239" s="8" t="n">
        <v>0.037464</v>
      </c>
      <c r="N239" s="8" t="n">
        <v>0.011037</v>
      </c>
      <c r="O239" s="8" t="n">
        <v>0.4358</v>
      </c>
      <c r="P239" s="8" t="n">
        <v>0.087017</v>
      </c>
      <c r="Q239" s="8" t="n">
        <v>0.064636</v>
      </c>
      <c r="R239" s="8" t="n">
        <v>0.022381</v>
      </c>
      <c r="S239" s="8" t="n">
        <v>0.4262</v>
      </c>
      <c r="T239" s="8" t="n">
        <v>0.078458</v>
      </c>
      <c r="U239" s="8" t="n">
        <v>0.032524</v>
      </c>
      <c r="V239" s="8" t="n">
        <v>0.045934</v>
      </c>
      <c r="W239" s="8" t="n">
        <v>0.2931</v>
      </c>
      <c r="X239" s="8" t="n">
        <v>0.096291</v>
      </c>
      <c r="Y239" s="8" t="n">
        <v>0.006587</v>
      </c>
      <c r="Z239" s="8" t="n">
        <v>0.08970400000000001</v>
      </c>
      <c r="AA239" s="8" t="n">
        <v>0.064</v>
      </c>
    </row>
    <row r="240">
      <c r="A240" s="11" t="inlineStr">
        <is>
          <t>2023-08-10</t>
        </is>
      </c>
      <c r="B240" s="11" t="inlineStr">
        <is>
          <t>低分位</t>
        </is>
      </c>
      <c r="C240" s="15" t="n">
        <v>0.0255</v>
      </c>
      <c r="D240" s="13" t="n">
        <v>-0.001405</v>
      </c>
      <c r="E240" s="13" t="n">
        <v>0.010669</v>
      </c>
      <c r="F240" s="13" t="n">
        <v>-0.012074</v>
      </c>
      <c r="G240" s="13" t="n">
        <v>0.8836000000000001</v>
      </c>
      <c r="H240" s="13" t="n">
        <v>-0.016173</v>
      </c>
      <c r="I240" s="13" t="n">
        <v>-0.020107</v>
      </c>
      <c r="J240" s="13" t="n">
        <v>0.003934</v>
      </c>
      <c r="K240" s="13" t="n">
        <v>0.5542</v>
      </c>
      <c r="L240" s="13" t="n">
        <v>0.037975</v>
      </c>
      <c r="M240" s="13" t="n">
        <v>0.033238</v>
      </c>
      <c r="N240" s="13" t="n">
        <v>0.004737</v>
      </c>
      <c r="O240" s="13" t="n">
        <v>0.4667</v>
      </c>
      <c r="P240" s="13" t="n">
        <v>0.07208000000000001</v>
      </c>
      <c r="Q240" s="13" t="n">
        <v>0.040624</v>
      </c>
      <c r="R240" s="13" t="n">
        <v>0.031456</v>
      </c>
      <c r="S240" s="13" t="n">
        <v>0.3604</v>
      </c>
      <c r="T240" s="13" t="n">
        <v>0.057312</v>
      </c>
      <c r="U240" s="13" t="n">
        <v>0.020517</v>
      </c>
      <c r="V240" s="13" t="n">
        <v>0.036795</v>
      </c>
      <c r="W240" s="13" t="n">
        <v>0.2636</v>
      </c>
      <c r="X240" s="13" t="n">
        <v>0.087903</v>
      </c>
      <c r="Y240" s="13" t="n">
        <v>0.006565</v>
      </c>
      <c r="Z240" s="13" t="n">
        <v>0.08133799999999999</v>
      </c>
      <c r="AA240" s="13" t="n">
        <v>0.06950000000000001</v>
      </c>
    </row>
    <row r="241">
      <c r="A241" s="6" t="inlineStr">
        <is>
          <t>2023-08-11</t>
        </is>
      </c>
      <c r="B241" s="6" t="inlineStr">
        <is>
          <t>低分位</t>
        </is>
      </c>
      <c r="C241" s="10" t="n">
        <v>0</v>
      </c>
      <c r="D241" s="8" t="n">
        <v>0.005983</v>
      </c>
      <c r="E241" s="8" t="n">
        <v>-0.019488</v>
      </c>
      <c r="F241" s="8" t="n">
        <v>0.025471</v>
      </c>
      <c r="G241" s="8" t="n">
        <v>0.7651</v>
      </c>
      <c r="H241" s="8" t="n">
        <v>-0.00458</v>
      </c>
      <c r="I241" s="8" t="n">
        <v>-0.005684</v>
      </c>
      <c r="J241" s="8" t="n">
        <v>0.001104</v>
      </c>
      <c r="K241" s="8" t="n">
        <v>0.5538</v>
      </c>
      <c r="L241" s="8" t="n">
        <v>0.037673</v>
      </c>
      <c r="M241" s="8" t="n">
        <v>0.027609</v>
      </c>
      <c r="N241" s="8" t="n">
        <v>0.010064</v>
      </c>
      <c r="O241" s="8" t="n">
        <v>0.4229</v>
      </c>
      <c r="P241" s="8" t="n">
        <v>0.055986</v>
      </c>
      <c r="Q241" s="8" t="n">
        <v>0.024361</v>
      </c>
      <c r="R241" s="8" t="n">
        <v>0.031625</v>
      </c>
      <c r="S241" s="8" t="n">
        <v>0.3032</v>
      </c>
      <c r="T241" s="8" t="n">
        <v>0.050349</v>
      </c>
      <c r="U241" s="8" t="n">
        <v>-0.002842</v>
      </c>
      <c r="V241" s="8" t="n">
        <v>0.053191</v>
      </c>
      <c r="W241" s="8" t="n">
        <v>0.0534</v>
      </c>
      <c r="X241" s="8" t="n">
        <v>0.08662</v>
      </c>
      <c r="Y241" s="8" t="n">
        <v>-0.001624</v>
      </c>
      <c r="Z241" s="8" t="n">
        <v>0.088244</v>
      </c>
      <c r="AA241" s="8" t="n">
        <v>0.0184</v>
      </c>
    </row>
    <row r="242">
      <c r="A242" s="11" t="inlineStr">
        <is>
          <t>2023-08-14</t>
        </is>
      </c>
      <c r="B242" s="11" t="inlineStr">
        <is>
          <t>低分位</t>
        </is>
      </c>
      <c r="C242" s="15" t="n">
        <v>0.09279999999999999</v>
      </c>
      <c r="D242" s="13" t="n">
        <v>-0.010501</v>
      </c>
      <c r="E242" s="13" t="n">
        <v>0.004969</v>
      </c>
      <c r="F242" s="13" t="n">
        <v>-0.01547</v>
      </c>
      <c r="G242" s="13" t="n">
        <v>0.3212</v>
      </c>
      <c r="H242" s="13" t="n">
        <v>0.008052</v>
      </c>
      <c r="I242" s="13" t="n">
        <v>0.038923</v>
      </c>
      <c r="J242" s="13" t="n">
        <v>-0.030871</v>
      </c>
      <c r="K242" s="13" t="n">
        <v>0.8286</v>
      </c>
      <c r="L242" s="13" t="n">
        <v>0.036403</v>
      </c>
      <c r="M242" s="13" t="n">
        <v>0.040166</v>
      </c>
      <c r="N242" s="13" t="n">
        <v>-0.003763</v>
      </c>
      <c r="O242" s="13" t="n">
        <v>0.5246</v>
      </c>
      <c r="P242" s="13" t="n">
        <v>0.044102</v>
      </c>
      <c r="Q242" s="13" t="n">
        <v>0.056315</v>
      </c>
      <c r="R242" s="13" t="n">
        <v>-0.012213</v>
      </c>
      <c r="S242" s="13" t="n">
        <v>0.5608</v>
      </c>
      <c r="T242" s="13" t="n">
        <v>0.033602</v>
      </c>
      <c r="U242" s="13" t="n">
        <v>0.017805</v>
      </c>
      <c r="V242" s="13" t="n">
        <v>0.015797</v>
      </c>
      <c r="W242" s="13" t="n">
        <v>0.3464</v>
      </c>
      <c r="X242" s="13" t="n">
        <v>0.085054</v>
      </c>
      <c r="Y242" s="13" t="n">
        <v>0.037681</v>
      </c>
      <c r="Z242" s="13" t="n">
        <v>0.047373</v>
      </c>
      <c r="AA242" s="13" t="n">
        <v>0.307</v>
      </c>
    </row>
    <row r="243">
      <c r="A243" s="6" t="inlineStr">
        <is>
          <t>2023-08-15</t>
        </is>
      </c>
      <c r="B243" s="6" t="inlineStr">
        <is>
          <t>低分位</t>
        </is>
      </c>
      <c r="C243" s="10" t="n">
        <v>0.0294</v>
      </c>
      <c r="D243" s="8" t="n">
        <v>0.004245</v>
      </c>
      <c r="E243" s="8" t="n">
        <v>-0.029254</v>
      </c>
      <c r="F243" s="8" t="n">
        <v>0.033499</v>
      </c>
      <c r="G243" s="8" t="n">
        <v>0.8733</v>
      </c>
      <c r="H243" s="8" t="n">
        <v>0.039264</v>
      </c>
      <c r="I243" s="8" t="n">
        <v>0.035023</v>
      </c>
      <c r="J243" s="8" t="n">
        <v>0.004241</v>
      </c>
      <c r="K243" s="8" t="n">
        <v>0.4715</v>
      </c>
      <c r="L243" s="8" t="n">
        <v>0.040682</v>
      </c>
      <c r="M243" s="8" t="n">
        <v>0.035023</v>
      </c>
      <c r="N243" s="8" t="n">
        <v>0.005659</v>
      </c>
      <c r="O243" s="8" t="n">
        <v>0.4626</v>
      </c>
      <c r="P243" s="8" t="n">
        <v>0.065442</v>
      </c>
      <c r="Q243" s="8" t="n">
        <v>0.057272</v>
      </c>
      <c r="R243" s="8" t="n">
        <v>0.00817</v>
      </c>
      <c r="S243" s="8" t="n">
        <v>0.4667</v>
      </c>
      <c r="T243" s="8" t="n">
        <v>0.046693</v>
      </c>
      <c r="U243" s="8" t="n">
        <v>0.023898</v>
      </c>
      <c r="V243" s="8" t="n">
        <v>0.022795</v>
      </c>
      <c r="W243" s="8" t="n">
        <v>0.3385</v>
      </c>
      <c r="X243" s="8" t="n">
        <v>0.120624</v>
      </c>
      <c r="Y243" s="8" t="n">
        <v>0.035435</v>
      </c>
      <c r="Z243" s="8" t="n">
        <v>0.085189</v>
      </c>
      <c r="AA243" s="8" t="n">
        <v>0.2271</v>
      </c>
    </row>
    <row r="244">
      <c r="A244" s="11" t="inlineStr">
        <is>
          <t>2023-08-16</t>
        </is>
      </c>
      <c r="B244" s="11" t="inlineStr">
        <is>
          <t>中间分位</t>
        </is>
      </c>
      <c r="C244" s="15" t="n">
        <v>0.2343</v>
      </c>
      <c r="D244" s="13" t="n">
        <v>-0.014439</v>
      </c>
      <c r="E244" s="13" t="n">
        <v>0.013582</v>
      </c>
      <c r="F244" s="13" t="n">
        <v>-0.028021</v>
      </c>
      <c r="G244" s="13" t="n">
        <v>0.4847</v>
      </c>
      <c r="H244" s="13" t="n">
        <v>0.035577</v>
      </c>
      <c r="I244" s="13" t="n">
        <v>0.06961000000000001</v>
      </c>
      <c r="J244" s="13" t="n">
        <v>-0.034033</v>
      </c>
      <c r="K244" s="13" t="n">
        <v>0.6618000000000001</v>
      </c>
      <c r="L244" s="13" t="n">
        <v>0.036283</v>
      </c>
      <c r="M244" s="13" t="n">
        <v>0.101868</v>
      </c>
      <c r="N244" s="13" t="n">
        <v>-0.065585</v>
      </c>
      <c r="O244" s="13" t="n">
        <v>0.7374000000000001</v>
      </c>
      <c r="P244" s="13" t="n">
        <v>0.066928</v>
      </c>
      <c r="Q244" s="13" t="n">
        <v>0.071732</v>
      </c>
      <c r="R244" s="13" t="n">
        <v>-0.004804</v>
      </c>
      <c r="S244" s="13" t="n">
        <v>0.5173</v>
      </c>
      <c r="T244" s="13" t="n">
        <v>0.050371</v>
      </c>
      <c r="U244" s="13" t="n">
        <v>0.060272</v>
      </c>
      <c r="V244" s="13" t="n">
        <v>-0.009901</v>
      </c>
      <c r="W244" s="13" t="n">
        <v>0.5447</v>
      </c>
      <c r="X244" s="13" t="n">
        <v>0.141249</v>
      </c>
      <c r="Y244" s="13" t="n">
        <v>0.063667</v>
      </c>
      <c r="Z244" s="13" t="n">
        <v>0.077582</v>
      </c>
      <c r="AA244" s="13" t="n">
        <v>0.3107</v>
      </c>
    </row>
    <row r="245">
      <c r="A245" s="6" t="inlineStr">
        <is>
          <t>2023-08-17</t>
        </is>
      </c>
      <c r="B245" s="6" t="inlineStr">
        <is>
          <t>低分位</t>
        </is>
      </c>
      <c r="C245" s="10" t="n">
        <v>0.0417</v>
      </c>
      <c r="D245" s="8" t="n">
        <v>0.010362</v>
      </c>
      <c r="E245" s="8" t="n">
        <v>0.025544</v>
      </c>
      <c r="F245" s="8" t="n">
        <v>-0.015182</v>
      </c>
      <c r="G245" s="8" t="n">
        <v>0.7114</v>
      </c>
      <c r="H245" s="8" t="n">
        <v>0.055038</v>
      </c>
      <c r="I245" s="8" t="n">
        <v>0.054439</v>
      </c>
      <c r="J245" s="8" t="n">
        <v>0.000599</v>
      </c>
      <c r="K245" s="8" t="n">
        <v>0.4973</v>
      </c>
      <c r="L245" s="8" t="n">
        <v>0.09006400000000001</v>
      </c>
      <c r="M245" s="8" t="n">
        <v>0.07914599999999999</v>
      </c>
      <c r="N245" s="8" t="n">
        <v>0.010918</v>
      </c>
      <c r="O245" s="8" t="n">
        <v>0.4677</v>
      </c>
      <c r="P245" s="8" t="n">
        <v>0.06862</v>
      </c>
      <c r="Q245" s="8" t="n">
        <v>0.072864</v>
      </c>
      <c r="R245" s="8" t="n">
        <v>-0.004244</v>
      </c>
      <c r="S245" s="8" t="n">
        <v>0.515</v>
      </c>
      <c r="T245" s="8" t="n">
        <v>0.07040399999999999</v>
      </c>
      <c r="U245" s="8" t="n">
        <v>0.046482</v>
      </c>
      <c r="V245" s="8" t="n">
        <v>0.023922</v>
      </c>
      <c r="W245" s="8" t="n">
        <v>0.3977</v>
      </c>
      <c r="X245" s="8" t="n">
        <v>0.140457</v>
      </c>
      <c r="Y245" s="8" t="n">
        <v>0.030151</v>
      </c>
      <c r="Z245" s="8" t="n">
        <v>0.110306</v>
      </c>
      <c r="AA245" s="8" t="n">
        <v>0.1767</v>
      </c>
    </row>
    <row r="246">
      <c r="A246" s="11" t="inlineStr">
        <is>
          <t>2023-08-18</t>
        </is>
      </c>
      <c r="B246" s="11" t="inlineStr">
        <is>
          <t>低分位</t>
        </is>
      </c>
      <c r="C246" s="15" t="n">
        <v>0.0041</v>
      </c>
      <c r="D246" s="13" t="n">
        <v>0.018749</v>
      </c>
      <c r="E246" s="13" t="n">
        <v>0.0245</v>
      </c>
      <c r="F246" s="13" t="n">
        <v>-0.005751</v>
      </c>
      <c r="G246" s="13" t="n">
        <v>0.5665</v>
      </c>
      <c r="H246" s="13" t="n">
        <v>0.042448</v>
      </c>
      <c r="I246" s="13" t="n">
        <v>0.033483</v>
      </c>
      <c r="J246" s="13" t="n">
        <v>0.008965000000000001</v>
      </c>
      <c r="K246" s="13" t="n">
        <v>0.441</v>
      </c>
      <c r="L246" s="13" t="n">
        <v>0.071809</v>
      </c>
      <c r="M246" s="13" t="n">
        <v>0.06574099999999999</v>
      </c>
      <c r="N246" s="13" t="n">
        <v>0.006068</v>
      </c>
      <c r="O246" s="13" t="n">
        <v>0.4779</v>
      </c>
      <c r="P246" s="13" t="n">
        <v>0.07287</v>
      </c>
      <c r="Q246" s="13" t="n">
        <v>0.046958</v>
      </c>
      <c r="R246" s="13" t="n">
        <v>0.025912</v>
      </c>
      <c r="S246" s="13" t="n">
        <v>0.3919</v>
      </c>
      <c r="T246" s="13" t="n">
        <v>0.056952</v>
      </c>
      <c r="U246" s="13" t="n">
        <v>-0.000817</v>
      </c>
      <c r="V246" s="13" t="n">
        <v>0.057769</v>
      </c>
      <c r="W246" s="13" t="n">
        <v>0.0141</v>
      </c>
      <c r="X246" s="13" t="n">
        <v>0.103645</v>
      </c>
      <c r="Y246" s="13" t="n">
        <v>0.012658</v>
      </c>
      <c r="Z246" s="13" t="n">
        <v>0.090987</v>
      </c>
      <c r="AA246" s="13" t="n">
        <v>0.1088</v>
      </c>
    </row>
    <row r="247">
      <c r="A247" s="6" t="inlineStr">
        <is>
          <t>2023-08-21</t>
        </is>
      </c>
      <c r="B247" s="6" t="inlineStr">
        <is>
          <t>低分位</t>
        </is>
      </c>
      <c r="C247" s="10" t="n">
        <v>0</v>
      </c>
      <c r="D247" s="8" t="n">
        <v>0.020137</v>
      </c>
      <c r="E247" s="8" t="n">
        <v>0.001196</v>
      </c>
      <c r="F247" s="8" t="n">
        <v>0.018941</v>
      </c>
      <c r="G247" s="8" t="n">
        <v>0.0561</v>
      </c>
      <c r="H247" s="8" t="n">
        <v>0.028125</v>
      </c>
      <c r="I247" s="8" t="n">
        <v>0.001196</v>
      </c>
      <c r="J247" s="8" t="n">
        <v>0.026929</v>
      </c>
      <c r="K247" s="8" t="n">
        <v>0.0408</v>
      </c>
      <c r="L247" s="8" t="n">
        <v>0.063196</v>
      </c>
      <c r="M247" s="8" t="n">
        <v>0.025508</v>
      </c>
      <c r="N247" s="8" t="n">
        <v>0.037688</v>
      </c>
      <c r="O247" s="8" t="n">
        <v>0.2876</v>
      </c>
      <c r="P247" s="8" t="n">
        <v>0.05625</v>
      </c>
      <c r="Q247" s="8" t="n">
        <v>0.046234</v>
      </c>
      <c r="R247" s="8" t="n">
        <v>0.010016</v>
      </c>
      <c r="S247" s="8" t="n">
        <v>0.4511</v>
      </c>
      <c r="T247" s="8" t="n">
        <v>0.020833</v>
      </c>
      <c r="U247" s="8" t="n">
        <v>-0.048226</v>
      </c>
      <c r="V247" s="8" t="n">
        <v>0.069059</v>
      </c>
      <c r="W247" s="8" t="n">
        <v>0.6983</v>
      </c>
      <c r="X247" s="8" t="n">
        <v>0.089929</v>
      </c>
      <c r="Y247" s="8" t="n">
        <v>-0.003189</v>
      </c>
      <c r="Z247" s="8" t="n">
        <v>0.09311800000000001</v>
      </c>
      <c r="AA247" s="8" t="n">
        <v>0.0342</v>
      </c>
    </row>
    <row r="248">
      <c r="A248" s="11" t="inlineStr">
        <is>
          <t>2023-08-22</t>
        </is>
      </c>
      <c r="B248" s="11" t="inlineStr">
        <is>
          <t>低分位</t>
        </is>
      </c>
      <c r="C248" s="15" t="n">
        <v>0.0494</v>
      </c>
      <c r="D248" s="13" t="n">
        <v>0.000682</v>
      </c>
      <c r="E248" s="13" t="n">
        <v>0.003185</v>
      </c>
      <c r="F248" s="13" t="n">
        <v>-0.002503</v>
      </c>
      <c r="G248" s="13" t="n">
        <v>0.8236</v>
      </c>
      <c r="H248" s="13" t="n">
        <v>0.001364</v>
      </c>
      <c r="I248" s="13" t="n">
        <v>0</v>
      </c>
      <c r="J248" s="13" t="n">
        <v>0.001364</v>
      </c>
      <c r="K248" s="13" t="n">
        <v>0</v>
      </c>
      <c r="L248" s="13" t="n">
        <v>0.029955</v>
      </c>
      <c r="M248" s="13" t="n">
        <v>0.031051</v>
      </c>
      <c r="N248" s="13" t="n">
        <v>-0.001096</v>
      </c>
      <c r="O248" s="13" t="n">
        <v>0.509</v>
      </c>
      <c r="P248" s="13" t="n">
        <v>0.060245</v>
      </c>
      <c r="Q248" s="13" t="n">
        <v>0.048169</v>
      </c>
      <c r="R248" s="13" t="n">
        <v>0.012076</v>
      </c>
      <c r="S248" s="13" t="n">
        <v>0.4443</v>
      </c>
      <c r="T248" s="13" t="n">
        <v>-0.021782</v>
      </c>
      <c r="U248" s="13" t="n">
        <v>-0.046178</v>
      </c>
      <c r="V248" s="13" t="n">
        <v>0.024396</v>
      </c>
      <c r="W248" s="13" t="n">
        <v>0.6795</v>
      </c>
      <c r="X248" s="13" t="n">
        <v>0.076583</v>
      </c>
      <c r="Y248" s="13" t="n">
        <v>-0.001592</v>
      </c>
      <c r="Z248" s="13" t="n">
        <v>0.07817499999999999</v>
      </c>
      <c r="AA248" s="13" t="n">
        <v>0.0204</v>
      </c>
    </row>
    <row r="249">
      <c r="A249" s="6" t="inlineStr">
        <is>
          <t>2023-08-23</t>
        </is>
      </c>
      <c r="B249" s="6" t="inlineStr">
        <is>
          <t>低分位</t>
        </is>
      </c>
      <c r="C249" s="10" t="n">
        <v>0.041</v>
      </c>
      <c r="D249" s="8" t="n">
        <v>0.004082</v>
      </c>
      <c r="E249" s="8" t="n">
        <v>-0.000794</v>
      </c>
      <c r="F249" s="8" t="n">
        <v>0.004876</v>
      </c>
      <c r="G249" s="8" t="n">
        <v>0.1628</v>
      </c>
      <c r="H249" s="8" t="n">
        <v>0.000682</v>
      </c>
      <c r="I249" s="8" t="n">
        <v>0.030159</v>
      </c>
      <c r="J249" s="8" t="n">
        <v>-0.029477</v>
      </c>
      <c r="K249" s="8" t="n">
        <v>0.9779</v>
      </c>
      <c r="L249" s="8" t="n">
        <v>0.036735</v>
      </c>
      <c r="M249" s="8" t="n">
        <v>0.02619</v>
      </c>
      <c r="N249" s="8" t="n">
        <v>0.010545</v>
      </c>
      <c r="O249" s="8" t="n">
        <v>0.4162</v>
      </c>
      <c r="P249" s="8" t="n">
        <v>0.06360399999999999</v>
      </c>
      <c r="Q249" s="8" t="n">
        <v>0.028175</v>
      </c>
      <c r="R249" s="8" t="n">
        <v>0.035429</v>
      </c>
      <c r="S249" s="8" t="n">
        <v>0.307</v>
      </c>
      <c r="T249" s="8" t="n">
        <v>-0.019727</v>
      </c>
      <c r="U249" s="8" t="n">
        <v>-0.067857</v>
      </c>
      <c r="V249" s="8" t="n">
        <v>0.04813</v>
      </c>
      <c r="W249" s="8" t="n">
        <v>0.7748</v>
      </c>
      <c r="X249" s="8" t="n">
        <v>0.080612</v>
      </c>
      <c r="Y249" s="8" t="n">
        <v>-0.007143</v>
      </c>
      <c r="Z249" s="8" t="n">
        <v>0.087755</v>
      </c>
      <c r="AA249" s="8" t="n">
        <v>0.0814</v>
      </c>
    </row>
    <row r="250">
      <c r="A250" s="11" t="inlineStr">
        <is>
          <t>2023-08-24</t>
        </is>
      </c>
      <c r="B250" s="11" t="inlineStr">
        <is>
          <t>低分位</t>
        </is>
      </c>
      <c r="C250" s="15" t="n">
        <v>0.0612</v>
      </c>
      <c r="D250" s="13" t="n">
        <v>-0.001695</v>
      </c>
      <c r="E250" s="13" t="n">
        <v>0.005163</v>
      </c>
      <c r="F250" s="13" t="n">
        <v>-0.006858</v>
      </c>
      <c r="G250" s="13" t="n">
        <v>0.7528</v>
      </c>
      <c r="H250" s="13" t="n">
        <v>0.033199</v>
      </c>
      <c r="I250" s="13" t="n">
        <v>0.023431</v>
      </c>
      <c r="J250" s="13" t="n">
        <v>0.009768000000000001</v>
      </c>
      <c r="K250" s="13" t="n">
        <v>0.4138</v>
      </c>
      <c r="L250" s="13" t="n">
        <v>0.032858</v>
      </c>
      <c r="M250" s="13" t="n">
        <v>0.007149</v>
      </c>
      <c r="N250" s="13" t="n">
        <v>0.025709</v>
      </c>
      <c r="O250" s="13" t="n">
        <v>0.1787</v>
      </c>
      <c r="P250" s="13" t="n">
        <v>0.043362</v>
      </c>
      <c r="Q250" s="13" t="n">
        <v>0.011517</v>
      </c>
      <c r="R250" s="13" t="n">
        <v>0.031845</v>
      </c>
      <c r="S250" s="13" t="n">
        <v>0.2099</v>
      </c>
      <c r="T250" s="13" t="n">
        <v>-0.03828</v>
      </c>
      <c r="U250" s="13" t="n">
        <v>-0.05004</v>
      </c>
      <c r="V250" s="13" t="n">
        <v>0.01176</v>
      </c>
      <c r="W250" s="13" t="n">
        <v>0.5666</v>
      </c>
      <c r="X250" s="13" t="n">
        <v>0.086045</v>
      </c>
      <c r="Y250" s="13" t="n">
        <v>0.005957</v>
      </c>
      <c r="Z250" s="13" t="n">
        <v>0.08008800000000001</v>
      </c>
      <c r="AA250" s="13" t="n">
        <v>0.06469999999999999</v>
      </c>
    </row>
    <row r="251">
      <c r="A251" s="6" t="inlineStr">
        <is>
          <t>2023-08-25</t>
        </is>
      </c>
      <c r="B251" s="6" t="inlineStr">
        <is>
          <t>低分位</t>
        </is>
      </c>
      <c r="C251" s="10" t="n">
        <v>0.0366</v>
      </c>
      <c r="D251" s="8" t="n">
        <v>0.004752</v>
      </c>
      <c r="E251" s="8" t="n">
        <v>-0.007507</v>
      </c>
      <c r="F251" s="8" t="n">
        <v>0.012259</v>
      </c>
      <c r="G251" s="8" t="n">
        <v>0.6124000000000001</v>
      </c>
      <c r="H251" s="8" t="n">
        <v>0.028166</v>
      </c>
      <c r="I251" s="8" t="n">
        <v>0.031213</v>
      </c>
      <c r="J251" s="8" t="n">
        <v>-0.003047</v>
      </c>
      <c r="K251" s="8" t="n">
        <v>0.5256999999999999</v>
      </c>
      <c r="L251" s="8" t="n">
        <v>0.017648</v>
      </c>
      <c r="M251" s="8" t="n">
        <v>-0.003161</v>
      </c>
      <c r="N251" s="8" t="n">
        <v>0.020809</v>
      </c>
      <c r="O251" s="8" t="n">
        <v>0.1519</v>
      </c>
      <c r="P251" s="8" t="n">
        <v>0.033936</v>
      </c>
      <c r="Q251" s="8" t="n">
        <v>0.004346</v>
      </c>
      <c r="R251" s="8" t="n">
        <v>0.02959</v>
      </c>
      <c r="S251" s="8" t="n">
        <v>0.1135</v>
      </c>
      <c r="T251" s="8" t="n">
        <v>-0.022396</v>
      </c>
      <c r="U251" s="8" t="n">
        <v>-0.042671</v>
      </c>
      <c r="V251" s="8" t="n">
        <v>0.020275</v>
      </c>
      <c r="W251" s="8" t="n">
        <v>0.6558</v>
      </c>
      <c r="X251" s="8" t="n">
        <v>0.11232</v>
      </c>
      <c r="Y251" s="8" t="n">
        <v>-0.001976</v>
      </c>
      <c r="Z251" s="8" t="n">
        <v>0.114296</v>
      </c>
      <c r="AA251" s="8" t="n">
        <v>0.0173</v>
      </c>
    </row>
    <row r="252">
      <c r="A252" s="11" t="inlineStr">
        <is>
          <t>2023-08-28</t>
        </is>
      </c>
      <c r="B252" s="11" t="inlineStr">
        <is>
          <t>低分位</t>
        </is>
      </c>
      <c r="C252" s="15" t="n">
        <v>0.0931</v>
      </c>
      <c r="D252" s="13" t="n">
        <v>-0.006415</v>
      </c>
      <c r="E252" s="13" t="n">
        <v>0</v>
      </c>
      <c r="F252" s="13" t="n">
        <v>-0.006415</v>
      </c>
      <c r="G252" s="13" t="n">
        <v>0</v>
      </c>
      <c r="H252" s="13" t="n">
        <v>0.034111</v>
      </c>
      <c r="I252" s="13" t="n">
        <v>0.024283</v>
      </c>
      <c r="J252" s="13" t="n">
        <v>0.009828</v>
      </c>
      <c r="K252" s="13" t="n">
        <v>0.4158</v>
      </c>
      <c r="L252" s="13" t="n">
        <v>0.007429</v>
      </c>
      <c r="M252" s="13" t="n">
        <v>0.015525</v>
      </c>
      <c r="N252" s="13" t="n">
        <v>-0.008096000000000001</v>
      </c>
      <c r="O252" s="13" t="n">
        <v>0.6764</v>
      </c>
      <c r="P252" s="13" t="n">
        <v>0.027692</v>
      </c>
      <c r="Q252" s="13" t="n">
        <v>-0.012739</v>
      </c>
      <c r="R252" s="13" t="n">
        <v>0.040431</v>
      </c>
      <c r="S252" s="13" t="n">
        <v>0.3151</v>
      </c>
      <c r="T252" s="13" t="n">
        <v>-0.014861</v>
      </c>
      <c r="U252" s="13" t="n">
        <v>-0.036226</v>
      </c>
      <c r="V252" s="13" t="n">
        <v>0.021365</v>
      </c>
      <c r="W252" s="13" t="n">
        <v>0.7091</v>
      </c>
      <c r="X252" s="13" t="n">
        <v>0.111112</v>
      </c>
      <c r="Y252" s="13" t="n">
        <v>0.001592</v>
      </c>
      <c r="Z252" s="13" t="n">
        <v>0.10952</v>
      </c>
      <c r="AA252" s="13" t="n">
        <v>0.0141</v>
      </c>
    </row>
    <row r="253">
      <c r="A253" s="6" t="inlineStr">
        <is>
          <t>2023-08-29</t>
        </is>
      </c>
      <c r="B253" s="6" t="inlineStr">
        <is>
          <t>低分位</t>
        </is>
      </c>
      <c r="C253" s="10" t="n">
        <v>0.0605</v>
      </c>
      <c r="D253" s="8" t="n">
        <v>0</v>
      </c>
      <c r="E253" s="8" t="n">
        <v>0.033439</v>
      </c>
      <c r="F253" s="8" t="n">
        <v>-0.033439</v>
      </c>
      <c r="G253" s="8" t="n">
        <v>1</v>
      </c>
      <c r="H253" s="8" t="n">
        <v>0.028552</v>
      </c>
      <c r="I253" s="8" t="n">
        <v>0.031051</v>
      </c>
      <c r="J253" s="8" t="n">
        <v>-0.002499</v>
      </c>
      <c r="K253" s="8" t="n">
        <v>0.521</v>
      </c>
      <c r="L253" s="8" t="n">
        <v>0.023792</v>
      </c>
      <c r="M253" s="8" t="n">
        <v>0.021497</v>
      </c>
      <c r="N253" s="8" t="n">
        <v>0.002295</v>
      </c>
      <c r="O253" s="8" t="n">
        <v>0.4747</v>
      </c>
      <c r="P253" s="8" t="n">
        <v>0.013256</v>
      </c>
      <c r="Q253" s="8" t="n">
        <v>-0.021895</v>
      </c>
      <c r="R253" s="8" t="n">
        <v>0.035151</v>
      </c>
      <c r="S253" s="8" t="n">
        <v>0.6229</v>
      </c>
      <c r="T253" s="8" t="n">
        <v>-0.008500000000000001</v>
      </c>
      <c r="U253" s="8" t="n">
        <v>-0.03543</v>
      </c>
      <c r="V253" s="8" t="n">
        <v>0.02693</v>
      </c>
      <c r="W253" s="8" t="n">
        <v>0.8065</v>
      </c>
      <c r="X253" s="8" t="n">
        <v>0.113527</v>
      </c>
      <c r="Y253" s="8" t="n">
        <v>0.006768</v>
      </c>
      <c r="Z253" s="8" t="n">
        <v>0.106759</v>
      </c>
      <c r="AA253" s="8" t="n">
        <v>0.0563</v>
      </c>
    </row>
    <row r="254">
      <c r="A254" s="11" t="inlineStr">
        <is>
          <t>2023-08-30</t>
        </is>
      </c>
      <c r="B254" s="11" t="inlineStr">
        <is>
          <t>低分位</t>
        </is>
      </c>
      <c r="C254" s="15" t="n">
        <v>0</v>
      </c>
      <c r="D254" s="13" t="n">
        <v>0.03671</v>
      </c>
      <c r="E254" s="13" t="n">
        <v>-0.007319</v>
      </c>
      <c r="F254" s="13" t="n">
        <v>0.044029</v>
      </c>
      <c r="G254" s="13" t="n">
        <v>0.1662</v>
      </c>
      <c r="H254" s="13" t="n">
        <v>0.036029</v>
      </c>
      <c r="I254" s="13" t="n">
        <v>-0.003852</v>
      </c>
      <c r="J254" s="13" t="n">
        <v>0.039881</v>
      </c>
      <c r="K254" s="13" t="n">
        <v>0.09660000000000001</v>
      </c>
      <c r="L254" s="13" t="n">
        <v>0.029572</v>
      </c>
      <c r="M254" s="13" t="n">
        <v>-0.02735</v>
      </c>
      <c r="N254" s="13" t="n">
        <v>0.056922</v>
      </c>
      <c r="O254" s="13" t="n">
        <v>0.4805</v>
      </c>
      <c r="P254" s="13" t="n">
        <v>0.003398</v>
      </c>
      <c r="Q254" s="13" t="n">
        <v>-0.046225</v>
      </c>
      <c r="R254" s="13" t="n">
        <v>0.049623</v>
      </c>
      <c r="S254" s="13" t="n">
        <v>0.9315</v>
      </c>
      <c r="T254" s="13" t="n">
        <v>-0.006461</v>
      </c>
      <c r="U254" s="13" t="n">
        <v>-0.036595</v>
      </c>
      <c r="V254" s="13" t="n">
        <v>0.030134</v>
      </c>
      <c r="W254" s="13" t="n">
        <v>0.8499</v>
      </c>
      <c r="X254" s="13" t="n">
        <v>0.117606</v>
      </c>
      <c r="Y254" s="13" t="n">
        <v>-0.035439</v>
      </c>
      <c r="Z254" s="13" t="n">
        <v>0.153045</v>
      </c>
      <c r="AA254" s="13" t="n">
        <v>0.2316</v>
      </c>
    </row>
    <row r="255">
      <c r="A255" s="6" t="inlineStr">
        <is>
          <t>2023-08-31</t>
        </is>
      </c>
      <c r="B255" s="6" t="inlineStr">
        <is>
          <t>中间分位</t>
        </is>
      </c>
      <c r="C255" s="10" t="n">
        <v>0.136</v>
      </c>
      <c r="D255" s="8" t="n">
        <v>-0.006559</v>
      </c>
      <c r="E255" s="8" t="n">
        <v>0.012806</v>
      </c>
      <c r="F255" s="8" t="n">
        <v>-0.019365</v>
      </c>
      <c r="G255" s="8" t="n">
        <v>0.6613</v>
      </c>
      <c r="H255" s="8" t="n">
        <v>-0.00033</v>
      </c>
      <c r="I255" s="8" t="n">
        <v>-0.01591</v>
      </c>
      <c r="J255" s="8" t="n">
        <v>0.01558</v>
      </c>
      <c r="K255" s="8" t="n">
        <v>0.9797</v>
      </c>
      <c r="L255" s="8" t="n">
        <v>-0.019672</v>
      </c>
      <c r="M255" s="8" t="n">
        <v>-0.005821</v>
      </c>
      <c r="N255" s="8" t="n">
        <v>-0.013851</v>
      </c>
      <c r="O255" s="8" t="n">
        <v>0.2283</v>
      </c>
      <c r="P255" s="8" t="n">
        <v>-0.025904</v>
      </c>
      <c r="Q255" s="8" t="n">
        <v>-0.041521</v>
      </c>
      <c r="R255" s="8" t="n">
        <v>0.015617</v>
      </c>
      <c r="S255" s="8" t="n">
        <v>0.6158</v>
      </c>
      <c r="T255" s="8" t="n">
        <v>-0.012134</v>
      </c>
      <c r="U255" s="8" t="n">
        <v>-0.030656</v>
      </c>
      <c r="V255" s="8" t="n">
        <v>0.018522</v>
      </c>
      <c r="W255" s="8" t="n">
        <v>0.7164</v>
      </c>
      <c r="X255" s="8" t="n">
        <v>0.066885</v>
      </c>
      <c r="Y255" s="8" t="n">
        <v>-0.03376</v>
      </c>
      <c r="Z255" s="8" t="n">
        <v>0.100645</v>
      </c>
      <c r="AA255" s="8" t="n">
        <v>0.3354</v>
      </c>
    </row>
    <row r="256">
      <c r="A256" s="11" t="inlineStr">
        <is>
          <t>2023-09-01</t>
        </is>
      </c>
      <c r="B256" s="11" t="inlineStr">
        <is>
          <t>低分位</t>
        </is>
      </c>
      <c r="C256" s="15" t="n">
        <v>0.024</v>
      </c>
      <c r="D256" s="13" t="n">
        <v>0.010562</v>
      </c>
      <c r="E256" s="13" t="n">
        <v>-0.014176</v>
      </c>
      <c r="F256" s="13" t="n">
        <v>0.024738</v>
      </c>
      <c r="G256" s="13" t="n">
        <v>0.573</v>
      </c>
      <c r="H256" s="13" t="n">
        <v>-0.01023</v>
      </c>
      <c r="I256" s="13" t="n">
        <v>-0.033333</v>
      </c>
      <c r="J256" s="13" t="n">
        <v>0.023103</v>
      </c>
      <c r="K256" s="13" t="n">
        <v>0.7652</v>
      </c>
      <c r="L256" s="13" t="n">
        <v>0.00099</v>
      </c>
      <c r="M256" s="13" t="n">
        <v>-0.017625</v>
      </c>
      <c r="N256" s="13" t="n">
        <v>0.018615</v>
      </c>
      <c r="O256" s="13" t="n">
        <v>0.9468</v>
      </c>
      <c r="P256" s="13" t="n">
        <v>-0.025743</v>
      </c>
      <c r="Q256" s="13" t="n">
        <v>-0.046743</v>
      </c>
      <c r="R256" s="13" t="n">
        <v>0.021</v>
      </c>
      <c r="S256" s="13" t="n">
        <v>0.6449</v>
      </c>
      <c r="T256" s="13" t="n">
        <v>-0.007920999999999999</v>
      </c>
      <c r="U256" s="13" t="n">
        <v>-0.068966</v>
      </c>
      <c r="V256" s="13" t="n">
        <v>0.061045</v>
      </c>
      <c r="W256" s="13" t="n">
        <v>0.897</v>
      </c>
      <c r="X256" s="13" t="n">
        <v>0.066008</v>
      </c>
      <c r="Y256" s="13" t="n">
        <v>-0.036782</v>
      </c>
      <c r="Z256" s="13" t="n">
        <v>0.10279</v>
      </c>
      <c r="AA256" s="13" t="n">
        <v>0.3578</v>
      </c>
    </row>
    <row r="257">
      <c r="A257" s="6" t="inlineStr">
        <is>
          <t>2023-09-04</t>
        </is>
      </c>
      <c r="B257" s="6" t="inlineStr">
        <is>
          <t>中间分位</t>
        </is>
      </c>
      <c r="C257" s="10" t="n">
        <v>0.184</v>
      </c>
      <c r="D257" s="8" t="n">
        <v>-0.011757</v>
      </c>
      <c r="E257" s="8" t="n">
        <v>0.006607</v>
      </c>
      <c r="F257" s="8" t="n">
        <v>-0.018364</v>
      </c>
      <c r="G257" s="8" t="n">
        <v>0.3598</v>
      </c>
      <c r="H257" s="8" t="n">
        <v>-0.025803</v>
      </c>
      <c r="I257" s="8" t="n">
        <v>-0.00855</v>
      </c>
      <c r="J257" s="8" t="n">
        <v>-0.017253</v>
      </c>
      <c r="K257" s="8" t="n">
        <v>0.2489</v>
      </c>
      <c r="L257" s="8" t="n">
        <v>-0.006533</v>
      </c>
      <c r="M257" s="8" t="n">
        <v>0.02021</v>
      </c>
      <c r="N257" s="8" t="n">
        <v>-0.026743</v>
      </c>
      <c r="O257" s="8" t="n">
        <v>0.7557</v>
      </c>
      <c r="P257" s="8" t="n">
        <v>-0.020904</v>
      </c>
      <c r="Q257" s="8" t="n">
        <v>-0.057909</v>
      </c>
      <c r="R257" s="8" t="n">
        <v>0.037005</v>
      </c>
      <c r="S257" s="8" t="n">
        <v>0.7348</v>
      </c>
      <c r="T257" s="8" t="n">
        <v>-0.043763</v>
      </c>
      <c r="U257" s="8" t="n">
        <v>-0.066071</v>
      </c>
      <c r="V257" s="8" t="n">
        <v>0.022308</v>
      </c>
      <c r="W257" s="8" t="n">
        <v>0.6016</v>
      </c>
      <c r="X257" s="8" t="n">
        <v>0.06335499999999999</v>
      </c>
      <c r="Y257" s="8" t="n">
        <v>-0.026428</v>
      </c>
      <c r="Z257" s="8" t="n">
        <v>0.089783</v>
      </c>
      <c r="AA257" s="8" t="n">
        <v>0.2944</v>
      </c>
    </row>
    <row r="258">
      <c r="A258" s="11" t="inlineStr">
        <is>
          <t>2023-09-05</t>
        </is>
      </c>
      <c r="B258" s="11" t="inlineStr">
        <is>
          <t>低分位</t>
        </is>
      </c>
      <c r="C258" s="15" t="n">
        <v>0.064</v>
      </c>
      <c r="D258" s="13" t="n">
        <v>0.007269</v>
      </c>
      <c r="E258" s="13" t="n">
        <v>-0.001544</v>
      </c>
      <c r="F258" s="13" t="n">
        <v>0.008813</v>
      </c>
      <c r="G258" s="13" t="n">
        <v>0.1752</v>
      </c>
      <c r="H258" s="13" t="n">
        <v>-0.004628</v>
      </c>
      <c r="I258" s="13" t="n">
        <v>-0.009266</v>
      </c>
      <c r="J258" s="13" t="n">
        <v>0.004638</v>
      </c>
      <c r="K258" s="13" t="n">
        <v>0.6669</v>
      </c>
      <c r="L258" s="13" t="n">
        <v>0.029409</v>
      </c>
      <c r="M258" s="13" t="n">
        <v>0.016602</v>
      </c>
      <c r="N258" s="13" t="n">
        <v>0.012807</v>
      </c>
      <c r="O258" s="13" t="n">
        <v>0.3608</v>
      </c>
      <c r="P258" s="13" t="n">
        <v>-0.028422</v>
      </c>
      <c r="Q258" s="13" t="n">
        <v>-0.052124</v>
      </c>
      <c r="R258" s="13" t="n">
        <v>0.023702</v>
      </c>
      <c r="S258" s="13" t="n">
        <v>0.6471</v>
      </c>
      <c r="T258" s="13" t="n">
        <v>-0.032058</v>
      </c>
      <c r="U258" s="13" t="n">
        <v>-0.068726</v>
      </c>
      <c r="V258" s="13" t="n">
        <v>0.036668</v>
      </c>
      <c r="W258" s="13" t="n">
        <v>0.6819</v>
      </c>
      <c r="X258" s="13" t="n">
        <v>0.075347</v>
      </c>
      <c r="Y258" s="13" t="n">
        <v>-0.027413</v>
      </c>
      <c r="Z258" s="13" t="n">
        <v>0.10276</v>
      </c>
      <c r="AA258" s="13" t="n">
        <v>0.2668</v>
      </c>
    </row>
    <row r="259">
      <c r="A259" s="6" t="inlineStr">
        <is>
          <t>2023-09-06</t>
        </is>
      </c>
      <c r="B259" s="6" t="inlineStr">
        <is>
          <t>中间分位</t>
        </is>
      </c>
      <c r="C259" s="10" t="n">
        <v>0.108</v>
      </c>
      <c r="D259" s="8" t="n">
        <v>0.000327</v>
      </c>
      <c r="E259" s="8" t="n">
        <v>-0.019335</v>
      </c>
      <c r="F259" s="8" t="n">
        <v>0.019662</v>
      </c>
      <c r="G259" s="8" t="n">
        <v>0.9834000000000001</v>
      </c>
      <c r="H259" s="8" t="n">
        <v>-0.006232</v>
      </c>
      <c r="I259" s="8" t="n">
        <v>-0.023589</v>
      </c>
      <c r="J259" s="8" t="n">
        <v>0.017357</v>
      </c>
      <c r="K259" s="8" t="n">
        <v>0.791</v>
      </c>
      <c r="L259" s="8" t="n">
        <v>0.025917</v>
      </c>
      <c r="M259" s="8" t="n">
        <v>0.001933</v>
      </c>
      <c r="N259" s="8" t="n">
        <v>0.023984</v>
      </c>
      <c r="O259" s="8" t="n">
        <v>0.0694</v>
      </c>
      <c r="P259" s="8" t="n">
        <v>-0.025917</v>
      </c>
      <c r="Q259" s="8" t="n">
        <v>-0.055298</v>
      </c>
      <c r="R259" s="8" t="n">
        <v>0.029381</v>
      </c>
      <c r="S259" s="8" t="n">
        <v>0.6808999999999999</v>
      </c>
      <c r="T259" s="8" t="n">
        <v>-0.03937</v>
      </c>
      <c r="U259" s="8" t="n">
        <v>-0.059165</v>
      </c>
      <c r="V259" s="8" t="n">
        <v>0.019795</v>
      </c>
      <c r="W259" s="8" t="n">
        <v>0.6004</v>
      </c>
      <c r="X259" s="8" t="n">
        <v>0.069882</v>
      </c>
      <c r="Y259" s="8" t="n">
        <v>-0.017401</v>
      </c>
      <c r="Z259" s="8" t="n">
        <v>0.087283</v>
      </c>
      <c r="AA259" s="8" t="n">
        <v>0.1994</v>
      </c>
    </row>
    <row r="260">
      <c r="A260" s="11" t="inlineStr">
        <is>
          <t>2023-09-07</t>
        </is>
      </c>
      <c r="B260" s="11" t="inlineStr">
        <is>
          <t>中间分位</t>
        </is>
      </c>
      <c r="C260" s="15" t="n">
        <v>0.248</v>
      </c>
      <c r="D260" s="13" t="n">
        <v>-0.016396</v>
      </c>
      <c r="E260" s="13" t="n">
        <v>-0.005126</v>
      </c>
      <c r="F260" s="13" t="n">
        <v>-0.01127</v>
      </c>
      <c r="G260" s="13" t="n">
        <v>0.2382</v>
      </c>
      <c r="H260" s="13" t="n">
        <v>-0.019348</v>
      </c>
      <c r="I260" s="13" t="n">
        <v>0.010252</v>
      </c>
      <c r="J260" s="13" t="n">
        <v>-0.0296</v>
      </c>
      <c r="K260" s="13" t="n">
        <v>0.3464</v>
      </c>
      <c r="L260" s="13" t="n">
        <v>0.01017</v>
      </c>
      <c r="M260" s="13" t="n">
        <v>0.004338</v>
      </c>
      <c r="N260" s="13" t="n">
        <v>0.005832</v>
      </c>
      <c r="O260" s="13" t="n">
        <v>0.299</v>
      </c>
      <c r="P260" s="13" t="n">
        <v>-0.023941</v>
      </c>
      <c r="Q260" s="13" t="n">
        <v>-0.037461</v>
      </c>
      <c r="R260" s="13" t="n">
        <v>0.01352</v>
      </c>
      <c r="S260" s="13" t="n">
        <v>0.6101</v>
      </c>
      <c r="T260" s="13" t="n">
        <v>-0.03378</v>
      </c>
      <c r="U260" s="13" t="n">
        <v>-0.044953</v>
      </c>
      <c r="V260" s="13" t="n">
        <v>0.011173</v>
      </c>
      <c r="W260" s="13" t="n">
        <v>0.571</v>
      </c>
      <c r="X260" s="13" t="n">
        <v>0.08232299999999999</v>
      </c>
      <c r="Y260" s="13" t="n">
        <v>-0.01459</v>
      </c>
      <c r="Z260" s="13" t="n">
        <v>0.096913</v>
      </c>
      <c r="AA260" s="13" t="n">
        <v>0.1505</v>
      </c>
    </row>
    <row r="261">
      <c r="A261" s="6" t="inlineStr">
        <is>
          <t>2023-09-08</t>
        </is>
      </c>
      <c r="B261" s="6" t="inlineStr">
        <is>
          <t>中间分位</t>
        </is>
      </c>
      <c r="C261" s="10" t="n">
        <v>0.168</v>
      </c>
      <c r="D261" s="8" t="n">
        <v>-0.005338</v>
      </c>
      <c r="E261" s="8" t="n">
        <v>0.011098</v>
      </c>
      <c r="F261" s="8" t="n">
        <v>-0.016436</v>
      </c>
      <c r="G261" s="8" t="n">
        <v>0.6752</v>
      </c>
      <c r="H261" s="8" t="n">
        <v>0.011336</v>
      </c>
      <c r="I261" s="8" t="n">
        <v>0.01625</v>
      </c>
      <c r="J261" s="8" t="n">
        <v>-0.004914</v>
      </c>
      <c r="K261" s="8" t="n">
        <v>0.5891</v>
      </c>
      <c r="L261" s="8" t="n">
        <v>0.016005</v>
      </c>
      <c r="M261" s="8" t="n">
        <v>0.007531</v>
      </c>
      <c r="N261" s="8" t="n">
        <v>0.008474000000000001</v>
      </c>
      <c r="O261" s="8" t="n">
        <v>0.32</v>
      </c>
      <c r="P261" s="8" t="n">
        <v>-0.007338</v>
      </c>
      <c r="Q261" s="8" t="n">
        <v>-0.021799</v>
      </c>
      <c r="R261" s="8" t="n">
        <v>0.014461</v>
      </c>
      <c r="S261" s="8" t="n">
        <v>0.7482</v>
      </c>
      <c r="T261" s="8" t="n">
        <v>-0.019675</v>
      </c>
      <c r="U261" s="8" t="n">
        <v>-0.049941</v>
      </c>
      <c r="V261" s="8" t="n">
        <v>0.030266</v>
      </c>
      <c r="W261" s="8" t="n">
        <v>0.7174</v>
      </c>
      <c r="X261" s="8" t="n">
        <v>0.081027</v>
      </c>
      <c r="Y261" s="8" t="n">
        <v>-0.007927</v>
      </c>
      <c r="Z261" s="8" t="n">
        <v>0.08895400000000001</v>
      </c>
      <c r="AA261" s="8" t="n">
        <v>0.0891</v>
      </c>
    </row>
    <row r="262">
      <c r="A262" s="11" t="inlineStr">
        <is>
          <t>2023-09-11</t>
        </is>
      </c>
      <c r="B262" s="11" t="inlineStr">
        <is>
          <t>低分位</t>
        </is>
      </c>
      <c r="C262" s="15" t="n">
        <v>0.068</v>
      </c>
      <c r="D262" s="13" t="n">
        <v>0.009723000000000001</v>
      </c>
      <c r="E262" s="13" t="n">
        <v>0.00588</v>
      </c>
      <c r="F262" s="13" t="n">
        <v>0.003843</v>
      </c>
      <c r="G262" s="13" t="n">
        <v>0.3769</v>
      </c>
      <c r="H262" s="13" t="n">
        <v>0.01978</v>
      </c>
      <c r="I262" s="13" t="n">
        <v>0.029008</v>
      </c>
      <c r="J262" s="13" t="n">
        <v>-0.009228</v>
      </c>
      <c r="K262" s="13" t="n">
        <v>0.5946</v>
      </c>
      <c r="L262" s="13" t="n">
        <v>0.020114</v>
      </c>
      <c r="M262" s="13" t="n">
        <v>-0.027832</v>
      </c>
      <c r="N262" s="13" t="n">
        <v>0.047946</v>
      </c>
      <c r="O262" s="13" t="n">
        <v>0.5805</v>
      </c>
      <c r="P262" s="13" t="n">
        <v>0.010057</v>
      </c>
      <c r="Q262" s="13" t="n">
        <v>-0.05292</v>
      </c>
      <c r="R262" s="13" t="n">
        <v>0.06297700000000001</v>
      </c>
      <c r="S262" s="13" t="n">
        <v>0.8403</v>
      </c>
      <c r="T262" s="13" t="n">
        <v>-0.017765</v>
      </c>
      <c r="U262" s="13" t="n">
        <v>-0.053704</v>
      </c>
      <c r="V262" s="13" t="n">
        <v>0.035939</v>
      </c>
      <c r="W262" s="13" t="n">
        <v>0.7514</v>
      </c>
      <c r="X262" s="13" t="n">
        <v>0.086828</v>
      </c>
      <c r="Y262" s="13" t="n">
        <v>-0.00588</v>
      </c>
      <c r="Z262" s="13" t="n">
        <v>0.092708</v>
      </c>
      <c r="AA262" s="13" t="n">
        <v>0.0634</v>
      </c>
    </row>
    <row r="263">
      <c r="A263" s="6" t="inlineStr">
        <is>
          <t>2023-09-12</t>
        </is>
      </c>
      <c r="B263" s="6" t="inlineStr">
        <is>
          <t>低分位</t>
        </is>
      </c>
      <c r="C263" s="10" t="n">
        <v>0.08799999999999999</v>
      </c>
      <c r="D263" s="8" t="n">
        <v>0.005645</v>
      </c>
      <c r="E263" s="8" t="n">
        <v>-0.015978</v>
      </c>
      <c r="F263" s="8" t="n">
        <v>0.021623</v>
      </c>
      <c r="G263" s="8" t="n">
        <v>0.7389</v>
      </c>
      <c r="H263" s="8" t="n">
        <v>0.034195</v>
      </c>
      <c r="I263" s="8" t="n">
        <v>0.026111</v>
      </c>
      <c r="J263" s="8" t="n">
        <v>0.008083999999999999</v>
      </c>
      <c r="K263" s="8" t="n">
        <v>0.433</v>
      </c>
      <c r="L263" s="8" t="n">
        <v>-0.010291</v>
      </c>
      <c r="M263" s="8" t="n">
        <v>-0.042479</v>
      </c>
      <c r="N263" s="8" t="n">
        <v>0.032188</v>
      </c>
      <c r="O263" s="8" t="n">
        <v>0.805</v>
      </c>
      <c r="P263" s="8" t="n">
        <v>-0.01992</v>
      </c>
      <c r="Q263" s="8" t="n">
        <v>-0.07170700000000001</v>
      </c>
      <c r="R263" s="8" t="n">
        <v>0.051787</v>
      </c>
      <c r="S263" s="8" t="n">
        <v>0.7826</v>
      </c>
      <c r="T263" s="8" t="n">
        <v>-0.023904</v>
      </c>
      <c r="U263" s="8" t="n">
        <v>-0.077163</v>
      </c>
      <c r="V263" s="8" t="n">
        <v>0.053259</v>
      </c>
      <c r="W263" s="8" t="n">
        <v>0.7635</v>
      </c>
      <c r="X263" s="8" t="n">
        <v>0.079681</v>
      </c>
      <c r="Y263" s="8" t="n">
        <v>-0.00039</v>
      </c>
      <c r="Z263" s="8" t="n">
        <v>0.080071</v>
      </c>
      <c r="AA263" s="8" t="n">
        <v>0.0049</v>
      </c>
    </row>
    <row r="264">
      <c r="A264" s="11" t="inlineStr">
        <is>
          <t>2023-09-13</t>
        </is>
      </c>
      <c r="B264" s="11" t="inlineStr">
        <is>
          <t>中间分位</t>
        </is>
      </c>
      <c r="C264" s="15" t="n">
        <v>0.228</v>
      </c>
      <c r="D264" s="13" t="n">
        <v>-0.012876</v>
      </c>
      <c r="E264" s="13" t="n">
        <v>0.014653</v>
      </c>
      <c r="F264" s="13" t="n">
        <v>-0.027529</v>
      </c>
      <c r="G264" s="13" t="n">
        <v>0.5323</v>
      </c>
      <c r="H264" s="13" t="n">
        <v>0.032351</v>
      </c>
      <c r="I264" s="13" t="n">
        <v>0.026139</v>
      </c>
      <c r="J264" s="13" t="n">
        <v>0.006212</v>
      </c>
      <c r="K264" s="13" t="n">
        <v>0.4469</v>
      </c>
      <c r="L264" s="13" t="n">
        <v>-0.025422</v>
      </c>
      <c r="M264" s="13" t="n">
        <v>-0.019406</v>
      </c>
      <c r="N264" s="13" t="n">
        <v>-0.006016</v>
      </c>
      <c r="O264" s="13" t="n">
        <v>0.4329</v>
      </c>
      <c r="P264" s="13" t="n">
        <v>-0.04094</v>
      </c>
      <c r="Q264" s="13" t="n">
        <v>-0.042772</v>
      </c>
      <c r="R264" s="13" t="n">
        <v>0.001832</v>
      </c>
      <c r="S264" s="13" t="n">
        <v>0.5109</v>
      </c>
      <c r="T264" s="13" t="n">
        <v>-0.04094</v>
      </c>
      <c r="U264" s="13" t="n">
        <v>-0.06099</v>
      </c>
      <c r="V264" s="13" t="n">
        <v>0.02005</v>
      </c>
      <c r="W264" s="13" t="n">
        <v>0.5984</v>
      </c>
      <c r="X264" s="13" t="n">
        <v>0.07824399999999999</v>
      </c>
      <c r="Y264" s="13" t="n">
        <v>0.01703</v>
      </c>
      <c r="Z264" s="13" t="n">
        <v>0.061214</v>
      </c>
      <c r="AA264" s="13" t="n">
        <v>0.1787</v>
      </c>
    </row>
    <row r="265">
      <c r="A265" s="6" t="inlineStr">
        <is>
          <t>2023-09-14</t>
        </is>
      </c>
      <c r="B265" s="6" t="inlineStr">
        <is>
          <t>低分位</t>
        </is>
      </c>
      <c r="C265" s="10" t="n">
        <v>0.06</v>
      </c>
      <c r="D265" s="8" t="n">
        <v>0.01438</v>
      </c>
      <c r="E265" s="8" t="n">
        <v>0.000781</v>
      </c>
      <c r="F265" s="8" t="n">
        <v>0.013599</v>
      </c>
      <c r="G265" s="8" t="n">
        <v>0.0515</v>
      </c>
      <c r="H265" s="8" t="n">
        <v>0.0301</v>
      </c>
      <c r="I265" s="8" t="n">
        <v>-0.005855</v>
      </c>
      <c r="J265" s="8" t="n">
        <v>0.035955</v>
      </c>
      <c r="K265" s="8" t="n">
        <v>0.1628</v>
      </c>
      <c r="L265" s="8" t="n">
        <v>-0.006357</v>
      </c>
      <c r="M265" s="8" t="n">
        <v>-0.035909</v>
      </c>
      <c r="N265" s="8" t="n">
        <v>0.029552</v>
      </c>
      <c r="O265" s="8" t="n">
        <v>0.8496</v>
      </c>
      <c r="P265" s="8" t="n">
        <v>-0.016724</v>
      </c>
      <c r="Q265" s="8" t="n">
        <v>-0.051132</v>
      </c>
      <c r="R265" s="8" t="n">
        <v>0.034408</v>
      </c>
      <c r="S265" s="8" t="n">
        <v>0.7534999999999999</v>
      </c>
      <c r="T265" s="8" t="n">
        <v>-0.028431</v>
      </c>
      <c r="U265" s="8" t="n">
        <v>-0.078454</v>
      </c>
      <c r="V265" s="8" t="n">
        <v>0.050023</v>
      </c>
      <c r="W265" s="8" t="n">
        <v>0.734</v>
      </c>
      <c r="X265" s="8" t="n">
        <v>0.08428099999999999</v>
      </c>
      <c r="Y265" s="8" t="n">
        <v>0.009757999999999999</v>
      </c>
      <c r="Z265" s="8" t="n">
        <v>0.07452300000000001</v>
      </c>
      <c r="AA265" s="8" t="n">
        <v>0.1038</v>
      </c>
    </row>
    <row r="266">
      <c r="A266" s="11" t="inlineStr">
        <is>
          <t>2023-09-15</t>
        </is>
      </c>
      <c r="B266" s="11" t="inlineStr">
        <is>
          <t>中间分位</t>
        </is>
      </c>
      <c r="C266" s="15" t="n">
        <v>0.132</v>
      </c>
      <c r="D266" s="13" t="n">
        <v>0.002967</v>
      </c>
      <c r="E266" s="13" t="n">
        <v>0.023791</v>
      </c>
      <c r="F266" s="13" t="n">
        <v>-0.020824</v>
      </c>
      <c r="G266" s="13" t="n">
        <v>0.8891</v>
      </c>
      <c r="H266" s="13" t="n">
        <v>0.004617</v>
      </c>
      <c r="I266" s="13" t="n">
        <v>-0.008580000000000001</v>
      </c>
      <c r="J266" s="13" t="n">
        <v>0.013197</v>
      </c>
      <c r="K266" s="13" t="n">
        <v>0.6501</v>
      </c>
      <c r="L266" s="13" t="n">
        <v>-0.026706</v>
      </c>
      <c r="M266" s="13" t="n">
        <v>-0.029641</v>
      </c>
      <c r="N266" s="13" t="n">
        <v>0.002935</v>
      </c>
      <c r="O266" s="13" t="n">
        <v>0.526</v>
      </c>
      <c r="P266" s="13" t="n">
        <v>-0.028356</v>
      </c>
      <c r="Q266" s="13" t="n">
        <v>-0.062402</v>
      </c>
      <c r="R266" s="13" t="n">
        <v>0.034046</v>
      </c>
      <c r="S266" s="13" t="n">
        <v>0.6876</v>
      </c>
      <c r="T266" s="13" t="n">
        <v>-0.038576</v>
      </c>
      <c r="U266" s="13" t="n">
        <v>-0.07527300000000001</v>
      </c>
      <c r="V266" s="13" t="n">
        <v>0.036697</v>
      </c>
      <c r="W266" s="13" t="n">
        <v>0.6612</v>
      </c>
      <c r="X266" s="13" t="n">
        <v>0.082425</v>
      </c>
      <c r="Y266" s="13" t="n">
        <v>0.00624</v>
      </c>
      <c r="Z266" s="13" t="n">
        <v>0.076185</v>
      </c>
      <c r="AA266" s="13" t="n">
        <v>0.0704</v>
      </c>
    </row>
    <row r="267">
      <c r="A267" s="6" t="inlineStr">
        <is>
          <t>2023-09-18</t>
        </is>
      </c>
      <c r="B267" s="6" t="inlineStr">
        <is>
          <t>低分位</t>
        </is>
      </c>
      <c r="C267" s="10" t="n">
        <v>0.024</v>
      </c>
      <c r="D267" s="8" t="n">
        <v>0.023996</v>
      </c>
      <c r="E267" s="8" t="n">
        <v>0.003048</v>
      </c>
      <c r="F267" s="8" t="n">
        <v>0.020948</v>
      </c>
      <c r="G267" s="8" t="n">
        <v>0.1127</v>
      </c>
      <c r="H267" s="8" t="n">
        <v>0.000327</v>
      </c>
      <c r="I267" s="8" t="n">
        <v>-0.055238</v>
      </c>
      <c r="J267" s="8" t="n">
        <v>0.055565</v>
      </c>
      <c r="K267" s="8" t="n">
        <v>0.9941</v>
      </c>
      <c r="L267" s="8" t="n">
        <v>-0.014465</v>
      </c>
      <c r="M267" s="8" t="n">
        <v>-0.076571</v>
      </c>
      <c r="N267" s="8" t="n">
        <v>0.062106</v>
      </c>
      <c r="O267" s="8" t="n">
        <v>0.8411</v>
      </c>
      <c r="P267" s="8" t="n">
        <v>-0.03912</v>
      </c>
      <c r="Q267" s="8" t="n">
        <v>-0.089905</v>
      </c>
      <c r="R267" s="8" t="n">
        <v>0.050785</v>
      </c>
      <c r="S267" s="8" t="n">
        <v>0.6968</v>
      </c>
      <c r="T267" s="8" t="n">
        <v>-0.033203</v>
      </c>
      <c r="U267" s="8" t="n">
        <v>-0.092571</v>
      </c>
      <c r="V267" s="8" t="n">
        <v>0.059368</v>
      </c>
      <c r="W267" s="8" t="n">
        <v>0.736</v>
      </c>
      <c r="X267" s="8" t="n">
        <v>0.074292</v>
      </c>
      <c r="Y267" s="8" t="n">
        <v>-0.027048</v>
      </c>
      <c r="Z267" s="8" t="n">
        <v>0.10134</v>
      </c>
      <c r="AA267" s="8" t="n">
        <v>0.2669</v>
      </c>
    </row>
    <row r="268">
      <c r="A268" s="11" t="inlineStr">
        <is>
          <t>2023-09-19</t>
        </is>
      </c>
      <c r="B268" s="11" t="inlineStr">
        <is>
          <t>中间分位</t>
        </is>
      </c>
      <c r="C268" s="15" t="n">
        <v>0.14</v>
      </c>
      <c r="D268" s="13" t="n">
        <v>0.003852</v>
      </c>
      <c r="E268" s="13" t="n">
        <v>-0.015951</v>
      </c>
      <c r="F268" s="13" t="n">
        <v>0.019803</v>
      </c>
      <c r="G268" s="13" t="n">
        <v>0.8055</v>
      </c>
      <c r="H268" s="13" t="n">
        <v>-0.043015</v>
      </c>
      <c r="I268" s="13" t="n">
        <v>-0.066844</v>
      </c>
      <c r="J268" s="13" t="n">
        <v>0.023829</v>
      </c>
      <c r="K268" s="13" t="n">
        <v>0.6085</v>
      </c>
      <c r="L268" s="13" t="n">
        <v>-0.056179</v>
      </c>
      <c r="M268" s="13" t="n">
        <v>-0.067603</v>
      </c>
      <c r="N268" s="13" t="n">
        <v>0.011424</v>
      </c>
      <c r="O268" s="13" t="n">
        <v>0.5461</v>
      </c>
      <c r="P268" s="13" t="n">
        <v>-0.06549000000000001</v>
      </c>
      <c r="Q268" s="13" t="n">
        <v>-0.084314</v>
      </c>
      <c r="R268" s="13" t="n">
        <v>0.018824</v>
      </c>
      <c r="S268" s="13" t="n">
        <v>0.5628</v>
      </c>
      <c r="T268" s="13" t="n">
        <v>-0.053933</v>
      </c>
      <c r="U268" s="13" t="n">
        <v>-0.077098</v>
      </c>
      <c r="V268" s="13" t="n">
        <v>0.023165</v>
      </c>
      <c r="W268" s="13" t="n">
        <v>0.5884</v>
      </c>
      <c r="X268" s="13" t="n">
        <v>0.034671</v>
      </c>
      <c r="Y268" s="13" t="n">
        <v>-0.034182</v>
      </c>
      <c r="Z268" s="13" t="n">
        <v>0.068853</v>
      </c>
      <c r="AA268" s="13" t="n">
        <v>0.4964</v>
      </c>
    </row>
    <row r="269">
      <c r="A269" s="6" t="inlineStr">
        <is>
          <t>2023-09-20</t>
        </is>
      </c>
      <c r="B269" s="6" t="inlineStr">
        <is>
          <t>中间分位</t>
        </is>
      </c>
      <c r="C269" s="10" t="n">
        <v>0.28</v>
      </c>
      <c r="D269" s="8" t="n">
        <v>-0.015028</v>
      </c>
      <c r="E269" s="8" t="n">
        <v>-0.016982</v>
      </c>
      <c r="F269" s="8" t="n">
        <v>0.001954</v>
      </c>
      <c r="G269" s="8" t="n">
        <v>0.5305</v>
      </c>
      <c r="H269" s="8" t="n">
        <v>-0.055963</v>
      </c>
      <c r="I269" s="8" t="n">
        <v>-0.044384</v>
      </c>
      <c r="J269" s="8" t="n">
        <v>-0.011579</v>
      </c>
      <c r="K269" s="8" t="n">
        <v>0.4423</v>
      </c>
      <c r="L269" s="8" t="n">
        <v>-0.050525</v>
      </c>
      <c r="M269" s="8" t="n">
        <v>-0.057121</v>
      </c>
      <c r="N269" s="8" t="n">
        <v>0.006596</v>
      </c>
      <c r="O269" s="8" t="n">
        <v>0.5306</v>
      </c>
      <c r="P269" s="8" t="n">
        <v>-0.063638</v>
      </c>
      <c r="Q269" s="8" t="n">
        <v>-0.072559</v>
      </c>
      <c r="R269" s="8" t="n">
        <v>0.008921</v>
      </c>
      <c r="S269" s="8" t="n">
        <v>0.5328000000000001</v>
      </c>
      <c r="T269" s="8" t="n">
        <v>-0.045091</v>
      </c>
      <c r="U269" s="8" t="n">
        <v>-0.056349</v>
      </c>
      <c r="V269" s="8" t="n">
        <v>0.011258</v>
      </c>
      <c r="W269" s="8" t="n">
        <v>0.5555</v>
      </c>
      <c r="X269" s="8" t="n">
        <v>0.024626</v>
      </c>
      <c r="Y269" s="8" t="n">
        <v>-0.027017</v>
      </c>
      <c r="Z269" s="8" t="n">
        <v>0.051643</v>
      </c>
      <c r="AA269" s="8" t="n">
        <v>0.5231</v>
      </c>
    </row>
    <row r="270">
      <c r="A270" s="11" t="inlineStr">
        <is>
          <t>2023-09-21</t>
        </is>
      </c>
      <c r="B270" s="11" t="inlineStr">
        <is>
          <t>中间分位</t>
        </is>
      </c>
      <c r="C270" s="15" t="n">
        <v>0.296</v>
      </c>
      <c r="D270" s="13" t="n">
        <v>-0.010714</v>
      </c>
      <c r="E270" s="13" t="n">
        <v>-0.001963</v>
      </c>
      <c r="F270" s="13" t="n">
        <v>-0.008751</v>
      </c>
      <c r="G270" s="13" t="n">
        <v>0.1548</v>
      </c>
      <c r="H270" s="13" t="n">
        <v>-0.035392</v>
      </c>
      <c r="I270" s="13" t="n">
        <v>-0.030232</v>
      </c>
      <c r="J270" s="13" t="n">
        <v>-0.00516</v>
      </c>
      <c r="K270" s="13" t="n">
        <v>0.4607</v>
      </c>
      <c r="L270" s="13" t="n">
        <v>-0.033767</v>
      </c>
      <c r="M270" s="13" t="n">
        <v>-0.041618</v>
      </c>
      <c r="N270" s="13" t="n">
        <v>0.007851</v>
      </c>
      <c r="O270" s="13" t="n">
        <v>0.5521</v>
      </c>
      <c r="P270" s="13" t="n">
        <v>-0.053248</v>
      </c>
      <c r="Q270" s="13" t="n">
        <v>-0.043188</v>
      </c>
      <c r="R270" s="13" t="n">
        <v>-0.01006</v>
      </c>
      <c r="S270" s="13" t="n">
        <v>0.4478</v>
      </c>
      <c r="T270" s="13" t="n">
        <v>-0.031496</v>
      </c>
      <c r="U270" s="13" t="n">
        <v>-0.02395</v>
      </c>
      <c r="V270" s="13" t="n">
        <v>-0.007546</v>
      </c>
      <c r="W270" s="13" t="n">
        <v>0.432</v>
      </c>
      <c r="X270" s="13" t="n">
        <v>0.046426</v>
      </c>
      <c r="Y270" s="13" t="n">
        <v>-0.016883</v>
      </c>
      <c r="Z270" s="13" t="n">
        <v>0.063309</v>
      </c>
      <c r="AA270" s="13" t="n">
        <v>0.2667</v>
      </c>
    </row>
    <row r="271">
      <c r="A271" s="6" t="inlineStr">
        <is>
          <t>2023-09-22</t>
        </is>
      </c>
      <c r="B271" s="6" t="inlineStr">
        <is>
          <t>中间分位</t>
        </is>
      </c>
      <c r="C271" s="10" t="n">
        <v>0.212</v>
      </c>
      <c r="D271" s="8" t="n">
        <v>-0.001315</v>
      </c>
      <c r="E271" s="8" t="n">
        <v>-0.02439</v>
      </c>
      <c r="F271" s="8" t="n">
        <v>0.023075</v>
      </c>
      <c r="G271" s="8" t="n">
        <v>0.9488</v>
      </c>
      <c r="H271" s="8" t="n">
        <v>-0.031179</v>
      </c>
      <c r="I271" s="8" t="n">
        <v>-0.021243</v>
      </c>
      <c r="J271" s="8" t="n">
        <v>-0.009936</v>
      </c>
      <c r="K271" s="8" t="n">
        <v>0.4052</v>
      </c>
      <c r="L271" s="8" t="n">
        <v>-0.022976</v>
      </c>
      <c r="M271" s="8" t="n">
        <v>-0.029111</v>
      </c>
      <c r="N271" s="8" t="n">
        <v>0.006135</v>
      </c>
      <c r="O271" s="8" t="n">
        <v>0.5589</v>
      </c>
      <c r="P271" s="8" t="n">
        <v>-0.03676</v>
      </c>
      <c r="Q271" s="8" t="n">
        <v>-0.031865</v>
      </c>
      <c r="R271" s="8" t="n">
        <v>-0.004895</v>
      </c>
      <c r="S271" s="8" t="n">
        <v>0.4643</v>
      </c>
      <c r="T271" s="8" t="n">
        <v>-0.01313</v>
      </c>
      <c r="U271" s="8" t="n">
        <v>-0.038946</v>
      </c>
      <c r="V271" s="8" t="n">
        <v>0.025816</v>
      </c>
      <c r="W271" s="8" t="n">
        <v>0.7479</v>
      </c>
      <c r="X271" s="8" t="n">
        <v>0.04529</v>
      </c>
      <c r="Y271" s="8" t="n">
        <v>-0.022423</v>
      </c>
      <c r="Z271" s="8" t="n">
        <v>0.067713</v>
      </c>
      <c r="AA271" s="8" t="n">
        <v>0.3311</v>
      </c>
    </row>
    <row r="272">
      <c r="A272" s="11" t="inlineStr">
        <is>
          <t>2023-09-25</t>
        </is>
      </c>
      <c r="B272" s="11" t="inlineStr">
        <is>
          <t>中间分位</t>
        </is>
      </c>
      <c r="C272" s="15" t="n">
        <v>0.424</v>
      </c>
      <c r="D272" s="13" t="n">
        <v>-0.020372</v>
      </c>
      <c r="E272" s="13" t="n">
        <v>-0.009273999999999999</v>
      </c>
      <c r="F272" s="13" t="n">
        <v>-0.011098</v>
      </c>
      <c r="G272" s="13" t="n">
        <v>0.3128</v>
      </c>
      <c r="H272" s="13" t="n">
        <v>-0.014788</v>
      </c>
      <c r="I272" s="13" t="n">
        <v>-0.022581</v>
      </c>
      <c r="J272" s="13" t="n">
        <v>0.007793</v>
      </c>
      <c r="K272" s="13" t="n">
        <v>0.6042999999999999</v>
      </c>
      <c r="L272" s="13" t="n">
        <v>-0.009859</v>
      </c>
      <c r="M272" s="13" t="n">
        <v>-0.025806</v>
      </c>
      <c r="N272" s="13" t="n">
        <v>0.015947</v>
      </c>
      <c r="O272" s="13" t="n">
        <v>0.7236</v>
      </c>
      <c r="P272" s="13" t="n">
        <v>-0.030889</v>
      </c>
      <c r="Q272" s="13" t="n">
        <v>-0.021371</v>
      </c>
      <c r="R272" s="13" t="n">
        <v>-0.009518</v>
      </c>
      <c r="S272" s="13" t="n">
        <v>0.4089</v>
      </c>
      <c r="T272" s="13" t="n">
        <v>-0.023661</v>
      </c>
      <c r="U272" s="13" t="n">
        <v>-0.018145</v>
      </c>
      <c r="V272" s="13" t="n">
        <v>-0.005516</v>
      </c>
      <c r="W272" s="13" t="n">
        <v>0.434</v>
      </c>
      <c r="X272" s="13" t="n">
        <v>0.039766</v>
      </c>
      <c r="Y272" s="13" t="n">
        <v>-0.007258</v>
      </c>
      <c r="Z272" s="13" t="n">
        <v>0.047024</v>
      </c>
      <c r="AA272" s="13" t="n">
        <v>0.1543</v>
      </c>
    </row>
    <row r="273">
      <c r="A273" s="6" t="inlineStr">
        <is>
          <t>2023-09-26</t>
        </is>
      </c>
      <c r="B273" s="6" t="inlineStr">
        <is>
          <t>中间分位</t>
        </is>
      </c>
      <c r="C273" s="10" t="n">
        <v>0.332</v>
      </c>
      <c r="D273" s="8" t="n">
        <v>-0.009730000000000001</v>
      </c>
      <c r="E273" s="8" t="n">
        <v>0.007733</v>
      </c>
      <c r="F273" s="8" t="n">
        <v>-0.017463</v>
      </c>
      <c r="G273" s="8" t="n">
        <v>0.4428</v>
      </c>
      <c r="H273" s="8" t="n">
        <v>-0.013755</v>
      </c>
      <c r="I273" s="8" t="n">
        <v>-0.0008140000000000001</v>
      </c>
      <c r="J273" s="8" t="n">
        <v>-0.012941</v>
      </c>
      <c r="K273" s="8" t="n">
        <v>0.0559</v>
      </c>
      <c r="L273" s="8" t="n">
        <v>-0.009730000000000001</v>
      </c>
      <c r="M273" s="8" t="n">
        <v>-0.030525</v>
      </c>
      <c r="N273" s="8" t="n">
        <v>0.020795</v>
      </c>
      <c r="O273" s="8" t="n">
        <v>0.7583</v>
      </c>
      <c r="P273" s="8" t="n">
        <v>-0.021472</v>
      </c>
      <c r="Q273" s="8" t="n">
        <v>-0.018315</v>
      </c>
      <c r="R273" s="8" t="n">
        <v>-0.003157</v>
      </c>
      <c r="S273" s="8" t="n">
        <v>0.4603</v>
      </c>
      <c r="T273" s="8" t="n">
        <v>-0.007383</v>
      </c>
      <c r="U273" s="8" t="n">
        <v>-0.012617</v>
      </c>
      <c r="V273" s="8" t="n">
        <v>0.005234</v>
      </c>
      <c r="W273" s="8" t="n">
        <v>0.6309</v>
      </c>
      <c r="X273" s="8" t="n">
        <v>0.039917</v>
      </c>
      <c r="Y273" s="8" t="n">
        <v>0.013431</v>
      </c>
      <c r="Z273" s="8" t="n">
        <v>0.026486</v>
      </c>
      <c r="AA273" s="8" t="n">
        <v>0.2518</v>
      </c>
    </row>
    <row r="274">
      <c r="A274" s="11" t="inlineStr">
        <is>
          <t>2023-09-27</t>
        </is>
      </c>
      <c r="B274" s="11" t="inlineStr">
        <is>
          <t>中间分位</t>
        </is>
      </c>
      <c r="C274" s="15" t="n">
        <v>0.188</v>
      </c>
      <c r="D274" s="13" t="n">
        <v>0.006435</v>
      </c>
      <c r="E274" s="13" t="n">
        <v>-0.002423</v>
      </c>
      <c r="F274" s="13" t="n">
        <v>0.008858</v>
      </c>
      <c r="G274" s="13" t="n">
        <v>0.2735</v>
      </c>
      <c r="H274" s="13" t="n">
        <v>0.00576</v>
      </c>
      <c r="I274" s="13" t="n">
        <v>-0.013328</v>
      </c>
      <c r="J274" s="13" t="n">
        <v>0.019088</v>
      </c>
      <c r="K274" s="13" t="n">
        <v>0.6982</v>
      </c>
      <c r="L274" s="13" t="n">
        <v>-0.015923</v>
      </c>
      <c r="M274" s="13" t="n">
        <v>-0.023829</v>
      </c>
      <c r="N274" s="13" t="n">
        <v>0.007906</v>
      </c>
      <c r="O274" s="13" t="n">
        <v>0.5994</v>
      </c>
      <c r="P274" s="13" t="n">
        <v>-0.01389</v>
      </c>
      <c r="Q274" s="13" t="n">
        <v>-0.033522</v>
      </c>
      <c r="R274" s="13" t="n">
        <v>0.019632</v>
      </c>
      <c r="S274" s="13" t="n">
        <v>0.707</v>
      </c>
      <c r="T274" s="13" t="n">
        <v>-0.005081</v>
      </c>
      <c r="U274" s="13" t="n">
        <v>-0.011712</v>
      </c>
      <c r="V274" s="13" t="n">
        <v>0.006631</v>
      </c>
      <c r="W274" s="13" t="n">
        <v>0.6974</v>
      </c>
      <c r="X274" s="13" t="n">
        <v>0.054199</v>
      </c>
      <c r="Y274" s="13" t="n">
        <v>0.019386</v>
      </c>
      <c r="Z274" s="13" t="n">
        <v>0.034813</v>
      </c>
      <c r="AA274" s="13" t="n">
        <v>0.2635</v>
      </c>
    </row>
    <row r="275">
      <c r="A275" s="6" t="inlineStr">
        <is>
          <t>2023-09-28</t>
        </is>
      </c>
      <c r="B275" s="6" t="inlineStr">
        <is>
          <t>中间分位</t>
        </is>
      </c>
      <c r="C275" s="10" t="n">
        <v>0.236</v>
      </c>
      <c r="D275" s="8" t="n">
        <v>-0.006394</v>
      </c>
      <c r="E275" s="8" t="n">
        <v>0.007287</v>
      </c>
      <c r="F275" s="8" t="n">
        <v>-0.013681</v>
      </c>
      <c r="G275" s="8" t="n">
        <v>0.5326</v>
      </c>
      <c r="H275" s="8" t="n">
        <v>0.001684</v>
      </c>
      <c r="I275" s="8" t="n">
        <v>-0.011741</v>
      </c>
      <c r="J275" s="8" t="n">
        <v>0.013425</v>
      </c>
      <c r="K275" s="8" t="n">
        <v>0.8746</v>
      </c>
      <c r="L275" s="8" t="n">
        <v>-0.010433</v>
      </c>
      <c r="M275" s="8" t="n">
        <v>-0.015789</v>
      </c>
      <c r="N275" s="8" t="n">
        <v>0.005356</v>
      </c>
      <c r="O275" s="8" t="n">
        <v>0.6021</v>
      </c>
      <c r="P275" s="8" t="n">
        <v>-0.026589</v>
      </c>
      <c r="Q275" s="8" t="n">
        <v>-0.008907</v>
      </c>
      <c r="R275" s="8" t="n">
        <v>-0.017682</v>
      </c>
      <c r="S275" s="8" t="n">
        <v>0.2509</v>
      </c>
      <c r="T275" s="8" t="n">
        <v>-0.007739</v>
      </c>
      <c r="U275" s="8" t="n">
        <v>-0.015789</v>
      </c>
      <c r="V275" s="8" t="n">
        <v>0.00805</v>
      </c>
      <c r="W275" s="8" t="n">
        <v>0.6711</v>
      </c>
      <c r="X275" s="8" t="n">
        <v>0.059576</v>
      </c>
      <c r="Y275" s="8" t="n">
        <v>0.020648</v>
      </c>
      <c r="Z275" s="8" t="n">
        <v>0.038928</v>
      </c>
      <c r="AA275" s="8" t="n">
        <v>0.2574</v>
      </c>
    </row>
    <row r="276">
      <c r="A276" s="11" t="inlineStr">
        <is>
          <t>2023-10-09</t>
        </is>
      </c>
      <c r="B276" s="11" t="inlineStr">
        <is>
          <t>中间分位</t>
        </is>
      </c>
      <c r="C276" s="15" t="n">
        <v>0.148</v>
      </c>
      <c r="D276" s="13" t="n">
        <v>0.015581</v>
      </c>
      <c r="E276" s="13" t="n">
        <v>-0.025723</v>
      </c>
      <c r="F276" s="13" t="n">
        <v>0.041304</v>
      </c>
      <c r="G276" s="13" t="n">
        <v>0.6228</v>
      </c>
      <c r="H276" s="13" t="n">
        <v>0.008467000000000001</v>
      </c>
      <c r="I276" s="13" t="n">
        <v>-0.008038999999999999</v>
      </c>
      <c r="J276" s="13" t="n">
        <v>0.016506</v>
      </c>
      <c r="K276" s="13" t="n">
        <v>0.487</v>
      </c>
      <c r="L276" s="13" t="n">
        <v>-0.001695</v>
      </c>
      <c r="M276" s="13" t="n">
        <v>-0.033762</v>
      </c>
      <c r="N276" s="13" t="n">
        <v>0.032067</v>
      </c>
      <c r="O276" s="13" t="n">
        <v>0.9522</v>
      </c>
      <c r="P276" s="13" t="n">
        <v>-0.000337</v>
      </c>
      <c r="Q276" s="13" t="n">
        <v>-0.003617</v>
      </c>
      <c r="R276" s="13" t="n">
        <v>0.00328</v>
      </c>
      <c r="S276" s="13" t="n">
        <v>0.9147999999999999</v>
      </c>
      <c r="T276" s="13" t="n">
        <v>-0.004065</v>
      </c>
      <c r="U276" s="13" t="n">
        <v>-0.037379</v>
      </c>
      <c r="V276" s="13" t="n">
        <v>0.033314</v>
      </c>
      <c r="W276" s="13" t="n">
        <v>0.9019</v>
      </c>
      <c r="X276" s="13" t="n">
        <v>0.068427</v>
      </c>
      <c r="Y276" s="13" t="n">
        <v>0.011656</v>
      </c>
      <c r="Z276" s="13" t="n">
        <v>0.056771</v>
      </c>
      <c r="AA276" s="13" t="n">
        <v>0.1455</v>
      </c>
    </row>
    <row r="277">
      <c r="A277" s="6" t="inlineStr">
        <is>
          <t>2023-10-10</t>
        </is>
      </c>
      <c r="B277" s="6" t="inlineStr">
        <is>
          <t>中间分位</t>
        </is>
      </c>
      <c r="C277" s="10" t="n">
        <v>0.508</v>
      </c>
      <c r="D277" s="8" t="n">
        <v>-0.019345</v>
      </c>
      <c r="E277" s="8" t="n">
        <v>0.012789</v>
      </c>
      <c r="F277" s="8" t="n">
        <v>-0.032134</v>
      </c>
      <c r="G277" s="8" t="n">
        <v>0.398</v>
      </c>
      <c r="H277" s="8" t="n">
        <v>0.005003</v>
      </c>
      <c r="I277" s="8" t="n">
        <v>-0.0033</v>
      </c>
      <c r="J277" s="8" t="n">
        <v>0.008303</v>
      </c>
      <c r="K277" s="8" t="n">
        <v>0.3974</v>
      </c>
      <c r="L277" s="8" t="n">
        <v>-0.025017</v>
      </c>
      <c r="M277" s="8" t="n">
        <v>-0.014439</v>
      </c>
      <c r="N277" s="8" t="n">
        <v>-0.010578</v>
      </c>
      <c r="O277" s="8" t="n">
        <v>0.366</v>
      </c>
      <c r="P277" s="8" t="n">
        <v>-0.006668</v>
      </c>
      <c r="Q277" s="8" t="n">
        <v>0.02104</v>
      </c>
      <c r="R277" s="8" t="n">
        <v>-0.027708</v>
      </c>
      <c r="S277" s="8" t="n">
        <v>0.7593</v>
      </c>
      <c r="T277" s="8" t="n">
        <v>-0.031353</v>
      </c>
      <c r="U277" s="8" t="n">
        <v>-0.008251</v>
      </c>
      <c r="V277" s="8" t="n">
        <v>-0.023102</v>
      </c>
      <c r="W277" s="8" t="n">
        <v>0.2083</v>
      </c>
      <c r="X277" s="8" t="n">
        <v>0.047031</v>
      </c>
      <c r="Y277" s="8" t="n">
        <v>0.028465</v>
      </c>
      <c r="Z277" s="8" t="n">
        <v>0.018566</v>
      </c>
      <c r="AA277" s="8" t="n">
        <v>0.377</v>
      </c>
    </row>
    <row r="278">
      <c r="A278" s="11" t="inlineStr">
        <is>
          <t>2023-10-11</t>
        </is>
      </c>
      <c r="B278" s="11" t="inlineStr">
        <is>
          <t>中间分位</t>
        </is>
      </c>
      <c r="C278" s="15" t="n">
        <v>0.204</v>
      </c>
      <c r="D278" s="13" t="n">
        <v>0.009865000000000001</v>
      </c>
      <c r="E278" s="13" t="n">
        <v>-0.004888</v>
      </c>
      <c r="F278" s="13" t="n">
        <v>0.014753</v>
      </c>
      <c r="G278" s="13" t="n">
        <v>0.3313</v>
      </c>
      <c r="H278" s="13" t="n">
        <v>0.004082</v>
      </c>
      <c r="I278" s="13" t="n">
        <v>-0.029735</v>
      </c>
      <c r="J278" s="13" t="n">
        <v>0.033817</v>
      </c>
      <c r="K278" s="13" t="n">
        <v>0.8793</v>
      </c>
      <c r="L278" s="13" t="n">
        <v>-0.009865000000000001</v>
      </c>
      <c r="M278" s="13" t="n">
        <v>-0.017923</v>
      </c>
      <c r="N278" s="13" t="n">
        <v>0.008057999999999999</v>
      </c>
      <c r="O278" s="13" t="n">
        <v>0.645</v>
      </c>
      <c r="P278" s="13" t="n">
        <v>0.014286</v>
      </c>
      <c r="Q278" s="13" t="n">
        <v>0.024033</v>
      </c>
      <c r="R278" s="13" t="n">
        <v>-0.009747</v>
      </c>
      <c r="S278" s="13" t="n">
        <v>0.6272</v>
      </c>
      <c r="T278" s="13" t="n">
        <v>-0.011224</v>
      </c>
      <c r="U278" s="13" t="n">
        <v>-0.027699</v>
      </c>
      <c r="V278" s="13" t="n">
        <v>0.016475</v>
      </c>
      <c r="W278" s="13" t="n">
        <v>0.7116</v>
      </c>
      <c r="X278" s="13" t="n">
        <v>0.053061</v>
      </c>
      <c r="Y278" s="13" t="n">
        <v>0.009776</v>
      </c>
      <c r="Z278" s="13" t="n">
        <v>0.043285</v>
      </c>
      <c r="AA278" s="13" t="n">
        <v>0.1556</v>
      </c>
    </row>
    <row r="279">
      <c r="A279" s="6" t="inlineStr">
        <is>
          <t>2023-10-12</t>
        </is>
      </c>
      <c r="B279" s="6" t="inlineStr">
        <is>
          <t>中间分位</t>
        </is>
      </c>
      <c r="C279" s="10" t="n">
        <v>0.36</v>
      </c>
      <c r="D279" s="8" t="n">
        <v>0.002356</v>
      </c>
      <c r="E279" s="8" t="n">
        <v>-0.000819</v>
      </c>
      <c r="F279" s="8" t="n">
        <v>0.003175</v>
      </c>
      <c r="G279" s="8" t="n">
        <v>0.258</v>
      </c>
      <c r="H279" s="8" t="n">
        <v>-0.021559</v>
      </c>
      <c r="I279" s="8" t="n">
        <v>-0.010643</v>
      </c>
      <c r="J279" s="8" t="n">
        <v>-0.010916</v>
      </c>
      <c r="K279" s="8" t="n">
        <v>0.3305</v>
      </c>
      <c r="L279" s="8" t="n">
        <v>-0.013811</v>
      </c>
      <c r="M279" s="8" t="n">
        <v>-0.016373</v>
      </c>
      <c r="N279" s="8" t="n">
        <v>0.002562</v>
      </c>
      <c r="O279" s="8" t="n">
        <v>0.5424</v>
      </c>
      <c r="P279" s="8" t="n">
        <v>0.018523</v>
      </c>
      <c r="Q279" s="8" t="n">
        <v>0.026607</v>
      </c>
      <c r="R279" s="8" t="n">
        <v>-0.008083999999999999</v>
      </c>
      <c r="S279" s="8" t="n">
        <v>0.5896</v>
      </c>
      <c r="T279" s="8" t="n">
        <v>-0.024251</v>
      </c>
      <c r="U279" s="8" t="n">
        <v>-0.023332</v>
      </c>
      <c r="V279" s="8" t="n">
        <v>-0.000919</v>
      </c>
      <c r="W279" s="8" t="n">
        <v>0.4903</v>
      </c>
      <c r="X279" s="8" t="n">
        <v>0.028963</v>
      </c>
      <c r="Y279" s="8" t="n">
        <v>0.031519</v>
      </c>
      <c r="Z279" s="8" t="n">
        <v>-0.002556</v>
      </c>
      <c r="AA279" s="8" t="n">
        <v>0.5211</v>
      </c>
    </row>
    <row r="280">
      <c r="A280" s="11" t="inlineStr">
        <is>
          <t>2023-10-13</t>
        </is>
      </c>
      <c r="B280" s="11" t="inlineStr">
        <is>
          <t>中间分位</t>
        </is>
      </c>
      <c r="C280" s="15" t="n">
        <v>0.376</v>
      </c>
      <c r="D280" s="13" t="n">
        <v>0.000335</v>
      </c>
      <c r="E280" s="13" t="n">
        <v>0.011061</v>
      </c>
      <c r="F280" s="13" t="n">
        <v>-0.010726</v>
      </c>
      <c r="G280" s="13" t="n">
        <v>0.9706</v>
      </c>
      <c r="H280" s="13" t="n">
        <v>-0.012097</v>
      </c>
      <c r="I280" s="13" t="n">
        <v>-0.004097</v>
      </c>
      <c r="J280" s="13" t="n">
        <v>-0.008</v>
      </c>
      <c r="K280" s="13" t="n">
        <v>0.253</v>
      </c>
      <c r="L280" s="13" t="n">
        <v>-0.020161</v>
      </c>
      <c r="M280" s="13" t="n">
        <v>-0.001639</v>
      </c>
      <c r="N280" s="13" t="n">
        <v>-0.018522</v>
      </c>
      <c r="O280" s="13" t="n">
        <v>0.0752</v>
      </c>
      <c r="P280" s="13" t="n">
        <v>0.010415</v>
      </c>
      <c r="Q280" s="13" t="n">
        <v>0.018845</v>
      </c>
      <c r="R280" s="13" t="n">
        <v>-0.00843</v>
      </c>
      <c r="S280" s="13" t="n">
        <v>0.6441</v>
      </c>
      <c r="T280" s="13" t="n">
        <v>-0.02856</v>
      </c>
      <c r="U280" s="13" t="n">
        <v>-0.022122</v>
      </c>
      <c r="V280" s="13" t="n">
        <v>-0.006438</v>
      </c>
      <c r="W280" s="13" t="n">
        <v>0.4365</v>
      </c>
      <c r="X280" s="13" t="n">
        <v>0.036964</v>
      </c>
      <c r="Y280" s="13" t="n">
        <v>0.011061</v>
      </c>
      <c r="Z280" s="13" t="n">
        <v>0.025903</v>
      </c>
      <c r="AA280" s="13" t="n">
        <v>0.2303</v>
      </c>
    </row>
    <row r="281">
      <c r="A281" s="6" t="inlineStr">
        <is>
          <t>2023-10-16</t>
        </is>
      </c>
      <c r="B281" s="6" t="inlineStr">
        <is>
          <t>中间分位</t>
        </is>
      </c>
      <c r="C281" s="10" t="n">
        <v>0.272</v>
      </c>
      <c r="D281" s="8" t="n">
        <v>0.012093</v>
      </c>
      <c r="E281" s="8" t="n">
        <v>-0.02107</v>
      </c>
      <c r="F281" s="8" t="n">
        <v>0.033163</v>
      </c>
      <c r="G281" s="8" t="n">
        <v>0.6353</v>
      </c>
      <c r="H281" s="8" t="n">
        <v>-0.010077</v>
      </c>
      <c r="I281" s="8" t="n">
        <v>-0.025932</v>
      </c>
      <c r="J281" s="8" t="n">
        <v>0.015855</v>
      </c>
      <c r="K281" s="8" t="n">
        <v>0.7202</v>
      </c>
      <c r="L281" s="8" t="n">
        <v>-0.014108</v>
      </c>
      <c r="M281" s="8" t="n">
        <v>-0.002836</v>
      </c>
      <c r="N281" s="8" t="n">
        <v>-0.011272</v>
      </c>
      <c r="O281" s="8" t="n">
        <v>0.1674</v>
      </c>
      <c r="P281" s="8" t="n">
        <v>0.002015</v>
      </c>
      <c r="Q281" s="8" t="n">
        <v>-0.004862</v>
      </c>
      <c r="R281" s="8" t="n">
        <v>0.006877</v>
      </c>
      <c r="S281" s="8" t="n">
        <v>0.707</v>
      </c>
      <c r="T281" s="8" t="n">
        <v>-0.023178</v>
      </c>
      <c r="U281" s="8" t="n">
        <v>-0.034036</v>
      </c>
      <c r="V281" s="8" t="n">
        <v>0.010858</v>
      </c>
      <c r="W281" s="8" t="n">
        <v>0.5949</v>
      </c>
      <c r="X281" s="8" t="n">
        <v>0.039975</v>
      </c>
      <c r="Y281" s="8" t="n">
        <v>0.003241</v>
      </c>
      <c r="Z281" s="8" t="n">
        <v>0.036734</v>
      </c>
      <c r="AA281" s="8" t="n">
        <v>0.075</v>
      </c>
    </row>
    <row r="282">
      <c r="A282" s="11" t="inlineStr">
        <is>
          <t>2023-10-17</t>
        </is>
      </c>
      <c r="B282" s="11" t="inlineStr">
        <is>
          <t>中间分位</t>
        </is>
      </c>
      <c r="C282" s="15" t="n">
        <v>0.622</v>
      </c>
      <c r="D282" s="13" t="n">
        <v>-0.020244</v>
      </c>
      <c r="E282" s="13" t="n">
        <v>-0.014073</v>
      </c>
      <c r="F282" s="13" t="n">
        <v>-0.006171</v>
      </c>
      <c r="G282" s="13" t="n">
        <v>0.4101</v>
      </c>
      <c r="H282" s="13" t="n">
        <v>-0.029871</v>
      </c>
      <c r="I282" s="13" t="n">
        <v>-0.011175</v>
      </c>
      <c r="J282" s="13" t="n">
        <v>-0.018696</v>
      </c>
      <c r="K282" s="13" t="n">
        <v>0.2723</v>
      </c>
      <c r="L282" s="13" t="n">
        <v>-0.02124</v>
      </c>
      <c r="M282" s="13" t="n">
        <v>0.004553</v>
      </c>
      <c r="N282" s="13" t="n">
        <v>-0.025793</v>
      </c>
      <c r="O282" s="13" t="n">
        <v>0.1765</v>
      </c>
      <c r="P282" s="13" t="n">
        <v>-0.019914</v>
      </c>
      <c r="Q282" s="13" t="n">
        <v>0.017384</v>
      </c>
      <c r="R282" s="13" t="n">
        <v>-0.037298</v>
      </c>
      <c r="S282" s="13" t="n">
        <v>0.4661</v>
      </c>
      <c r="T282" s="13" t="n">
        <v>-0.030532</v>
      </c>
      <c r="U282" s="13" t="n">
        <v>-0.048427</v>
      </c>
      <c r="V282" s="13" t="n">
        <v>0.017895</v>
      </c>
      <c r="W282" s="13" t="n">
        <v>0.6133</v>
      </c>
      <c r="X282" s="13" t="n">
        <v>0.027549</v>
      </c>
      <c r="Y282" s="13" t="n">
        <v>0.04346</v>
      </c>
      <c r="Z282" s="13" t="n">
        <v>-0.015911</v>
      </c>
      <c r="AA282" s="13" t="n">
        <v>0.612</v>
      </c>
    </row>
    <row r="283">
      <c r="A283" s="6" t="inlineStr">
        <is>
          <t>2023-10-18</t>
        </is>
      </c>
      <c r="B283" s="6" t="inlineStr">
        <is>
          <t>中间分位</t>
        </is>
      </c>
      <c r="C283" s="10" t="n">
        <v>0.536</v>
      </c>
      <c r="D283" s="8" t="n">
        <v>-0.015923</v>
      </c>
      <c r="E283" s="8" t="n">
        <v>0.014694</v>
      </c>
      <c r="F283" s="8" t="n">
        <v>-0.030617</v>
      </c>
      <c r="G283" s="8" t="n">
        <v>0.4799</v>
      </c>
      <c r="H283" s="8" t="n">
        <v>-0.01389</v>
      </c>
      <c r="I283" s="8" t="n">
        <v>0.012175</v>
      </c>
      <c r="J283" s="8" t="n">
        <v>-0.026065</v>
      </c>
      <c r="K283" s="8" t="n">
        <v>0.4671</v>
      </c>
      <c r="L283" s="8" t="n">
        <v>-0.011858</v>
      </c>
      <c r="M283" s="8" t="n">
        <v>0.012594</v>
      </c>
      <c r="N283" s="8" t="n">
        <v>-0.024452</v>
      </c>
      <c r="O283" s="8" t="n">
        <v>0.515</v>
      </c>
      <c r="P283" s="8" t="n">
        <v>0.00237</v>
      </c>
      <c r="Q283" s="8" t="n">
        <v>0.043241</v>
      </c>
      <c r="R283" s="8" t="n">
        <v>-0.040871</v>
      </c>
      <c r="S283" s="8" t="n">
        <v>0.948</v>
      </c>
      <c r="T283" s="8" t="n">
        <v>-0.036585</v>
      </c>
      <c r="U283" s="8" t="n">
        <v>-0.018892</v>
      </c>
      <c r="V283" s="8" t="n">
        <v>-0.017693</v>
      </c>
      <c r="W283" s="8" t="n">
        <v>0.3405</v>
      </c>
      <c r="X283" s="8" t="n">
        <v>0.075541</v>
      </c>
      <c r="Y283" s="8" t="n">
        <v>0.054996</v>
      </c>
      <c r="Z283" s="8" t="n">
        <v>0.020545</v>
      </c>
      <c r="AA283" s="8" t="n">
        <v>0.4213</v>
      </c>
    </row>
    <row r="284">
      <c r="A284" s="11" t="inlineStr">
        <is>
          <t>2023-10-19</t>
        </is>
      </c>
      <c r="B284" s="11" t="inlineStr">
        <is>
          <t>中间分位</t>
        </is>
      </c>
      <c r="C284" s="15" t="n">
        <v>0.24</v>
      </c>
      <c r="D284" s="13" t="n">
        <v>0.01205</v>
      </c>
      <c r="E284" s="13" t="n">
        <v>0.005792</v>
      </c>
      <c r="F284" s="13" t="n">
        <v>0.006258</v>
      </c>
      <c r="G284" s="13" t="n">
        <v>0.3246</v>
      </c>
      <c r="H284" s="13" t="n">
        <v>0.007919000000000001</v>
      </c>
      <c r="I284" s="13" t="n">
        <v>-0.005792</v>
      </c>
      <c r="J284" s="13" t="n">
        <v>0.013711</v>
      </c>
      <c r="K284" s="13" t="n">
        <v>0.4224</v>
      </c>
      <c r="L284" s="13" t="n">
        <v>0.002065</v>
      </c>
      <c r="M284" s="13" t="n">
        <v>-0.00993</v>
      </c>
      <c r="N284" s="13" t="n">
        <v>0.011995</v>
      </c>
      <c r="O284" s="13" t="n">
        <v>0.8278</v>
      </c>
      <c r="P284" s="13" t="n">
        <v>0.026507</v>
      </c>
      <c r="Q284" s="13" t="n">
        <v>0.033513</v>
      </c>
      <c r="R284" s="13" t="n">
        <v>-0.007006</v>
      </c>
      <c r="S284" s="13" t="n">
        <v>0.5584</v>
      </c>
      <c r="T284" s="13" t="n">
        <v>-0.002065</v>
      </c>
      <c r="U284" s="13" t="n">
        <v>-0.030616</v>
      </c>
      <c r="V284" s="13" t="n">
        <v>0.028551</v>
      </c>
      <c r="W284" s="13" t="n">
        <v>0.9368</v>
      </c>
      <c r="X284" s="13" t="n">
        <v>0.090535</v>
      </c>
      <c r="Y284" s="13" t="n">
        <v>0.045511</v>
      </c>
      <c r="Z284" s="13" t="n">
        <v>0.045024</v>
      </c>
      <c r="AA284" s="13" t="n">
        <v>0.3345</v>
      </c>
    </row>
    <row r="285">
      <c r="A285" s="6" t="inlineStr">
        <is>
          <t>2023-10-20</t>
        </is>
      </c>
      <c r="B285" s="6" t="inlineStr">
        <is>
          <t>中间分位</t>
        </is>
      </c>
      <c r="C285" s="10" t="n">
        <v>0.304</v>
      </c>
      <c r="D285" s="8" t="n">
        <v>0.00238</v>
      </c>
      <c r="E285" s="8" t="n">
        <v>-0.011107</v>
      </c>
      <c r="F285" s="8" t="n">
        <v>0.013487</v>
      </c>
      <c r="G285" s="8" t="n">
        <v>0.8235</v>
      </c>
      <c r="H285" s="8" t="n">
        <v>-0.008163</v>
      </c>
      <c r="I285" s="8" t="n">
        <v>0.002468</v>
      </c>
      <c r="J285" s="8" t="n">
        <v>-0.010631</v>
      </c>
      <c r="K285" s="8" t="n">
        <v>0.2322</v>
      </c>
      <c r="L285" s="8" t="n">
        <v>-0.016327</v>
      </c>
      <c r="M285" s="8" t="n">
        <v>0.006993</v>
      </c>
      <c r="N285" s="8" t="n">
        <v>-0.02332</v>
      </c>
      <c r="O285" s="8" t="n">
        <v>0.2999</v>
      </c>
      <c r="P285" s="8" t="n">
        <v>0.018706</v>
      </c>
      <c r="Q285" s="8" t="n">
        <v>0.027972</v>
      </c>
      <c r="R285" s="8" t="n">
        <v>-0.009266</v>
      </c>
      <c r="S285" s="8" t="n">
        <v>0.5993000000000001</v>
      </c>
      <c r="T285" s="8" t="n">
        <v>-0.013947</v>
      </c>
      <c r="U285" s="8" t="n">
        <v>-0.026327</v>
      </c>
      <c r="V285" s="8" t="n">
        <v>0.01238</v>
      </c>
      <c r="W285" s="8" t="n">
        <v>0.6536999999999999</v>
      </c>
      <c r="X285" s="8" t="n">
        <v>0.085714</v>
      </c>
      <c r="Y285" s="8" t="n">
        <v>0.052242</v>
      </c>
      <c r="Z285" s="8" t="n">
        <v>0.033472</v>
      </c>
      <c r="AA285" s="8" t="n">
        <v>0.3787</v>
      </c>
    </row>
    <row r="286">
      <c r="A286" s="11" t="inlineStr">
        <is>
          <t>2023-10-23</t>
        </is>
      </c>
      <c r="B286" s="11" t="inlineStr">
        <is>
          <t>中间分位</t>
        </is>
      </c>
      <c r="C286" s="15" t="n">
        <v>0.432</v>
      </c>
      <c r="D286" s="13" t="n">
        <v>-0.008144</v>
      </c>
      <c r="E286" s="13" t="n">
        <v>-0.00624</v>
      </c>
      <c r="F286" s="13" t="n">
        <v>-0.001904</v>
      </c>
      <c r="G286" s="13" t="n">
        <v>0.4338</v>
      </c>
      <c r="H286" s="13" t="n">
        <v>-0.004072</v>
      </c>
      <c r="I286" s="13" t="n">
        <v>0.02371</v>
      </c>
      <c r="J286" s="13" t="n">
        <v>-0.027782</v>
      </c>
      <c r="K286" s="13" t="n">
        <v>0.8534</v>
      </c>
      <c r="L286" s="13" t="n">
        <v>0.00136</v>
      </c>
      <c r="M286" s="13" t="n">
        <v>0.031198</v>
      </c>
      <c r="N286" s="13" t="n">
        <v>-0.029838</v>
      </c>
      <c r="O286" s="13" t="n">
        <v>0.9582000000000001</v>
      </c>
      <c r="P286" s="13" t="n">
        <v>0.013914</v>
      </c>
      <c r="Q286" s="13" t="n">
        <v>0.017887</v>
      </c>
      <c r="R286" s="13" t="n">
        <v>-0.003973</v>
      </c>
      <c r="S286" s="13" t="n">
        <v>0.5625</v>
      </c>
      <c r="T286" s="13" t="n">
        <v>0.004414</v>
      </c>
      <c r="U286" s="13" t="n">
        <v>-0.020799</v>
      </c>
      <c r="V286" s="13" t="n">
        <v>0.025213</v>
      </c>
      <c r="W286" s="13" t="n">
        <v>0.8249</v>
      </c>
      <c r="X286" s="13" t="n">
        <v>0.09603299999999999</v>
      </c>
      <c r="Y286" s="13" t="n">
        <v>0.072795</v>
      </c>
      <c r="Z286" s="13" t="n">
        <v>0.023238</v>
      </c>
      <c r="AA286" s="13" t="n">
        <v>0.4312</v>
      </c>
    </row>
    <row r="287">
      <c r="A287" s="6" t="inlineStr">
        <is>
          <t>2023-10-24</t>
        </is>
      </c>
      <c r="B287" s="6" t="inlineStr">
        <is>
          <t>中间分位</t>
        </is>
      </c>
      <c r="C287" s="10" t="n">
        <v>0.424</v>
      </c>
      <c r="D287" s="8" t="n">
        <v>-0.004105</v>
      </c>
      <c r="E287" s="8" t="n">
        <v>0.009209</v>
      </c>
      <c r="F287" s="8" t="n">
        <v>-0.013314</v>
      </c>
      <c r="G287" s="8" t="n">
        <v>0.6917</v>
      </c>
      <c r="H287" s="8" t="n">
        <v>0.008895999999999999</v>
      </c>
      <c r="I287" s="8" t="n">
        <v>0.015906</v>
      </c>
      <c r="J287" s="8" t="n">
        <v>-0.00701</v>
      </c>
      <c r="K287" s="8" t="n">
        <v>0.6413</v>
      </c>
      <c r="L287" s="8" t="n">
        <v>0.018819</v>
      </c>
      <c r="M287" s="8" t="n">
        <v>0.035998</v>
      </c>
      <c r="N287" s="8" t="n">
        <v>-0.017179</v>
      </c>
      <c r="O287" s="8" t="n">
        <v>0.6567</v>
      </c>
      <c r="P287" s="8" t="n">
        <v>0.005817</v>
      </c>
      <c r="Q287" s="8" t="n">
        <v>-0.000419</v>
      </c>
      <c r="R287" s="8" t="n">
        <v>0.006236</v>
      </c>
      <c r="S287" s="8" t="n">
        <v>0.0672</v>
      </c>
      <c r="T287" s="8" t="n">
        <v>-0.001367</v>
      </c>
      <c r="U287" s="8" t="n">
        <v>-0.021766</v>
      </c>
      <c r="V287" s="8" t="n">
        <v>0.020399</v>
      </c>
      <c r="W287" s="8" t="n">
        <v>0.9409</v>
      </c>
      <c r="X287" s="8" t="n">
        <v>0.113924</v>
      </c>
      <c r="Y287" s="8" t="n">
        <v>0.070741</v>
      </c>
      <c r="Z287" s="8" t="n">
        <v>0.043183</v>
      </c>
      <c r="AA287" s="8" t="n">
        <v>0.3831</v>
      </c>
    </row>
    <row r="288">
      <c r="A288" s="11" t="inlineStr">
        <is>
          <t>2023-10-25</t>
        </is>
      </c>
      <c r="B288" s="11" t="inlineStr">
        <is>
          <t>中间分位</t>
        </is>
      </c>
      <c r="C288" s="15" t="n">
        <v>0.292</v>
      </c>
      <c r="D288" s="13" t="n">
        <v>0.005841</v>
      </c>
      <c r="E288" s="13" t="n">
        <v>-0.003318</v>
      </c>
      <c r="F288" s="13" t="n">
        <v>0.009159</v>
      </c>
      <c r="G288" s="13" t="n">
        <v>0.3623</v>
      </c>
      <c r="H288" s="13" t="n">
        <v>0.002061</v>
      </c>
      <c r="I288" s="13" t="n">
        <v>0.000415</v>
      </c>
      <c r="J288" s="13" t="n">
        <v>0.001646</v>
      </c>
      <c r="K288" s="13" t="n">
        <v>0.1676</v>
      </c>
      <c r="L288" s="13" t="n">
        <v>0.024392</v>
      </c>
      <c r="M288" s="13" t="n">
        <v>0.042721</v>
      </c>
      <c r="N288" s="13" t="n">
        <v>-0.018329</v>
      </c>
      <c r="O288" s="13" t="n">
        <v>0.6366000000000001</v>
      </c>
      <c r="P288" s="13" t="n">
        <v>-0.012709</v>
      </c>
      <c r="Q288" s="13" t="n">
        <v>-0.006221</v>
      </c>
      <c r="R288" s="13" t="n">
        <v>-0.006488</v>
      </c>
      <c r="S288" s="13" t="n">
        <v>0.3286</v>
      </c>
      <c r="T288" s="13" t="n">
        <v>-0.002403</v>
      </c>
      <c r="U288" s="13" t="n">
        <v>-0.016591</v>
      </c>
      <c r="V288" s="13" t="n">
        <v>0.014188</v>
      </c>
      <c r="W288" s="13" t="n">
        <v>0.8735000000000001</v>
      </c>
      <c r="X288" s="13" t="n">
        <v>0.119547</v>
      </c>
      <c r="Y288" s="13" t="n">
        <v>0.039403</v>
      </c>
      <c r="Z288" s="13" t="n">
        <v>0.08014400000000001</v>
      </c>
      <c r="AA288" s="13" t="n">
        <v>0.2479</v>
      </c>
    </row>
    <row r="289">
      <c r="A289" s="6" t="inlineStr">
        <is>
          <t>2023-10-26</t>
        </is>
      </c>
      <c r="B289" s="6" t="inlineStr">
        <is>
          <t>中间分位</t>
        </is>
      </c>
      <c r="C289" s="10" t="n">
        <v>0.388</v>
      </c>
      <c r="D289" s="8" t="n">
        <v>-0.004098</v>
      </c>
      <c r="E289" s="8" t="n">
        <v>0.014149</v>
      </c>
      <c r="F289" s="8" t="n">
        <v>-0.018247</v>
      </c>
      <c r="G289" s="8" t="n">
        <v>0.7754</v>
      </c>
      <c r="H289" s="8" t="n">
        <v>-0.005807</v>
      </c>
      <c r="I289" s="8" t="n">
        <v>-0.004161</v>
      </c>
      <c r="J289" s="8" t="n">
        <v>-0.001646</v>
      </c>
      <c r="K289" s="8" t="n">
        <v>0.4174</v>
      </c>
      <c r="L289" s="8" t="n">
        <v>0.032787</v>
      </c>
      <c r="M289" s="8" t="n">
        <v>0.043695</v>
      </c>
      <c r="N289" s="8" t="n">
        <v>-0.010908</v>
      </c>
      <c r="O289" s="8" t="n">
        <v>0.5713</v>
      </c>
      <c r="P289" s="8" t="n">
        <v>-0.015709</v>
      </c>
      <c r="Q289" s="8" t="n">
        <v>-0.022472</v>
      </c>
      <c r="R289" s="8" t="n">
        <v>0.006763</v>
      </c>
      <c r="S289" s="8" t="n">
        <v>0.5886</v>
      </c>
      <c r="T289" s="8" t="n">
        <v>0.003074</v>
      </c>
      <c r="U289" s="8" t="n">
        <v>-0.02164</v>
      </c>
      <c r="V289" s="8" t="n">
        <v>0.024714</v>
      </c>
      <c r="W289" s="8" t="n">
        <v>0.8756</v>
      </c>
      <c r="X289" s="8" t="n">
        <v>0.106557</v>
      </c>
      <c r="Y289" s="8" t="n">
        <v>0.044944</v>
      </c>
      <c r="Z289" s="8" t="n">
        <v>0.061613</v>
      </c>
      <c r="AA289" s="8" t="n">
        <v>0.2967</v>
      </c>
    </row>
    <row r="290">
      <c r="A290" s="11" t="inlineStr">
        <is>
          <t>2023-10-27</t>
        </is>
      </c>
      <c r="B290" s="11" t="inlineStr">
        <is>
          <t>中间分位</t>
        </is>
      </c>
      <c r="C290" s="15" t="n">
        <v>0.2</v>
      </c>
      <c r="D290" s="13" t="n">
        <v>0.006514</v>
      </c>
      <c r="E290" s="13" t="n">
        <v>0.009848000000000001</v>
      </c>
      <c r="F290" s="13" t="n">
        <v>-0.003334</v>
      </c>
      <c r="G290" s="13" t="n">
        <v>0.6019</v>
      </c>
      <c r="H290" s="13" t="n">
        <v>-0.008229999999999999</v>
      </c>
      <c r="I290" s="13" t="n">
        <v>0.004514</v>
      </c>
      <c r="J290" s="13" t="n">
        <v>-0.012744</v>
      </c>
      <c r="K290" s="13" t="n">
        <v>0.3542</v>
      </c>
      <c r="L290" s="13" t="n">
        <v>0.031206</v>
      </c>
      <c r="M290" s="13" t="n">
        <v>0.020517</v>
      </c>
      <c r="N290" s="13" t="n">
        <v>0.010689</v>
      </c>
      <c r="O290" s="13" t="n">
        <v>0.3967</v>
      </c>
      <c r="P290" s="13" t="n">
        <v>-0.026407</v>
      </c>
      <c r="Q290" s="13" t="n">
        <v>-0.018465</v>
      </c>
      <c r="R290" s="13" t="n">
        <v>-0.007941999999999999</v>
      </c>
      <c r="S290" s="13" t="n">
        <v>0.4115</v>
      </c>
      <c r="T290" s="13" t="n">
        <v>0.006173</v>
      </c>
      <c r="U290" s="13" t="n">
        <v>-0.015593</v>
      </c>
      <c r="V290" s="13" t="n">
        <v>0.021766</v>
      </c>
      <c r="W290" s="13" t="n">
        <v>0.7164</v>
      </c>
      <c r="X290" s="13" t="n">
        <v>0.090535</v>
      </c>
      <c r="Y290" s="13" t="n">
        <v>0.023389</v>
      </c>
      <c r="Z290" s="13" t="n">
        <v>0.067146</v>
      </c>
      <c r="AA290" s="13" t="n">
        <v>0.2053</v>
      </c>
    </row>
    <row r="291">
      <c r="A291" s="6" t="inlineStr">
        <is>
          <t>2023-10-30</t>
        </is>
      </c>
      <c r="B291" s="6" t="inlineStr">
        <is>
          <t>中间分位</t>
        </is>
      </c>
      <c r="C291" s="10" t="n">
        <v>0.196</v>
      </c>
      <c r="D291" s="8" t="n">
        <v>0.004771</v>
      </c>
      <c r="E291" s="8" t="n">
        <v>-0.013816</v>
      </c>
      <c r="F291" s="8" t="n">
        <v>0.018587</v>
      </c>
      <c r="G291" s="8" t="n">
        <v>0.7433</v>
      </c>
      <c r="H291" s="8" t="n">
        <v>0.005454</v>
      </c>
      <c r="I291" s="8" t="n">
        <v>0.007314</v>
      </c>
      <c r="J291" s="8" t="n">
        <v>-0.00186</v>
      </c>
      <c r="K291" s="8" t="n">
        <v>0.5728</v>
      </c>
      <c r="L291" s="8" t="n">
        <v>0.016354</v>
      </c>
      <c r="M291" s="8" t="n">
        <v>-0.002032</v>
      </c>
      <c r="N291" s="8" t="n">
        <v>0.018386</v>
      </c>
      <c r="O291" s="8" t="n">
        <v>0.1105</v>
      </c>
      <c r="P291" s="8" t="n">
        <v>-0.018399</v>
      </c>
      <c r="Q291" s="8" t="n">
        <v>-0.015441</v>
      </c>
      <c r="R291" s="8" t="n">
        <v>-0.002958</v>
      </c>
      <c r="S291" s="8" t="n">
        <v>0.4563</v>
      </c>
      <c r="T291" s="8" t="n">
        <v>0.025554</v>
      </c>
      <c r="U291" s="8" t="n">
        <v>-0.021942</v>
      </c>
      <c r="V291" s="8" t="n">
        <v>0.047496</v>
      </c>
      <c r="W291" s="8" t="n">
        <v>0.462</v>
      </c>
      <c r="X291" s="8" t="n">
        <v>0.067805</v>
      </c>
      <c r="Y291" s="8" t="n">
        <v>0.019504</v>
      </c>
      <c r="Z291" s="8" t="n">
        <v>0.048301</v>
      </c>
      <c r="AA291" s="8" t="n">
        <v>0.2234</v>
      </c>
    </row>
    <row r="292">
      <c r="A292" s="11" t="inlineStr">
        <is>
          <t>2023-10-31</t>
        </is>
      </c>
      <c r="B292" s="11" t="inlineStr">
        <is>
          <t>中间分位</t>
        </is>
      </c>
      <c r="C292" s="15" t="n">
        <v>0.384</v>
      </c>
      <c r="D292" s="13" t="n">
        <v>-0.010852</v>
      </c>
      <c r="E292" s="13" t="n">
        <v>-0.00618</v>
      </c>
      <c r="F292" s="13" t="n">
        <v>-0.004672</v>
      </c>
      <c r="G292" s="13" t="n">
        <v>0.3628</v>
      </c>
      <c r="H292" s="13" t="n">
        <v>0.009835</v>
      </c>
      <c r="I292" s="13" t="n">
        <v>0.019778</v>
      </c>
      <c r="J292" s="13" t="n">
        <v>-0.009943</v>
      </c>
      <c r="K292" s="13" t="n">
        <v>0.6679</v>
      </c>
      <c r="L292" s="13" t="n">
        <v>0.001355</v>
      </c>
      <c r="M292" s="13" t="n">
        <v>0.012773</v>
      </c>
      <c r="N292" s="13" t="n">
        <v>-0.011418</v>
      </c>
      <c r="O292" s="13" t="n">
        <v>0.9041</v>
      </c>
      <c r="P292" s="13" t="n">
        <v>-0.010852</v>
      </c>
      <c r="Q292" s="13" t="n">
        <v>-0.002472</v>
      </c>
      <c r="R292" s="13" t="n">
        <v>-0.00838</v>
      </c>
      <c r="S292" s="13" t="n">
        <v>0.1855</v>
      </c>
      <c r="T292" s="13" t="n">
        <v>0.035605</v>
      </c>
      <c r="U292" s="13" t="n">
        <v>0.004944</v>
      </c>
      <c r="V292" s="13" t="n">
        <v>0.030661</v>
      </c>
      <c r="W292" s="13" t="n">
        <v>0.1219</v>
      </c>
      <c r="X292" s="13" t="n">
        <v>0.071211</v>
      </c>
      <c r="Y292" s="13" t="n">
        <v>0.049032</v>
      </c>
      <c r="Z292" s="13" t="n">
        <v>0.022179</v>
      </c>
      <c r="AA292" s="13" t="n">
        <v>0.4078</v>
      </c>
    </row>
    <row r="293">
      <c r="A293" s="6" t="inlineStr">
        <is>
          <t>2023-11-01</t>
        </is>
      </c>
      <c r="B293" s="6" t="inlineStr">
        <is>
          <t>中间分位</t>
        </is>
      </c>
      <c r="C293" s="10" t="n">
        <v>0.316</v>
      </c>
      <c r="D293" s="8" t="n">
        <v>-0.002057</v>
      </c>
      <c r="E293" s="8" t="n">
        <v>-0.007877</v>
      </c>
      <c r="F293" s="8" t="n">
        <v>0.00582</v>
      </c>
      <c r="G293" s="8" t="n">
        <v>0.7929</v>
      </c>
      <c r="H293" s="8" t="n">
        <v>0.022285</v>
      </c>
      <c r="I293" s="8" t="n">
        <v>0.042289</v>
      </c>
      <c r="J293" s="8" t="n">
        <v>-0.020004</v>
      </c>
      <c r="K293" s="8" t="n">
        <v>0.6549</v>
      </c>
      <c r="L293" s="8" t="n">
        <v>0.014398</v>
      </c>
      <c r="M293" s="8" t="n">
        <v>0.030265</v>
      </c>
      <c r="N293" s="8" t="n">
        <v>-0.015867</v>
      </c>
      <c r="O293" s="8" t="n">
        <v>0.6776</v>
      </c>
      <c r="P293" s="8" t="n">
        <v>0</v>
      </c>
      <c r="Q293" s="8" t="n">
        <v>0.004561</v>
      </c>
      <c r="R293" s="8" t="n">
        <v>-0.004561</v>
      </c>
      <c r="S293" s="8" t="n">
        <v>1</v>
      </c>
      <c r="T293" s="8" t="n">
        <v>0.06548</v>
      </c>
      <c r="U293" s="8" t="n">
        <v>0.011609</v>
      </c>
      <c r="V293" s="8" t="n">
        <v>0.053871</v>
      </c>
      <c r="W293" s="8" t="n">
        <v>0.1506</v>
      </c>
      <c r="X293" s="8" t="n">
        <v>0.089821</v>
      </c>
      <c r="Y293" s="8" t="n">
        <v>0.060531</v>
      </c>
      <c r="Z293" s="8" t="n">
        <v>0.02929</v>
      </c>
      <c r="AA293" s="8" t="n">
        <v>0.4026</v>
      </c>
    </row>
    <row r="294">
      <c r="A294" s="11" t="inlineStr">
        <is>
          <t>2023-11-02</t>
        </is>
      </c>
      <c r="B294" s="11" t="inlineStr">
        <is>
          <t>中间分位</t>
        </is>
      </c>
      <c r="C294" s="15" t="n">
        <v>0.396</v>
      </c>
      <c r="D294" s="13" t="n">
        <v>-0.006526</v>
      </c>
      <c r="E294" s="13" t="n">
        <v>0.022984</v>
      </c>
      <c r="F294" s="13" t="n">
        <v>-0.02951</v>
      </c>
      <c r="G294" s="13" t="n">
        <v>0.7789</v>
      </c>
      <c r="H294" s="13" t="n">
        <v>0.03882</v>
      </c>
      <c r="I294" s="13" t="n">
        <v>0.048057</v>
      </c>
      <c r="J294" s="13" t="n">
        <v>-0.009237</v>
      </c>
      <c r="K294" s="13" t="n">
        <v>0.5532</v>
      </c>
      <c r="L294" s="13" t="n">
        <v>0.024392</v>
      </c>
      <c r="M294" s="13" t="n">
        <v>0.043878</v>
      </c>
      <c r="N294" s="13" t="n">
        <v>-0.019486</v>
      </c>
      <c r="O294" s="13" t="n">
        <v>0.6427</v>
      </c>
      <c r="P294" s="13" t="n">
        <v>0.004122</v>
      </c>
      <c r="Q294" s="13" t="n">
        <v>0.045132</v>
      </c>
      <c r="R294" s="13" t="n">
        <v>-0.04101</v>
      </c>
      <c r="S294" s="13" t="n">
        <v>0.9163</v>
      </c>
      <c r="T294" s="13" t="n">
        <v>0.078324</v>
      </c>
      <c r="U294" s="13" t="n">
        <v>0.018387</v>
      </c>
      <c r="V294" s="13" t="n">
        <v>0.059937</v>
      </c>
      <c r="W294" s="13" t="n">
        <v>0.1901</v>
      </c>
      <c r="X294" s="13" t="n">
        <v>0.093098</v>
      </c>
      <c r="Y294" s="13" t="n">
        <v>0.062683</v>
      </c>
      <c r="Z294" s="13" t="n">
        <v>0.030415</v>
      </c>
      <c r="AA294" s="13" t="n">
        <v>0.4024</v>
      </c>
    </row>
    <row r="295">
      <c r="A295" s="6" t="inlineStr">
        <is>
          <t>2023-11-03</t>
        </is>
      </c>
      <c r="B295" s="6" t="inlineStr">
        <is>
          <t>中间分位</t>
        </is>
      </c>
      <c r="C295" s="10" t="n">
        <v>0.132</v>
      </c>
      <c r="D295" s="8" t="n">
        <v>0.020402</v>
      </c>
      <c r="E295" s="8" t="n">
        <v>0.012663</v>
      </c>
      <c r="F295" s="8" t="n">
        <v>0.007739</v>
      </c>
      <c r="G295" s="8" t="n">
        <v>0.383</v>
      </c>
      <c r="H295" s="8" t="n">
        <v>0.039763</v>
      </c>
      <c r="I295" s="8" t="n">
        <v>0.015931</v>
      </c>
      <c r="J295" s="8" t="n">
        <v>0.023832</v>
      </c>
      <c r="K295" s="8" t="n">
        <v>0.286</v>
      </c>
      <c r="L295" s="8" t="n">
        <v>0.035614</v>
      </c>
      <c r="M295" s="8" t="n">
        <v>0.020833</v>
      </c>
      <c r="N295" s="8" t="n">
        <v>0.014781</v>
      </c>
      <c r="O295" s="8" t="n">
        <v>0.3691</v>
      </c>
      <c r="P295" s="8" t="n">
        <v>0.041838</v>
      </c>
      <c r="Q295" s="8" t="n">
        <v>0.020425</v>
      </c>
      <c r="R295" s="8" t="n">
        <v>0.021413</v>
      </c>
      <c r="S295" s="8" t="n">
        <v>0.328</v>
      </c>
      <c r="T295" s="8" t="n">
        <v>0.063622</v>
      </c>
      <c r="U295" s="8" t="n">
        <v>0.008578000000000001</v>
      </c>
      <c r="V295" s="8" t="n">
        <v>0.055044</v>
      </c>
      <c r="W295" s="8" t="n">
        <v>0.1188</v>
      </c>
      <c r="X295" s="8" t="n">
        <v>0.093705</v>
      </c>
      <c r="Y295" s="8" t="n">
        <v>0.048611</v>
      </c>
      <c r="Z295" s="8" t="n">
        <v>0.045094</v>
      </c>
      <c r="AA295" s="8" t="n">
        <v>0.3416</v>
      </c>
    </row>
    <row r="296">
      <c r="A296" s="11" t="inlineStr">
        <is>
          <t>2023-11-06</t>
        </is>
      </c>
      <c r="B296" s="11" t="inlineStr">
        <is>
          <t>中间分位</t>
        </is>
      </c>
      <c r="C296" s="15" t="n">
        <v>0.18</v>
      </c>
      <c r="D296" s="13" t="n">
        <v>0.009148999999999999</v>
      </c>
      <c r="E296" s="13" t="n">
        <v>-0.001614</v>
      </c>
      <c r="F296" s="13" t="n">
        <v>0.010763</v>
      </c>
      <c r="G296" s="13" t="n">
        <v>0.15</v>
      </c>
      <c r="H296" s="13" t="n">
        <v>0.010841</v>
      </c>
      <c r="I296" s="13" t="n">
        <v>-0.009278</v>
      </c>
      <c r="J296" s="13" t="n">
        <v>0.020119</v>
      </c>
      <c r="K296" s="13" t="n">
        <v>0.4612</v>
      </c>
      <c r="L296" s="13" t="n">
        <v>0.012537</v>
      </c>
      <c r="M296" s="13" t="n">
        <v>-0.012908</v>
      </c>
      <c r="N296" s="13" t="n">
        <v>0.025445</v>
      </c>
      <c r="O296" s="13" t="n">
        <v>0.5073</v>
      </c>
      <c r="P296" s="13" t="n">
        <v>0.018636</v>
      </c>
      <c r="Q296" s="13" t="n">
        <v>-0.019766</v>
      </c>
      <c r="R296" s="13" t="n">
        <v>0.038402</v>
      </c>
      <c r="S296" s="13" t="n">
        <v>0.5147</v>
      </c>
      <c r="T296" s="13" t="n">
        <v>0.049134</v>
      </c>
      <c r="U296" s="13" t="n">
        <v>-0.004437</v>
      </c>
      <c r="V296" s="13" t="n">
        <v>0.053571</v>
      </c>
      <c r="W296" s="13" t="n">
        <v>0.0828</v>
      </c>
      <c r="X296" s="13" t="n">
        <v>0.083699</v>
      </c>
      <c r="Y296" s="13" t="n">
        <v>0.027027</v>
      </c>
      <c r="Z296" s="13" t="n">
        <v>0.056672</v>
      </c>
      <c r="AA296" s="13" t="n">
        <v>0.2441</v>
      </c>
    </row>
    <row r="297">
      <c r="A297" s="6" t="inlineStr">
        <is>
          <t>2023-11-07</t>
        </is>
      </c>
      <c r="B297" s="6" t="inlineStr">
        <is>
          <t>中间分位</t>
        </is>
      </c>
      <c r="C297" s="10" t="n">
        <v>0.272</v>
      </c>
      <c r="D297" s="8" t="n">
        <v>0.001342</v>
      </c>
      <c r="E297" s="8" t="n">
        <v>0.015758</v>
      </c>
      <c r="F297" s="8" t="n">
        <v>-0.014416</v>
      </c>
      <c r="G297" s="8" t="n">
        <v>0.9215</v>
      </c>
      <c r="H297" s="8" t="n">
        <v>-0.008397999999999999</v>
      </c>
      <c r="I297" s="8" t="n">
        <v>-0.006869</v>
      </c>
      <c r="J297" s="8" t="n">
        <v>-0.001529</v>
      </c>
      <c r="K297" s="8" t="n">
        <v>0.4499</v>
      </c>
      <c r="L297" s="8" t="n">
        <v>-0.012762</v>
      </c>
      <c r="M297" s="8" t="n">
        <v>-0.035152</v>
      </c>
      <c r="N297" s="8" t="n">
        <v>0.02239</v>
      </c>
      <c r="O297" s="8" t="n">
        <v>0.7336</v>
      </c>
      <c r="P297" s="8" t="n">
        <v>-0.016791</v>
      </c>
      <c r="Q297" s="8" t="n">
        <v>-0.029091</v>
      </c>
      <c r="R297" s="8" t="n">
        <v>0.0123</v>
      </c>
      <c r="S297" s="8" t="n">
        <v>0.634</v>
      </c>
      <c r="T297" s="8" t="n">
        <v>0.036266</v>
      </c>
      <c r="U297" s="8" t="n">
        <v>0.002424</v>
      </c>
      <c r="V297" s="8" t="n">
        <v>0.033842</v>
      </c>
      <c r="W297" s="8" t="n">
        <v>0.06270000000000001</v>
      </c>
      <c r="X297" s="8" t="n">
        <v>0.06951</v>
      </c>
      <c r="Y297" s="8" t="n">
        <v>0.03596</v>
      </c>
      <c r="Z297" s="8" t="n">
        <v>0.03355</v>
      </c>
      <c r="AA297" s="8" t="n">
        <v>0.341</v>
      </c>
    </row>
    <row r="298">
      <c r="A298" s="11" t="inlineStr">
        <is>
          <t>2023-11-08</t>
        </is>
      </c>
      <c r="B298" s="11" t="inlineStr">
        <is>
          <t>中间分位</t>
        </is>
      </c>
      <c r="C298" s="15" t="n">
        <v>0.152</v>
      </c>
      <c r="D298" s="13" t="n">
        <v>0.014085</v>
      </c>
      <c r="E298" s="13" t="n">
        <v>-0.002387</v>
      </c>
      <c r="F298" s="13" t="n">
        <v>0.016472</v>
      </c>
      <c r="G298" s="13" t="n">
        <v>0.1449</v>
      </c>
      <c r="H298" s="13" t="n">
        <v>-0.007714</v>
      </c>
      <c r="I298" s="13" t="n">
        <v>-0.011535</v>
      </c>
      <c r="J298" s="13" t="n">
        <v>0.003821</v>
      </c>
      <c r="K298" s="13" t="n">
        <v>0.5993000000000001</v>
      </c>
      <c r="L298" s="13" t="n">
        <v>-0.036217</v>
      </c>
      <c r="M298" s="13" t="n">
        <v>-0.046937</v>
      </c>
      <c r="N298" s="13" t="n">
        <v>0.01072</v>
      </c>
      <c r="O298" s="13" t="n">
        <v>0.5645</v>
      </c>
      <c r="P298" s="13" t="n">
        <v>-0.017775</v>
      </c>
      <c r="Q298" s="13" t="n">
        <v>-0.040573</v>
      </c>
      <c r="R298" s="13" t="n">
        <v>0.022798</v>
      </c>
      <c r="S298" s="13" t="n">
        <v>0.6954</v>
      </c>
      <c r="T298" s="13" t="n">
        <v>0.038563</v>
      </c>
      <c r="U298" s="13" t="n">
        <v>-0.021082</v>
      </c>
      <c r="V298" s="13" t="n">
        <v>0.059645</v>
      </c>
      <c r="W298" s="13" t="n">
        <v>0.3535</v>
      </c>
      <c r="X298" s="13" t="n">
        <v>0.074447</v>
      </c>
      <c r="Y298" s="13" t="n">
        <v>0.015115</v>
      </c>
      <c r="Z298" s="13" t="n">
        <v>0.059332</v>
      </c>
      <c r="AA298" s="13" t="n">
        <v>0.1688</v>
      </c>
    </row>
    <row r="299">
      <c r="A299" s="6" t="inlineStr">
        <is>
          <t>2023-11-09</t>
        </is>
      </c>
      <c r="B299" s="6" t="inlineStr">
        <is>
          <t>中间分位</t>
        </is>
      </c>
      <c r="C299" s="10" t="n">
        <v>0.3</v>
      </c>
      <c r="D299" s="8" t="n">
        <v>-0.005623</v>
      </c>
      <c r="E299" s="8" t="n">
        <v>-0.008373</v>
      </c>
      <c r="F299" s="8" t="n">
        <v>0.00275</v>
      </c>
      <c r="G299" s="8" t="n">
        <v>0.5982</v>
      </c>
      <c r="H299" s="8" t="n">
        <v>-0.013889</v>
      </c>
      <c r="I299" s="8" t="n">
        <v>-0.003987</v>
      </c>
      <c r="J299" s="8" t="n">
        <v>-0.009901999999999999</v>
      </c>
      <c r="K299" s="8" t="n">
        <v>0.223</v>
      </c>
      <c r="L299" s="8" t="n">
        <v>-0.046956</v>
      </c>
      <c r="M299" s="8" t="n">
        <v>-0.063397</v>
      </c>
      <c r="N299" s="8" t="n">
        <v>0.016441</v>
      </c>
      <c r="O299" s="8" t="n">
        <v>0.5745</v>
      </c>
      <c r="P299" s="8" t="n">
        <v>-0.031746</v>
      </c>
      <c r="Q299" s="8" t="n">
        <v>-0.029904</v>
      </c>
      <c r="R299" s="8" t="n">
        <v>-0.001842</v>
      </c>
      <c r="S299" s="8" t="n">
        <v>0.4851</v>
      </c>
      <c r="T299" s="8" t="n">
        <v>0.016536</v>
      </c>
      <c r="U299" s="8" t="n">
        <v>-0.02512</v>
      </c>
      <c r="V299" s="8" t="n">
        <v>0.041656</v>
      </c>
      <c r="W299" s="8" t="n">
        <v>0.603</v>
      </c>
      <c r="X299" s="8" t="n">
        <v>0.065147</v>
      </c>
      <c r="Y299" s="8" t="n">
        <v>0.037081</v>
      </c>
      <c r="Z299" s="8" t="n">
        <v>0.028066</v>
      </c>
      <c r="AA299" s="8" t="n">
        <v>0.3627</v>
      </c>
    </row>
    <row r="300">
      <c r="A300" s="11" t="inlineStr">
        <is>
          <t>2023-11-10</t>
        </is>
      </c>
      <c r="B300" s="11" t="inlineStr">
        <is>
          <t>中间分位</t>
        </is>
      </c>
      <c r="C300" s="15" t="n">
        <v>0.328</v>
      </c>
      <c r="D300" s="13" t="n">
        <v>-0.007981</v>
      </c>
      <c r="E300" s="13" t="n">
        <v>-0.012465</v>
      </c>
      <c r="F300" s="13" t="n">
        <v>0.004484</v>
      </c>
      <c r="G300" s="13" t="n">
        <v>0.6097</v>
      </c>
      <c r="H300" s="13" t="n">
        <v>-0.003991</v>
      </c>
      <c r="I300" s="13" t="n">
        <v>0.004825</v>
      </c>
      <c r="J300" s="13" t="n">
        <v>-0.008815999999999999</v>
      </c>
      <c r="K300" s="13" t="n">
        <v>0.5473</v>
      </c>
      <c r="L300" s="13" t="n">
        <v>-0.05587</v>
      </c>
      <c r="M300" s="13" t="n">
        <v>-0.038199</v>
      </c>
      <c r="N300" s="13" t="n">
        <v>-0.017671</v>
      </c>
      <c r="O300" s="13" t="n">
        <v>0.4061</v>
      </c>
      <c r="P300" s="13" t="n">
        <v>-0.020285</v>
      </c>
      <c r="Q300" s="13" t="n">
        <v>-0.026136</v>
      </c>
      <c r="R300" s="13" t="n">
        <v>0.005851</v>
      </c>
      <c r="S300" s="13" t="n">
        <v>0.5629999999999999</v>
      </c>
      <c r="T300" s="13" t="n">
        <v>0.028933</v>
      </c>
      <c r="U300" s="13" t="n">
        <v>-0.013671</v>
      </c>
      <c r="V300" s="13" t="n">
        <v>0.042604</v>
      </c>
      <c r="W300" s="13" t="n">
        <v>0.3209</v>
      </c>
      <c r="X300" s="13" t="n">
        <v>0.077487</v>
      </c>
      <c r="Y300" s="13" t="n">
        <v>0.036188</v>
      </c>
      <c r="Z300" s="13" t="n">
        <v>0.041299</v>
      </c>
      <c r="AA300" s="13" t="n">
        <v>0.3183</v>
      </c>
    </row>
    <row r="301">
      <c r="A301" s="6" t="inlineStr">
        <is>
          <t>2023-11-13</t>
        </is>
      </c>
      <c r="B301" s="6" t="inlineStr">
        <is>
          <t>中间分位</t>
        </is>
      </c>
      <c r="C301" s="10" t="n">
        <v>0.408</v>
      </c>
      <c r="D301" s="8" t="n">
        <v>-0.010057</v>
      </c>
      <c r="E301" s="8" t="n">
        <v>0.0008140000000000001</v>
      </c>
      <c r="F301" s="8" t="n">
        <v>-0.010871</v>
      </c>
      <c r="G301" s="8" t="n">
        <v>0.07489999999999999</v>
      </c>
      <c r="H301" s="8" t="n">
        <v>0.001678</v>
      </c>
      <c r="I301" s="8" t="n">
        <v>-0.003664</v>
      </c>
      <c r="J301" s="8" t="n">
        <v>0.005342</v>
      </c>
      <c r="K301" s="8" t="n">
        <v>0.6859</v>
      </c>
      <c r="L301" s="8" t="n">
        <v>-0.034194</v>
      </c>
      <c r="M301" s="8" t="n">
        <v>-0.013436</v>
      </c>
      <c r="N301" s="8" t="n">
        <v>-0.020758</v>
      </c>
      <c r="O301" s="8" t="n">
        <v>0.2821</v>
      </c>
      <c r="P301" s="8" t="n">
        <v>-0.014414</v>
      </c>
      <c r="Q301" s="8" t="n">
        <v>-0.024023</v>
      </c>
      <c r="R301" s="8" t="n">
        <v>0.009608999999999999</v>
      </c>
      <c r="S301" s="8" t="n">
        <v>0.625</v>
      </c>
      <c r="T301" s="8" t="n">
        <v>0.034532</v>
      </c>
      <c r="U301" s="8" t="n">
        <v>0.001221</v>
      </c>
      <c r="V301" s="8" t="n">
        <v>0.033311</v>
      </c>
      <c r="W301" s="8" t="n">
        <v>0.0342</v>
      </c>
      <c r="X301" s="8" t="n">
        <v>0.128062</v>
      </c>
      <c r="Y301" s="8" t="n">
        <v>0.054153</v>
      </c>
      <c r="Z301" s="8" t="n">
        <v>0.073909</v>
      </c>
      <c r="AA301" s="8" t="n">
        <v>0.2972</v>
      </c>
    </row>
    <row r="302">
      <c r="A302" s="11" t="inlineStr">
        <is>
          <t>2023-11-14</t>
        </is>
      </c>
      <c r="B302" s="11" t="inlineStr">
        <is>
          <t>中间分位</t>
        </is>
      </c>
      <c r="C302" s="15" t="n">
        <v>0.26</v>
      </c>
      <c r="D302" s="13" t="n">
        <v>0.002032</v>
      </c>
      <c r="E302" s="13" t="n">
        <v>0.010985</v>
      </c>
      <c r="F302" s="13" t="n">
        <v>-0.008952999999999999</v>
      </c>
      <c r="G302" s="13" t="n">
        <v>0.8439</v>
      </c>
      <c r="H302" s="13" t="n">
        <v>-0.004401</v>
      </c>
      <c r="I302" s="13" t="n">
        <v>-0.028478</v>
      </c>
      <c r="J302" s="13" t="n">
        <v>0.024077</v>
      </c>
      <c r="K302" s="13" t="n">
        <v>0.8661</v>
      </c>
      <c r="L302" s="13" t="n">
        <v>-0.012191</v>
      </c>
      <c r="M302" s="13" t="n">
        <v>-0.015053</v>
      </c>
      <c r="N302" s="13" t="n">
        <v>0.002862</v>
      </c>
      <c r="O302" s="13" t="n">
        <v>0.5525</v>
      </c>
      <c r="P302" s="13" t="n">
        <v>-0.007786</v>
      </c>
      <c r="Q302" s="13" t="n">
        <v>-0.017901</v>
      </c>
      <c r="R302" s="13" t="n">
        <v>0.010115</v>
      </c>
      <c r="S302" s="13" t="n">
        <v>0.6969</v>
      </c>
      <c r="T302" s="13" t="n">
        <v>0.04978</v>
      </c>
      <c r="U302" s="13" t="n">
        <v>0.019528</v>
      </c>
      <c r="V302" s="13" t="n">
        <v>0.030252</v>
      </c>
      <c r="W302" s="13" t="n">
        <v>0.2818</v>
      </c>
      <c r="X302" s="13" t="n">
        <v>0.14934</v>
      </c>
      <c r="Y302" s="13" t="n">
        <v>0.060212</v>
      </c>
      <c r="Z302" s="13" t="n">
        <v>0.089128</v>
      </c>
      <c r="AA302" s="13" t="n">
        <v>0.2873</v>
      </c>
    </row>
    <row r="303">
      <c r="A303" s="6" t="inlineStr">
        <is>
          <t>2023-11-15</t>
        </is>
      </c>
      <c r="B303" s="6" t="inlineStr">
        <is>
          <t>中间分位</t>
        </is>
      </c>
      <c r="C303" s="10" t="n">
        <v>0.192</v>
      </c>
      <c r="D303" s="8" t="n">
        <v>0.007774</v>
      </c>
      <c r="E303" s="8" t="n">
        <v>0.005231</v>
      </c>
      <c r="F303" s="8" t="n">
        <v>0.002543</v>
      </c>
      <c r="G303" s="8" t="n">
        <v>0.4022</v>
      </c>
      <c r="H303" s="8" t="n">
        <v>-0.028725</v>
      </c>
      <c r="I303" s="8" t="n">
        <v>-0.035815</v>
      </c>
      <c r="J303" s="8" t="n">
        <v>0.00709</v>
      </c>
      <c r="K303" s="8" t="n">
        <v>0.5548999999999999</v>
      </c>
      <c r="L303" s="8" t="n">
        <v>-0.014194</v>
      </c>
      <c r="M303" s="8" t="n">
        <v>-0.02495</v>
      </c>
      <c r="N303" s="8" t="n">
        <v>0.010756</v>
      </c>
      <c r="O303" s="8" t="n">
        <v>0.6374</v>
      </c>
      <c r="P303" s="8" t="n">
        <v>-0.00642</v>
      </c>
      <c r="Q303" s="8" t="n">
        <v>-0.047082</v>
      </c>
      <c r="R303" s="8" t="n">
        <v>0.040662</v>
      </c>
      <c r="S303" s="8" t="n">
        <v>0.88</v>
      </c>
      <c r="T303" s="8" t="n">
        <v>0.070633</v>
      </c>
      <c r="U303" s="8" t="n">
        <v>0.011268</v>
      </c>
      <c r="V303" s="8" t="n">
        <v>0.059365</v>
      </c>
      <c r="W303" s="8" t="n">
        <v>0.1376</v>
      </c>
      <c r="X303" s="8" t="n">
        <v>0.161544</v>
      </c>
      <c r="Y303" s="8" t="n">
        <v>0.06841</v>
      </c>
      <c r="Z303" s="8" t="n">
        <v>0.09313399999999999</v>
      </c>
      <c r="AA303" s="8" t="n">
        <v>0.2975</v>
      </c>
    </row>
    <row r="304">
      <c r="A304" s="11" t="inlineStr">
        <is>
          <t>2023-11-16</t>
        </is>
      </c>
      <c r="B304" s="11" t="inlineStr">
        <is>
          <t>中间分位</t>
        </is>
      </c>
      <c r="C304" s="15" t="n">
        <v>0.22</v>
      </c>
      <c r="D304" s="13" t="n">
        <v>0.004358</v>
      </c>
      <c r="E304" s="13" t="n">
        <v>0.0004</v>
      </c>
      <c r="F304" s="13" t="n">
        <v>0.003958</v>
      </c>
      <c r="G304" s="13" t="n">
        <v>0.08409999999999999</v>
      </c>
      <c r="H304" s="13" t="n">
        <v>-0.033533</v>
      </c>
      <c r="I304" s="13" t="n">
        <v>-0.059648</v>
      </c>
      <c r="J304" s="13" t="n">
        <v>0.026115</v>
      </c>
      <c r="K304" s="13" t="n">
        <v>0.6401</v>
      </c>
      <c r="L304" s="13" t="n">
        <v>-0.019787</v>
      </c>
      <c r="M304" s="13" t="n">
        <v>0.001201</v>
      </c>
      <c r="N304" s="13" t="n">
        <v>-0.020988</v>
      </c>
      <c r="O304" s="13" t="n">
        <v>0.0572</v>
      </c>
      <c r="P304" s="13" t="n">
        <v>-0.025823</v>
      </c>
      <c r="Q304" s="13" t="n">
        <v>-0.050841</v>
      </c>
      <c r="R304" s="13" t="n">
        <v>0.025018</v>
      </c>
      <c r="S304" s="13" t="n">
        <v>0.6632</v>
      </c>
      <c r="T304" s="13" t="n">
        <v>0.086519</v>
      </c>
      <c r="U304" s="13" t="n">
        <v>0.003203</v>
      </c>
      <c r="V304" s="13" t="n">
        <v>0.083316</v>
      </c>
      <c r="W304" s="13" t="n">
        <v>0.0357</v>
      </c>
      <c r="X304" s="13" t="n">
        <v>0.188463</v>
      </c>
      <c r="Y304" s="13" t="n">
        <v>0.066453</v>
      </c>
      <c r="Z304" s="13" t="n">
        <v>0.12201</v>
      </c>
      <c r="AA304" s="13" t="n">
        <v>0.2607</v>
      </c>
    </row>
    <row r="305">
      <c r="A305" s="6" t="inlineStr">
        <is>
          <t>2023-11-17</t>
        </is>
      </c>
      <c r="B305" s="6" t="inlineStr">
        <is>
          <t>中间分位</t>
        </is>
      </c>
      <c r="C305" s="10" t="n">
        <v>0.24</v>
      </c>
      <c r="D305" s="8" t="n">
        <v>-0.002336</v>
      </c>
      <c r="E305" s="8" t="n">
        <v>-0.020808</v>
      </c>
      <c r="F305" s="8" t="n">
        <v>0.018472</v>
      </c>
      <c r="G305" s="8" t="n">
        <v>0.8991</v>
      </c>
      <c r="H305" s="8" t="n">
        <v>-0.052087</v>
      </c>
      <c r="I305" s="8" t="n">
        <v>-0.042817</v>
      </c>
      <c r="J305" s="8" t="n">
        <v>-0.00927</v>
      </c>
      <c r="K305" s="8" t="n">
        <v>0.4512</v>
      </c>
      <c r="L305" s="8" t="n">
        <v>0.00601</v>
      </c>
      <c r="M305" s="8" t="n">
        <v>-0.0004</v>
      </c>
      <c r="N305" s="8" t="n">
        <v>0.00641</v>
      </c>
      <c r="O305" s="8" t="n">
        <v>0.0624</v>
      </c>
      <c r="P305" s="8" t="n">
        <v>-0.03005</v>
      </c>
      <c r="Q305" s="8" t="n">
        <v>-0.055222</v>
      </c>
      <c r="R305" s="8" t="n">
        <v>0.025172</v>
      </c>
      <c r="S305" s="8" t="n">
        <v>0.6476</v>
      </c>
      <c r="T305" s="8" t="n">
        <v>0.065445</v>
      </c>
      <c r="U305" s="8" t="n">
        <v>-0.015606</v>
      </c>
      <c r="V305" s="8" t="n">
        <v>0.081051</v>
      </c>
      <c r="W305" s="8" t="n">
        <v>0.1925</v>
      </c>
      <c r="X305" s="8" t="n">
        <v>0.210018</v>
      </c>
      <c r="Y305" s="8" t="n">
        <v>0.053221</v>
      </c>
      <c r="Z305" s="8" t="n">
        <v>0.156797</v>
      </c>
      <c r="AA305" s="8" t="n">
        <v>0.2022</v>
      </c>
    </row>
    <row r="306">
      <c r="A306" s="11" t="inlineStr">
        <is>
          <t>2023-11-20</t>
        </is>
      </c>
      <c r="B306" s="11" t="inlineStr">
        <is>
          <t>中间分位</t>
        </is>
      </c>
      <c r="C306" s="15" t="n">
        <v>0.476</v>
      </c>
      <c r="D306" s="13" t="n">
        <v>-0.016064</v>
      </c>
      <c r="E306" s="13" t="n">
        <v>-0.024111</v>
      </c>
      <c r="F306" s="13" t="n">
        <v>0.008047</v>
      </c>
      <c r="G306" s="13" t="n">
        <v>0.6001</v>
      </c>
      <c r="H306" s="13" t="n">
        <v>-0.035811</v>
      </c>
      <c r="I306" s="13" t="n">
        <v>-0.009808000000000001</v>
      </c>
      <c r="J306" s="13" t="n">
        <v>-0.026003</v>
      </c>
      <c r="K306" s="13" t="n">
        <v>0.215</v>
      </c>
      <c r="L306" s="13" t="n">
        <v>0.006024</v>
      </c>
      <c r="M306" s="13" t="n">
        <v>-0.006947</v>
      </c>
      <c r="N306" s="13" t="n">
        <v>0.012971</v>
      </c>
      <c r="O306" s="13" t="n">
        <v>0.5356</v>
      </c>
      <c r="P306" s="13" t="n">
        <v>-0.024096</v>
      </c>
      <c r="Q306" s="13" t="n">
        <v>-0.031058</v>
      </c>
      <c r="R306" s="13" t="n">
        <v>0.006962</v>
      </c>
      <c r="S306" s="13" t="n">
        <v>0.5631</v>
      </c>
      <c r="T306" s="13" t="n">
        <v>0.044177</v>
      </c>
      <c r="U306" s="13" t="n">
        <v>0.013486</v>
      </c>
      <c r="V306" s="13" t="n">
        <v>0.030691</v>
      </c>
      <c r="W306" s="13" t="n">
        <v>0.2339</v>
      </c>
      <c r="X306" s="13" t="n">
        <v>0.184739</v>
      </c>
      <c r="Y306" s="13" t="n">
        <v>0.07396800000000001</v>
      </c>
      <c r="Z306" s="13" t="n">
        <v>0.110771</v>
      </c>
      <c r="AA306" s="13" t="n">
        <v>0.2859</v>
      </c>
    </row>
    <row r="307">
      <c r="A307" s="6" t="inlineStr">
        <is>
          <t>2023-11-21</t>
        </is>
      </c>
      <c r="B307" s="6" t="inlineStr">
        <is>
          <t>中间分位</t>
        </is>
      </c>
      <c r="C307" s="10" t="n">
        <v>0.5679999999999999</v>
      </c>
      <c r="D307" s="8" t="n">
        <v>-0.022449</v>
      </c>
      <c r="E307" s="8" t="n">
        <v>0.00335</v>
      </c>
      <c r="F307" s="8" t="n">
        <v>-0.025799</v>
      </c>
      <c r="G307" s="8" t="n">
        <v>0.1298</v>
      </c>
      <c r="H307" s="8" t="n">
        <v>-0.007823999999999999</v>
      </c>
      <c r="I307" s="8" t="n">
        <v>0.013819</v>
      </c>
      <c r="J307" s="8" t="n">
        <v>-0.021643</v>
      </c>
      <c r="K307" s="8" t="n">
        <v>0.6385</v>
      </c>
      <c r="L307" s="8" t="n">
        <v>-0.004082</v>
      </c>
      <c r="M307" s="8" t="n">
        <v>0.006281</v>
      </c>
      <c r="N307" s="8" t="n">
        <v>-0.010363</v>
      </c>
      <c r="O307" s="8" t="n">
        <v>0.6061</v>
      </c>
      <c r="P307" s="8" t="n">
        <v>0.000339</v>
      </c>
      <c r="Q307" s="8" t="n">
        <v>-0.002513</v>
      </c>
      <c r="R307" s="8" t="n">
        <v>0.002852</v>
      </c>
      <c r="S307" s="8" t="n">
        <v>0.8811</v>
      </c>
      <c r="T307" s="8" t="n">
        <v>0.067686</v>
      </c>
      <c r="U307" s="8" t="n">
        <v>0.04732</v>
      </c>
      <c r="V307" s="8" t="n">
        <v>0.020366</v>
      </c>
      <c r="W307" s="8" t="n">
        <v>0.4115</v>
      </c>
      <c r="X307" s="8" t="n">
        <v>0.14762</v>
      </c>
      <c r="Y307" s="8" t="n">
        <v>0.085008</v>
      </c>
      <c r="Z307" s="8" t="n">
        <v>0.062612</v>
      </c>
      <c r="AA307" s="8" t="n">
        <v>0.3654</v>
      </c>
    </row>
    <row r="308">
      <c r="A308" s="11" t="inlineStr">
        <is>
          <t>2023-11-22</t>
        </is>
      </c>
      <c r="B308" s="11" t="inlineStr">
        <is>
          <t>中间分位</t>
        </is>
      </c>
      <c r="C308" s="15" t="n">
        <v>0.252</v>
      </c>
      <c r="D308" s="13" t="n">
        <v>0.002785</v>
      </c>
      <c r="E308" s="13" t="n">
        <v>-0.019616</v>
      </c>
      <c r="F308" s="13" t="n">
        <v>0.022401</v>
      </c>
      <c r="G308" s="13" t="n">
        <v>0.8757</v>
      </c>
      <c r="H308" s="13" t="n">
        <v>0.01496</v>
      </c>
      <c r="I308" s="13" t="n">
        <v>0.011269</v>
      </c>
      <c r="J308" s="13" t="n">
        <v>0.003691</v>
      </c>
      <c r="K308" s="13" t="n">
        <v>0.4296</v>
      </c>
      <c r="L308" s="13" t="n">
        <v>0.019136</v>
      </c>
      <c r="M308" s="13" t="n">
        <v>0.006678</v>
      </c>
      <c r="N308" s="13" t="n">
        <v>0.012458</v>
      </c>
      <c r="O308" s="13" t="n">
        <v>0.2587</v>
      </c>
      <c r="P308" s="13" t="n">
        <v>0.025399</v>
      </c>
      <c r="Q308" s="13" t="n">
        <v>0.01419</v>
      </c>
      <c r="R308" s="13" t="n">
        <v>0.011209</v>
      </c>
      <c r="S308" s="13" t="n">
        <v>0.3584</v>
      </c>
      <c r="T308" s="13" t="n">
        <v>0.100555</v>
      </c>
      <c r="U308" s="13" t="n">
        <v>0.046745</v>
      </c>
      <c r="V308" s="13" t="n">
        <v>0.05381</v>
      </c>
      <c r="W308" s="13" t="n">
        <v>0.3173</v>
      </c>
      <c r="X308" s="13" t="n">
        <v>0.151704</v>
      </c>
      <c r="Y308" s="13" t="n">
        <v>0.085142</v>
      </c>
      <c r="Z308" s="13" t="n">
        <v>0.066562</v>
      </c>
      <c r="AA308" s="13" t="n">
        <v>0.3595</v>
      </c>
    </row>
    <row r="309">
      <c r="A309" s="6" t="inlineStr">
        <is>
          <t>2023-11-23</t>
        </is>
      </c>
      <c r="B309" s="6" t="inlineStr">
        <is>
          <t>中间分位</t>
        </is>
      </c>
      <c r="C309" s="10" t="n">
        <v>0.532</v>
      </c>
      <c r="D309" s="8" t="n">
        <v>-0.014923</v>
      </c>
      <c r="E309" s="8" t="n">
        <v>0.018306</v>
      </c>
      <c r="F309" s="8" t="n">
        <v>-0.033229</v>
      </c>
      <c r="G309" s="8" t="n">
        <v>0.5508999999999999</v>
      </c>
      <c r="H309" s="8" t="n">
        <v>0.014223</v>
      </c>
      <c r="I309" s="8" t="n">
        <v>0.064708</v>
      </c>
      <c r="J309" s="8" t="n">
        <v>-0.050485</v>
      </c>
      <c r="K309" s="8" t="n">
        <v>0.8198</v>
      </c>
      <c r="L309" s="8" t="n">
        <v>0.01596</v>
      </c>
      <c r="M309" s="8" t="n">
        <v>0.03576</v>
      </c>
      <c r="N309" s="8" t="n">
        <v>-0.0198</v>
      </c>
      <c r="O309" s="8" t="n">
        <v>0.6914</v>
      </c>
      <c r="P309" s="8" t="n">
        <v>0.036083</v>
      </c>
      <c r="Q309" s="8" t="n">
        <v>0.040868</v>
      </c>
      <c r="R309" s="8" t="n">
        <v>-0.004785</v>
      </c>
      <c r="S309" s="8" t="n">
        <v>0.5311</v>
      </c>
      <c r="T309" s="8" t="n">
        <v>0.102358</v>
      </c>
      <c r="U309" s="8" t="n">
        <v>0.065134</v>
      </c>
      <c r="V309" s="8" t="n">
        <v>0.037224</v>
      </c>
      <c r="W309" s="8" t="n">
        <v>0.3889</v>
      </c>
      <c r="X309" s="8" t="n">
        <v>0.145037</v>
      </c>
      <c r="Y309" s="8" t="n">
        <v>0.114943</v>
      </c>
      <c r="Z309" s="8" t="n">
        <v>0.030094</v>
      </c>
      <c r="AA309" s="8" t="n">
        <v>0.4421</v>
      </c>
    </row>
    <row r="310">
      <c r="A310" s="11" t="inlineStr">
        <is>
          <t>2023-11-24</t>
        </is>
      </c>
      <c r="B310" s="11" t="inlineStr">
        <is>
          <t>中间分位</t>
        </is>
      </c>
      <c r="C310" s="15" t="n">
        <v>0.164</v>
      </c>
      <c r="D310" s="13" t="n">
        <v>0.014794</v>
      </c>
      <c r="E310" s="13" t="n">
        <v>0.01296</v>
      </c>
      <c r="F310" s="13" t="n">
        <v>0.001834</v>
      </c>
      <c r="G310" s="13" t="n">
        <v>0.467</v>
      </c>
      <c r="H310" s="13" t="n">
        <v>0.061289</v>
      </c>
      <c r="I310" s="13" t="n">
        <v>0.044314</v>
      </c>
      <c r="J310" s="13" t="n">
        <v>0.016975</v>
      </c>
      <c r="K310" s="13" t="n">
        <v>0.4196</v>
      </c>
      <c r="L310" s="13" t="n">
        <v>0.037691</v>
      </c>
      <c r="M310" s="13" t="n">
        <v>0.012542</v>
      </c>
      <c r="N310" s="13" t="n">
        <v>0.025149</v>
      </c>
      <c r="O310" s="13" t="n">
        <v>0.2497</v>
      </c>
      <c r="P310" s="13" t="n">
        <v>0.050722</v>
      </c>
      <c r="Q310" s="13" t="n">
        <v>0.039298</v>
      </c>
      <c r="R310" s="13" t="n">
        <v>0.011424</v>
      </c>
      <c r="S310" s="13" t="n">
        <v>0.4365</v>
      </c>
      <c r="T310" s="13" t="n">
        <v>0.129274</v>
      </c>
      <c r="U310" s="13" t="n">
        <v>0.058946</v>
      </c>
      <c r="V310" s="13" t="n">
        <v>0.070328</v>
      </c>
      <c r="W310" s="13" t="n">
        <v>0.3132</v>
      </c>
      <c r="X310" s="13" t="n">
        <v>0.171187</v>
      </c>
      <c r="Y310" s="13" t="n">
        <v>0.0949</v>
      </c>
      <c r="Z310" s="13" t="n">
        <v>0.07628699999999999</v>
      </c>
      <c r="AA310" s="13" t="n">
        <v>0.3567</v>
      </c>
    </row>
    <row r="311">
      <c r="A311" s="6" t="inlineStr">
        <is>
          <t>2023-11-27</t>
        </is>
      </c>
      <c r="B311" s="6" t="inlineStr">
        <is>
          <t>中间分位</t>
        </is>
      </c>
      <c r="C311" s="10" t="n">
        <v>0.172</v>
      </c>
      <c r="D311" s="8" t="n">
        <v>0.012496</v>
      </c>
      <c r="E311" s="8" t="n">
        <v>-0.000825</v>
      </c>
      <c r="F311" s="8" t="n">
        <v>0.013321</v>
      </c>
      <c r="G311" s="8" t="n">
        <v>0.0619</v>
      </c>
      <c r="H311" s="8" t="n">
        <v>0.043389</v>
      </c>
      <c r="I311" s="8" t="n">
        <v>0.002889</v>
      </c>
      <c r="J311" s="8" t="n">
        <v>0.0405</v>
      </c>
      <c r="K311" s="8" t="n">
        <v>0.0624</v>
      </c>
      <c r="L311" s="8" t="n">
        <v>0.02048</v>
      </c>
      <c r="M311" s="8" t="n">
        <v>-0.01073</v>
      </c>
      <c r="N311" s="8" t="n">
        <v>0.03121</v>
      </c>
      <c r="O311" s="8" t="n">
        <v>0.3438</v>
      </c>
      <c r="P311" s="8" t="n">
        <v>0.043735</v>
      </c>
      <c r="Q311" s="8" t="n">
        <v>0.008253999999999999</v>
      </c>
      <c r="R311" s="8" t="n">
        <v>0.035481</v>
      </c>
      <c r="S311" s="8" t="n">
        <v>0.1588</v>
      </c>
      <c r="T311" s="8" t="n">
        <v>0.137802</v>
      </c>
      <c r="U311" s="8" t="n">
        <v>0.042509</v>
      </c>
      <c r="V311" s="8" t="n">
        <v>0.095293</v>
      </c>
      <c r="W311" s="8" t="n">
        <v>0.2358</v>
      </c>
      <c r="X311" s="8" t="n">
        <v>0.163835</v>
      </c>
      <c r="Y311" s="8" t="n">
        <v>0.083368</v>
      </c>
      <c r="Z311" s="8" t="n">
        <v>0.080467</v>
      </c>
      <c r="AA311" s="8" t="n">
        <v>0.3372</v>
      </c>
    </row>
    <row r="312">
      <c r="A312" s="11" t="inlineStr">
        <is>
          <t>2023-11-28</t>
        </is>
      </c>
      <c r="B312" s="11" t="inlineStr">
        <is>
          <t>中间分位</t>
        </is>
      </c>
      <c r="C312" s="15" t="n">
        <v>0.324</v>
      </c>
      <c r="D312" s="13" t="n">
        <v>0</v>
      </c>
      <c r="E312" s="13" t="n">
        <v>0.000826</v>
      </c>
      <c r="F312" s="13" t="n">
        <v>-0.000826</v>
      </c>
      <c r="G312" s="13" t="n">
        <v>1</v>
      </c>
      <c r="H312" s="13" t="n">
        <v>0.003772</v>
      </c>
      <c r="I312" s="13" t="n">
        <v>-0.007435</v>
      </c>
      <c r="J312" s="13" t="n">
        <v>0.011207</v>
      </c>
      <c r="K312" s="13" t="n">
        <v>0.6634</v>
      </c>
      <c r="L312" s="13" t="n">
        <v>0.004459</v>
      </c>
      <c r="M312" s="13" t="n">
        <v>-0.002891</v>
      </c>
      <c r="N312" s="13" t="n">
        <v>0.00735</v>
      </c>
      <c r="O312" s="13" t="n">
        <v>0.3933</v>
      </c>
      <c r="P312" s="13" t="n">
        <v>0.018512</v>
      </c>
      <c r="Q312" s="13" t="n">
        <v>0.005783</v>
      </c>
      <c r="R312" s="13" t="n">
        <v>0.012729</v>
      </c>
      <c r="S312" s="13" t="n">
        <v>0.238</v>
      </c>
      <c r="T312" s="13" t="n">
        <v>0.127874</v>
      </c>
      <c r="U312" s="13" t="n">
        <v>0.03924</v>
      </c>
      <c r="V312" s="13" t="n">
        <v>0.088634</v>
      </c>
      <c r="W312" s="13" t="n">
        <v>0.2348</v>
      </c>
      <c r="X312" s="13" t="n">
        <v>0.146041</v>
      </c>
      <c r="Y312" s="13" t="n">
        <v>0.098306</v>
      </c>
      <c r="Z312" s="13" t="n">
        <v>0.047735</v>
      </c>
      <c r="AA312" s="13" t="n">
        <v>0.4023</v>
      </c>
    </row>
    <row r="313">
      <c r="A313" s="6" t="inlineStr">
        <is>
          <t>2023-11-29</t>
        </is>
      </c>
      <c r="B313" s="6" t="inlineStr">
        <is>
          <t>中间分位</t>
        </is>
      </c>
      <c r="C313" s="10" t="n">
        <v>0.316</v>
      </c>
      <c r="D313" s="8" t="n">
        <v>0.002057</v>
      </c>
      <c r="E313" s="8" t="n">
        <v>0.032191</v>
      </c>
      <c r="F313" s="8" t="n">
        <v>-0.030134</v>
      </c>
      <c r="G313" s="8" t="n">
        <v>0.9399</v>
      </c>
      <c r="H313" s="8" t="n">
        <v>0.004114</v>
      </c>
      <c r="I313" s="8" t="n">
        <v>-0.00454</v>
      </c>
      <c r="J313" s="8" t="n">
        <v>0.008654</v>
      </c>
      <c r="K313" s="8" t="n">
        <v>0.5246</v>
      </c>
      <c r="L313" s="8" t="n">
        <v>0.007886000000000001</v>
      </c>
      <c r="M313" s="8" t="n">
        <v>-0.022699</v>
      </c>
      <c r="N313" s="8" t="n">
        <v>0.030585</v>
      </c>
      <c r="O313" s="8" t="n">
        <v>0.7422</v>
      </c>
      <c r="P313" s="8" t="n">
        <v>0.014398</v>
      </c>
      <c r="Q313" s="8" t="n">
        <v>0.001238</v>
      </c>
      <c r="R313" s="8" t="n">
        <v>0.01316</v>
      </c>
      <c r="S313" s="8" t="n">
        <v>0.07920000000000001</v>
      </c>
      <c r="T313" s="8" t="n">
        <v>0.123073</v>
      </c>
      <c r="U313" s="8" t="n">
        <v>0.043747</v>
      </c>
      <c r="V313" s="8" t="n">
        <v>0.07932599999999999</v>
      </c>
      <c r="W313" s="8" t="n">
        <v>0.2622</v>
      </c>
      <c r="X313" s="8" t="n">
        <v>0.15187</v>
      </c>
      <c r="Y313" s="8" t="n">
        <v>0.085844</v>
      </c>
      <c r="Z313" s="8" t="n">
        <v>0.066026</v>
      </c>
      <c r="AA313" s="8" t="n">
        <v>0.3611</v>
      </c>
    </row>
    <row r="314">
      <c r="A314" s="11" t="inlineStr">
        <is>
          <t>2023-11-30</t>
        </is>
      </c>
      <c r="B314" s="11" t="inlineStr">
        <is>
          <t>低分位</t>
        </is>
      </c>
      <c r="C314" s="15" t="n">
        <v>0.076</v>
      </c>
      <c r="D314" s="13" t="n">
        <v>0.03079</v>
      </c>
      <c r="E314" s="13" t="n">
        <v>-0.0012</v>
      </c>
      <c r="F314" s="13" t="n">
        <v>0.03199</v>
      </c>
      <c r="G314" s="13" t="n">
        <v>0.0375</v>
      </c>
      <c r="H314" s="13" t="n">
        <v>0.001712</v>
      </c>
      <c r="I314" s="13" t="n">
        <v>-0.027189</v>
      </c>
      <c r="J314" s="13" t="n">
        <v>0.028901</v>
      </c>
      <c r="K314" s="13" t="n">
        <v>0.9408</v>
      </c>
      <c r="L314" s="13" t="n">
        <v>-0.006158</v>
      </c>
      <c r="M314" s="13" t="n">
        <v>-0.051979</v>
      </c>
      <c r="N314" s="13" t="n">
        <v>0.045821</v>
      </c>
      <c r="O314" s="13" t="n">
        <v>0.8941</v>
      </c>
      <c r="P314" s="13" t="n">
        <v>0.004791</v>
      </c>
      <c r="Q314" s="13" t="n">
        <v>-0.021591</v>
      </c>
      <c r="R314" s="13" t="n">
        <v>0.026382</v>
      </c>
      <c r="S314" s="13" t="n">
        <v>0.8184</v>
      </c>
      <c r="T314" s="13" t="n">
        <v>0.124873</v>
      </c>
      <c r="U314" s="13" t="n">
        <v>0.0012</v>
      </c>
      <c r="V314" s="13" t="n">
        <v>0.123673</v>
      </c>
      <c r="W314" s="13" t="n">
        <v>0.0095</v>
      </c>
      <c r="X314" s="13" t="n">
        <v>0.13377</v>
      </c>
      <c r="Y314" s="13" t="n">
        <v>0.026789</v>
      </c>
      <c r="Z314" s="13" t="n">
        <v>0.106981</v>
      </c>
      <c r="AA314" s="13" t="n">
        <v>0.1668</v>
      </c>
    </row>
    <row r="315">
      <c r="A315" s="6" t="inlineStr">
        <is>
          <t>2023-12-01</t>
        </is>
      </c>
      <c r="B315" s="6" t="inlineStr">
        <is>
          <t>中间分位</t>
        </is>
      </c>
      <c r="C315" s="10" t="n">
        <v>0.344</v>
      </c>
      <c r="D315" s="8" t="n">
        <v>-0.002322</v>
      </c>
      <c r="E315" s="8" t="n">
        <v>-0.027222</v>
      </c>
      <c r="F315" s="8" t="n">
        <v>0.0249</v>
      </c>
      <c r="G315" s="8" t="n">
        <v>0.9214</v>
      </c>
      <c r="H315" s="8" t="n">
        <v>-0.022236</v>
      </c>
      <c r="I315" s="8" t="n">
        <v>-0.030424</v>
      </c>
      <c r="J315" s="8" t="n">
        <v>0.008188000000000001</v>
      </c>
      <c r="K315" s="8" t="n">
        <v>0.5777</v>
      </c>
      <c r="L315" s="8" t="n">
        <v>-0.035845</v>
      </c>
      <c r="M315" s="8" t="n">
        <v>-0.054844</v>
      </c>
      <c r="N315" s="8" t="n">
        <v>0.018999</v>
      </c>
      <c r="O315" s="8" t="n">
        <v>0.6047</v>
      </c>
      <c r="P315" s="8" t="n">
        <v>-0.021571</v>
      </c>
      <c r="Q315" s="8" t="n">
        <v>-0.026821</v>
      </c>
      <c r="R315" s="8" t="n">
        <v>0.00525</v>
      </c>
      <c r="S315" s="8" t="n">
        <v>0.5542</v>
      </c>
      <c r="T315" s="8" t="n">
        <v>0.079989</v>
      </c>
      <c r="U315" s="8" t="n">
        <v>-0.003203</v>
      </c>
      <c r="V315" s="8" t="n">
        <v>0.083192</v>
      </c>
      <c r="W315" s="8" t="n">
        <v>0.0385</v>
      </c>
      <c r="X315" s="8" t="n">
        <v>0.070033</v>
      </c>
      <c r="Y315" s="8" t="n">
        <v>0.02562</v>
      </c>
      <c r="Z315" s="8" t="n">
        <v>0.044413</v>
      </c>
      <c r="AA315" s="8" t="n">
        <v>0.2678</v>
      </c>
    </row>
    <row r="316">
      <c r="A316" s="11" t="inlineStr">
        <is>
          <t>2023-12-04</t>
        </is>
      </c>
      <c r="B316" s="11" t="inlineStr">
        <is>
          <t>中间分位</t>
        </is>
      </c>
      <c r="C316" s="15" t="n">
        <v>0.648</v>
      </c>
      <c r="D316" s="13" t="n">
        <v>-0.025948</v>
      </c>
      <c r="E316" s="13" t="n">
        <v>-0.011111</v>
      </c>
      <c r="F316" s="13" t="n">
        <v>-0.014837</v>
      </c>
      <c r="G316" s="13" t="n">
        <v>0.2998</v>
      </c>
      <c r="H316" s="13" t="n">
        <v>-0.021956</v>
      </c>
      <c r="I316" s="13" t="n">
        <v>-0.01358</v>
      </c>
      <c r="J316" s="13" t="n">
        <v>-0.008376</v>
      </c>
      <c r="K316" s="13" t="n">
        <v>0.3821</v>
      </c>
      <c r="L316" s="13" t="n">
        <v>-0.02994</v>
      </c>
      <c r="M316" s="13" t="n">
        <v>-0.02428</v>
      </c>
      <c r="N316" s="13" t="n">
        <v>-0.00566</v>
      </c>
      <c r="O316" s="13" t="n">
        <v>0.4478</v>
      </c>
      <c r="P316" s="13" t="n">
        <v>-0.021956</v>
      </c>
      <c r="Q316" s="13" t="n">
        <v>-0.014403</v>
      </c>
      <c r="R316" s="13" t="n">
        <v>-0.007553</v>
      </c>
      <c r="S316" s="13" t="n">
        <v>0.3961</v>
      </c>
      <c r="T316" s="13" t="n">
        <v>0.074519</v>
      </c>
      <c r="U316" s="13" t="n">
        <v>0.034568</v>
      </c>
      <c r="V316" s="13" t="n">
        <v>0.039951</v>
      </c>
      <c r="W316" s="13" t="n">
        <v>0.3169</v>
      </c>
      <c r="X316" s="13" t="n">
        <v>0.060212</v>
      </c>
      <c r="Y316" s="13" t="n">
        <v>0.058848</v>
      </c>
      <c r="Z316" s="13" t="n">
        <v>0.001364</v>
      </c>
      <c r="AA316" s="13" t="n">
        <v>0.4943</v>
      </c>
    </row>
    <row r="317">
      <c r="A317" s="6" t="inlineStr">
        <is>
          <t>2023-12-05</t>
        </is>
      </c>
      <c r="B317" s="6" t="inlineStr">
        <is>
          <t>中间分位</t>
        </is>
      </c>
      <c r="C317" s="10" t="n">
        <v>0.482</v>
      </c>
      <c r="D317" s="8" t="n">
        <v>0.00034</v>
      </c>
      <c r="E317" s="8" t="n">
        <v>0.003745</v>
      </c>
      <c r="F317" s="8" t="n">
        <v>-0.003405</v>
      </c>
      <c r="G317" s="8" t="n">
        <v>0.9167999999999999</v>
      </c>
      <c r="H317" s="8" t="n">
        <v>0.000684</v>
      </c>
      <c r="I317" s="8" t="n">
        <v>0.004578</v>
      </c>
      <c r="J317" s="8" t="n">
        <v>-0.003894</v>
      </c>
      <c r="K317" s="8" t="n">
        <v>0.87</v>
      </c>
      <c r="L317" s="8" t="n">
        <v>0.004439</v>
      </c>
      <c r="M317" s="8" t="n">
        <v>-0.008739</v>
      </c>
      <c r="N317" s="8" t="n">
        <v>0.013178</v>
      </c>
      <c r="O317" s="8" t="n">
        <v>0.6632</v>
      </c>
      <c r="P317" s="8" t="n">
        <v>-0.008196999999999999</v>
      </c>
      <c r="Q317" s="8" t="n">
        <v>0.000416</v>
      </c>
      <c r="R317" s="8" t="n">
        <v>-0.008613000000000001</v>
      </c>
      <c r="S317" s="8" t="n">
        <v>0.0483</v>
      </c>
      <c r="T317" s="8" t="n">
        <v>0.11202</v>
      </c>
      <c r="U317" s="8" t="n">
        <v>0.042447</v>
      </c>
      <c r="V317" s="8" t="n">
        <v>0.069573</v>
      </c>
      <c r="W317" s="8" t="n">
        <v>0.2748</v>
      </c>
      <c r="X317" s="8" t="n">
        <v>0.09016399999999999</v>
      </c>
      <c r="Y317" s="8" t="n">
        <v>0.067</v>
      </c>
      <c r="Z317" s="8" t="n">
        <v>0.023164</v>
      </c>
      <c r="AA317" s="8" t="n">
        <v>0.4263</v>
      </c>
    </row>
    <row r="318">
      <c r="A318" s="11" t="inlineStr">
        <is>
          <t>2023-12-06</t>
        </is>
      </c>
      <c r="B318" s="11" t="inlineStr">
        <is>
          <t>中间分位</t>
        </is>
      </c>
      <c r="C318" s="15" t="n">
        <v>0.448</v>
      </c>
      <c r="D318" s="13" t="n">
        <v>-0.00034</v>
      </c>
      <c r="E318" s="13" t="n">
        <v>0.008706</v>
      </c>
      <c r="F318" s="13" t="n">
        <v>-0.009046</v>
      </c>
      <c r="G318" s="13" t="n">
        <v>0.9624</v>
      </c>
      <c r="H318" s="13" t="n">
        <v>0.003757</v>
      </c>
      <c r="I318" s="13" t="n">
        <v>-0.018242</v>
      </c>
      <c r="J318" s="13" t="n">
        <v>0.021999</v>
      </c>
      <c r="K318" s="13" t="n">
        <v>0.8292</v>
      </c>
      <c r="L318" s="13" t="n">
        <v>0.006145</v>
      </c>
      <c r="M318" s="13" t="n">
        <v>0.007463</v>
      </c>
      <c r="N318" s="13" t="n">
        <v>-0.001318</v>
      </c>
      <c r="O318" s="13" t="n">
        <v>0.5484</v>
      </c>
      <c r="P318" s="13" t="n">
        <v>-0.00751</v>
      </c>
      <c r="Q318" s="13" t="n">
        <v>-0.010365</v>
      </c>
      <c r="R318" s="13" t="n">
        <v>0.002855</v>
      </c>
      <c r="S318" s="13" t="n">
        <v>0.5799</v>
      </c>
      <c r="T318" s="13" t="n">
        <v>0.110962</v>
      </c>
      <c r="U318" s="13" t="n">
        <v>0.044362</v>
      </c>
      <c r="V318" s="13" t="n">
        <v>0.06660000000000001</v>
      </c>
      <c r="W318" s="13" t="n">
        <v>0.2856</v>
      </c>
      <c r="X318" s="13" t="n">
        <v>0.073405</v>
      </c>
      <c r="Y318" s="13" t="n">
        <v>0.058872</v>
      </c>
      <c r="Z318" s="13" t="n">
        <v>0.014533</v>
      </c>
      <c r="AA318" s="13" t="n">
        <v>0.4451</v>
      </c>
    </row>
    <row r="319">
      <c r="A319" s="6" t="inlineStr">
        <is>
          <t>2023-12-07</t>
        </is>
      </c>
      <c r="B319" s="6" t="inlineStr">
        <is>
          <t>中间分位</t>
        </is>
      </c>
      <c r="C319" s="10" t="n">
        <v>0.316</v>
      </c>
      <c r="D319" s="8" t="n">
        <v>0.006148</v>
      </c>
      <c r="E319" s="8" t="n">
        <v>-0.004521</v>
      </c>
      <c r="F319" s="8" t="n">
        <v>0.010669</v>
      </c>
      <c r="G319" s="8" t="n">
        <v>0.4238</v>
      </c>
      <c r="H319" s="8" t="n">
        <v>-0.007856999999999999</v>
      </c>
      <c r="I319" s="8" t="n">
        <v>-0.025483</v>
      </c>
      <c r="J319" s="8" t="n">
        <v>0.017626</v>
      </c>
      <c r="K319" s="8" t="n">
        <v>0.7643</v>
      </c>
      <c r="L319" s="8" t="n">
        <v>0.019807</v>
      </c>
      <c r="M319" s="8" t="n">
        <v>0.004932</v>
      </c>
      <c r="N319" s="8" t="n">
        <v>0.014875</v>
      </c>
      <c r="O319" s="8" t="n">
        <v>0.1994</v>
      </c>
      <c r="P319" s="8" t="n">
        <v>-0.010586</v>
      </c>
      <c r="Q319" s="8" t="n">
        <v>-0.019318</v>
      </c>
      <c r="R319" s="8" t="n">
        <v>0.008732</v>
      </c>
      <c r="S319" s="8" t="n">
        <v>0.646</v>
      </c>
      <c r="T319" s="8" t="n">
        <v>0.11373</v>
      </c>
      <c r="U319" s="8" t="n">
        <v>0.04439</v>
      </c>
      <c r="V319" s="8" t="n">
        <v>0.06934</v>
      </c>
      <c r="W319" s="8" t="n">
        <v>0.2807</v>
      </c>
      <c r="X319" s="8" t="n">
        <v>0.06557399999999999</v>
      </c>
      <c r="Y319" s="8" t="n">
        <v>0.048089</v>
      </c>
      <c r="Z319" s="8" t="n">
        <v>0.017485</v>
      </c>
      <c r="AA319" s="8" t="n">
        <v>0.4231</v>
      </c>
    </row>
    <row r="320">
      <c r="A320" s="11" t="inlineStr">
        <is>
          <t>2023-12-08</t>
        </is>
      </c>
      <c r="B320" s="11" t="inlineStr">
        <is>
          <t>中间分位</t>
        </is>
      </c>
      <c r="C320" s="15" t="n">
        <v>0.476</v>
      </c>
      <c r="D320" s="13" t="n">
        <v>-0.002037</v>
      </c>
      <c r="E320" s="13" t="n">
        <v>-0.010322</v>
      </c>
      <c r="F320" s="13" t="n">
        <v>0.008285000000000001</v>
      </c>
      <c r="G320" s="13" t="n">
        <v>0.8352000000000001</v>
      </c>
      <c r="H320" s="13" t="n">
        <v>-0.013919</v>
      </c>
      <c r="I320" s="13" t="n">
        <v>-0.025186</v>
      </c>
      <c r="J320" s="13" t="n">
        <v>0.011267</v>
      </c>
      <c r="K320" s="13" t="n">
        <v>0.6441</v>
      </c>
      <c r="L320" s="13" t="n">
        <v>0.012558</v>
      </c>
      <c r="M320" s="13" t="n">
        <v>0.026424</v>
      </c>
      <c r="N320" s="13" t="n">
        <v>-0.013866</v>
      </c>
      <c r="O320" s="13" t="n">
        <v>0.6778999999999999</v>
      </c>
      <c r="P320" s="13" t="n">
        <v>-0.018668</v>
      </c>
      <c r="Q320" s="13" t="n">
        <v>-0.014451</v>
      </c>
      <c r="R320" s="13" t="n">
        <v>-0.004217</v>
      </c>
      <c r="S320" s="13" t="n">
        <v>0.4363</v>
      </c>
      <c r="T320" s="13" t="n">
        <v>0.120163</v>
      </c>
      <c r="U320" s="13" t="n">
        <v>0.031792</v>
      </c>
      <c r="V320" s="13" t="n">
        <v>0.08837100000000001</v>
      </c>
      <c r="W320" s="13" t="n">
        <v>0.2092</v>
      </c>
      <c r="X320" s="13" t="n">
        <v>0.059063</v>
      </c>
      <c r="Y320" s="13" t="n">
        <v>0.056978</v>
      </c>
      <c r="Z320" s="13" t="n">
        <v>0.002085</v>
      </c>
      <c r="AA320" s="13" t="n">
        <v>0.491</v>
      </c>
    </row>
    <row r="321">
      <c r="A321" s="6" t="inlineStr">
        <is>
          <t>2023-12-11</t>
        </is>
      </c>
      <c r="B321" s="6" t="inlineStr">
        <is>
          <t>中间分位</t>
        </is>
      </c>
      <c r="C321" s="10" t="n">
        <v>0.572</v>
      </c>
      <c r="D321" s="8" t="n">
        <v>-0.0034</v>
      </c>
      <c r="E321" s="8" t="n">
        <v>0.007092</v>
      </c>
      <c r="F321" s="8" t="n">
        <v>-0.010492</v>
      </c>
      <c r="G321" s="8" t="n">
        <v>0.6758999999999999</v>
      </c>
      <c r="H321" s="8" t="n">
        <v>-0.008163</v>
      </c>
      <c r="I321" s="8" t="n">
        <v>-0.010847</v>
      </c>
      <c r="J321" s="8" t="n">
        <v>0.002684</v>
      </c>
      <c r="K321" s="8" t="n">
        <v>0.5706</v>
      </c>
      <c r="L321" s="8" t="n">
        <v>0.022788</v>
      </c>
      <c r="M321" s="8" t="n">
        <v>0.019191</v>
      </c>
      <c r="N321" s="8" t="n">
        <v>0.003597</v>
      </c>
      <c r="O321" s="8" t="n">
        <v>0.4572</v>
      </c>
      <c r="P321" s="8" t="n">
        <v>-0.010886</v>
      </c>
      <c r="Q321" s="8" t="n">
        <v>-0.005423</v>
      </c>
      <c r="R321" s="8" t="n">
        <v>-0.005463</v>
      </c>
      <c r="S321" s="8" t="n">
        <v>0.3325</v>
      </c>
      <c r="T321" s="8" t="n">
        <v>0.102722</v>
      </c>
      <c r="U321" s="8" t="n">
        <v>0.044222</v>
      </c>
      <c r="V321" s="8" t="n">
        <v>0.0585</v>
      </c>
      <c r="W321" s="8" t="n">
        <v>0.3009</v>
      </c>
      <c r="X321" s="8" t="n">
        <v>0.061224</v>
      </c>
      <c r="Y321" s="8" t="n">
        <v>0.05632</v>
      </c>
      <c r="Z321" s="8" t="n">
        <v>0.004904</v>
      </c>
      <c r="AA321" s="8" t="n">
        <v>0.4791</v>
      </c>
    </row>
    <row r="322">
      <c r="A322" s="11" t="inlineStr">
        <is>
          <t>2023-12-12</t>
        </is>
      </c>
      <c r="B322" s="11" t="inlineStr">
        <is>
          <t>中间分位</t>
        </is>
      </c>
      <c r="C322" s="15" t="n">
        <v>0.448</v>
      </c>
      <c r="D322" s="13" t="n">
        <v>0.003412</v>
      </c>
      <c r="E322" s="13" t="n">
        <v>-0.019056</v>
      </c>
      <c r="F322" s="13" t="n">
        <v>0.022468</v>
      </c>
      <c r="G322" s="13" t="n">
        <v>0.8481</v>
      </c>
      <c r="H322" s="13" t="n">
        <v>0.003752</v>
      </c>
      <c r="I322" s="13" t="n">
        <v>-0.013256</v>
      </c>
      <c r="J322" s="13" t="n">
        <v>0.017008</v>
      </c>
      <c r="K322" s="13" t="n">
        <v>0.7794</v>
      </c>
      <c r="L322" s="13" t="n">
        <v>0.01399</v>
      </c>
      <c r="M322" s="13" t="n">
        <v>0.008699</v>
      </c>
      <c r="N322" s="13" t="n">
        <v>0.005291</v>
      </c>
      <c r="O322" s="13" t="n">
        <v>0.3834</v>
      </c>
      <c r="P322" s="13" t="n">
        <v>-0.003072</v>
      </c>
      <c r="Q322" s="13" t="n">
        <v>-0.047639</v>
      </c>
      <c r="R322" s="13" t="n">
        <v>0.044567</v>
      </c>
      <c r="S322" s="13" t="n">
        <v>0.9394</v>
      </c>
      <c r="T322" s="13" t="n">
        <v>0.106484</v>
      </c>
      <c r="U322" s="13" t="n">
        <v>0.050539</v>
      </c>
      <c r="V322" s="13" t="n">
        <v>0.055945</v>
      </c>
      <c r="W322" s="13" t="n">
        <v>0.3219</v>
      </c>
      <c r="X322" s="13" t="n">
        <v>0.048463</v>
      </c>
      <c r="Y322" s="13" t="n">
        <v>0.047639</v>
      </c>
      <c r="Z322" s="13" t="n">
        <v>0.000824</v>
      </c>
      <c r="AA322" s="13" t="n">
        <v>0.4957</v>
      </c>
    </row>
    <row r="323">
      <c r="A323" s="6" t="inlineStr">
        <is>
          <t>2023-12-13</t>
        </is>
      </c>
      <c r="B323" s="6" t="inlineStr">
        <is>
          <t>中间分位</t>
        </is>
      </c>
      <c r="C323" s="10" t="n">
        <v>0.732</v>
      </c>
      <c r="D323" s="8" t="n">
        <v>-0.011906</v>
      </c>
      <c r="E323" s="8" t="n">
        <v>0.001267</v>
      </c>
      <c r="F323" s="8" t="n">
        <v>-0.013173</v>
      </c>
      <c r="G323" s="8" t="n">
        <v>0.09619999999999999</v>
      </c>
      <c r="H323" s="8" t="n">
        <v>0.00238</v>
      </c>
      <c r="I323" s="8" t="n">
        <v>0.026182</v>
      </c>
      <c r="J323" s="8" t="n">
        <v>-0.023802</v>
      </c>
      <c r="K323" s="8" t="n">
        <v>0.9167</v>
      </c>
      <c r="L323" s="8" t="n">
        <v>0.006461</v>
      </c>
      <c r="M323" s="8" t="n">
        <v>0.024493</v>
      </c>
      <c r="N323" s="8" t="n">
        <v>-0.018032</v>
      </c>
      <c r="O323" s="8" t="n">
        <v>0.7913</v>
      </c>
      <c r="P323" s="8" t="n">
        <v>-0.032653</v>
      </c>
      <c r="Q323" s="8" t="n">
        <v>-0.013091</v>
      </c>
      <c r="R323" s="8" t="n">
        <v>-0.019562</v>
      </c>
      <c r="S323" s="8" t="n">
        <v>0.2862</v>
      </c>
      <c r="T323" s="8" t="n">
        <v>0.106122</v>
      </c>
      <c r="U323" s="8" t="n">
        <v>0.083193</v>
      </c>
      <c r="V323" s="8" t="n">
        <v>0.022929</v>
      </c>
      <c r="W323" s="8" t="n">
        <v>0.4394</v>
      </c>
      <c r="X323" s="8" t="n">
        <v>0.039114</v>
      </c>
      <c r="Y323" s="8" t="n">
        <v>0.0625</v>
      </c>
      <c r="Z323" s="8" t="n">
        <v>-0.023386</v>
      </c>
      <c r="AA323" s="8" t="n">
        <v>0.6151</v>
      </c>
    </row>
    <row r="324">
      <c r="A324" s="11" t="inlineStr">
        <is>
          <t>2023-12-14</t>
        </is>
      </c>
      <c r="B324" s="11" t="inlineStr">
        <is>
          <t>中间分位</t>
        </is>
      </c>
      <c r="C324" s="15" t="n">
        <v>0.5600000000000001</v>
      </c>
      <c r="D324" s="13" t="n">
        <v>0</v>
      </c>
      <c r="E324" s="13" t="n">
        <v>-0.004218</v>
      </c>
      <c r="F324" s="13" t="n">
        <v>0.004218</v>
      </c>
      <c r="G324" s="13" t="n">
        <v>1</v>
      </c>
      <c r="H324" s="13" t="n">
        <v>0.027883</v>
      </c>
      <c r="I324" s="13" t="n">
        <v>0.03121</v>
      </c>
      <c r="J324" s="13" t="n">
        <v>-0.003327</v>
      </c>
      <c r="K324" s="13" t="n">
        <v>0.5282</v>
      </c>
      <c r="L324" s="13" t="n">
        <v>0.011017</v>
      </c>
      <c r="M324" s="13" t="n">
        <v>0.032054</v>
      </c>
      <c r="N324" s="13" t="n">
        <v>-0.021037</v>
      </c>
      <c r="O324" s="13" t="n">
        <v>0.7442</v>
      </c>
      <c r="P324" s="13" t="n">
        <v>-0.002065</v>
      </c>
      <c r="Q324" s="13" t="n">
        <v>-0.011809</v>
      </c>
      <c r="R324" s="13" t="n">
        <v>0.009743999999999999</v>
      </c>
      <c r="S324" s="13" t="n">
        <v>0.8512</v>
      </c>
      <c r="T324" s="13" t="n">
        <v>0.124271</v>
      </c>
      <c r="U324" s="13" t="n">
        <v>0.08308699999999999</v>
      </c>
      <c r="V324" s="13" t="n">
        <v>0.041184</v>
      </c>
      <c r="W324" s="13" t="n">
        <v>0.4007</v>
      </c>
      <c r="X324" s="13" t="n">
        <v>0.040965</v>
      </c>
      <c r="Y324" s="13" t="n">
        <v>0.059047</v>
      </c>
      <c r="Z324" s="13" t="n">
        <v>-0.018082</v>
      </c>
      <c r="AA324" s="13" t="n">
        <v>0.5904</v>
      </c>
    </row>
    <row r="325">
      <c r="A325" s="6" t="inlineStr">
        <is>
          <t>2023-12-15</t>
        </is>
      </c>
      <c r="B325" s="6" t="inlineStr">
        <is>
          <t>中间分位</t>
        </is>
      </c>
      <c r="C325" s="10" t="n">
        <v>0.62</v>
      </c>
      <c r="D325" s="8" t="n">
        <v>0.003788</v>
      </c>
      <c r="E325" s="8" t="n">
        <v>0.004235</v>
      </c>
      <c r="F325" s="8" t="n">
        <v>-0.000447</v>
      </c>
      <c r="G325" s="8" t="n">
        <v>0.5279</v>
      </c>
      <c r="H325" s="8" t="n">
        <v>0.02685</v>
      </c>
      <c r="I325" s="8" t="n">
        <v>0.052944</v>
      </c>
      <c r="J325" s="8" t="n">
        <v>-0.026094</v>
      </c>
      <c r="K325" s="8" t="n">
        <v>0.6635</v>
      </c>
      <c r="L325" s="8" t="n">
        <v>0.014805</v>
      </c>
      <c r="M325" s="8" t="n">
        <v>0.029648</v>
      </c>
      <c r="N325" s="8" t="n">
        <v>-0.014843</v>
      </c>
      <c r="O325" s="8" t="n">
        <v>0.667</v>
      </c>
      <c r="P325" s="8" t="n">
        <v>-0.002065</v>
      </c>
      <c r="Q325" s="8" t="n">
        <v>0.002541</v>
      </c>
      <c r="R325" s="8" t="n">
        <v>-0.004606</v>
      </c>
      <c r="S325" s="8" t="n">
        <v>0.5517</v>
      </c>
      <c r="T325" s="8" t="n">
        <v>0.11601</v>
      </c>
      <c r="U325" s="8" t="n">
        <v>0.095722</v>
      </c>
      <c r="V325" s="8" t="n">
        <v>0.020288</v>
      </c>
      <c r="W325" s="8" t="n">
        <v>0.4521</v>
      </c>
      <c r="X325" s="8" t="n">
        <v>0.039243</v>
      </c>
      <c r="Y325" s="8" t="n">
        <v>0.074545</v>
      </c>
      <c r="Z325" s="8" t="n">
        <v>-0.035302</v>
      </c>
      <c r="AA325" s="8" t="n">
        <v>0.6551</v>
      </c>
    </row>
    <row r="326">
      <c r="A326" s="11" t="inlineStr">
        <is>
          <t>2023-12-18</t>
        </is>
      </c>
      <c r="B326" s="11" t="inlineStr">
        <is>
          <t>中间分位</t>
        </is>
      </c>
      <c r="C326" s="15" t="n">
        <v>0.62</v>
      </c>
      <c r="D326" s="13" t="n">
        <v>0.008572</v>
      </c>
      <c r="E326" s="13" t="n">
        <v>0.004639</v>
      </c>
      <c r="F326" s="13" t="n">
        <v>0.003933</v>
      </c>
      <c r="G326" s="13" t="n">
        <v>0.3511</v>
      </c>
      <c r="H326" s="13" t="n">
        <v>0.031206</v>
      </c>
      <c r="I326" s="13" t="n">
        <v>0.030367</v>
      </c>
      <c r="J326" s="13" t="n">
        <v>0.000839</v>
      </c>
      <c r="K326" s="13" t="n">
        <v>0.4932</v>
      </c>
      <c r="L326" s="13" t="n">
        <v>0.008229999999999999</v>
      </c>
      <c r="M326" s="13" t="n">
        <v>0.010122</v>
      </c>
      <c r="N326" s="13" t="n">
        <v>-0.001892</v>
      </c>
      <c r="O326" s="13" t="n">
        <v>0.5515</v>
      </c>
      <c r="P326" s="13" t="n">
        <v>0.015091</v>
      </c>
      <c r="Q326" s="13" t="n">
        <v>-0.00717</v>
      </c>
      <c r="R326" s="13" t="n">
        <v>0.022261</v>
      </c>
      <c r="S326" s="13" t="n">
        <v>0.3221</v>
      </c>
      <c r="T326" s="13" t="n">
        <v>0.125856</v>
      </c>
      <c r="U326" s="13" t="n">
        <v>0.088148</v>
      </c>
      <c r="V326" s="13" t="n">
        <v>0.037708</v>
      </c>
      <c r="W326" s="13" t="n">
        <v>0.4119</v>
      </c>
      <c r="X326" s="13" t="n">
        <v>0.041152</v>
      </c>
      <c r="Y326" s="13" t="n">
        <v>0.066639</v>
      </c>
      <c r="Z326" s="13" t="n">
        <v>-0.025487</v>
      </c>
      <c r="AA326" s="13" t="n">
        <v>0.6182</v>
      </c>
    </row>
    <row r="327">
      <c r="A327" s="6" t="inlineStr">
        <is>
          <t>2023-12-19</t>
        </is>
      </c>
      <c r="B327" s="6" t="inlineStr">
        <is>
          <t>中间分位</t>
        </is>
      </c>
      <c r="C327" s="10" t="n">
        <v>0.672</v>
      </c>
      <c r="D327" s="8" t="n">
        <v>0.00204</v>
      </c>
      <c r="E327" s="8" t="n">
        <v>0.020151</v>
      </c>
      <c r="F327" s="8" t="n">
        <v>-0.018111</v>
      </c>
      <c r="G327" s="8" t="n">
        <v>0.9081</v>
      </c>
      <c r="H327" s="8" t="n">
        <v>0.010201</v>
      </c>
      <c r="I327" s="8" t="n">
        <v>0.02225</v>
      </c>
      <c r="J327" s="8" t="n">
        <v>-0.012049</v>
      </c>
      <c r="K327" s="8" t="n">
        <v>0.6856</v>
      </c>
      <c r="L327" s="8" t="n">
        <v>-0.012579</v>
      </c>
      <c r="M327" s="8" t="n">
        <v>0.009235999999999999</v>
      </c>
      <c r="N327" s="8" t="n">
        <v>-0.021815</v>
      </c>
      <c r="O327" s="8" t="n">
        <v>0.4234</v>
      </c>
      <c r="P327" s="8" t="n">
        <v>-0.007479</v>
      </c>
      <c r="Q327" s="8" t="n">
        <v>-0.018892</v>
      </c>
      <c r="R327" s="8" t="n">
        <v>0.011413</v>
      </c>
      <c r="S327" s="8" t="n">
        <v>0.7164</v>
      </c>
      <c r="T327" s="8" t="n">
        <v>0.111187</v>
      </c>
      <c r="U327" s="8" t="n">
        <v>0.07220799999999999</v>
      </c>
      <c r="V327" s="8" t="n">
        <v>0.038979</v>
      </c>
      <c r="W327" s="8" t="n">
        <v>0.3937</v>
      </c>
      <c r="X327" s="8" t="n">
        <v>0.030945</v>
      </c>
      <c r="Y327" s="8" t="n">
        <v>0.048699</v>
      </c>
      <c r="Z327" s="8" t="n">
        <v>-0.017754</v>
      </c>
      <c r="AA327" s="8" t="n">
        <v>0.6115</v>
      </c>
    </row>
    <row r="328">
      <c r="A328" s="11" t="inlineStr">
        <is>
          <t>2023-12-20</t>
        </is>
      </c>
      <c r="B328" s="11" t="inlineStr">
        <is>
          <t>中间分位</t>
        </is>
      </c>
      <c r="C328" s="15" t="n">
        <v>0.432</v>
      </c>
      <c r="D328" s="13" t="n">
        <v>0.013234</v>
      </c>
      <c r="E328" s="13" t="n">
        <v>0.006173</v>
      </c>
      <c r="F328" s="13" t="n">
        <v>0.007061</v>
      </c>
      <c r="G328" s="13" t="n">
        <v>0.3181</v>
      </c>
      <c r="H328" s="13" t="n">
        <v>0.004072</v>
      </c>
      <c r="I328" s="13" t="n">
        <v>-0.001646</v>
      </c>
      <c r="J328" s="13" t="n">
        <v>0.005718</v>
      </c>
      <c r="K328" s="13" t="n">
        <v>0.2879</v>
      </c>
      <c r="L328" s="13" t="n">
        <v>-0.013572</v>
      </c>
      <c r="M328" s="13" t="n">
        <v>-0.017695</v>
      </c>
      <c r="N328" s="13" t="n">
        <v>0.004123</v>
      </c>
      <c r="O328" s="13" t="n">
        <v>0.5659</v>
      </c>
      <c r="P328" s="13" t="n">
        <v>-0.01459</v>
      </c>
      <c r="Q328" s="13" t="n">
        <v>-0.02428</v>
      </c>
      <c r="R328" s="13" t="n">
        <v>0.009690000000000001</v>
      </c>
      <c r="S328" s="13" t="n">
        <v>0.6246</v>
      </c>
      <c r="T328" s="13" t="n">
        <v>0.093655</v>
      </c>
      <c r="U328" s="13" t="n">
        <v>0.046502</v>
      </c>
      <c r="V328" s="13" t="n">
        <v>0.047153</v>
      </c>
      <c r="W328" s="13" t="n">
        <v>0.3318</v>
      </c>
      <c r="X328" s="13" t="n">
        <v>0.017986</v>
      </c>
      <c r="Y328" s="13" t="n">
        <v>0.019753</v>
      </c>
      <c r="Z328" s="13" t="n">
        <v>-0.001767</v>
      </c>
      <c r="AA328" s="13" t="n">
        <v>0.5234</v>
      </c>
    </row>
    <row r="329">
      <c r="A329" s="6" t="inlineStr">
        <is>
          <t>2023-12-21</t>
        </is>
      </c>
      <c r="B329" s="6" t="inlineStr">
        <is>
          <t>中间分位</t>
        </is>
      </c>
      <c r="C329" s="10" t="n">
        <v>0.532</v>
      </c>
      <c r="D329" s="8" t="n">
        <v>-0.001005</v>
      </c>
      <c r="E329" s="8" t="n">
        <v>0.016769</v>
      </c>
      <c r="F329" s="8" t="n">
        <v>-0.017774</v>
      </c>
      <c r="G329" s="8" t="n">
        <v>0.9435</v>
      </c>
      <c r="H329" s="8" t="n">
        <v>-0.016409</v>
      </c>
      <c r="I329" s="8" t="n">
        <v>0.000818</v>
      </c>
      <c r="J329" s="8" t="n">
        <v>-0.017227</v>
      </c>
      <c r="K329" s="8" t="n">
        <v>0.0475</v>
      </c>
      <c r="L329" s="8" t="n">
        <v>-0.029803</v>
      </c>
      <c r="M329" s="8" t="n">
        <v>-0.024131</v>
      </c>
      <c r="N329" s="8" t="n">
        <v>-0.005672</v>
      </c>
      <c r="O329" s="8" t="n">
        <v>0.4474</v>
      </c>
      <c r="P329" s="8" t="n">
        <v>-0.016409</v>
      </c>
      <c r="Q329" s="8" t="n">
        <v>-0.038446</v>
      </c>
      <c r="R329" s="8" t="n">
        <v>0.022037</v>
      </c>
      <c r="S329" s="8" t="n">
        <v>0.7009</v>
      </c>
      <c r="T329" s="8" t="n">
        <v>0.073009</v>
      </c>
      <c r="U329" s="8" t="n">
        <v>0.031084</v>
      </c>
      <c r="V329" s="8" t="n">
        <v>0.041925</v>
      </c>
      <c r="W329" s="8" t="n">
        <v>0.2986</v>
      </c>
      <c r="X329" s="8" t="n">
        <v>-0.001338</v>
      </c>
      <c r="Y329" s="8" t="n">
        <v>0.027812</v>
      </c>
      <c r="Z329" s="8" t="n">
        <v>-0.02915</v>
      </c>
      <c r="AA329" s="8" t="n">
        <v>0.9540999999999999</v>
      </c>
    </row>
    <row r="330">
      <c r="A330" s="11" t="inlineStr">
        <is>
          <t>2023-12-22</t>
        </is>
      </c>
      <c r="B330" s="11" t="inlineStr">
        <is>
          <t>中间分位</t>
        </is>
      </c>
      <c r="C330" s="15" t="n">
        <v>0.276</v>
      </c>
      <c r="D330" s="13" t="n">
        <v>0.008045999999999999</v>
      </c>
      <c r="E330" s="13" t="n">
        <v>-0.017297</v>
      </c>
      <c r="F330" s="13" t="n">
        <v>0.025343</v>
      </c>
      <c r="G330" s="13" t="n">
        <v>0.6825</v>
      </c>
      <c r="H330" s="13" t="n">
        <v>-0.01173</v>
      </c>
      <c r="I330" s="13" t="n">
        <v>-0.022124</v>
      </c>
      <c r="J330" s="13" t="n">
        <v>0.010394</v>
      </c>
      <c r="K330" s="13" t="n">
        <v>0.6535</v>
      </c>
      <c r="L330" s="13" t="n">
        <v>-0.030839</v>
      </c>
      <c r="M330" s="13" t="n">
        <v>-0.039823</v>
      </c>
      <c r="N330" s="13" t="n">
        <v>0.008984000000000001</v>
      </c>
      <c r="O330" s="13" t="n">
        <v>0.5636</v>
      </c>
      <c r="P330" s="13" t="n">
        <v>-0.016425</v>
      </c>
      <c r="Q330" s="13" t="n">
        <v>-0.034996</v>
      </c>
      <c r="R330" s="13" t="n">
        <v>0.018571</v>
      </c>
      <c r="S330" s="13" t="n">
        <v>0.6806</v>
      </c>
      <c r="T330" s="13" t="n">
        <v>0.080456</v>
      </c>
      <c r="U330" s="13" t="n">
        <v>0.007241</v>
      </c>
      <c r="V330" s="13" t="n">
        <v>0.073215</v>
      </c>
      <c r="W330" s="13" t="n">
        <v>0.08260000000000001</v>
      </c>
      <c r="X330" s="13" t="n">
        <v>0.013746</v>
      </c>
      <c r="Y330" s="13" t="n">
        <v>0.008045</v>
      </c>
      <c r="Z330" s="13" t="n">
        <v>0.005701</v>
      </c>
      <c r="AA330" s="13" t="n">
        <v>0.3692</v>
      </c>
    </row>
    <row r="331">
      <c r="A331" s="6" t="inlineStr">
        <is>
          <t>2023-12-25</t>
        </is>
      </c>
      <c r="B331" s="6" t="inlineStr">
        <is>
          <t>中间分位</t>
        </is>
      </c>
      <c r="C331" s="10" t="n">
        <v>0.648</v>
      </c>
      <c r="D331" s="8" t="n">
        <v>-0.011972</v>
      </c>
      <c r="E331" s="8" t="n">
        <v>-0.003275</v>
      </c>
      <c r="F331" s="8" t="n">
        <v>-0.008697</v>
      </c>
      <c r="G331" s="8" t="n">
        <v>0.2148</v>
      </c>
      <c r="H331" s="8" t="n">
        <v>-0.02228</v>
      </c>
      <c r="I331" s="8" t="n">
        <v>-0.019648</v>
      </c>
      <c r="J331" s="8" t="n">
        <v>-0.002632</v>
      </c>
      <c r="K331" s="8" t="n">
        <v>0.4686</v>
      </c>
      <c r="L331" s="8" t="n">
        <v>-0.032923</v>
      </c>
      <c r="M331" s="8" t="n">
        <v>-0.024151</v>
      </c>
      <c r="N331" s="8" t="n">
        <v>-0.008772</v>
      </c>
      <c r="O331" s="8" t="n">
        <v>0.4232</v>
      </c>
      <c r="P331" s="8" t="n">
        <v>0.000998</v>
      </c>
      <c r="Q331" s="8" t="n">
        <v>-0.014736</v>
      </c>
      <c r="R331" s="8" t="n">
        <v>0.015734</v>
      </c>
      <c r="S331" s="8" t="n">
        <v>0.9366</v>
      </c>
      <c r="T331" s="8" t="n">
        <v>0.059198</v>
      </c>
      <c r="U331" s="8" t="n">
        <v>0.017192</v>
      </c>
      <c r="V331" s="8" t="n">
        <v>0.042006</v>
      </c>
      <c r="W331" s="8" t="n">
        <v>0.2251</v>
      </c>
      <c r="X331" s="8" t="n">
        <v>0.005655</v>
      </c>
      <c r="Y331" s="8" t="n">
        <v>0.0307</v>
      </c>
      <c r="Z331" s="8" t="n">
        <v>-0.025045</v>
      </c>
      <c r="AA331" s="8" t="n">
        <v>0.8445</v>
      </c>
    </row>
    <row r="332">
      <c r="A332" s="11" t="inlineStr">
        <is>
          <t>2023-12-26</t>
        </is>
      </c>
      <c r="B332" s="11" t="inlineStr">
        <is>
          <t>中间分位</t>
        </is>
      </c>
      <c r="C332" s="15" t="n">
        <v>0.528</v>
      </c>
      <c r="D332" s="13" t="n">
        <v>-0.004039</v>
      </c>
      <c r="E332" s="13" t="n">
        <v>-0.003696</v>
      </c>
      <c r="F332" s="13" t="n">
        <v>-0.000343</v>
      </c>
      <c r="G332" s="13" t="n">
        <v>0.4778</v>
      </c>
      <c r="H332" s="13" t="n">
        <v>-0.02255</v>
      </c>
      <c r="I332" s="13" t="n">
        <v>-0.012731</v>
      </c>
      <c r="J332" s="13" t="n">
        <v>-0.009819</v>
      </c>
      <c r="K332" s="13" t="n">
        <v>0.3608</v>
      </c>
      <c r="L332" s="13" t="n">
        <v>-0.016827</v>
      </c>
      <c r="M332" s="13" t="n">
        <v>-0.055852</v>
      </c>
      <c r="N332" s="13" t="n">
        <v>0.039025</v>
      </c>
      <c r="O332" s="13" t="n">
        <v>0.7685</v>
      </c>
      <c r="P332" s="13" t="n">
        <v>0.027938</v>
      </c>
      <c r="Q332" s="13" t="n">
        <v>0.001643</v>
      </c>
      <c r="R332" s="13" t="n">
        <v>0.026295</v>
      </c>
      <c r="S332" s="13" t="n">
        <v>0.0555</v>
      </c>
      <c r="T332" s="13" t="n">
        <v>0.06496399999999999</v>
      </c>
      <c r="U332" s="13" t="n">
        <v>0.011088</v>
      </c>
      <c r="V332" s="13" t="n">
        <v>0.053876</v>
      </c>
      <c r="W332" s="13" t="n">
        <v>0.1458</v>
      </c>
      <c r="X332" s="13" t="n">
        <v>0.02188</v>
      </c>
      <c r="Y332" s="13" t="n">
        <v>0.04846</v>
      </c>
      <c r="Z332" s="13" t="n">
        <v>-0.02658</v>
      </c>
      <c r="AA332" s="13" t="n">
        <v>0.6889</v>
      </c>
    </row>
    <row r="333">
      <c r="A333" s="6" t="inlineStr">
        <is>
          <t>2023-12-27</t>
        </is>
      </c>
      <c r="B333" s="6" t="inlineStr">
        <is>
          <t>中间分位</t>
        </is>
      </c>
      <c r="C333" s="10" t="n">
        <v>0.524</v>
      </c>
      <c r="D333" s="8" t="n">
        <v>-0.007434</v>
      </c>
      <c r="E333" s="8" t="n">
        <v>0.008656</v>
      </c>
      <c r="F333" s="8" t="n">
        <v>-0.01609</v>
      </c>
      <c r="G333" s="8" t="n">
        <v>0.538</v>
      </c>
      <c r="H333" s="8" t="n">
        <v>-0.017572</v>
      </c>
      <c r="I333" s="8" t="n">
        <v>-0.016076</v>
      </c>
      <c r="J333" s="8" t="n">
        <v>-0.001496</v>
      </c>
      <c r="K333" s="8" t="n">
        <v>0.4778</v>
      </c>
      <c r="L333" s="8" t="n">
        <v>-0.038863</v>
      </c>
      <c r="M333" s="8" t="n">
        <v>-0.036686</v>
      </c>
      <c r="N333" s="8" t="n">
        <v>-0.002177</v>
      </c>
      <c r="O333" s="8" t="n">
        <v>0.4856</v>
      </c>
      <c r="P333" s="8" t="n">
        <v>0.050356</v>
      </c>
      <c r="Q333" s="8" t="n">
        <v>0.005771</v>
      </c>
      <c r="R333" s="8" t="n">
        <v>0.044585</v>
      </c>
      <c r="S333" s="8" t="n">
        <v>0.1028</v>
      </c>
      <c r="T333" s="8" t="n">
        <v>0.047651</v>
      </c>
      <c r="U333" s="8" t="n">
        <v>0.026381</v>
      </c>
      <c r="V333" s="8" t="n">
        <v>0.02127</v>
      </c>
      <c r="W333" s="8" t="n">
        <v>0.3563</v>
      </c>
      <c r="X333" s="8" t="n">
        <v>0.035826</v>
      </c>
      <c r="Y333" s="8" t="n">
        <v>0.049052</v>
      </c>
      <c r="Z333" s="8" t="n">
        <v>-0.013226</v>
      </c>
      <c r="AA333" s="8" t="n">
        <v>0.5779</v>
      </c>
    </row>
    <row r="334">
      <c r="A334" s="11" t="inlineStr">
        <is>
          <t>2023-12-28</t>
        </is>
      </c>
      <c r="B334" s="11" t="inlineStr">
        <is>
          <t>中间分位</t>
        </is>
      </c>
      <c r="C334" s="15" t="n">
        <v>0.28</v>
      </c>
      <c r="D334" s="13" t="n">
        <v>0.003747</v>
      </c>
      <c r="E334" s="13" t="n">
        <v>-0.006539</v>
      </c>
      <c r="F334" s="13" t="n">
        <v>0.010286</v>
      </c>
      <c r="G334" s="13" t="n">
        <v>0.6357</v>
      </c>
      <c r="H334" s="13" t="n">
        <v>-0.013618</v>
      </c>
      <c r="I334" s="13" t="n">
        <v>-0.024928</v>
      </c>
      <c r="J334" s="13" t="n">
        <v>0.01131</v>
      </c>
      <c r="K334" s="13" t="n">
        <v>0.6467000000000001</v>
      </c>
      <c r="L334" s="13" t="n">
        <v>-0.01294</v>
      </c>
      <c r="M334" s="13" t="n">
        <v>-0.042501</v>
      </c>
      <c r="N334" s="13" t="n">
        <v>0.029561</v>
      </c>
      <c r="O334" s="13" t="n">
        <v>0.7665999999999999</v>
      </c>
      <c r="P334" s="13" t="n">
        <v>0.068776</v>
      </c>
      <c r="Q334" s="13" t="n">
        <v>-0.004087</v>
      </c>
      <c r="R334" s="13" t="n">
        <v>0.072863</v>
      </c>
      <c r="S334" s="13" t="n">
        <v>0.0561</v>
      </c>
      <c r="T334" s="13" t="n">
        <v>0.059583</v>
      </c>
      <c r="U334" s="13" t="n">
        <v>0.031467</v>
      </c>
      <c r="V334" s="13" t="n">
        <v>0.028116</v>
      </c>
      <c r="W334" s="13" t="n">
        <v>0.3456</v>
      </c>
      <c r="X334" s="13" t="n">
        <v>0.034729</v>
      </c>
      <c r="Y334" s="13" t="n">
        <v>0.051083</v>
      </c>
      <c r="Z334" s="13" t="n">
        <v>-0.016354</v>
      </c>
      <c r="AA334" s="13" t="n">
        <v>0.5953000000000001</v>
      </c>
    </row>
    <row r="335">
      <c r="A335" s="6" t="inlineStr">
        <is>
          <t>2023-12-29</t>
        </is>
      </c>
      <c r="B335" s="6" t="inlineStr">
        <is>
          <t>中间分位</t>
        </is>
      </c>
      <c r="C335" s="10" t="n">
        <v>0.44</v>
      </c>
      <c r="D335" s="8" t="n">
        <v>-0.002715</v>
      </c>
      <c r="E335" s="8" t="n">
        <v>-0.014809</v>
      </c>
      <c r="F335" s="8" t="n">
        <v>0.012094</v>
      </c>
      <c r="G335" s="8" t="n">
        <v>0.8451</v>
      </c>
      <c r="H335" s="8" t="n">
        <v>-0.019335</v>
      </c>
      <c r="I335" s="8" t="n">
        <v>-0.0181</v>
      </c>
      <c r="J335" s="8" t="n">
        <v>-0.001235</v>
      </c>
      <c r="K335" s="8" t="n">
        <v>0.4835</v>
      </c>
      <c r="L335" s="8" t="n">
        <v>-0.016624</v>
      </c>
      <c r="M335" s="8" t="n">
        <v>-0.026327</v>
      </c>
      <c r="N335" s="8" t="n">
        <v>0.009703</v>
      </c>
      <c r="O335" s="8" t="n">
        <v>0.613</v>
      </c>
      <c r="P335" s="8" t="n">
        <v>0.043416</v>
      </c>
      <c r="Q335" s="8" t="n">
        <v>0.015631</v>
      </c>
      <c r="R335" s="8" t="n">
        <v>0.027785</v>
      </c>
      <c r="S335" s="8" t="n">
        <v>0.2647</v>
      </c>
      <c r="T335" s="8" t="n">
        <v>0.06784</v>
      </c>
      <c r="U335" s="8" t="n">
        <v>0.037022</v>
      </c>
      <c r="V335" s="8" t="n">
        <v>0.030818</v>
      </c>
      <c r="W335" s="8" t="n">
        <v>0.3531</v>
      </c>
      <c r="X335" s="8" t="n">
        <v>0.042061</v>
      </c>
      <c r="Y335" s="8" t="n">
        <v>0.057178</v>
      </c>
      <c r="Z335" s="8" t="n">
        <v>-0.015117</v>
      </c>
      <c r="AA335" s="8" t="n">
        <v>0.5762</v>
      </c>
    </row>
    <row r="336">
      <c r="A336" s="11" t="inlineStr">
        <is>
          <t>2024-01-02</t>
        </is>
      </c>
      <c r="B336" s="11" t="inlineStr">
        <is>
          <t>中间分位</t>
        </is>
      </c>
      <c r="C336" s="15" t="n">
        <v>0.62</v>
      </c>
      <c r="D336" s="13" t="n">
        <v>-0.012245</v>
      </c>
      <c r="E336" s="13" t="n">
        <v>0.003758</v>
      </c>
      <c r="F336" s="13" t="n">
        <v>-0.016003</v>
      </c>
      <c r="G336" s="13" t="n">
        <v>0.2348</v>
      </c>
      <c r="H336" s="13" t="n">
        <v>-0.010886</v>
      </c>
      <c r="I336" s="13" t="n">
        <v>-0.004593</v>
      </c>
      <c r="J336" s="13" t="n">
        <v>-0.006293</v>
      </c>
      <c r="K336" s="13" t="n">
        <v>0.2967</v>
      </c>
      <c r="L336" s="13" t="n">
        <v>0.006804</v>
      </c>
      <c r="M336" s="13" t="n">
        <v>-0.017119</v>
      </c>
      <c r="N336" s="13" t="n">
        <v>0.023923</v>
      </c>
      <c r="O336" s="13" t="n">
        <v>0.7156</v>
      </c>
      <c r="P336" s="13" t="n">
        <v>0.053061</v>
      </c>
      <c r="Q336" s="13" t="n">
        <v>0.03048</v>
      </c>
      <c r="R336" s="13" t="n">
        <v>0.022581</v>
      </c>
      <c r="S336" s="13" t="n">
        <v>0.3649</v>
      </c>
      <c r="T336" s="13" t="n">
        <v>0.07278800000000001</v>
      </c>
      <c r="U336" s="13" t="n">
        <v>0.050939</v>
      </c>
      <c r="V336" s="13" t="n">
        <v>0.021849</v>
      </c>
      <c r="W336" s="13" t="n">
        <v>0.4117</v>
      </c>
      <c r="X336" s="13" t="n">
        <v>0.040816</v>
      </c>
      <c r="Y336" s="13" t="n">
        <v>0.070564</v>
      </c>
      <c r="Z336" s="13" t="n">
        <v>-0.029748</v>
      </c>
      <c r="AA336" s="13" t="n">
        <v>0.6335</v>
      </c>
    </row>
    <row r="337">
      <c r="A337" s="6" t="inlineStr">
        <is>
          <t>2024-01-03</t>
        </is>
      </c>
      <c r="B337" s="6" t="inlineStr">
        <is>
          <t>中间分位</t>
        </is>
      </c>
      <c r="C337" s="10" t="n">
        <v>0.38</v>
      </c>
      <c r="D337" s="8" t="n">
        <v>0.001033</v>
      </c>
      <c r="E337" s="8" t="n">
        <v>-0.007072</v>
      </c>
      <c r="F337" s="8" t="n">
        <v>0.008104999999999999</v>
      </c>
      <c r="G337" s="8" t="n">
        <v>0.8725000000000001</v>
      </c>
      <c r="H337" s="8" t="n">
        <v>0.005855</v>
      </c>
      <c r="I337" s="8" t="n">
        <v>-0.043677</v>
      </c>
      <c r="J337" s="8" t="n">
        <v>0.049532</v>
      </c>
      <c r="K337" s="8" t="n">
        <v>0.8818</v>
      </c>
      <c r="L337" s="8" t="n">
        <v>0.005165</v>
      </c>
      <c r="M337" s="8" t="n">
        <v>-0.02787</v>
      </c>
      <c r="N337" s="8" t="n">
        <v>0.033035</v>
      </c>
      <c r="O337" s="8" t="n">
        <v>0.8437</v>
      </c>
      <c r="P337" s="8" t="n">
        <v>0.06267399999999999</v>
      </c>
      <c r="Q337" s="8" t="n">
        <v>0.03203</v>
      </c>
      <c r="R337" s="8" t="n">
        <v>0.030644</v>
      </c>
      <c r="S337" s="8" t="n">
        <v>0.3382</v>
      </c>
      <c r="T337" s="8" t="n">
        <v>0.08092100000000001</v>
      </c>
      <c r="U337" s="8" t="n">
        <v>0.037022</v>
      </c>
      <c r="V337" s="8" t="n">
        <v>0.043899</v>
      </c>
      <c r="W337" s="8" t="n">
        <v>0.3139</v>
      </c>
      <c r="X337" s="8" t="n">
        <v>0.049587</v>
      </c>
      <c r="Y337" s="8" t="n">
        <v>0.056572</v>
      </c>
      <c r="Z337" s="8" t="n">
        <v>-0.006985</v>
      </c>
      <c r="AA337" s="8" t="n">
        <v>0.5329</v>
      </c>
    </row>
    <row r="338">
      <c r="A338" s="11" t="inlineStr">
        <is>
          <t>2024-01-04</t>
        </is>
      </c>
      <c r="B338" s="11" t="inlineStr">
        <is>
          <t>中间分位</t>
        </is>
      </c>
      <c r="C338" s="15" t="n">
        <v>0.512</v>
      </c>
      <c r="D338" s="13" t="n">
        <v>-0.003439</v>
      </c>
      <c r="E338" s="13" t="n">
        <v>-0.000419</v>
      </c>
      <c r="F338" s="13" t="n">
        <v>-0.00302</v>
      </c>
      <c r="G338" s="13" t="n">
        <v>0.1086</v>
      </c>
      <c r="H338" s="13" t="n">
        <v>-0.021672</v>
      </c>
      <c r="I338" s="13" t="n">
        <v>-0.020947</v>
      </c>
      <c r="J338" s="13" t="n">
        <v>-0.000725</v>
      </c>
      <c r="K338" s="13" t="n">
        <v>0.4915</v>
      </c>
      <c r="L338" s="13" t="n">
        <v>-0.001032</v>
      </c>
      <c r="M338" s="13" t="n">
        <v>-0.006703</v>
      </c>
      <c r="N338" s="13" t="n">
        <v>0.005671</v>
      </c>
      <c r="O338" s="13" t="n">
        <v>0.8666</v>
      </c>
      <c r="P338" s="13" t="n">
        <v>0.065358</v>
      </c>
      <c r="Q338" s="13" t="n">
        <v>0.031001</v>
      </c>
      <c r="R338" s="13" t="n">
        <v>0.034357</v>
      </c>
      <c r="S338" s="13" t="n">
        <v>0.3217</v>
      </c>
      <c r="T338" s="13" t="n">
        <v>0.065015</v>
      </c>
      <c r="U338" s="13" t="n">
        <v>0.038542</v>
      </c>
      <c r="V338" s="13" t="n">
        <v>0.026473</v>
      </c>
      <c r="W338" s="13" t="n">
        <v>0.3722</v>
      </c>
      <c r="X338" s="13" t="n">
        <v>0.038526</v>
      </c>
      <c r="Y338" s="13" t="n">
        <v>0.056975</v>
      </c>
      <c r="Z338" s="13" t="n">
        <v>-0.018449</v>
      </c>
      <c r="AA338" s="13" t="n">
        <v>0.5966</v>
      </c>
    </row>
    <row r="339">
      <c r="A339" s="6" t="inlineStr">
        <is>
          <t>2024-01-05</t>
        </is>
      </c>
      <c r="B339" s="6" t="inlineStr">
        <is>
          <t>中间分位</t>
        </is>
      </c>
      <c r="C339" s="10" t="n">
        <v>0.472</v>
      </c>
      <c r="D339" s="8" t="n">
        <v>-0.002071</v>
      </c>
      <c r="E339" s="8" t="n">
        <v>0.000419</v>
      </c>
      <c r="F339" s="8" t="n">
        <v>-0.00249</v>
      </c>
      <c r="G339" s="8" t="n">
        <v>0.1683</v>
      </c>
      <c r="H339" s="8" t="n">
        <v>0.000688</v>
      </c>
      <c r="I339" s="8" t="n">
        <v>-0.018022</v>
      </c>
      <c r="J339" s="8" t="n">
        <v>0.01871</v>
      </c>
      <c r="K339" s="8" t="n">
        <v>0.9631999999999999</v>
      </c>
      <c r="L339" s="8" t="n">
        <v>0.013806</v>
      </c>
      <c r="M339" s="8" t="n">
        <v>-0.014669</v>
      </c>
      <c r="N339" s="8" t="n">
        <v>0.028475</v>
      </c>
      <c r="O339" s="8" t="n">
        <v>0.5152</v>
      </c>
      <c r="P339" s="8" t="n">
        <v>0.061098</v>
      </c>
      <c r="Q339" s="8" t="n">
        <v>0.024728</v>
      </c>
      <c r="R339" s="8" t="n">
        <v>0.03637</v>
      </c>
      <c r="S339" s="8" t="n">
        <v>0.2881</v>
      </c>
      <c r="T339" s="8" t="n">
        <v>0.054536</v>
      </c>
      <c r="U339" s="8" t="n">
        <v>0.056161</v>
      </c>
      <c r="V339" s="8" t="n">
        <v>-0.001625</v>
      </c>
      <c r="W339" s="8" t="n">
        <v>0.5073</v>
      </c>
      <c r="X339" s="8" t="n">
        <v>0.037624</v>
      </c>
      <c r="Y339" s="8" t="n">
        <v>0.068734</v>
      </c>
      <c r="Z339" s="8" t="n">
        <v>-0.03111</v>
      </c>
      <c r="AA339" s="8" t="n">
        <v>0.6463</v>
      </c>
    </row>
    <row r="340">
      <c r="A340" s="11" t="inlineStr">
        <is>
          <t>2024-01-08</t>
        </is>
      </c>
      <c r="B340" s="11" t="inlineStr">
        <is>
          <t>中间分位</t>
        </is>
      </c>
      <c r="C340" s="15" t="n">
        <v>0.424</v>
      </c>
      <c r="D340" s="13" t="n">
        <v>0.005878</v>
      </c>
      <c r="E340" s="13" t="n">
        <v>-0.001257</v>
      </c>
      <c r="F340" s="13" t="n">
        <v>0.007135</v>
      </c>
      <c r="G340" s="13" t="n">
        <v>0.1762</v>
      </c>
      <c r="H340" s="13" t="n">
        <v>0.002764</v>
      </c>
      <c r="I340" s="13" t="n">
        <v>-0.008378999999999999</v>
      </c>
      <c r="J340" s="13" t="n">
        <v>0.011143</v>
      </c>
      <c r="K340" s="13" t="n">
        <v>0.752</v>
      </c>
      <c r="L340" s="13" t="n">
        <v>0.014872</v>
      </c>
      <c r="M340" s="13" t="n">
        <v>0.005027</v>
      </c>
      <c r="N340" s="13" t="n">
        <v>0.009845</v>
      </c>
      <c r="O340" s="13" t="n">
        <v>0.2526</v>
      </c>
      <c r="P340" s="13" t="n">
        <v>0.070215</v>
      </c>
      <c r="Q340" s="13" t="n">
        <v>0.02765</v>
      </c>
      <c r="R340" s="13" t="n">
        <v>0.042565</v>
      </c>
      <c r="S340" s="13" t="n">
        <v>0.2825</v>
      </c>
      <c r="T340" s="13" t="n">
        <v>0.067451</v>
      </c>
      <c r="U340" s="13" t="n">
        <v>0.033934</v>
      </c>
      <c r="V340" s="13" t="n">
        <v>0.033517</v>
      </c>
      <c r="W340" s="13" t="n">
        <v>0.3347</v>
      </c>
      <c r="X340" s="13" t="n">
        <v>0.04981</v>
      </c>
      <c r="Y340" s="13" t="n">
        <v>0.06283999999999999</v>
      </c>
      <c r="Z340" s="13" t="n">
        <v>-0.01303</v>
      </c>
      <c r="AA340" s="13" t="n">
        <v>0.5578</v>
      </c>
    </row>
    <row r="341">
      <c r="A341" s="6" t="inlineStr">
        <is>
          <t>2024-01-09</t>
        </is>
      </c>
      <c r="B341" s="6" t="inlineStr">
        <is>
          <t>中间分位</t>
        </is>
      </c>
      <c r="C341" s="10" t="n">
        <v>0.552</v>
      </c>
      <c r="D341" s="8" t="n">
        <v>0.004473</v>
      </c>
      <c r="E341" s="8" t="n">
        <v>-0.035654</v>
      </c>
      <c r="F341" s="8" t="n">
        <v>0.040127</v>
      </c>
      <c r="G341" s="8" t="n">
        <v>0.8885</v>
      </c>
      <c r="H341" s="8" t="n">
        <v>0.017884</v>
      </c>
      <c r="I341" s="8" t="n">
        <v>-0.012584</v>
      </c>
      <c r="J341" s="8" t="n">
        <v>0.030468</v>
      </c>
      <c r="K341" s="8" t="n">
        <v>0.413</v>
      </c>
      <c r="L341" s="8" t="n">
        <v>0.035076</v>
      </c>
      <c r="M341" s="8" t="n">
        <v>0.009648</v>
      </c>
      <c r="N341" s="8" t="n">
        <v>0.025428</v>
      </c>
      <c r="O341" s="8" t="n">
        <v>0.2157</v>
      </c>
      <c r="P341" s="8" t="n">
        <v>0.061213</v>
      </c>
      <c r="Q341" s="8" t="n">
        <v>0.03146</v>
      </c>
      <c r="R341" s="8" t="n">
        <v>0.029753</v>
      </c>
      <c r="S341" s="8" t="n">
        <v>0.3395</v>
      </c>
      <c r="T341" s="8" t="n">
        <v>0.064651</v>
      </c>
      <c r="U341" s="8" t="n">
        <v>0.038591</v>
      </c>
      <c r="V341" s="8" t="n">
        <v>0.02606</v>
      </c>
      <c r="W341" s="8" t="n">
        <v>0.3738</v>
      </c>
      <c r="X341" s="8" t="n">
        <v>0.038171</v>
      </c>
      <c r="Y341" s="8" t="n">
        <v>0.083893</v>
      </c>
      <c r="Z341" s="8" t="n">
        <v>-0.045722</v>
      </c>
      <c r="AA341" s="8" t="n">
        <v>0.6873</v>
      </c>
    </row>
    <row r="342">
      <c r="A342" s="11" t="inlineStr">
        <is>
          <t>2024-01-10</t>
        </is>
      </c>
      <c r="B342" s="11" t="inlineStr">
        <is>
          <t>高分位</t>
        </is>
      </c>
      <c r="C342" s="15" t="n">
        <v>0.928</v>
      </c>
      <c r="D342" s="13" t="n">
        <v>-0.026362</v>
      </c>
      <c r="E342" s="13" t="n">
        <v>0.016529</v>
      </c>
      <c r="F342" s="13" t="n">
        <v>-0.042891</v>
      </c>
      <c r="G342" s="13" t="n">
        <v>0.3854</v>
      </c>
      <c r="H342" s="13" t="n">
        <v>-0.000686</v>
      </c>
      <c r="I342" s="13" t="n">
        <v>0.016529</v>
      </c>
      <c r="J342" s="13" t="n">
        <v>-0.017215</v>
      </c>
      <c r="K342" s="13" t="n">
        <v>0.9602000000000001</v>
      </c>
      <c r="L342" s="13" t="n">
        <v>0.045531</v>
      </c>
      <c r="M342" s="13" t="n">
        <v>0.060896</v>
      </c>
      <c r="N342" s="13" t="n">
        <v>-0.015365</v>
      </c>
      <c r="O342" s="13" t="n">
        <v>0.5722</v>
      </c>
      <c r="P342" s="13" t="n">
        <v>0.061278</v>
      </c>
      <c r="Q342" s="13" t="n">
        <v>0.09003899999999999</v>
      </c>
      <c r="R342" s="13" t="n">
        <v>-0.028761</v>
      </c>
      <c r="S342" s="13" t="n">
        <v>0.595</v>
      </c>
      <c r="T342" s="13" t="n">
        <v>0.05991</v>
      </c>
      <c r="U342" s="13" t="n">
        <v>0.096564</v>
      </c>
      <c r="V342" s="13" t="n">
        <v>-0.036654</v>
      </c>
      <c r="W342" s="13" t="n">
        <v>0.6171</v>
      </c>
      <c r="X342" s="13" t="n">
        <v>0.047585</v>
      </c>
      <c r="Y342" s="13" t="n">
        <v>0.119182</v>
      </c>
      <c r="Z342" s="13" t="n">
        <v>-0.07159699999999999</v>
      </c>
      <c r="AA342" s="13" t="n">
        <v>0.7147</v>
      </c>
    </row>
    <row r="343">
      <c r="A343" s="6" t="inlineStr">
        <is>
          <t>2024-01-11</t>
        </is>
      </c>
      <c r="B343" s="6" t="inlineStr">
        <is>
          <t>中间分位</t>
        </is>
      </c>
      <c r="C343" s="10" t="n">
        <v>0.516</v>
      </c>
      <c r="D343" s="8" t="n">
        <v>0.019338</v>
      </c>
      <c r="E343" s="8" t="n">
        <v>0.002567</v>
      </c>
      <c r="F343" s="8" t="n">
        <v>0.016771</v>
      </c>
      <c r="G343" s="8" t="n">
        <v>0.1172</v>
      </c>
      <c r="H343" s="8" t="n">
        <v>0.021097</v>
      </c>
      <c r="I343" s="8" t="n">
        <v>0.014549</v>
      </c>
      <c r="J343" s="8" t="n">
        <v>0.006548</v>
      </c>
      <c r="K343" s="8" t="n">
        <v>0.4082</v>
      </c>
      <c r="L343" s="8" t="n">
        <v>0.09282700000000001</v>
      </c>
      <c r="M343" s="8" t="n">
        <v>0.044074</v>
      </c>
      <c r="N343" s="8" t="n">
        <v>0.048753</v>
      </c>
      <c r="O343" s="8" t="n">
        <v>0.3219</v>
      </c>
      <c r="P343" s="8" t="n">
        <v>0.113924</v>
      </c>
      <c r="Q343" s="8" t="n">
        <v>0.07531</v>
      </c>
      <c r="R343" s="8" t="n">
        <v>0.038614</v>
      </c>
      <c r="S343" s="8" t="n">
        <v>0.398</v>
      </c>
      <c r="T343" s="8" t="n">
        <v>0.116384</v>
      </c>
      <c r="U343" s="8" t="n">
        <v>0.07531</v>
      </c>
      <c r="V343" s="8" t="n">
        <v>0.041074</v>
      </c>
      <c r="W343" s="8" t="n">
        <v>0.3929</v>
      </c>
      <c r="X343" s="8" t="n">
        <v>0.080169</v>
      </c>
      <c r="Y343" s="8" t="n">
        <v>0.100128</v>
      </c>
      <c r="Z343" s="8" t="n">
        <v>-0.019959</v>
      </c>
      <c r="AA343" s="8" t="n">
        <v>0.5554</v>
      </c>
    </row>
    <row r="344">
      <c r="A344" s="11" t="inlineStr">
        <is>
          <t>2024-01-12</t>
        </is>
      </c>
      <c r="B344" s="11" t="inlineStr">
        <is>
          <t>中间分位</t>
        </is>
      </c>
      <c r="C344" s="15" t="n">
        <v>0.724</v>
      </c>
      <c r="D344" s="13" t="n">
        <v>0</v>
      </c>
      <c r="E344" s="13" t="n">
        <v>0.010243</v>
      </c>
      <c r="F344" s="13" t="n">
        <v>-0.010243</v>
      </c>
      <c r="G344" s="13" t="n">
        <v>1</v>
      </c>
      <c r="H344" s="13" t="n">
        <v>0.013109</v>
      </c>
      <c r="I344" s="13" t="n">
        <v>0.003414</v>
      </c>
      <c r="J344" s="13" t="n">
        <v>0.009695</v>
      </c>
      <c r="K344" s="13" t="n">
        <v>0.2066</v>
      </c>
      <c r="L344" s="13" t="n">
        <v>0.082787</v>
      </c>
      <c r="M344" s="13" t="n">
        <v>0.04012</v>
      </c>
      <c r="N344" s="13" t="n">
        <v>0.042667</v>
      </c>
      <c r="O344" s="13" t="n">
        <v>0.3264</v>
      </c>
      <c r="P344" s="13" t="n">
        <v>0.117628</v>
      </c>
      <c r="Q344" s="13" t="n">
        <v>0.06956900000000001</v>
      </c>
      <c r="R344" s="13" t="n">
        <v>0.048059</v>
      </c>
      <c r="S344" s="13" t="n">
        <v>0.3716</v>
      </c>
      <c r="T344" s="13" t="n">
        <v>0.092792</v>
      </c>
      <c r="U344" s="13" t="n">
        <v>0.078532</v>
      </c>
      <c r="V344" s="13" t="n">
        <v>0.01426</v>
      </c>
      <c r="W344" s="13" t="n">
        <v>0.4584</v>
      </c>
      <c r="X344" s="13" t="n">
        <v>0.065195</v>
      </c>
      <c r="Y344" s="13" t="n">
        <v>0.095177</v>
      </c>
      <c r="Z344" s="13" t="n">
        <v>-0.029982</v>
      </c>
      <c r="AA344" s="13" t="n">
        <v>0.5935</v>
      </c>
    </row>
    <row r="345">
      <c r="A345" s="6" t="inlineStr">
        <is>
          <t>2024-01-15</t>
        </is>
      </c>
      <c r="B345" s="6" t="inlineStr">
        <is>
          <t>中间分位</t>
        </is>
      </c>
      <c r="C345" s="10" t="n">
        <v>0.6</v>
      </c>
      <c r="D345" s="8" t="n">
        <v>0.021045</v>
      </c>
      <c r="E345" s="8" t="n">
        <v>-0.005492</v>
      </c>
      <c r="F345" s="8" t="n">
        <v>0.026537</v>
      </c>
      <c r="G345" s="8" t="n">
        <v>0.207</v>
      </c>
      <c r="H345" s="8" t="n">
        <v>0.012075</v>
      </c>
      <c r="I345" s="8" t="n">
        <v>0.013519</v>
      </c>
      <c r="J345" s="8" t="n">
        <v>-0.001444</v>
      </c>
      <c r="K345" s="8" t="n">
        <v>0.5282</v>
      </c>
      <c r="L345" s="8" t="n">
        <v>0.061056</v>
      </c>
      <c r="M345" s="8" t="n">
        <v>0.043093</v>
      </c>
      <c r="N345" s="8" t="n">
        <v>0.017963</v>
      </c>
      <c r="O345" s="8" t="n">
        <v>0.4138</v>
      </c>
      <c r="P345" s="8" t="n">
        <v>0.100727</v>
      </c>
      <c r="Q345" s="8" t="n">
        <v>0.03929</v>
      </c>
      <c r="R345" s="8" t="n">
        <v>0.061437</v>
      </c>
      <c r="S345" s="8" t="n">
        <v>0.2806</v>
      </c>
      <c r="T345" s="8" t="n">
        <v>0.101071</v>
      </c>
      <c r="U345" s="8" t="n">
        <v>0.080693</v>
      </c>
      <c r="V345" s="8" t="n">
        <v>0.020378</v>
      </c>
      <c r="W345" s="8" t="n">
        <v>0.4439</v>
      </c>
      <c r="X345" s="8" t="n">
        <v>0.065886</v>
      </c>
      <c r="Y345" s="8" t="n">
        <v>0.068441</v>
      </c>
      <c r="Z345" s="8" t="n">
        <v>-0.002555</v>
      </c>
      <c r="AA345" s="8" t="n">
        <v>0.5095</v>
      </c>
    </row>
    <row r="346">
      <c r="A346" s="11" t="inlineStr">
        <is>
          <t>2024-01-16</t>
        </is>
      </c>
      <c r="B346" s="11" t="inlineStr">
        <is>
          <t>中间分位</t>
        </is>
      </c>
      <c r="C346" s="15" t="n">
        <v>0.856</v>
      </c>
      <c r="D346" s="13" t="n">
        <v>-0.013853</v>
      </c>
      <c r="E346" s="13" t="n">
        <v>-0.007222</v>
      </c>
      <c r="F346" s="13" t="n">
        <v>-0.006631</v>
      </c>
      <c r="G346" s="13" t="n">
        <v>0.3427</v>
      </c>
      <c r="H346" s="13" t="n">
        <v>0.016889</v>
      </c>
      <c r="I346" s="13" t="n">
        <v>0.022515</v>
      </c>
      <c r="J346" s="13" t="n">
        <v>-0.005626</v>
      </c>
      <c r="K346" s="13" t="n">
        <v>0.5714</v>
      </c>
      <c r="L346" s="13" t="n">
        <v>0.045945</v>
      </c>
      <c r="M346" s="13" t="n">
        <v>0.048428</v>
      </c>
      <c r="N346" s="13" t="n">
        <v>-0.002483</v>
      </c>
      <c r="O346" s="13" t="n">
        <v>0.5132</v>
      </c>
      <c r="P346" s="13" t="n">
        <v>0.054053</v>
      </c>
      <c r="Q346" s="13" t="n">
        <v>0.053526</v>
      </c>
      <c r="R346" s="13" t="n">
        <v>0.000527</v>
      </c>
      <c r="S346" s="13" t="n">
        <v>0.4976</v>
      </c>
      <c r="T346" s="13" t="n">
        <v>0.09121600000000001</v>
      </c>
      <c r="U346" s="13" t="n">
        <v>0.095582</v>
      </c>
      <c r="V346" s="13" t="n">
        <v>-0.004366</v>
      </c>
      <c r="W346" s="13" t="n">
        <v>0.5117</v>
      </c>
      <c r="X346" s="13" t="n">
        <v>0.031419</v>
      </c>
      <c r="Y346" s="13" t="n">
        <v>0.072642</v>
      </c>
      <c r="Z346" s="13" t="n">
        <v>-0.041223</v>
      </c>
      <c r="AA346" s="13" t="n">
        <v>0.6981000000000001</v>
      </c>
    </row>
    <row r="347">
      <c r="A347" s="6" t="inlineStr">
        <is>
          <t>2024-01-17</t>
        </is>
      </c>
      <c r="B347" s="6" t="inlineStr">
        <is>
          <t>中间分位</t>
        </is>
      </c>
      <c r="C347" s="10" t="n">
        <v>0.8159999999999999</v>
      </c>
      <c r="D347" s="8" t="n">
        <v>-0.005139</v>
      </c>
      <c r="E347" s="8" t="n">
        <v>0.014549</v>
      </c>
      <c r="F347" s="8" t="n">
        <v>-0.019688</v>
      </c>
      <c r="G347" s="8" t="n">
        <v>0.739</v>
      </c>
      <c r="H347" s="8" t="n">
        <v>0.046249</v>
      </c>
      <c r="I347" s="8" t="n">
        <v>0.043646</v>
      </c>
      <c r="J347" s="8" t="n">
        <v>0.002603</v>
      </c>
      <c r="K347" s="8" t="n">
        <v>0.4855</v>
      </c>
      <c r="L347" s="8" t="n">
        <v>0.057213</v>
      </c>
      <c r="M347" s="8" t="n">
        <v>0.061617</v>
      </c>
      <c r="N347" s="8" t="n">
        <v>-0.004404</v>
      </c>
      <c r="O347" s="8" t="n">
        <v>0.5185</v>
      </c>
      <c r="P347" s="8" t="n">
        <v>0.075367</v>
      </c>
      <c r="Q347" s="8" t="n">
        <v>0.070175</v>
      </c>
      <c r="R347" s="8" t="n">
        <v>0.005192</v>
      </c>
      <c r="S347" s="8" t="n">
        <v>0.4822</v>
      </c>
      <c r="T347" s="8" t="n">
        <v>0.115449</v>
      </c>
      <c r="U347" s="8" t="n">
        <v>0.094566</v>
      </c>
      <c r="V347" s="8" t="n">
        <v>0.020883</v>
      </c>
      <c r="W347" s="8" t="n">
        <v>0.4503</v>
      </c>
      <c r="X347" s="8" t="n">
        <v>0.038368</v>
      </c>
      <c r="Y347" s="8" t="n">
        <v>0.06675200000000001</v>
      </c>
      <c r="Z347" s="8" t="n">
        <v>-0.028384</v>
      </c>
      <c r="AA347" s="8" t="n">
        <v>0.635</v>
      </c>
    </row>
    <row r="348">
      <c r="A348" s="11" t="inlineStr">
        <is>
          <t>2024-01-18</t>
        </is>
      </c>
      <c r="B348" s="11" t="inlineStr">
        <is>
          <t>中间分位</t>
        </is>
      </c>
      <c r="C348" s="15" t="n">
        <v>0.596</v>
      </c>
      <c r="D348" s="13" t="n">
        <v>0.011364</v>
      </c>
      <c r="E348" s="13" t="n">
        <v>-0.008435</v>
      </c>
      <c r="F348" s="13" t="n">
        <v>0.019799</v>
      </c>
      <c r="G348" s="13" t="n">
        <v>0.426</v>
      </c>
      <c r="H348" s="13" t="n">
        <v>0.070248</v>
      </c>
      <c r="I348" s="13" t="n">
        <v>0.029102</v>
      </c>
      <c r="J348" s="13" t="n">
        <v>0.041146</v>
      </c>
      <c r="K348" s="13" t="n">
        <v>0.2929</v>
      </c>
      <c r="L348" s="13" t="n">
        <v>0.066459</v>
      </c>
      <c r="M348" s="13" t="n">
        <v>0.037959</v>
      </c>
      <c r="N348" s="13" t="n">
        <v>0.0285</v>
      </c>
      <c r="O348" s="13" t="n">
        <v>0.3635</v>
      </c>
      <c r="P348" s="13" t="n">
        <v>0.089186</v>
      </c>
      <c r="Q348" s="13" t="n">
        <v>0.057782</v>
      </c>
      <c r="R348" s="13" t="n">
        <v>0.031404</v>
      </c>
      <c r="S348" s="13" t="n">
        <v>0.3932</v>
      </c>
      <c r="T348" s="13" t="n">
        <v>0.122244</v>
      </c>
      <c r="U348" s="13" t="n">
        <v>0.056938</v>
      </c>
      <c r="V348" s="13" t="n">
        <v>0.065306</v>
      </c>
      <c r="W348" s="13" t="n">
        <v>0.3178</v>
      </c>
      <c r="X348" s="13" t="n">
        <v>0.033058</v>
      </c>
      <c r="Y348" s="13" t="n">
        <v>0.049346</v>
      </c>
      <c r="Z348" s="13" t="n">
        <v>-0.016288</v>
      </c>
      <c r="AA348" s="13" t="n">
        <v>0.5988</v>
      </c>
    </row>
    <row r="349">
      <c r="A349" s="6" t="inlineStr">
        <is>
          <t>2024-01-19</t>
        </is>
      </c>
      <c r="B349" s="6" t="inlineStr">
        <is>
          <t>中间分位</t>
        </is>
      </c>
      <c r="C349" s="10" t="n">
        <v>0.82</v>
      </c>
      <c r="D349" s="8" t="n">
        <v>-0.001021</v>
      </c>
      <c r="E349" s="8" t="n">
        <v>0.020417</v>
      </c>
      <c r="F349" s="8" t="n">
        <v>-0.021438</v>
      </c>
      <c r="G349" s="8" t="n">
        <v>0.9524</v>
      </c>
      <c r="H349" s="8" t="n">
        <v>0.068776</v>
      </c>
      <c r="I349" s="8" t="n">
        <v>0.03658</v>
      </c>
      <c r="J349" s="8" t="n">
        <v>0.032196</v>
      </c>
      <c r="K349" s="8" t="n">
        <v>0.3472</v>
      </c>
      <c r="L349" s="8" t="n">
        <v>0.046648</v>
      </c>
      <c r="M349" s="8" t="n">
        <v>0.039983</v>
      </c>
      <c r="N349" s="8" t="n">
        <v>0.006665</v>
      </c>
      <c r="O349" s="8" t="n">
        <v>0.4615</v>
      </c>
      <c r="P349" s="8" t="n">
        <v>0.081716</v>
      </c>
      <c r="Q349" s="8" t="n">
        <v>0.06422799999999999</v>
      </c>
      <c r="R349" s="8" t="n">
        <v>0.017488</v>
      </c>
      <c r="S349" s="8" t="n">
        <v>0.4401</v>
      </c>
      <c r="T349" s="8" t="n">
        <v>0.103166</v>
      </c>
      <c r="U349" s="8" t="n">
        <v>0.06805600000000001</v>
      </c>
      <c r="V349" s="8" t="n">
        <v>0.03511</v>
      </c>
      <c r="W349" s="8" t="n">
        <v>0.3975</v>
      </c>
      <c r="X349" s="8" t="n">
        <v>0.019747</v>
      </c>
      <c r="Y349" s="8" t="n">
        <v>0.063377</v>
      </c>
      <c r="Z349" s="8" t="n">
        <v>-0.04363</v>
      </c>
      <c r="AA349" s="8" t="n">
        <v>0.7624</v>
      </c>
    </row>
    <row r="350">
      <c r="A350" s="11" t="inlineStr">
        <is>
          <t>2024-01-22</t>
        </is>
      </c>
      <c r="B350" s="11" t="inlineStr">
        <is>
          <t>中间分位</t>
        </is>
      </c>
      <c r="C350" s="15" t="n">
        <v>0.584</v>
      </c>
      <c r="D350" s="13" t="n">
        <v>0.025902</v>
      </c>
      <c r="E350" s="13" t="n">
        <v>0.003335</v>
      </c>
      <c r="F350" s="13" t="n">
        <v>0.022567</v>
      </c>
      <c r="G350" s="13" t="n">
        <v>0.1141</v>
      </c>
      <c r="H350" s="13" t="n">
        <v>0.048397</v>
      </c>
      <c r="I350" s="13" t="n">
        <v>0.029179</v>
      </c>
      <c r="J350" s="13" t="n">
        <v>0.019218</v>
      </c>
      <c r="K350" s="13" t="n">
        <v>0.3761</v>
      </c>
      <c r="L350" s="13" t="n">
        <v>0.054532</v>
      </c>
      <c r="M350" s="13" t="n">
        <v>0.022509</v>
      </c>
      <c r="N350" s="13" t="n">
        <v>0.032023</v>
      </c>
      <c r="O350" s="13" t="n">
        <v>0.2922</v>
      </c>
      <c r="P350" s="13" t="n">
        <v>0.092708</v>
      </c>
      <c r="Q350" s="13" t="n">
        <v>0.055857</v>
      </c>
      <c r="R350" s="13" t="n">
        <v>0.036851</v>
      </c>
      <c r="S350" s="13" t="n">
        <v>0.376</v>
      </c>
      <c r="T350" s="13" t="n">
        <v>0.083845</v>
      </c>
      <c r="U350" s="13" t="n">
        <v>0.0396</v>
      </c>
      <c r="V350" s="13" t="n">
        <v>0.044245</v>
      </c>
      <c r="W350" s="13" t="n">
        <v>0.3208</v>
      </c>
      <c r="X350" s="13" t="n">
        <v>0.026585</v>
      </c>
      <c r="Y350" s="13" t="n">
        <v>0.047103</v>
      </c>
      <c r="Z350" s="13" t="n">
        <v>-0.020518</v>
      </c>
      <c r="AA350" s="13" t="n">
        <v>0.6392</v>
      </c>
    </row>
    <row r="351">
      <c r="A351" s="6" t="inlineStr">
        <is>
          <t>2024-01-23</t>
        </is>
      </c>
      <c r="B351" s="6" t="inlineStr">
        <is>
          <t>中间分位</t>
        </is>
      </c>
      <c r="C351" s="10" t="n">
        <v>0.832</v>
      </c>
      <c r="D351" s="8" t="n">
        <v>0.014619</v>
      </c>
      <c r="E351" s="8" t="n">
        <v>0.013295</v>
      </c>
      <c r="F351" s="8" t="n">
        <v>0.001324</v>
      </c>
      <c r="G351" s="8" t="n">
        <v>0.4763</v>
      </c>
      <c r="H351" s="8" t="n">
        <v>0.028573</v>
      </c>
      <c r="I351" s="8" t="n">
        <v>0.025343</v>
      </c>
      <c r="J351" s="8" t="n">
        <v>0.00323</v>
      </c>
      <c r="K351" s="8" t="n">
        <v>0.47</v>
      </c>
      <c r="L351" s="8" t="n">
        <v>0.025252</v>
      </c>
      <c r="M351" s="8" t="n">
        <v>0.021604</v>
      </c>
      <c r="N351" s="8" t="n">
        <v>0.003648</v>
      </c>
      <c r="O351" s="8" t="n">
        <v>0.4611</v>
      </c>
      <c r="P351" s="8" t="n">
        <v>0.08903899999999999</v>
      </c>
      <c r="Q351" s="8" t="n">
        <v>0.049439</v>
      </c>
      <c r="R351" s="8" t="n">
        <v>0.0396</v>
      </c>
      <c r="S351" s="8" t="n">
        <v>0.357</v>
      </c>
      <c r="T351" s="8" t="n">
        <v>0.041199</v>
      </c>
      <c r="U351" s="8" t="n">
        <v>0.042376</v>
      </c>
      <c r="V351" s="8" t="n">
        <v>-0.001177</v>
      </c>
      <c r="W351" s="8" t="n">
        <v>0.507</v>
      </c>
      <c r="X351" s="8" t="n">
        <v>0</v>
      </c>
      <c r="Y351" s="8" t="n">
        <v>0.03199</v>
      </c>
      <c r="Z351" s="8" t="n">
        <v>-0.03199</v>
      </c>
      <c r="AA351" s="8" t="n">
        <v>1</v>
      </c>
    </row>
    <row r="352">
      <c r="A352" s="11" t="inlineStr">
        <is>
          <t>2024-01-24</t>
        </is>
      </c>
      <c r="B352" s="11" t="inlineStr">
        <is>
          <t>中间分位</t>
        </is>
      </c>
      <c r="C352" s="15" t="n">
        <v>0.848</v>
      </c>
      <c r="D352" s="13" t="n">
        <v>0.017682</v>
      </c>
      <c r="E352" s="13" t="n">
        <v>0.00041</v>
      </c>
      <c r="F352" s="13" t="n">
        <v>0.017272</v>
      </c>
      <c r="G352" s="13" t="n">
        <v>0.0227</v>
      </c>
      <c r="H352" s="13" t="n">
        <v>0.010479</v>
      </c>
      <c r="I352" s="13" t="n">
        <v>0.01722</v>
      </c>
      <c r="J352" s="13" t="n">
        <v>-0.006741</v>
      </c>
      <c r="K352" s="13" t="n">
        <v>0.6217</v>
      </c>
      <c r="L352" s="13" t="n">
        <v>0.015061</v>
      </c>
      <c r="M352" s="13" t="n">
        <v>0.02747</v>
      </c>
      <c r="N352" s="13" t="n">
        <v>-0.012409</v>
      </c>
      <c r="O352" s="13" t="n">
        <v>0.6459</v>
      </c>
      <c r="P352" s="13" t="n">
        <v>0.077277</v>
      </c>
      <c r="Q352" s="13" t="n">
        <v>0.03157</v>
      </c>
      <c r="R352" s="13" t="n">
        <v>0.045707</v>
      </c>
      <c r="S352" s="13" t="n">
        <v>0.29</v>
      </c>
      <c r="T352" s="13" t="n">
        <v>0.034381</v>
      </c>
      <c r="U352" s="13" t="n">
        <v>0.04387</v>
      </c>
      <c r="V352" s="13" t="n">
        <v>-0.009488999999999999</v>
      </c>
      <c r="W352" s="13" t="n">
        <v>0.5606</v>
      </c>
      <c r="X352" s="13" t="n">
        <v>-0.013752</v>
      </c>
      <c r="Y352" s="13" t="n">
        <v>0.03075</v>
      </c>
      <c r="Z352" s="13" t="n">
        <v>-0.044502</v>
      </c>
      <c r="AA352" s="13" t="n">
        <v>0.6909999999999999</v>
      </c>
    </row>
    <row r="353">
      <c r="A353" s="6" t="inlineStr">
        <is>
          <t>2024-01-25</t>
        </is>
      </c>
      <c r="B353" s="6" t="inlineStr">
        <is>
          <t>高分位</t>
        </is>
      </c>
      <c r="C353" s="10" t="n">
        <v>0.9360000000000001</v>
      </c>
      <c r="D353" s="8" t="n">
        <v>0.009972999999999999</v>
      </c>
      <c r="E353" s="8" t="n">
        <v>-0.00123</v>
      </c>
      <c r="F353" s="8" t="n">
        <v>0.011203</v>
      </c>
      <c r="G353" s="8" t="n">
        <v>0.1098</v>
      </c>
      <c r="H353" s="8" t="n">
        <v>-0.003541</v>
      </c>
      <c r="I353" s="8" t="n">
        <v>0.008607</v>
      </c>
      <c r="J353" s="8" t="n">
        <v>-0.012148</v>
      </c>
      <c r="K353" s="8" t="n">
        <v>0.7085</v>
      </c>
      <c r="L353" s="8" t="n">
        <v>0.019305</v>
      </c>
      <c r="M353" s="8" t="n">
        <v>0.029918</v>
      </c>
      <c r="N353" s="8" t="n">
        <v>-0.010613</v>
      </c>
      <c r="O353" s="8" t="n">
        <v>0.6078</v>
      </c>
      <c r="P353" s="8" t="n">
        <v>0.054054</v>
      </c>
      <c r="Q353" s="8" t="n">
        <v>0.036475</v>
      </c>
      <c r="R353" s="8" t="n">
        <v>0.017579</v>
      </c>
      <c r="S353" s="8" t="n">
        <v>0.4029</v>
      </c>
      <c r="T353" s="8" t="n">
        <v>0.022846</v>
      </c>
      <c r="U353" s="8" t="n">
        <v>0.048361</v>
      </c>
      <c r="V353" s="8" t="n">
        <v>-0.025515</v>
      </c>
      <c r="W353" s="8" t="n">
        <v>0.6792</v>
      </c>
      <c r="X353" s="8" t="n">
        <v>-0.025097</v>
      </c>
      <c r="Y353" s="8" t="n">
        <v>0.018852</v>
      </c>
      <c r="Z353" s="8" t="n">
        <v>-0.043949</v>
      </c>
      <c r="AA353" s="8" t="n">
        <v>0.429</v>
      </c>
    </row>
    <row r="354">
      <c r="A354" s="11" t="inlineStr">
        <is>
          <t>2024-01-26</t>
        </is>
      </c>
      <c r="B354" s="11" t="inlineStr">
        <is>
          <t>高分位</t>
        </is>
      </c>
      <c r="C354" s="15" t="n">
        <v>0.98</v>
      </c>
      <c r="D354" s="13" t="n">
        <v>-0.02007</v>
      </c>
      <c r="E354" s="13" t="n">
        <v>0.013131</v>
      </c>
      <c r="F354" s="13" t="n">
        <v>-0.033201</v>
      </c>
      <c r="G354" s="13" t="n">
        <v>0.3955</v>
      </c>
      <c r="H354" s="13" t="n">
        <v>-0.020705</v>
      </c>
      <c r="I354" s="13" t="n">
        <v>0.003283</v>
      </c>
      <c r="J354" s="13" t="n">
        <v>-0.023988</v>
      </c>
      <c r="K354" s="13" t="n">
        <v>0.1369</v>
      </c>
      <c r="L354" s="13" t="n">
        <v>0.032177</v>
      </c>
      <c r="M354" s="13" t="n">
        <v>0.028314</v>
      </c>
      <c r="N354" s="13" t="n">
        <v>0.003863</v>
      </c>
      <c r="O354" s="13" t="n">
        <v>0.4681</v>
      </c>
      <c r="P354" s="13" t="n">
        <v>0.047469</v>
      </c>
      <c r="Q354" s="13" t="n">
        <v>0.027493</v>
      </c>
      <c r="R354" s="13" t="n">
        <v>0.019976</v>
      </c>
      <c r="S354" s="13" t="n">
        <v>0.3668</v>
      </c>
      <c r="T354" s="13" t="n">
        <v>0.013701</v>
      </c>
      <c r="U354" s="13" t="n">
        <v>0.043496</v>
      </c>
      <c r="V354" s="13" t="n">
        <v>-0.029795</v>
      </c>
      <c r="W354" s="13" t="n">
        <v>0.7605</v>
      </c>
      <c r="X354" s="13" t="n">
        <v>-0.04428</v>
      </c>
      <c r="Y354" s="13" t="n">
        <v>0.004514</v>
      </c>
      <c r="Z354" s="13" t="n">
        <v>-0.048794</v>
      </c>
      <c r="AA354" s="13" t="n">
        <v>0.0925</v>
      </c>
    </row>
    <row r="355">
      <c r="A355" s="6" t="inlineStr">
        <is>
          <t>2024-01-29</t>
        </is>
      </c>
      <c r="B355" s="6" t="inlineStr">
        <is>
          <t>中间分位</t>
        </is>
      </c>
      <c r="C355" s="10" t="n">
        <v>0.768</v>
      </c>
      <c r="D355" s="8" t="n">
        <v>0.006503</v>
      </c>
      <c r="E355" s="8" t="n">
        <v>-0.000405</v>
      </c>
      <c r="F355" s="8" t="n">
        <v>0.006908</v>
      </c>
      <c r="G355" s="8" t="n">
        <v>0.0586</v>
      </c>
      <c r="H355" s="8" t="n">
        <v>0.005852</v>
      </c>
      <c r="I355" s="8" t="n">
        <v>-0.00648</v>
      </c>
      <c r="J355" s="8" t="n">
        <v>0.012332</v>
      </c>
      <c r="K355" s="8" t="n">
        <v>0.5255</v>
      </c>
      <c r="L355" s="8" t="n">
        <v>0.037389</v>
      </c>
      <c r="M355" s="8" t="n">
        <v>-0.003645</v>
      </c>
      <c r="N355" s="8" t="n">
        <v>0.041034</v>
      </c>
      <c r="O355" s="8" t="n">
        <v>0.0888</v>
      </c>
      <c r="P355" s="8" t="n">
        <v>0.05787</v>
      </c>
      <c r="Q355" s="8" t="n">
        <v>0.008505</v>
      </c>
      <c r="R355" s="8" t="n">
        <v>0.049365</v>
      </c>
      <c r="S355" s="8" t="n">
        <v>0.1281</v>
      </c>
      <c r="T355" s="8" t="n">
        <v>0.028284</v>
      </c>
      <c r="U355" s="8" t="n">
        <v>0.039692</v>
      </c>
      <c r="V355" s="8" t="n">
        <v>-0.011408</v>
      </c>
      <c r="W355" s="8" t="n">
        <v>0.5839</v>
      </c>
      <c r="X355" s="8" t="n">
        <v>-0.038036</v>
      </c>
      <c r="Y355" s="8" t="n">
        <v>0.00891</v>
      </c>
      <c r="Z355" s="8" t="n">
        <v>-0.046946</v>
      </c>
      <c r="AA355" s="8" t="n">
        <v>0.1898</v>
      </c>
    </row>
    <row r="356">
      <c r="A356" s="11" t="inlineStr">
        <is>
          <t>2024-01-30</t>
        </is>
      </c>
      <c r="B356" s="11" t="inlineStr">
        <is>
          <t>中间分位</t>
        </is>
      </c>
      <c r="C356" s="15" t="n">
        <v>0.844</v>
      </c>
      <c r="D356" s="13" t="n">
        <v>-0.003229</v>
      </c>
      <c r="E356" s="13" t="n">
        <v>0.005267</v>
      </c>
      <c r="F356" s="13" t="n">
        <v>-0.008496</v>
      </c>
      <c r="G356" s="13" t="n">
        <v>0.6199</v>
      </c>
      <c r="H356" s="13" t="n">
        <v>-0.003229</v>
      </c>
      <c r="I356" s="13" t="n">
        <v>-0.003647</v>
      </c>
      <c r="J356" s="13" t="n">
        <v>0.000418</v>
      </c>
      <c r="K356" s="13" t="n">
        <v>0.5304</v>
      </c>
      <c r="L356" s="13" t="n">
        <v>0.007752</v>
      </c>
      <c r="M356" s="13" t="n">
        <v>0.004862</v>
      </c>
      <c r="N356" s="13" t="n">
        <v>0.00289</v>
      </c>
      <c r="O356" s="13" t="n">
        <v>0.3854</v>
      </c>
      <c r="P356" s="13" t="n">
        <v>0.043283</v>
      </c>
      <c r="Q356" s="13" t="n">
        <v>0.018639</v>
      </c>
      <c r="R356" s="13" t="n">
        <v>0.024644</v>
      </c>
      <c r="S356" s="13" t="n">
        <v>0.301</v>
      </c>
      <c r="T356" s="13" t="n">
        <v>0.032946</v>
      </c>
      <c r="U356" s="13" t="n">
        <v>0.031605</v>
      </c>
      <c r="V356" s="13" t="n">
        <v>0.001341</v>
      </c>
      <c r="W356" s="13" t="n">
        <v>0.4896</v>
      </c>
      <c r="X356" s="13" t="n">
        <v>-0.027132</v>
      </c>
      <c r="Y356" s="13" t="n">
        <v>0.01094</v>
      </c>
      <c r="Z356" s="13" t="n">
        <v>-0.038072</v>
      </c>
      <c r="AA356" s="13" t="n">
        <v>0.2874</v>
      </c>
    </row>
    <row r="357">
      <c r="A357" s="6" t="inlineStr">
        <is>
          <t>2024-01-31</t>
        </is>
      </c>
      <c r="B357" s="6" t="inlineStr">
        <is>
          <t>中间分位</t>
        </is>
      </c>
      <c r="C357" s="10" t="n">
        <v>0.752</v>
      </c>
      <c r="D357" s="8" t="n">
        <v>0.003562</v>
      </c>
      <c r="E357" s="8" t="n">
        <v>-0.008061</v>
      </c>
      <c r="F357" s="8" t="n">
        <v>0.011623</v>
      </c>
      <c r="G357" s="8" t="n">
        <v>0.6935</v>
      </c>
      <c r="H357" s="8" t="n">
        <v>0.004534</v>
      </c>
      <c r="I357" s="8" t="n">
        <v>0.010077</v>
      </c>
      <c r="J357" s="8" t="n">
        <v>-0.005543</v>
      </c>
      <c r="K357" s="8" t="n">
        <v>0.6897</v>
      </c>
      <c r="L357" s="8" t="n">
        <v>0.017172</v>
      </c>
      <c r="M357" s="8" t="n">
        <v>0.008061</v>
      </c>
      <c r="N357" s="8" t="n">
        <v>0.009110999999999999</v>
      </c>
      <c r="O357" s="8" t="n">
        <v>0.3195</v>
      </c>
      <c r="P357" s="8" t="n">
        <v>0.055085</v>
      </c>
      <c r="Q357" s="8" t="n">
        <v>0.009674</v>
      </c>
      <c r="R357" s="8" t="n">
        <v>0.045411</v>
      </c>
      <c r="S357" s="8" t="n">
        <v>0.1494</v>
      </c>
      <c r="T357" s="8" t="n">
        <v>0.03208</v>
      </c>
      <c r="U357" s="8" t="n">
        <v>0.033454</v>
      </c>
      <c r="V357" s="8" t="n">
        <v>-0.001374</v>
      </c>
      <c r="W357" s="8" t="n">
        <v>0.5105</v>
      </c>
      <c r="X357" s="8" t="n">
        <v>-0.023981</v>
      </c>
      <c r="Y357" s="8" t="n">
        <v>0.009674</v>
      </c>
      <c r="Z357" s="8" t="n">
        <v>-0.033655</v>
      </c>
      <c r="AA357" s="8" t="n">
        <v>0.2874</v>
      </c>
    </row>
    <row r="358">
      <c r="A358" s="11" t="inlineStr">
        <is>
          <t>2024-02-01</t>
        </is>
      </c>
      <c r="B358" s="11" t="inlineStr">
        <is>
          <t>中间分位</t>
        </is>
      </c>
      <c r="C358" s="15" t="n">
        <v>0.86</v>
      </c>
      <c r="D358" s="13" t="n">
        <v>-0.007424</v>
      </c>
      <c r="E358" s="13" t="n">
        <v>-0.006501</v>
      </c>
      <c r="F358" s="13" t="n">
        <v>-0.000923</v>
      </c>
      <c r="G358" s="13" t="n">
        <v>0.4669</v>
      </c>
      <c r="H358" s="13" t="n">
        <v>0.022927</v>
      </c>
      <c r="I358" s="13" t="n">
        <v>0.02113</v>
      </c>
      <c r="J358" s="13" t="n">
        <v>0.001797</v>
      </c>
      <c r="K358" s="13" t="n">
        <v>0.4796</v>
      </c>
      <c r="L358" s="13" t="n">
        <v>0.021311</v>
      </c>
      <c r="M358" s="13" t="n">
        <v>0.019098</v>
      </c>
      <c r="N358" s="13" t="n">
        <v>0.002213</v>
      </c>
      <c r="O358" s="13" t="n">
        <v>0.4726</v>
      </c>
      <c r="P358" s="13" t="n">
        <v>0.050697</v>
      </c>
      <c r="Q358" s="13" t="n">
        <v>0.023568</v>
      </c>
      <c r="R358" s="13" t="n">
        <v>0.027129</v>
      </c>
      <c r="S358" s="13" t="n">
        <v>0.3174</v>
      </c>
      <c r="T358" s="13" t="n">
        <v>0.034551</v>
      </c>
      <c r="U358" s="13" t="n">
        <v>0.036977</v>
      </c>
      <c r="V358" s="13" t="n">
        <v>-0.002426</v>
      </c>
      <c r="W358" s="13" t="n">
        <v>0.517</v>
      </c>
      <c r="X358" s="13" t="n">
        <v>-0.025507</v>
      </c>
      <c r="Y358" s="13" t="n">
        <v>0.003657</v>
      </c>
      <c r="Z358" s="13" t="n">
        <v>-0.029164</v>
      </c>
      <c r="AA358" s="13" t="n">
        <v>0.1254</v>
      </c>
    </row>
    <row r="359">
      <c r="A359" s="6" t="inlineStr">
        <is>
          <t>2024-02-02</t>
        </is>
      </c>
      <c r="B359" s="6" t="inlineStr">
        <is>
          <t>中间分位</t>
        </is>
      </c>
      <c r="C359" s="10" t="n">
        <v>0.84</v>
      </c>
      <c r="D359" s="8" t="n">
        <v>0.006504</v>
      </c>
      <c r="E359" s="8" t="n">
        <v>0.003272</v>
      </c>
      <c r="F359" s="8" t="n">
        <v>0.003232</v>
      </c>
      <c r="G359" s="8" t="n">
        <v>0.3347</v>
      </c>
      <c r="H359" s="8" t="n">
        <v>0.054</v>
      </c>
      <c r="I359" s="8" t="n">
        <v>0.024949</v>
      </c>
      <c r="J359" s="8" t="n">
        <v>0.029051</v>
      </c>
      <c r="K359" s="8" t="n">
        <v>0.316</v>
      </c>
      <c r="L359" s="8" t="n">
        <v>0.033505</v>
      </c>
      <c r="M359" s="8" t="n">
        <v>0.023313</v>
      </c>
      <c r="N359" s="8" t="n">
        <v>0.010192</v>
      </c>
      <c r="O359" s="8" t="n">
        <v>0.4103</v>
      </c>
      <c r="P359" s="8" t="n">
        <v>0.060831</v>
      </c>
      <c r="Q359" s="8" t="n">
        <v>0.039264</v>
      </c>
      <c r="R359" s="8" t="n">
        <v>0.021567</v>
      </c>
      <c r="S359" s="8" t="n">
        <v>0.3923</v>
      </c>
      <c r="T359" s="8" t="n">
        <v>0.04782</v>
      </c>
      <c r="U359" s="8" t="n">
        <v>0.063804</v>
      </c>
      <c r="V359" s="8" t="n">
        <v>-0.015984</v>
      </c>
      <c r="W359" s="8" t="n">
        <v>0.5716</v>
      </c>
      <c r="X359" s="8" t="n">
        <v>-0.027978</v>
      </c>
      <c r="Y359" s="8" t="n">
        <v>0.006544</v>
      </c>
      <c r="Z359" s="8" t="n">
        <v>-0.034522</v>
      </c>
      <c r="AA359" s="8" t="n">
        <v>0.1896</v>
      </c>
    </row>
    <row r="360">
      <c r="A360" s="11" t="inlineStr">
        <is>
          <t>2024-02-05</t>
        </is>
      </c>
      <c r="B360" s="11" t="inlineStr">
        <is>
          <t>中间分位</t>
        </is>
      </c>
      <c r="C360" s="15" t="n">
        <v>0.876</v>
      </c>
      <c r="D360" s="13" t="n">
        <v>-0.002583</v>
      </c>
      <c r="E360" s="13" t="n">
        <v>0.002446</v>
      </c>
      <c r="F360" s="13" t="n">
        <v>-0.005029</v>
      </c>
      <c r="G360" s="13" t="n">
        <v>0.4864</v>
      </c>
      <c r="H360" s="13" t="n">
        <v>0.031354</v>
      </c>
      <c r="I360" s="13" t="n">
        <v>0.002854</v>
      </c>
      <c r="J360" s="13" t="n">
        <v>0.0285</v>
      </c>
      <c r="K360" s="13" t="n">
        <v>0.0834</v>
      </c>
      <c r="L360" s="13" t="n">
        <v>0.036202</v>
      </c>
      <c r="M360" s="13" t="n">
        <v>0.032613</v>
      </c>
      <c r="N360" s="13" t="n">
        <v>0.003589</v>
      </c>
      <c r="O360" s="13" t="n">
        <v>0.4739</v>
      </c>
      <c r="P360" s="13" t="n">
        <v>0.066582</v>
      </c>
      <c r="Q360" s="13" t="n">
        <v>0.018753</v>
      </c>
      <c r="R360" s="13" t="n">
        <v>0.047829</v>
      </c>
      <c r="S360" s="13" t="n">
        <v>0.2198</v>
      </c>
      <c r="T360" s="13" t="n">
        <v>0.047189</v>
      </c>
      <c r="U360" s="13" t="n">
        <v>0.05055</v>
      </c>
      <c r="V360" s="13" t="n">
        <v>-0.003361</v>
      </c>
      <c r="W360" s="13" t="n">
        <v>0.5172</v>
      </c>
      <c r="X360" s="13" t="n">
        <v>-0.039754</v>
      </c>
      <c r="Y360" s="13" t="n">
        <v>0.002446</v>
      </c>
      <c r="Z360" s="13" t="n">
        <v>-0.0422</v>
      </c>
      <c r="AA360" s="13" t="n">
        <v>0.058</v>
      </c>
    </row>
    <row r="361">
      <c r="A361" s="6" t="inlineStr">
        <is>
          <t>2024-02-06</t>
        </is>
      </c>
      <c r="B361" s="6" t="inlineStr">
        <is>
          <t>中间分位</t>
        </is>
      </c>
      <c r="C361" s="10" t="n">
        <v>0.832</v>
      </c>
      <c r="D361" s="8" t="n">
        <v>0.004534</v>
      </c>
      <c r="E361" s="8" t="n">
        <v>0.019113</v>
      </c>
      <c r="F361" s="8" t="n">
        <v>-0.014579</v>
      </c>
      <c r="G361" s="8" t="n">
        <v>0.8083</v>
      </c>
      <c r="H361" s="8" t="n">
        <v>0.011016</v>
      </c>
      <c r="I361" s="8" t="n">
        <v>0.008540000000000001</v>
      </c>
      <c r="J361" s="8" t="n">
        <v>0.002476</v>
      </c>
      <c r="K361" s="8" t="n">
        <v>0.4367</v>
      </c>
      <c r="L361" s="8" t="n">
        <v>0.062216</v>
      </c>
      <c r="M361" s="8" t="n">
        <v>0.027247</v>
      </c>
      <c r="N361" s="8" t="n">
        <v>0.034969</v>
      </c>
      <c r="O361" s="8" t="n">
        <v>0.3046</v>
      </c>
      <c r="P361" s="8" t="n">
        <v>0.050551</v>
      </c>
      <c r="Q361" s="8" t="n">
        <v>0.017893</v>
      </c>
      <c r="R361" s="8" t="n">
        <v>0.032658</v>
      </c>
      <c r="S361" s="8" t="n">
        <v>0.2614</v>
      </c>
      <c r="T361" s="8" t="n">
        <v>0.090408</v>
      </c>
      <c r="U361" s="8" t="n">
        <v>0.052867</v>
      </c>
      <c r="V361" s="8" t="n">
        <v>0.037541</v>
      </c>
      <c r="W361" s="8" t="n">
        <v>0.369</v>
      </c>
      <c r="X361" s="8" t="n">
        <v>-0.038885</v>
      </c>
      <c r="Y361" s="8" t="n">
        <v>-0.00122</v>
      </c>
      <c r="Z361" s="8" t="n">
        <v>-0.037665</v>
      </c>
      <c r="AA361" s="8" t="n">
        <v>0.0304</v>
      </c>
    </row>
    <row r="362">
      <c r="A362" s="11" t="inlineStr">
        <is>
          <t>2024-02-07</t>
        </is>
      </c>
      <c r="B362" s="11" t="inlineStr">
        <is>
          <t>中间分位</t>
        </is>
      </c>
      <c r="C362" s="15" t="n">
        <v>0.664</v>
      </c>
      <c r="D362" s="13" t="n">
        <v>0.021937</v>
      </c>
      <c r="E362" s="13" t="n">
        <v>0.002793</v>
      </c>
      <c r="F362" s="13" t="n">
        <v>0.019144</v>
      </c>
      <c r="G362" s="13" t="n">
        <v>0.1129</v>
      </c>
      <c r="H362" s="13" t="n">
        <v>0.012581</v>
      </c>
      <c r="I362" s="13" t="n">
        <v>-0.001995</v>
      </c>
      <c r="J362" s="13" t="n">
        <v>0.014576</v>
      </c>
      <c r="K362" s="13" t="n">
        <v>0.1369</v>
      </c>
      <c r="L362" s="13" t="n">
        <v>0.061293</v>
      </c>
      <c r="M362" s="13" t="n">
        <v>0.00399</v>
      </c>
      <c r="N362" s="13" t="n">
        <v>0.057303</v>
      </c>
      <c r="O362" s="13" t="n">
        <v>0.0611</v>
      </c>
      <c r="P362" s="13" t="n">
        <v>0.045809</v>
      </c>
      <c r="Q362" s="13" t="n">
        <v>0.011971</v>
      </c>
      <c r="R362" s="13" t="n">
        <v>0.033838</v>
      </c>
      <c r="S362" s="13" t="n">
        <v>0.2072</v>
      </c>
      <c r="T362" s="13" t="n">
        <v>0.09483900000000001</v>
      </c>
      <c r="U362" s="13" t="n">
        <v>0.039904</v>
      </c>
      <c r="V362" s="13" t="n">
        <v>0.054935</v>
      </c>
      <c r="W362" s="13" t="n">
        <v>0.2961</v>
      </c>
      <c r="X362" s="13" t="n">
        <v>-0.043223</v>
      </c>
      <c r="Y362" s="13" t="n">
        <v>-0.023943</v>
      </c>
      <c r="Z362" s="13" t="n">
        <v>-0.01928</v>
      </c>
      <c r="AA362" s="13" t="n">
        <v>0.3565</v>
      </c>
    </row>
    <row r="363">
      <c r="A363" s="6" t="inlineStr">
        <is>
          <t>2024-02-08</t>
        </is>
      </c>
      <c r="B363" s="6" t="inlineStr">
        <is>
          <t>中间分位</t>
        </is>
      </c>
      <c r="C363" s="10" t="n">
        <v>0.868</v>
      </c>
      <c r="D363" s="8" t="n">
        <v>0.022727</v>
      </c>
      <c r="E363" s="8" t="n">
        <v>-0.002786</v>
      </c>
      <c r="F363" s="8" t="n">
        <v>0.025513</v>
      </c>
      <c r="G363" s="8" t="n">
        <v>0.1092</v>
      </c>
      <c r="H363" s="8" t="n">
        <v>-0.00158</v>
      </c>
      <c r="I363" s="8" t="n">
        <v>-0.00199</v>
      </c>
      <c r="J363" s="8" t="n">
        <v>0.00041</v>
      </c>
      <c r="K363" s="8" t="n">
        <v>0.5574</v>
      </c>
      <c r="L363" s="8" t="n">
        <v>0.034091</v>
      </c>
      <c r="M363" s="8" t="n">
        <v>0.006367</v>
      </c>
      <c r="N363" s="8" t="n">
        <v>0.027724</v>
      </c>
      <c r="O363" s="8" t="n">
        <v>0.1574</v>
      </c>
      <c r="P363" s="8" t="n">
        <v>0.026515</v>
      </c>
      <c r="Q363" s="8" t="n">
        <v>0.020692</v>
      </c>
      <c r="R363" s="8" t="n">
        <v>0.005823</v>
      </c>
      <c r="S363" s="8" t="n">
        <v>0.4383</v>
      </c>
      <c r="T363" s="8" t="n">
        <v>0.084913</v>
      </c>
      <c r="U363" s="8" t="n">
        <v>0.056506</v>
      </c>
      <c r="V363" s="8" t="n">
        <v>0.028407</v>
      </c>
      <c r="W363" s="8" t="n">
        <v>0.3996</v>
      </c>
      <c r="X363" s="8" t="n">
        <v>-0.06818200000000001</v>
      </c>
      <c r="Y363" s="8" t="n">
        <v>-0.037803</v>
      </c>
      <c r="Z363" s="8" t="n">
        <v>-0.030379</v>
      </c>
      <c r="AA363" s="8" t="n">
        <v>0.3567</v>
      </c>
    </row>
    <row r="364">
      <c r="A364" s="11" t="inlineStr">
        <is>
          <t>2024-02-19</t>
        </is>
      </c>
      <c r="B364" s="11" t="inlineStr">
        <is>
          <t>高分位</t>
        </is>
      </c>
      <c r="C364" s="15" t="n">
        <v>0.984</v>
      </c>
      <c r="D364" s="13" t="n">
        <v>-0.015122</v>
      </c>
      <c r="E364" s="13" t="n">
        <v>-0.018356</v>
      </c>
      <c r="F364" s="13" t="n">
        <v>0.003234</v>
      </c>
      <c r="G364" s="13" t="n">
        <v>0.5483</v>
      </c>
      <c r="H364" s="13" t="n">
        <v>-0.019444</v>
      </c>
      <c r="I364" s="13" t="n">
        <v>-0.001596</v>
      </c>
      <c r="J364" s="13" t="n">
        <v>-0.017848</v>
      </c>
      <c r="K364" s="13" t="n">
        <v>0.0759</v>
      </c>
      <c r="L364" s="13" t="n">
        <v>0.014815</v>
      </c>
      <c r="M364" s="13" t="n">
        <v>-0.000798</v>
      </c>
      <c r="N364" s="13" t="n">
        <v>0.015613</v>
      </c>
      <c r="O364" s="13" t="n">
        <v>0.0511</v>
      </c>
      <c r="P364" s="13" t="n">
        <v>0.008026</v>
      </c>
      <c r="Q364" s="13" t="n">
        <v>0.024741</v>
      </c>
      <c r="R364" s="13" t="n">
        <v>-0.016715</v>
      </c>
      <c r="S364" s="13" t="n">
        <v>0.7551</v>
      </c>
      <c r="T364" s="13" t="n">
        <v>0.09382600000000001</v>
      </c>
      <c r="U364" s="13" t="n">
        <v>0.06304899999999999</v>
      </c>
      <c r="V364" s="13" t="n">
        <v>0.030777</v>
      </c>
      <c r="W364" s="13" t="n">
        <v>0.4019</v>
      </c>
      <c r="X364" s="13" t="n">
        <v>-0.103396</v>
      </c>
      <c r="Y364" s="13" t="n">
        <v>-0.003192</v>
      </c>
      <c r="Z364" s="13" t="n">
        <v>-0.100204</v>
      </c>
      <c r="AA364" s="13" t="n">
        <v>0.0299</v>
      </c>
    </row>
    <row r="365">
      <c r="A365" s="6" t="inlineStr">
        <is>
          <t>2024-02-20</t>
        </is>
      </c>
      <c r="B365" s="6" t="inlineStr">
        <is>
          <t>高分位</t>
        </is>
      </c>
      <c r="C365" s="10" t="n">
        <v>0.984</v>
      </c>
      <c r="D365" s="8" t="n">
        <v>-0.022251</v>
      </c>
      <c r="E365" s="8" t="n">
        <v>0.00813</v>
      </c>
      <c r="F365" s="8" t="n">
        <v>-0.030381</v>
      </c>
      <c r="G365" s="8" t="n">
        <v>0.2676</v>
      </c>
      <c r="H365" s="8" t="n">
        <v>0.004701</v>
      </c>
      <c r="I365" s="8" t="n">
        <v>0.029675</v>
      </c>
      <c r="J365" s="8" t="n">
        <v>-0.024974</v>
      </c>
      <c r="K365" s="8" t="n">
        <v>0.8632</v>
      </c>
      <c r="L365" s="8" t="n">
        <v>0.019743</v>
      </c>
      <c r="M365" s="8" t="n">
        <v>0.012195</v>
      </c>
      <c r="N365" s="8" t="n">
        <v>0.007548</v>
      </c>
      <c r="O365" s="8" t="n">
        <v>0.3818</v>
      </c>
      <c r="P365" s="8" t="n">
        <v>0.015982</v>
      </c>
      <c r="Q365" s="8" t="n">
        <v>0.051626</v>
      </c>
      <c r="R365" s="8" t="n">
        <v>-0.035644</v>
      </c>
      <c r="S365" s="8" t="n">
        <v>0.7635999999999999</v>
      </c>
      <c r="T365" s="8" t="n">
        <v>0.135693</v>
      </c>
      <c r="U365" s="8" t="n">
        <v>0.069919</v>
      </c>
      <c r="V365" s="8" t="n">
        <v>0.065774</v>
      </c>
      <c r="W365" s="8" t="n">
        <v>0.3401</v>
      </c>
      <c r="X365" s="8" t="n">
        <v>-0.082108</v>
      </c>
      <c r="Y365" s="8" t="n">
        <v>0.006911</v>
      </c>
      <c r="Z365" s="8" t="n">
        <v>-0.089019</v>
      </c>
      <c r="AA365" s="8" t="n">
        <v>0.0776</v>
      </c>
    </row>
    <row r="366">
      <c r="A366" s="11" t="inlineStr">
        <is>
          <t>2024-02-21</t>
        </is>
      </c>
      <c r="B366" s="11" t="inlineStr">
        <is>
          <t>中间分位</t>
        </is>
      </c>
      <c r="C366" s="15" t="n">
        <v>0.836</v>
      </c>
      <c r="D366" s="13" t="n">
        <v>0.006088</v>
      </c>
      <c r="E366" s="13" t="n">
        <v>0.008468</v>
      </c>
      <c r="F366" s="13" t="n">
        <v>-0.00238</v>
      </c>
      <c r="G366" s="13" t="n">
        <v>0.5818</v>
      </c>
      <c r="H366" s="13" t="n">
        <v>0.050642</v>
      </c>
      <c r="I366" s="13" t="n">
        <v>0.018548</v>
      </c>
      <c r="J366" s="13" t="n">
        <v>0.032094</v>
      </c>
      <c r="K366" s="13" t="n">
        <v>0.2681</v>
      </c>
      <c r="L366" s="13" t="n">
        <v>0.035258</v>
      </c>
      <c r="M366" s="13" t="n">
        <v>0.01371</v>
      </c>
      <c r="N366" s="13" t="n">
        <v>0.021548</v>
      </c>
      <c r="O366" s="13" t="n">
        <v>0.28</v>
      </c>
      <c r="P366" s="13" t="n">
        <v>0.052242</v>
      </c>
      <c r="Q366" s="13" t="n">
        <v>0.040323</v>
      </c>
      <c r="R366" s="13" t="n">
        <v>0.011919</v>
      </c>
      <c r="S366" s="13" t="n">
        <v>0.4356</v>
      </c>
      <c r="T366" s="13" t="n">
        <v>0.134615</v>
      </c>
      <c r="U366" s="13" t="n">
        <v>0.059677</v>
      </c>
      <c r="V366" s="13" t="n">
        <v>0.074938</v>
      </c>
      <c r="W366" s="13" t="n">
        <v>0.3072</v>
      </c>
      <c r="X366" s="13" t="n">
        <v>-0.057373</v>
      </c>
      <c r="Y366" s="13" t="n">
        <v>-0.009677</v>
      </c>
      <c r="Z366" s="13" t="n">
        <v>-0.047696</v>
      </c>
      <c r="AA366" s="13" t="n">
        <v>0.1443</v>
      </c>
    </row>
    <row r="367">
      <c r="A367" s="6" t="inlineStr">
        <is>
          <t>2024-02-22</t>
        </is>
      </c>
      <c r="B367" s="6" t="inlineStr">
        <is>
          <t>中间分位</t>
        </is>
      </c>
      <c r="C367" s="10" t="n">
        <v>0.8159999999999999</v>
      </c>
      <c r="D367" s="8" t="n">
        <v>0.007646</v>
      </c>
      <c r="E367" s="8" t="n">
        <v>0.002799</v>
      </c>
      <c r="F367" s="8" t="n">
        <v>0.004847</v>
      </c>
      <c r="G367" s="8" t="n">
        <v>0.268</v>
      </c>
      <c r="H367" s="8" t="n">
        <v>0.048107</v>
      </c>
      <c r="I367" s="8" t="n">
        <v>0.005998</v>
      </c>
      <c r="J367" s="8" t="n">
        <v>0.042109</v>
      </c>
      <c r="K367" s="8" t="n">
        <v>0.1109</v>
      </c>
      <c r="L367" s="8" t="n">
        <v>0.037273</v>
      </c>
      <c r="M367" s="8" t="n">
        <v>0.001599</v>
      </c>
      <c r="N367" s="8" t="n">
        <v>0.035674</v>
      </c>
      <c r="O367" s="8" t="n">
        <v>0.0411</v>
      </c>
      <c r="P367" s="8" t="n">
        <v>0.041096</v>
      </c>
      <c r="Q367" s="8" t="n">
        <v>0.021192</v>
      </c>
      <c r="R367" s="8" t="n">
        <v>0.019904</v>
      </c>
      <c r="S367" s="8" t="n">
        <v>0.3402</v>
      </c>
      <c r="T367" s="8" t="n">
        <v>0.074867</v>
      </c>
      <c r="U367" s="8" t="n">
        <v>0.035986</v>
      </c>
      <c r="V367" s="8" t="n">
        <v>0.038881</v>
      </c>
      <c r="W367" s="8" t="n">
        <v>0.3246</v>
      </c>
      <c r="X367" s="8" t="n">
        <v>-0.07804800000000001</v>
      </c>
      <c r="Y367" s="8" t="n">
        <v>-0.02599</v>
      </c>
      <c r="Z367" s="8" t="n">
        <v>-0.052058</v>
      </c>
      <c r="AA367" s="8" t="n">
        <v>0.2498</v>
      </c>
    </row>
    <row r="368">
      <c r="A368" s="11" t="inlineStr">
        <is>
          <t>2024-02-23</t>
        </is>
      </c>
      <c r="B368" s="11" t="inlineStr">
        <is>
          <t>中间分位</t>
        </is>
      </c>
      <c r="C368" s="15" t="n">
        <v>0.864</v>
      </c>
      <c r="D368" s="13" t="n">
        <v>0.004427</v>
      </c>
      <c r="E368" s="13" t="n">
        <v>-0.002392</v>
      </c>
      <c r="F368" s="13" t="n">
        <v>0.006819</v>
      </c>
      <c r="G368" s="13" t="n">
        <v>0.3508</v>
      </c>
      <c r="H368" s="13" t="n">
        <v>0.035727</v>
      </c>
      <c r="I368" s="13" t="n">
        <v>0.008373</v>
      </c>
      <c r="J368" s="13" t="n">
        <v>0.027354</v>
      </c>
      <c r="K368" s="13" t="n">
        <v>0.1899</v>
      </c>
      <c r="L368" s="13" t="n">
        <v>0.028773</v>
      </c>
      <c r="M368" s="13" t="n">
        <v>0.004386</v>
      </c>
      <c r="N368" s="13" t="n">
        <v>0.024387</v>
      </c>
      <c r="O368" s="13" t="n">
        <v>0.1323</v>
      </c>
      <c r="P368" s="13" t="n">
        <v>0.018969</v>
      </c>
      <c r="Q368" s="13" t="n">
        <v>0.013955</v>
      </c>
      <c r="R368" s="13" t="n">
        <v>0.005014</v>
      </c>
      <c r="S368" s="13" t="n">
        <v>0.4239</v>
      </c>
      <c r="T368" s="13" t="n">
        <v>0.046475</v>
      </c>
      <c r="U368" s="13" t="n">
        <v>0.036683</v>
      </c>
      <c r="V368" s="13" t="n">
        <v>0.009792</v>
      </c>
      <c r="W368" s="13" t="n">
        <v>0.4411</v>
      </c>
      <c r="X368" s="13" t="n">
        <v>-0.08504299999999999</v>
      </c>
      <c r="Y368" s="13" t="n">
        <v>-0.025917</v>
      </c>
      <c r="Z368" s="13" t="n">
        <v>-0.059126</v>
      </c>
      <c r="AA368" s="13" t="n">
        <v>0.2336</v>
      </c>
    </row>
    <row r="369">
      <c r="A369" s="6" t="inlineStr">
        <is>
          <t>2024-02-26</t>
        </is>
      </c>
      <c r="B369" s="6" t="inlineStr">
        <is>
          <t>高分位</t>
        </is>
      </c>
      <c r="C369" s="10" t="n">
        <v>0.904</v>
      </c>
      <c r="D369" s="8" t="n">
        <v>0.009129</v>
      </c>
      <c r="E369" s="8" t="n">
        <v>0.01239</v>
      </c>
      <c r="F369" s="8" t="n">
        <v>-0.003261</v>
      </c>
      <c r="G369" s="8" t="n">
        <v>0.5758</v>
      </c>
      <c r="H369" s="8" t="n">
        <v>0.034939</v>
      </c>
      <c r="I369" s="8" t="n">
        <v>0.000799</v>
      </c>
      <c r="J369" s="8" t="n">
        <v>0.03414</v>
      </c>
      <c r="K369" s="8" t="n">
        <v>0.0224</v>
      </c>
      <c r="L369" s="8" t="n">
        <v>0.02644</v>
      </c>
      <c r="M369" s="8" t="n">
        <v>0.015588</v>
      </c>
      <c r="N369" s="8" t="n">
        <v>0.010852</v>
      </c>
      <c r="O369" s="8" t="n">
        <v>0.3709</v>
      </c>
      <c r="P369" s="8" t="n">
        <v>0.008499</v>
      </c>
      <c r="Q369" s="8" t="n">
        <v>0.007594</v>
      </c>
      <c r="R369" s="8" t="n">
        <v>0.000905</v>
      </c>
      <c r="S369" s="8" t="n">
        <v>0.4719</v>
      </c>
      <c r="T369" s="8" t="n">
        <v>0.038716</v>
      </c>
      <c r="U369" s="8" t="n">
        <v>0.046763</v>
      </c>
      <c r="V369" s="8" t="n">
        <v>-0.008047</v>
      </c>
      <c r="W369" s="8" t="n">
        <v>0.5471</v>
      </c>
      <c r="X369" s="8" t="n">
        <v>-0.082153</v>
      </c>
      <c r="Y369" s="8" t="n">
        <v>-0.005995</v>
      </c>
      <c r="Z369" s="8" t="n">
        <v>-0.076158</v>
      </c>
      <c r="AA369" s="8" t="n">
        <v>0.068</v>
      </c>
    </row>
    <row r="370">
      <c r="A370" s="11" t="inlineStr">
        <is>
          <t>2024-02-27</t>
        </is>
      </c>
      <c r="B370" s="11" t="inlineStr">
        <is>
          <t>中间分位</t>
        </is>
      </c>
      <c r="C370" s="15" t="n">
        <v>0.884</v>
      </c>
      <c r="D370" s="13" t="n">
        <v>0.022458</v>
      </c>
      <c r="E370" s="13" t="n">
        <v>-0.002764</v>
      </c>
      <c r="F370" s="13" t="n">
        <v>0.025222</v>
      </c>
      <c r="G370" s="13" t="n">
        <v>0.1096</v>
      </c>
      <c r="H370" s="13" t="n">
        <v>0.014972</v>
      </c>
      <c r="I370" s="13" t="n">
        <v>-0.016976</v>
      </c>
      <c r="J370" s="13" t="n">
        <v>0.031948</v>
      </c>
      <c r="K370" s="13" t="n">
        <v>0.5314</v>
      </c>
      <c r="L370" s="13" t="n">
        <v>0.029319</v>
      </c>
      <c r="M370" s="13" t="n">
        <v>-0.013423</v>
      </c>
      <c r="N370" s="13" t="n">
        <v>0.042742</v>
      </c>
      <c r="O370" s="13" t="n">
        <v>0.314</v>
      </c>
      <c r="P370" s="13" t="n">
        <v>0.0053</v>
      </c>
      <c r="Q370" s="13" t="n">
        <v>-0.011449</v>
      </c>
      <c r="R370" s="13" t="n">
        <v>0.016749</v>
      </c>
      <c r="S370" s="13" t="n">
        <v>0.6836</v>
      </c>
      <c r="T370" s="13" t="n">
        <v>0.037115</v>
      </c>
      <c r="U370" s="13" t="n">
        <v>0.033952</v>
      </c>
      <c r="V370" s="13" t="n">
        <v>0.003163</v>
      </c>
      <c r="W370" s="13" t="n">
        <v>0.4777</v>
      </c>
      <c r="X370" s="13" t="n">
        <v>-0.082345</v>
      </c>
      <c r="Y370" s="13" t="n">
        <v>-0.006317</v>
      </c>
      <c r="Z370" s="13" t="n">
        <v>-0.076028</v>
      </c>
      <c r="AA370" s="13" t="n">
        <v>0.0712</v>
      </c>
    </row>
    <row r="371">
      <c r="A371" s="6" t="inlineStr">
        <is>
          <t>2024-02-28</t>
        </is>
      </c>
      <c r="B371" s="6" t="inlineStr">
        <is>
          <t>高分位</t>
        </is>
      </c>
      <c r="C371" s="10" t="n">
        <v>0.988</v>
      </c>
      <c r="D371" s="8" t="n">
        <v>0.003661</v>
      </c>
      <c r="E371" s="8" t="n">
        <v>-0.003959</v>
      </c>
      <c r="F371" s="8" t="n">
        <v>0.00762</v>
      </c>
      <c r="G371" s="8" t="n">
        <v>0.5196</v>
      </c>
      <c r="H371" s="8" t="n">
        <v>-0.014643</v>
      </c>
      <c r="I371" s="8" t="n">
        <v>-0.004751</v>
      </c>
      <c r="J371" s="8" t="n">
        <v>-0.009892</v>
      </c>
      <c r="K371" s="8" t="n">
        <v>0.245</v>
      </c>
      <c r="L371" s="8" t="n">
        <v>-0.010982</v>
      </c>
      <c r="M371" s="8" t="n">
        <v>-0.009105</v>
      </c>
      <c r="N371" s="8" t="n">
        <v>-0.001877</v>
      </c>
      <c r="O371" s="8" t="n">
        <v>0.4533</v>
      </c>
      <c r="P371" s="8" t="n">
        <v>-0.028371</v>
      </c>
      <c r="Q371" s="8" t="n">
        <v>-0.016231</v>
      </c>
      <c r="R371" s="8" t="n">
        <v>-0.01214</v>
      </c>
      <c r="S371" s="8" t="n">
        <v>0.3639</v>
      </c>
      <c r="T371" s="8" t="n">
        <v>0.02288</v>
      </c>
      <c r="U371" s="8" t="n">
        <v>0.039192</v>
      </c>
      <c r="V371" s="8" t="n">
        <v>-0.016312</v>
      </c>
      <c r="W371" s="8" t="n">
        <v>0.6314</v>
      </c>
      <c r="X371" s="8" t="n">
        <v>-0.096095</v>
      </c>
      <c r="Y371" s="8" t="n">
        <v>-0.007522</v>
      </c>
      <c r="Z371" s="8" t="n">
        <v>-0.088573</v>
      </c>
      <c r="AA371" s="8" t="n">
        <v>0.0726</v>
      </c>
    </row>
    <row r="372">
      <c r="A372" s="11" t="inlineStr">
        <is>
          <t>2024-02-29</t>
        </is>
      </c>
      <c r="B372" s="11" t="inlineStr">
        <is>
          <t>高分位</t>
        </is>
      </c>
      <c r="C372" s="15" t="n">
        <v>0.992</v>
      </c>
      <c r="D372" s="13" t="n">
        <v>-0.004257</v>
      </c>
      <c r="E372" s="13" t="n">
        <v>0.005167</v>
      </c>
      <c r="F372" s="13" t="n">
        <v>-0.009424</v>
      </c>
      <c r="G372" s="13" t="n">
        <v>0.5483</v>
      </c>
      <c r="H372" s="13" t="n">
        <v>-0.010337</v>
      </c>
      <c r="I372" s="13" t="n">
        <v>-0.004372</v>
      </c>
      <c r="J372" s="13" t="n">
        <v>-0.005965</v>
      </c>
      <c r="K372" s="13" t="n">
        <v>0.2972</v>
      </c>
      <c r="L372" s="13" t="n">
        <v>-0.01459</v>
      </c>
      <c r="M372" s="13" t="n">
        <v>0.007948999999999999</v>
      </c>
      <c r="N372" s="13" t="n">
        <v>-0.022539</v>
      </c>
      <c r="O372" s="13" t="n">
        <v>0.3527</v>
      </c>
      <c r="P372" s="13" t="n">
        <v>-0.038298</v>
      </c>
      <c r="Q372" s="13" t="n">
        <v>-0.021463</v>
      </c>
      <c r="R372" s="13" t="n">
        <v>-0.016835</v>
      </c>
      <c r="S372" s="13" t="n">
        <v>0.3591</v>
      </c>
      <c r="T372" s="13" t="n">
        <v>0.016107</v>
      </c>
      <c r="U372" s="13" t="n">
        <v>0.056836</v>
      </c>
      <c r="V372" s="13" t="n">
        <v>-0.040729</v>
      </c>
      <c r="W372" s="13" t="n">
        <v>0.7792</v>
      </c>
      <c r="X372" s="13" t="n">
        <v>-0.094833</v>
      </c>
      <c r="Y372" s="13" t="n">
        <v>-0.009141</v>
      </c>
      <c r="Z372" s="13" t="n">
        <v>-0.085692</v>
      </c>
      <c r="AA372" s="13" t="n">
        <v>0.08790000000000001</v>
      </c>
    </row>
    <row r="373">
      <c r="A373" s="6" t="inlineStr">
        <is>
          <t>2024-03-01</t>
        </is>
      </c>
      <c r="B373" s="6" t="inlineStr">
        <is>
          <t>高分位</t>
        </is>
      </c>
      <c r="C373" s="10" t="n">
        <v>0.972</v>
      </c>
      <c r="D373" s="8" t="n">
        <v>0.003663</v>
      </c>
      <c r="E373" s="8" t="n">
        <v>-0.009885</v>
      </c>
      <c r="F373" s="8" t="n">
        <v>0.013548</v>
      </c>
      <c r="G373" s="8" t="n">
        <v>0.7296</v>
      </c>
      <c r="H373" s="8" t="n">
        <v>-0.006714</v>
      </c>
      <c r="I373" s="8" t="n">
        <v>-0.003954</v>
      </c>
      <c r="J373" s="8" t="n">
        <v>-0.00276</v>
      </c>
      <c r="K373" s="8" t="n">
        <v>0.3706</v>
      </c>
      <c r="L373" s="8" t="n">
        <v>-0.007326</v>
      </c>
      <c r="M373" s="8" t="n">
        <v>0.014235</v>
      </c>
      <c r="N373" s="8" t="n">
        <v>-0.021561</v>
      </c>
      <c r="O373" s="8" t="n">
        <v>0.6602</v>
      </c>
      <c r="P373" s="8" t="n">
        <v>-0.053725</v>
      </c>
      <c r="Q373" s="8" t="n">
        <v>-0.015421</v>
      </c>
      <c r="R373" s="8" t="n">
        <v>-0.038304</v>
      </c>
      <c r="S373" s="8" t="n">
        <v>0.223</v>
      </c>
      <c r="T373" s="8" t="n">
        <v>0.025641</v>
      </c>
      <c r="U373" s="8" t="n">
        <v>0.040332</v>
      </c>
      <c r="V373" s="8" t="n">
        <v>-0.014691</v>
      </c>
      <c r="W373" s="8" t="n">
        <v>0.6113</v>
      </c>
      <c r="X373" s="8" t="n">
        <v>-0.098289</v>
      </c>
      <c r="Y373" s="8" t="n">
        <v>0.000395</v>
      </c>
      <c r="Z373" s="8" t="n">
        <v>-0.09868399999999999</v>
      </c>
      <c r="AA373" s="8" t="n">
        <v>0.004</v>
      </c>
    </row>
    <row r="374">
      <c r="A374" s="11" t="inlineStr">
        <is>
          <t>2024-03-04</t>
        </is>
      </c>
      <c r="B374" s="11" t="inlineStr">
        <is>
          <t>高分位</t>
        </is>
      </c>
      <c r="C374" s="15" t="n">
        <v>0.992</v>
      </c>
      <c r="D374" s="13" t="n">
        <v>-0.010339</v>
      </c>
      <c r="E374" s="13" t="n">
        <v>-0.005591</v>
      </c>
      <c r="F374" s="13" t="n">
        <v>-0.004748</v>
      </c>
      <c r="G374" s="13" t="n">
        <v>0.351</v>
      </c>
      <c r="H374" s="13" t="n">
        <v>-0.008212000000000001</v>
      </c>
      <c r="I374" s="13" t="n">
        <v>0.014776</v>
      </c>
      <c r="J374" s="13" t="n">
        <v>-0.022988</v>
      </c>
      <c r="K374" s="13" t="n">
        <v>0.6428</v>
      </c>
      <c r="L374" s="13" t="n">
        <v>-0.00669</v>
      </c>
      <c r="M374" s="13" t="n">
        <v>0.025559</v>
      </c>
      <c r="N374" s="13" t="n">
        <v>-0.032249</v>
      </c>
      <c r="O374" s="13" t="n">
        <v>0.7926</v>
      </c>
      <c r="P374" s="13" t="n">
        <v>-0.053529</v>
      </c>
      <c r="Q374" s="13" t="n">
        <v>0.007986999999999999</v>
      </c>
      <c r="R374" s="13" t="n">
        <v>-0.061516</v>
      </c>
      <c r="S374" s="13" t="n">
        <v>0.1298</v>
      </c>
      <c r="T374" s="13" t="n">
        <v>0.007908999999999999</v>
      </c>
      <c r="U374" s="13" t="n">
        <v>0.025559</v>
      </c>
      <c r="V374" s="13" t="n">
        <v>-0.01765</v>
      </c>
      <c r="W374" s="13" t="n">
        <v>0.7637</v>
      </c>
      <c r="X374" s="13" t="n">
        <v>-0.089113</v>
      </c>
      <c r="Y374" s="13" t="n">
        <v>0.01238</v>
      </c>
      <c r="Z374" s="13" t="n">
        <v>-0.101493</v>
      </c>
      <c r="AA374" s="13" t="n">
        <v>0.122</v>
      </c>
    </row>
    <row r="375">
      <c r="A375" s="6" t="inlineStr">
        <is>
          <t>2024-03-05</t>
        </is>
      </c>
      <c r="B375" s="6" t="inlineStr">
        <is>
          <t>高分位</t>
        </is>
      </c>
      <c r="C375" s="10" t="n">
        <v>0.984</v>
      </c>
      <c r="D375" s="8" t="n">
        <v>-0.007376</v>
      </c>
      <c r="E375" s="8" t="n">
        <v>0.009639</v>
      </c>
      <c r="F375" s="8" t="n">
        <v>-0.017015</v>
      </c>
      <c r="G375" s="8" t="n">
        <v>0.5665</v>
      </c>
      <c r="H375" s="8" t="n">
        <v>0.014135</v>
      </c>
      <c r="I375" s="8" t="n">
        <v>0.003614</v>
      </c>
      <c r="J375" s="8" t="n">
        <v>0.010521</v>
      </c>
      <c r="K375" s="8" t="n">
        <v>0.2036</v>
      </c>
      <c r="L375" s="8" t="n">
        <v>-0.003688</v>
      </c>
      <c r="M375" s="8" t="n">
        <v>0.038956</v>
      </c>
      <c r="N375" s="8" t="n">
        <v>-0.042644</v>
      </c>
      <c r="O375" s="8" t="n">
        <v>0.9135</v>
      </c>
      <c r="P375" s="8" t="n">
        <v>-0.032578</v>
      </c>
      <c r="Q375" s="8" t="n">
        <v>0.01245</v>
      </c>
      <c r="R375" s="8" t="n">
        <v>-0.045028</v>
      </c>
      <c r="S375" s="8" t="n">
        <v>0.2765</v>
      </c>
      <c r="T375" s="8" t="n">
        <v>-0.009219</v>
      </c>
      <c r="U375" s="8" t="n">
        <v>0.028916</v>
      </c>
      <c r="V375" s="8" t="n">
        <v>-0.038135</v>
      </c>
      <c r="W375" s="8" t="n">
        <v>0.7583</v>
      </c>
      <c r="X375" s="8" t="n">
        <v>-0.078059</v>
      </c>
      <c r="Y375" s="8" t="n">
        <v>0.018876</v>
      </c>
      <c r="Z375" s="8" t="n">
        <v>-0.09693499999999999</v>
      </c>
      <c r="AA375" s="8" t="n">
        <v>0.1947</v>
      </c>
    </row>
    <row r="376">
      <c r="A376" s="11" t="inlineStr">
        <is>
          <t>2024-03-06</t>
        </is>
      </c>
      <c r="B376" s="11" t="inlineStr">
        <is>
          <t>高分位</t>
        </is>
      </c>
      <c r="C376" s="15" t="n">
        <v>0.948</v>
      </c>
      <c r="D376" s="13" t="n">
        <v>0.008047</v>
      </c>
      <c r="E376" s="13" t="n">
        <v>-0.00358</v>
      </c>
      <c r="F376" s="13" t="n">
        <v>0.011627</v>
      </c>
      <c r="G376" s="13" t="n">
        <v>0.3079</v>
      </c>
      <c r="H376" s="13" t="n">
        <v>0.003715</v>
      </c>
      <c r="I376" s="13" t="n">
        <v>-0.004375</v>
      </c>
      <c r="J376" s="13" t="n">
        <v>0.00809</v>
      </c>
      <c r="K376" s="13" t="n">
        <v>0.5407999999999999</v>
      </c>
      <c r="L376" s="13" t="n">
        <v>0.016406</v>
      </c>
      <c r="M376" s="13" t="n">
        <v>0.026253</v>
      </c>
      <c r="N376" s="13" t="n">
        <v>-0.009847</v>
      </c>
      <c r="O376" s="13" t="n">
        <v>0.6153999999999999</v>
      </c>
      <c r="P376" s="13" t="n">
        <v>-0.023532</v>
      </c>
      <c r="Q376" s="13" t="n">
        <v>0.001193</v>
      </c>
      <c r="R376" s="13" t="n">
        <v>-0.024725</v>
      </c>
      <c r="S376" s="13" t="n">
        <v>0.0483</v>
      </c>
      <c r="T376" s="13" t="n">
        <v>-0.013315</v>
      </c>
      <c r="U376" s="13" t="n">
        <v>0.023469</v>
      </c>
      <c r="V376" s="13" t="n">
        <v>-0.036784</v>
      </c>
      <c r="W376" s="13" t="n">
        <v>0.638</v>
      </c>
      <c r="X376" s="13" t="n">
        <v>-0.06904299999999999</v>
      </c>
      <c r="Y376" s="13" t="n">
        <v>0.007955</v>
      </c>
      <c r="Z376" s="13" t="n">
        <v>-0.076998</v>
      </c>
      <c r="AA376" s="13" t="n">
        <v>0.1033</v>
      </c>
    </row>
    <row r="377">
      <c r="A377" s="6" t="inlineStr">
        <is>
          <t>2024-03-07</t>
        </is>
      </c>
      <c r="B377" s="6" t="inlineStr">
        <is>
          <t>高分位</t>
        </is>
      </c>
      <c r="C377" s="10" t="n">
        <v>0.98</v>
      </c>
      <c r="D377" s="8" t="n">
        <v>-0.000612</v>
      </c>
      <c r="E377" s="8" t="n">
        <v>0.005589</v>
      </c>
      <c r="F377" s="8" t="n">
        <v>-0.006201</v>
      </c>
      <c r="G377" s="8" t="n">
        <v>0.9013</v>
      </c>
      <c r="H377" s="8" t="n">
        <v>-0.004297</v>
      </c>
      <c r="I377" s="8" t="n">
        <v>0.012375</v>
      </c>
      <c r="J377" s="8" t="n">
        <v>-0.016672</v>
      </c>
      <c r="K377" s="8" t="n">
        <v>0.7423</v>
      </c>
      <c r="L377" s="8" t="n">
        <v>0.003686</v>
      </c>
      <c r="M377" s="8" t="n">
        <v>0.019561</v>
      </c>
      <c r="N377" s="8" t="n">
        <v>-0.015875</v>
      </c>
      <c r="O377" s="8" t="n">
        <v>0.8414</v>
      </c>
      <c r="P377" s="8" t="n">
        <v>-0.035934</v>
      </c>
      <c r="Q377" s="8" t="n">
        <v>-0.00479</v>
      </c>
      <c r="R377" s="8" t="n">
        <v>-0.031144</v>
      </c>
      <c r="S377" s="8" t="n">
        <v>0.1176</v>
      </c>
      <c r="T377" s="8" t="n">
        <v>-0.019655</v>
      </c>
      <c r="U377" s="8" t="n">
        <v>0.023553</v>
      </c>
      <c r="V377" s="8" t="n">
        <v>-0.043208</v>
      </c>
      <c r="W377" s="8" t="n">
        <v>0.5451</v>
      </c>
      <c r="X377" s="8" t="n">
        <v>-0.08016</v>
      </c>
      <c r="Y377" s="8" t="n">
        <v>0.009181999999999999</v>
      </c>
      <c r="Z377" s="8" t="n">
        <v>-0.089342</v>
      </c>
      <c r="AA377" s="8" t="n">
        <v>0.1028</v>
      </c>
    </row>
    <row r="378">
      <c r="A378" s="11" t="inlineStr">
        <is>
          <t>2024-03-08</t>
        </is>
      </c>
      <c r="B378" s="11" t="inlineStr">
        <is>
          <t>高分位</t>
        </is>
      </c>
      <c r="C378" s="15" t="n">
        <v>0.948</v>
      </c>
      <c r="D378" s="13" t="n">
        <v>0.00215</v>
      </c>
      <c r="E378" s="13" t="n">
        <v>0.008734</v>
      </c>
      <c r="F378" s="13" t="n">
        <v>-0.006584</v>
      </c>
      <c r="G378" s="13" t="n">
        <v>0.8025</v>
      </c>
      <c r="H378" s="13" t="n">
        <v>-0.000616</v>
      </c>
      <c r="I378" s="13" t="n">
        <v>0.018261</v>
      </c>
      <c r="J378" s="13" t="n">
        <v>-0.018877</v>
      </c>
      <c r="K378" s="13" t="n">
        <v>0.9674</v>
      </c>
      <c r="L378" s="13" t="n">
        <v>-0.009528999999999999</v>
      </c>
      <c r="M378" s="13" t="n">
        <v>0.009528</v>
      </c>
      <c r="N378" s="13" t="n">
        <v>-0.019057</v>
      </c>
      <c r="O378" s="13" t="n">
        <v>0.5</v>
      </c>
      <c r="P378" s="13" t="n">
        <v>-0.048557</v>
      </c>
      <c r="Q378" s="13" t="n">
        <v>-0.015879</v>
      </c>
      <c r="R378" s="13" t="n">
        <v>-0.032678</v>
      </c>
      <c r="S378" s="13" t="n">
        <v>0.2464</v>
      </c>
      <c r="T378" s="13" t="n">
        <v>-0.033806</v>
      </c>
      <c r="U378" s="13" t="n">
        <v>0.013894</v>
      </c>
      <c r="V378" s="13" t="n">
        <v>-0.0477</v>
      </c>
      <c r="W378" s="13" t="n">
        <v>0.2913</v>
      </c>
      <c r="X378" s="13" t="n">
        <v>-0.085434</v>
      </c>
      <c r="Y378" s="13" t="n">
        <v>-0.016673</v>
      </c>
      <c r="Z378" s="13" t="n">
        <v>-0.068761</v>
      </c>
      <c r="AA378" s="13" t="n">
        <v>0.1633</v>
      </c>
    </row>
    <row r="379">
      <c r="A379" s="6" t="inlineStr">
        <is>
          <t>2024-03-11</t>
        </is>
      </c>
      <c r="B379" s="6" t="inlineStr">
        <is>
          <t>高分位</t>
        </is>
      </c>
      <c r="C379" s="10" t="n">
        <v>0.9320000000000001</v>
      </c>
      <c r="D379" s="8" t="n">
        <v>0.01196</v>
      </c>
      <c r="E379" s="8" t="n">
        <v>-0.016529</v>
      </c>
      <c r="F379" s="8" t="n">
        <v>0.028489</v>
      </c>
      <c r="G379" s="8" t="n">
        <v>0.5802</v>
      </c>
      <c r="H379" s="8" t="n">
        <v>0.001534</v>
      </c>
      <c r="I379" s="8" t="n">
        <v>0.010626</v>
      </c>
      <c r="J379" s="8" t="n">
        <v>-0.009091999999999999</v>
      </c>
      <c r="K379" s="8" t="n">
        <v>0.8738</v>
      </c>
      <c r="L379" s="8" t="n">
        <v>-0.017479</v>
      </c>
      <c r="M379" s="8" t="n">
        <v>-0.007871</v>
      </c>
      <c r="N379" s="8" t="n">
        <v>-0.009608</v>
      </c>
      <c r="O379" s="8" t="n">
        <v>0.3105</v>
      </c>
      <c r="P379" s="8" t="n">
        <v>-0.06317200000000001</v>
      </c>
      <c r="Q379" s="8" t="n">
        <v>-0.008264000000000001</v>
      </c>
      <c r="R379" s="8" t="n">
        <v>-0.054908</v>
      </c>
      <c r="S379" s="8" t="n">
        <v>0.1157</v>
      </c>
      <c r="T379" s="8" t="n">
        <v>-0.043238</v>
      </c>
      <c r="U379" s="8" t="n">
        <v>0.003542</v>
      </c>
      <c r="V379" s="8" t="n">
        <v>-0.04678</v>
      </c>
      <c r="W379" s="8" t="n">
        <v>0.0757</v>
      </c>
      <c r="X379" s="8" t="n">
        <v>-0.09475600000000001</v>
      </c>
      <c r="Y379" s="8" t="n">
        <v>-0.030303</v>
      </c>
      <c r="Z379" s="8" t="n">
        <v>-0.064453</v>
      </c>
      <c r="AA379" s="8" t="n">
        <v>0.2423</v>
      </c>
    </row>
    <row r="380">
      <c r="A380" s="11" t="inlineStr">
        <is>
          <t>2024-03-12</t>
        </is>
      </c>
      <c r="B380" s="11" t="inlineStr">
        <is>
          <t>高分位</t>
        </is>
      </c>
      <c r="C380" s="15" t="n">
        <v>0.998</v>
      </c>
      <c r="D380" s="13" t="n">
        <v>-0.017575</v>
      </c>
      <c r="E380" s="13" t="n">
        <v>0.001601</v>
      </c>
      <c r="F380" s="13" t="n">
        <v>-0.019176</v>
      </c>
      <c r="G380" s="13" t="n">
        <v>0.0835</v>
      </c>
      <c r="H380" s="13" t="n">
        <v>-0.017575</v>
      </c>
      <c r="I380" s="13" t="n">
        <v>0.035214</v>
      </c>
      <c r="J380" s="13" t="n">
        <v>-0.052789</v>
      </c>
      <c r="K380" s="13" t="n">
        <v>0.6671</v>
      </c>
      <c r="L380" s="13" t="n">
        <v>-0.023335</v>
      </c>
      <c r="M380" s="13" t="n">
        <v>0.002001</v>
      </c>
      <c r="N380" s="13" t="n">
        <v>-0.025336</v>
      </c>
      <c r="O380" s="13" t="n">
        <v>0.079</v>
      </c>
      <c r="P380" s="13" t="n">
        <v>-0.064847</v>
      </c>
      <c r="Q380" s="13" t="n">
        <v>-0.012405</v>
      </c>
      <c r="R380" s="13" t="n">
        <v>-0.052442</v>
      </c>
      <c r="S380" s="13" t="n">
        <v>0.1606</v>
      </c>
      <c r="T380" s="13" t="n">
        <v>-0.054545</v>
      </c>
      <c r="U380" s="13" t="n">
        <v>0.02441</v>
      </c>
      <c r="V380" s="13" t="n">
        <v>-0.078955</v>
      </c>
      <c r="W380" s="13" t="n">
        <v>0.3092</v>
      </c>
      <c r="X380" s="13" t="n">
        <v>-0.108789</v>
      </c>
      <c r="Y380" s="13" t="n">
        <v>-0.036415</v>
      </c>
      <c r="Z380" s="13" t="n">
        <v>-0.07237399999999999</v>
      </c>
      <c r="AA380" s="13" t="n">
        <v>0.2508</v>
      </c>
    </row>
    <row r="381">
      <c r="A381" s="6" t="inlineStr">
        <is>
          <t>2024-03-13</t>
        </is>
      </c>
      <c r="B381" s="6" t="inlineStr">
        <is>
          <t>高分位</t>
        </is>
      </c>
      <c r="C381" s="10" t="n">
        <v>0.952</v>
      </c>
      <c r="D381" s="8" t="n">
        <v>0</v>
      </c>
      <c r="E381" s="8" t="n">
        <v>0.013184</v>
      </c>
      <c r="F381" s="8" t="n">
        <v>-0.013184</v>
      </c>
      <c r="G381" s="8" t="n">
        <v>1</v>
      </c>
      <c r="H381" s="8" t="n">
        <v>0.012644</v>
      </c>
      <c r="I381" s="8" t="n">
        <v>0.030763</v>
      </c>
      <c r="J381" s="8" t="n">
        <v>-0.018119</v>
      </c>
      <c r="K381" s="8" t="n">
        <v>0.7087</v>
      </c>
      <c r="L381" s="8" t="n">
        <v>-0.017582</v>
      </c>
      <c r="M381" s="8" t="n">
        <v>-0.007191</v>
      </c>
      <c r="N381" s="8" t="n">
        <v>-0.010391</v>
      </c>
      <c r="O381" s="8" t="n">
        <v>0.2903</v>
      </c>
      <c r="P381" s="8" t="n">
        <v>-0.045035</v>
      </c>
      <c r="Q381" s="8" t="n">
        <v>-0.010787</v>
      </c>
      <c r="R381" s="8" t="n">
        <v>-0.034248</v>
      </c>
      <c r="S381" s="8" t="n">
        <v>0.1932</v>
      </c>
      <c r="T381" s="8" t="n">
        <v>-0.037632</v>
      </c>
      <c r="U381" s="8" t="n">
        <v>0.011586</v>
      </c>
      <c r="V381" s="8" t="n">
        <v>-0.049218</v>
      </c>
      <c r="W381" s="8" t="n">
        <v>0.2354</v>
      </c>
      <c r="X381" s="8" t="n">
        <v>-0.102407</v>
      </c>
      <c r="Y381" s="8" t="n">
        <v>-0.049541</v>
      </c>
      <c r="Z381" s="8" t="n">
        <v>-0.052866</v>
      </c>
      <c r="AA381" s="8" t="n">
        <v>0.326</v>
      </c>
    </row>
    <row r="382">
      <c r="A382" s="11" t="inlineStr">
        <is>
          <t>2024-03-14</t>
        </is>
      </c>
      <c r="B382" s="11" t="inlineStr">
        <is>
          <t>中间分位</t>
        </is>
      </c>
      <c r="C382" s="15" t="n">
        <v>0.896</v>
      </c>
      <c r="D382" s="13" t="n">
        <v>0.003083</v>
      </c>
      <c r="E382" s="13" t="n">
        <v>0.011435</v>
      </c>
      <c r="F382" s="13" t="n">
        <v>-0.008352</v>
      </c>
      <c r="G382" s="13" t="n">
        <v>0.7876</v>
      </c>
      <c r="H382" s="13" t="n">
        <v>0.008017</v>
      </c>
      <c r="I382" s="13" t="n">
        <v>0.007098</v>
      </c>
      <c r="J382" s="13" t="n">
        <v>0.000919</v>
      </c>
      <c r="K382" s="13" t="n">
        <v>0.4696</v>
      </c>
      <c r="L382" s="13" t="n">
        <v>-0.024059</v>
      </c>
      <c r="M382" s="13" t="n">
        <v>-0.02918</v>
      </c>
      <c r="N382" s="13" t="n">
        <v>0.005121</v>
      </c>
      <c r="O382" s="13" t="n">
        <v>0.5481</v>
      </c>
      <c r="P382" s="13" t="n">
        <v>-0.045035</v>
      </c>
      <c r="Q382" s="13" t="n">
        <v>-0.005915</v>
      </c>
      <c r="R382" s="13" t="n">
        <v>-0.03912</v>
      </c>
      <c r="S382" s="13" t="n">
        <v>0.1161</v>
      </c>
      <c r="T382" s="13" t="n">
        <v>-0.052438</v>
      </c>
      <c r="U382" s="13" t="n">
        <v>-0.00276</v>
      </c>
      <c r="V382" s="13" t="n">
        <v>-0.049678</v>
      </c>
      <c r="W382" s="13" t="n">
        <v>0.05</v>
      </c>
      <c r="X382" s="13" t="n">
        <v>-0.116905</v>
      </c>
      <c r="Y382" s="13" t="n">
        <v>-0.065063</v>
      </c>
      <c r="Z382" s="13" t="n">
        <v>-0.051842</v>
      </c>
      <c r="AA382" s="13" t="n">
        <v>0.3576</v>
      </c>
    </row>
    <row r="383">
      <c r="A383" s="6" t="inlineStr">
        <is>
          <t>2024-03-15</t>
        </is>
      </c>
      <c r="B383" s="6" t="inlineStr">
        <is>
          <t>中间分位</t>
        </is>
      </c>
      <c r="C383" s="10" t="n">
        <v>0.856</v>
      </c>
      <c r="D383" s="8" t="n">
        <v>0.004306</v>
      </c>
      <c r="E383" s="8" t="n">
        <v>0.00117</v>
      </c>
      <c r="F383" s="8" t="n">
        <v>0.003136</v>
      </c>
      <c r="G383" s="8" t="n">
        <v>0.2137</v>
      </c>
      <c r="H383" s="8" t="n">
        <v>-0.008919</v>
      </c>
      <c r="I383" s="8" t="n">
        <v>-0.008577</v>
      </c>
      <c r="J383" s="8" t="n">
        <v>-0.000342</v>
      </c>
      <c r="K383" s="8" t="n">
        <v>0.4902</v>
      </c>
      <c r="L383" s="8" t="n">
        <v>-0.046742</v>
      </c>
      <c r="M383" s="8" t="n">
        <v>-0.02924</v>
      </c>
      <c r="N383" s="8" t="n">
        <v>-0.017502</v>
      </c>
      <c r="O383" s="8" t="n">
        <v>0.3848</v>
      </c>
      <c r="P383" s="8" t="n">
        <v>-0.023679</v>
      </c>
      <c r="Q383" s="8" t="n">
        <v>-0.020273</v>
      </c>
      <c r="R383" s="8" t="n">
        <v>-0.003406</v>
      </c>
      <c r="S383" s="8" t="n">
        <v>0.4613</v>
      </c>
      <c r="T383" s="8" t="n">
        <v>-0.060579</v>
      </c>
      <c r="U383" s="8" t="n">
        <v>-0.019103</v>
      </c>
      <c r="V383" s="8" t="n">
        <v>-0.041476</v>
      </c>
      <c r="W383" s="8" t="n">
        <v>0.2397</v>
      </c>
      <c r="X383" s="8" t="n">
        <v>-0.11962</v>
      </c>
      <c r="Y383" s="8" t="n">
        <v>-0.077583</v>
      </c>
      <c r="Z383" s="8" t="n">
        <v>-0.042037</v>
      </c>
      <c r="AA383" s="8" t="n">
        <v>0.3934</v>
      </c>
    </row>
    <row r="384">
      <c r="A384" s="11" t="inlineStr">
        <is>
          <t>2024-03-18</t>
        </is>
      </c>
      <c r="B384" s="11" t="inlineStr">
        <is>
          <t>中间分位</t>
        </is>
      </c>
      <c r="C384" s="15" t="n">
        <v>0.868</v>
      </c>
      <c r="D384" s="13" t="n">
        <v>-0.007348</v>
      </c>
      <c r="E384" s="13" t="n">
        <v>0.007399</v>
      </c>
      <c r="F384" s="13" t="n">
        <v>-0.014747</v>
      </c>
      <c r="G384" s="13" t="n">
        <v>0.5017</v>
      </c>
      <c r="H384" s="13" t="n">
        <v>-0.018985</v>
      </c>
      <c r="I384" s="13" t="n">
        <v>-0.018302</v>
      </c>
      <c r="J384" s="13" t="n">
        <v>-0.000683</v>
      </c>
      <c r="K384" s="13" t="n">
        <v>0.4908</v>
      </c>
      <c r="L384" s="13" t="n">
        <v>-0.047155</v>
      </c>
      <c r="M384" s="13" t="n">
        <v>-0.017134</v>
      </c>
      <c r="N384" s="13" t="n">
        <v>-0.030021</v>
      </c>
      <c r="O384" s="13" t="n">
        <v>0.2665</v>
      </c>
      <c r="P384" s="13" t="n">
        <v>-0.030007</v>
      </c>
      <c r="Q384" s="13" t="n">
        <v>-0.015966</v>
      </c>
      <c r="R384" s="13" t="n">
        <v>-0.014041</v>
      </c>
      <c r="S384" s="13" t="n">
        <v>0.3473</v>
      </c>
      <c r="T384" s="13" t="n">
        <v>-0.074098</v>
      </c>
      <c r="U384" s="13" t="n">
        <v>-0.022196</v>
      </c>
      <c r="V384" s="13" t="n">
        <v>-0.051902</v>
      </c>
      <c r="W384" s="13" t="n">
        <v>0.2305</v>
      </c>
      <c r="X384" s="13" t="n">
        <v>-0.125537</v>
      </c>
      <c r="Y384" s="13" t="n">
        <v>-0.094626</v>
      </c>
      <c r="Z384" s="13" t="n">
        <v>-0.030911</v>
      </c>
      <c r="AA384" s="13" t="n">
        <v>0.4298</v>
      </c>
    </row>
    <row r="385">
      <c r="A385" s="6" t="inlineStr">
        <is>
          <t>2024-03-19</t>
        </is>
      </c>
      <c r="B385" s="6" t="inlineStr">
        <is>
          <t>中间分位</t>
        </is>
      </c>
      <c r="C385" s="10" t="n">
        <v>0.772</v>
      </c>
      <c r="D385" s="8" t="n">
        <v>0.012644</v>
      </c>
      <c r="E385" s="8" t="n">
        <v>-0.002706</v>
      </c>
      <c r="F385" s="8" t="n">
        <v>0.01535</v>
      </c>
      <c r="G385" s="8" t="n">
        <v>0.1763</v>
      </c>
      <c r="H385" s="8" t="n">
        <v>-0.005863</v>
      </c>
      <c r="I385" s="8" t="n">
        <v>-0.032083</v>
      </c>
      <c r="J385" s="8" t="n">
        <v>0.02622</v>
      </c>
      <c r="K385" s="8" t="n">
        <v>0.8455</v>
      </c>
      <c r="L385" s="8" t="n">
        <v>-0.028997</v>
      </c>
      <c r="M385" s="8" t="n">
        <v>-0.025512</v>
      </c>
      <c r="N385" s="8" t="n">
        <v>-0.003485</v>
      </c>
      <c r="O385" s="8" t="n">
        <v>0.468</v>
      </c>
      <c r="P385" s="8" t="n">
        <v>-0.015424</v>
      </c>
      <c r="Q385" s="8" t="n">
        <v>-0.01121</v>
      </c>
      <c r="R385" s="8" t="n">
        <v>-0.004214</v>
      </c>
      <c r="S385" s="8" t="n">
        <v>0.4209</v>
      </c>
      <c r="T385" s="8" t="n">
        <v>-0.068787</v>
      </c>
      <c r="U385" s="8" t="n">
        <v>-0.019327</v>
      </c>
      <c r="V385" s="8" t="n">
        <v>-0.04946</v>
      </c>
      <c r="W385" s="8" t="n">
        <v>0.2193</v>
      </c>
      <c r="X385" s="8" t="n">
        <v>-0.134794</v>
      </c>
      <c r="Y385" s="8" t="n">
        <v>-0.08967899999999999</v>
      </c>
      <c r="Z385" s="8" t="n">
        <v>-0.045115</v>
      </c>
      <c r="AA385" s="8" t="n">
        <v>0.3995</v>
      </c>
    </row>
    <row r="386">
      <c r="A386" s="11" t="inlineStr">
        <is>
          <t>2024-03-20</t>
        </is>
      </c>
      <c r="B386" s="11" t="inlineStr">
        <is>
          <t>中间分位</t>
        </is>
      </c>
      <c r="C386" s="15" t="n">
        <v>0.868</v>
      </c>
      <c r="D386" s="13" t="n">
        <v>-0.004569</v>
      </c>
      <c r="E386" s="13" t="n">
        <v>-0.010078</v>
      </c>
      <c r="F386" s="13" t="n">
        <v>0.005509</v>
      </c>
      <c r="G386" s="13" t="n">
        <v>0.6881</v>
      </c>
      <c r="H386" s="13" t="n">
        <v>-0.029848</v>
      </c>
      <c r="I386" s="13" t="n">
        <v>-0.036822</v>
      </c>
      <c r="J386" s="13" t="n">
        <v>0.006974</v>
      </c>
      <c r="K386" s="13" t="n">
        <v>0.5523</v>
      </c>
      <c r="L386" s="13" t="n">
        <v>-0.039293</v>
      </c>
      <c r="M386" s="13" t="n">
        <v>-0.024419</v>
      </c>
      <c r="N386" s="13" t="n">
        <v>-0.014874</v>
      </c>
      <c r="O386" s="13" t="n">
        <v>0.3833</v>
      </c>
      <c r="P386" s="13" t="n">
        <v>-0.016141</v>
      </c>
      <c r="Q386" s="13" t="n">
        <v>-0.000388</v>
      </c>
      <c r="R386" s="13" t="n">
        <v>-0.015753</v>
      </c>
      <c r="S386" s="13" t="n">
        <v>0.0235</v>
      </c>
      <c r="T386" s="13" t="n">
        <v>-0.075235</v>
      </c>
      <c r="U386" s="13" t="n">
        <v>-0.019767</v>
      </c>
      <c r="V386" s="13" t="n">
        <v>-0.055468</v>
      </c>
      <c r="W386" s="13" t="n">
        <v>0.2081</v>
      </c>
      <c r="X386" s="13" t="n">
        <v>-0.133415</v>
      </c>
      <c r="Y386" s="13" t="n">
        <v>-0.075194</v>
      </c>
      <c r="Z386" s="13" t="n">
        <v>-0.058221</v>
      </c>
      <c r="AA386" s="13" t="n">
        <v>0.3605</v>
      </c>
    </row>
    <row r="387">
      <c r="A387" s="6" t="inlineStr">
        <is>
          <t>2024-03-21</t>
        </is>
      </c>
      <c r="B387" s="6" t="inlineStr">
        <is>
          <t>高分位</t>
        </is>
      </c>
      <c r="C387" s="10" t="n">
        <v>0.904</v>
      </c>
      <c r="D387" s="8" t="n">
        <v>-0.01377</v>
      </c>
      <c r="E387" s="8" t="n">
        <v>-0.004307</v>
      </c>
      <c r="F387" s="8" t="n">
        <v>-0.009462999999999999</v>
      </c>
      <c r="G387" s="8" t="n">
        <v>0.2383</v>
      </c>
      <c r="H387" s="8" t="n">
        <v>-0.031821</v>
      </c>
      <c r="I387" s="8" t="n">
        <v>-0.036022</v>
      </c>
      <c r="J387" s="8" t="n">
        <v>0.004201</v>
      </c>
      <c r="K387" s="8" t="n">
        <v>0.531</v>
      </c>
      <c r="L387" s="8" t="n">
        <v>-0.039474</v>
      </c>
      <c r="M387" s="8" t="n">
        <v>-0.023884</v>
      </c>
      <c r="N387" s="8" t="n">
        <v>-0.01559</v>
      </c>
      <c r="O387" s="8" t="n">
        <v>0.377</v>
      </c>
      <c r="P387" s="8" t="n">
        <v>-0.003672</v>
      </c>
      <c r="Q387" s="8" t="n">
        <v>0.001566</v>
      </c>
      <c r="R387" s="8" t="n">
        <v>-0.005238</v>
      </c>
      <c r="S387" s="8" t="n">
        <v>0.299</v>
      </c>
      <c r="T387" s="8" t="n">
        <v>-0.072213</v>
      </c>
      <c r="U387" s="8" t="n">
        <v>-0.021926</v>
      </c>
      <c r="V387" s="8" t="n">
        <v>-0.050287</v>
      </c>
      <c r="W387" s="8" t="n">
        <v>0.2329</v>
      </c>
      <c r="X387" s="8" t="n">
        <v>-0.116585</v>
      </c>
      <c r="Y387" s="8" t="n">
        <v>-0.066954</v>
      </c>
      <c r="Z387" s="8" t="n">
        <v>-0.049631</v>
      </c>
      <c r="AA387" s="8" t="n">
        <v>0.3648</v>
      </c>
    </row>
    <row r="388">
      <c r="A388" s="11" t="inlineStr">
        <is>
          <t>2024-03-22</t>
        </is>
      </c>
      <c r="B388" s="11" t="inlineStr">
        <is>
          <t>中间分位</t>
        </is>
      </c>
      <c r="C388" s="15" t="n">
        <v>0.836</v>
      </c>
      <c r="D388" s="13" t="n">
        <v>-0.005894</v>
      </c>
      <c r="E388" s="13" t="n">
        <v>-0.008651000000000001</v>
      </c>
      <c r="F388" s="13" t="n">
        <v>0.002757</v>
      </c>
      <c r="G388" s="13" t="n">
        <v>0.5948</v>
      </c>
      <c r="H388" s="13" t="n">
        <v>-0.038163</v>
      </c>
      <c r="I388" s="13" t="n">
        <v>-0.020842</v>
      </c>
      <c r="J388" s="13" t="n">
        <v>-0.017321</v>
      </c>
      <c r="K388" s="13" t="n">
        <v>0.3532</v>
      </c>
      <c r="L388" s="13" t="n">
        <v>-0.039403</v>
      </c>
      <c r="M388" s="13" t="n">
        <v>-0.025167</v>
      </c>
      <c r="N388" s="13" t="n">
        <v>-0.014236</v>
      </c>
      <c r="O388" s="13" t="n">
        <v>0.3898</v>
      </c>
      <c r="P388" s="13" t="n">
        <v>0.01117</v>
      </c>
      <c r="Q388" s="13" t="n">
        <v>-0.01455</v>
      </c>
      <c r="R388" s="13" t="n">
        <v>0.02572</v>
      </c>
      <c r="S388" s="13" t="n">
        <v>0.5657</v>
      </c>
      <c r="T388" s="13" t="n">
        <v>-0.069189</v>
      </c>
      <c r="U388" s="13" t="n">
        <v>-0.02556</v>
      </c>
      <c r="V388" s="13" t="n">
        <v>-0.043629</v>
      </c>
      <c r="W388" s="13" t="n">
        <v>0.2698</v>
      </c>
      <c r="X388" s="13" t="n">
        <v>-0.1058</v>
      </c>
      <c r="Y388" s="13" t="n">
        <v>-0.061738</v>
      </c>
      <c r="Z388" s="13" t="n">
        <v>-0.044062</v>
      </c>
      <c r="AA388" s="13" t="n">
        <v>0.3685</v>
      </c>
    </row>
    <row r="389">
      <c r="A389" s="6" t="inlineStr">
        <is>
          <t>2024-03-25</t>
        </is>
      </c>
      <c r="B389" s="6" t="inlineStr">
        <is>
          <t>中间分位</t>
        </is>
      </c>
      <c r="C389" s="10" t="n">
        <v>0.856</v>
      </c>
      <c r="D389" s="8" t="n">
        <v>0.005929</v>
      </c>
      <c r="E389" s="8" t="n">
        <v>-0.006743</v>
      </c>
      <c r="F389" s="8" t="n">
        <v>0.012672</v>
      </c>
      <c r="G389" s="8" t="n">
        <v>0.5321</v>
      </c>
      <c r="H389" s="8" t="n">
        <v>-0.028715</v>
      </c>
      <c r="I389" s="8" t="n">
        <v>0.00119</v>
      </c>
      <c r="J389" s="8" t="n">
        <v>-0.029905</v>
      </c>
      <c r="K389" s="8" t="n">
        <v>0.0398</v>
      </c>
      <c r="L389" s="8" t="n">
        <v>-0.046506</v>
      </c>
      <c r="M389" s="8" t="n">
        <v>-0.000397</v>
      </c>
      <c r="N389" s="8" t="n">
        <v>-0.046109</v>
      </c>
      <c r="O389" s="8" t="n">
        <v>0.008500000000000001</v>
      </c>
      <c r="P389" s="8" t="n">
        <v>0.011236</v>
      </c>
      <c r="Q389" s="8" t="n">
        <v>-0.003967</v>
      </c>
      <c r="R389" s="8" t="n">
        <v>0.015203</v>
      </c>
      <c r="S389" s="8" t="n">
        <v>0.2609</v>
      </c>
      <c r="T389" s="8" t="n">
        <v>-0.069288</v>
      </c>
      <c r="U389" s="8" t="n">
        <v>-0.003173</v>
      </c>
      <c r="V389" s="8" t="n">
        <v>-0.06611499999999999</v>
      </c>
      <c r="W389" s="8" t="n">
        <v>0.0438</v>
      </c>
      <c r="X389" s="8" t="n">
        <v>-0.100498</v>
      </c>
      <c r="Y389" s="8" t="n">
        <v>-0.043237</v>
      </c>
      <c r="Z389" s="8" t="n">
        <v>-0.057261</v>
      </c>
      <c r="AA389" s="8" t="n">
        <v>0.3008</v>
      </c>
    </row>
    <row r="390">
      <c r="A390" s="11" t="inlineStr">
        <is>
          <t>2024-03-26</t>
        </is>
      </c>
      <c r="B390" s="11" t="inlineStr">
        <is>
          <t>高分位</t>
        </is>
      </c>
      <c r="C390" s="15" t="n">
        <v>0.9320000000000001</v>
      </c>
      <c r="D390" s="13" t="n">
        <v>-0.011788</v>
      </c>
      <c r="E390" s="13" t="n">
        <v>-0.007588</v>
      </c>
      <c r="F390" s="13" t="n">
        <v>-0.0042</v>
      </c>
      <c r="G390" s="13" t="n">
        <v>0.3916</v>
      </c>
      <c r="H390" s="13" t="n">
        <v>-0.02327</v>
      </c>
      <c r="I390" s="13" t="n">
        <v>0.006789</v>
      </c>
      <c r="J390" s="13" t="n">
        <v>-0.030059</v>
      </c>
      <c r="K390" s="13" t="n">
        <v>0.2259</v>
      </c>
      <c r="L390" s="13" t="n">
        <v>-0.042505</v>
      </c>
      <c r="M390" s="13" t="n">
        <v>-0.014377</v>
      </c>
      <c r="N390" s="13" t="n">
        <v>-0.028128</v>
      </c>
      <c r="O390" s="13" t="n">
        <v>0.2528</v>
      </c>
      <c r="P390" s="13" t="n">
        <v>-0.01334</v>
      </c>
      <c r="Q390" s="13" t="n">
        <v>-0.003994</v>
      </c>
      <c r="R390" s="13" t="n">
        <v>-0.009346</v>
      </c>
      <c r="S390" s="13" t="n">
        <v>0.2304</v>
      </c>
      <c r="T390" s="13" t="n">
        <v>-0.061743</v>
      </c>
      <c r="U390" s="13" t="n">
        <v>0.000799</v>
      </c>
      <c r="V390" s="13" t="n">
        <v>-0.062542</v>
      </c>
      <c r="W390" s="13" t="n">
        <v>0.0128</v>
      </c>
      <c r="X390" s="13" t="n">
        <v>-0.091529</v>
      </c>
      <c r="Y390" s="13" t="n">
        <v>-0.048722</v>
      </c>
      <c r="Z390" s="13" t="n">
        <v>-0.042807</v>
      </c>
      <c r="AA390" s="13" t="n">
        <v>0.3474</v>
      </c>
    </row>
    <row r="391">
      <c r="A391" s="6" t="inlineStr">
        <is>
          <t>2024-03-27</t>
        </is>
      </c>
      <c r="B391" s="6" t="inlineStr">
        <is>
          <t>高分位</t>
        </is>
      </c>
      <c r="C391" s="10" t="n">
        <v>0.908</v>
      </c>
      <c r="D391" s="8" t="n">
        <v>-0.006593</v>
      </c>
      <c r="E391" s="8" t="n">
        <v>-0.009256</v>
      </c>
      <c r="F391" s="8" t="n">
        <v>0.002663</v>
      </c>
      <c r="G391" s="8" t="n">
        <v>0.584</v>
      </c>
      <c r="H391" s="8" t="n">
        <v>-0.009736</v>
      </c>
      <c r="I391" s="8" t="n">
        <v>0.012877</v>
      </c>
      <c r="J391" s="8" t="n">
        <v>-0.022613</v>
      </c>
      <c r="K391" s="8" t="n">
        <v>0.5695</v>
      </c>
      <c r="L391" s="8" t="n">
        <v>-0.027945</v>
      </c>
      <c r="M391" s="8" t="n">
        <v>-0.003622</v>
      </c>
      <c r="N391" s="8" t="n">
        <v>-0.024323</v>
      </c>
      <c r="O391" s="8" t="n">
        <v>0.1147</v>
      </c>
      <c r="P391" s="8" t="n">
        <v>-0.016013</v>
      </c>
      <c r="Q391" s="8" t="n">
        <v>0.009658</v>
      </c>
      <c r="R391" s="8" t="n">
        <v>-0.025671</v>
      </c>
      <c r="S391" s="8" t="n">
        <v>0.3762</v>
      </c>
      <c r="T391" s="8" t="n">
        <v>-0.050551</v>
      </c>
      <c r="U391" s="8" t="n">
        <v>0.01328</v>
      </c>
      <c r="V391" s="8" t="n">
        <v>-0.063831</v>
      </c>
      <c r="W391" s="8" t="n">
        <v>0.208</v>
      </c>
      <c r="X391" s="8" t="n">
        <v>-0.09199499999999999</v>
      </c>
      <c r="Y391" s="8" t="n">
        <v>-0.058753</v>
      </c>
      <c r="Z391" s="8" t="n">
        <v>-0.033242</v>
      </c>
      <c r="AA391" s="8" t="n">
        <v>0.3897</v>
      </c>
    </row>
    <row r="392">
      <c r="A392" s="11" t="inlineStr">
        <is>
          <t>2024-03-28</t>
        </is>
      </c>
      <c r="B392" s="11" t="inlineStr">
        <is>
          <t>高分位</t>
        </is>
      </c>
      <c r="C392" s="15" t="n">
        <v>0.928</v>
      </c>
      <c r="D392" s="13" t="n">
        <v>-0.02023</v>
      </c>
      <c r="E392" s="13" t="n">
        <v>0.011373</v>
      </c>
      <c r="F392" s="13" t="n">
        <v>-0.031603</v>
      </c>
      <c r="G392" s="13" t="n">
        <v>0.3599</v>
      </c>
      <c r="H392" s="13" t="n">
        <v>-0.007904</v>
      </c>
      <c r="I392" s="13" t="n">
        <v>0.012591</v>
      </c>
      <c r="J392" s="13" t="n">
        <v>-0.020495</v>
      </c>
      <c r="K392" s="13" t="n">
        <v>0.6143</v>
      </c>
      <c r="L392" s="13" t="n">
        <v>-0.021493</v>
      </c>
      <c r="M392" s="13" t="n">
        <v>0.023964</v>
      </c>
      <c r="N392" s="13" t="n">
        <v>-0.045457</v>
      </c>
      <c r="O392" s="13" t="n">
        <v>0.5272</v>
      </c>
      <c r="P392" s="13" t="n">
        <v>-0.001582</v>
      </c>
      <c r="Q392" s="13" t="n">
        <v>0.034119</v>
      </c>
      <c r="R392" s="13" t="n">
        <v>-0.035701</v>
      </c>
      <c r="S392" s="13" t="n">
        <v>0.9557</v>
      </c>
      <c r="T392" s="13" t="n">
        <v>-0.040456</v>
      </c>
      <c r="U392" s="13" t="n">
        <v>0.036962</v>
      </c>
      <c r="V392" s="13" t="n">
        <v>-0.077418</v>
      </c>
      <c r="W392" s="13" t="n">
        <v>0.4774</v>
      </c>
      <c r="X392" s="13" t="n">
        <v>-0.097346</v>
      </c>
      <c r="Y392" s="13" t="n">
        <v>-0.026807</v>
      </c>
      <c r="Z392" s="13" t="n">
        <v>-0.070539</v>
      </c>
      <c r="AA392" s="13" t="n">
        <v>0.2159</v>
      </c>
    </row>
    <row r="393">
      <c r="A393" s="6" t="inlineStr">
        <is>
          <t>2024-03-29</t>
        </is>
      </c>
      <c r="B393" s="6" t="inlineStr">
        <is>
          <t>中间分位</t>
        </is>
      </c>
      <c r="C393" s="10" t="n">
        <v>0.68</v>
      </c>
      <c r="D393" s="8" t="n">
        <v>0.003871</v>
      </c>
      <c r="E393" s="8" t="n">
        <v>0.013655</v>
      </c>
      <c r="F393" s="8" t="n">
        <v>-0.009783999999999999</v>
      </c>
      <c r="G393" s="8" t="n">
        <v>0.7791</v>
      </c>
      <c r="H393" s="8" t="n">
        <v>-0.001289</v>
      </c>
      <c r="I393" s="8" t="n">
        <v>-0.004418</v>
      </c>
      <c r="J393" s="8" t="n">
        <v>0.003129</v>
      </c>
      <c r="K393" s="8" t="n">
        <v>0.7741</v>
      </c>
      <c r="L393" s="8" t="n">
        <v>0.024194</v>
      </c>
      <c r="M393" s="8" t="n">
        <v>0.009237</v>
      </c>
      <c r="N393" s="8" t="n">
        <v>0.014957</v>
      </c>
      <c r="O393" s="8" t="n">
        <v>0.2763</v>
      </c>
      <c r="P393" s="8" t="n">
        <v>0.025486</v>
      </c>
      <c r="Q393" s="8" t="n">
        <v>0.027309</v>
      </c>
      <c r="R393" s="8" t="n">
        <v>-0.001823</v>
      </c>
      <c r="S393" s="8" t="n">
        <v>0.5173</v>
      </c>
      <c r="T393" s="8" t="n">
        <v>-0.011288</v>
      </c>
      <c r="U393" s="8" t="n">
        <v>0.022088</v>
      </c>
      <c r="V393" s="8" t="n">
        <v>-0.033376</v>
      </c>
      <c r="W393" s="8" t="n">
        <v>0.6618000000000001</v>
      </c>
      <c r="X393" s="8" t="n">
        <v>-0.07645200000000001</v>
      </c>
      <c r="Y393" s="8" t="n">
        <v>-0.033735</v>
      </c>
      <c r="Z393" s="8" t="n">
        <v>-0.042717</v>
      </c>
      <c r="AA393" s="8" t="n">
        <v>0.3062</v>
      </c>
    </row>
    <row r="394">
      <c r="A394" s="11" t="inlineStr">
        <is>
          <t>2024-04-01</t>
        </is>
      </c>
      <c r="B394" s="11" t="inlineStr">
        <is>
          <t>中间分位</t>
        </is>
      </c>
      <c r="C394" s="15" t="n">
        <v>0.6</v>
      </c>
      <c r="D394" s="13" t="n">
        <v>0.011568</v>
      </c>
      <c r="E394" s="13" t="n">
        <v>-0.001189</v>
      </c>
      <c r="F394" s="13" t="n">
        <v>0.012757</v>
      </c>
      <c r="G394" s="13" t="n">
        <v>0.09320000000000001</v>
      </c>
      <c r="H394" s="13" t="n">
        <v>-0.018316</v>
      </c>
      <c r="I394" s="13" t="n">
        <v>-0.001585</v>
      </c>
      <c r="J394" s="13" t="n">
        <v>-0.016731</v>
      </c>
      <c r="K394" s="13" t="n">
        <v>0.0796</v>
      </c>
      <c r="L394" s="13" t="n">
        <v>0.017996</v>
      </c>
      <c r="M394" s="13" t="n">
        <v>0.001189</v>
      </c>
      <c r="N394" s="13" t="n">
        <v>0.016807</v>
      </c>
      <c r="O394" s="13" t="n">
        <v>0.062</v>
      </c>
      <c r="P394" s="13" t="n">
        <v>0.022496</v>
      </c>
      <c r="Q394" s="13" t="n">
        <v>0.007528</v>
      </c>
      <c r="R394" s="13" t="n">
        <v>0.014968</v>
      </c>
      <c r="S394" s="13" t="n">
        <v>0.2507</v>
      </c>
      <c r="T394" s="13" t="n">
        <v>-0.023456</v>
      </c>
      <c r="U394" s="13" t="n">
        <v>0.019017</v>
      </c>
      <c r="V394" s="13" t="n">
        <v>-0.042473</v>
      </c>
      <c r="W394" s="13" t="n">
        <v>0.4477</v>
      </c>
      <c r="X394" s="13" t="n">
        <v>-0.055589</v>
      </c>
      <c r="Y394" s="13" t="n">
        <v>-0.043582</v>
      </c>
      <c r="Z394" s="13" t="n">
        <v>-0.012007</v>
      </c>
      <c r="AA394" s="13" t="n">
        <v>0.4395</v>
      </c>
    </row>
    <row r="395">
      <c r="A395" s="6" t="inlineStr">
        <is>
          <t>2024-04-02</t>
        </is>
      </c>
      <c r="B395" s="6" t="inlineStr">
        <is>
          <t>中间分位</t>
        </is>
      </c>
      <c r="C395" s="10" t="n">
        <v>0.7</v>
      </c>
      <c r="D395" s="8" t="n">
        <v>0.001906</v>
      </c>
      <c r="E395" s="8" t="n">
        <v>-0.001587</v>
      </c>
      <c r="F395" s="8" t="n">
        <v>0.003493</v>
      </c>
      <c r="G395" s="8" t="n">
        <v>0.4543</v>
      </c>
      <c r="H395" s="8" t="n">
        <v>-0.019693</v>
      </c>
      <c r="I395" s="8" t="n">
        <v>-0.021023</v>
      </c>
      <c r="J395" s="8" t="n">
        <v>0.00133</v>
      </c>
      <c r="K395" s="8" t="n">
        <v>0.5163</v>
      </c>
      <c r="L395" s="8" t="n">
        <v>0.013978</v>
      </c>
      <c r="M395" s="8" t="n">
        <v>0.014677</v>
      </c>
      <c r="N395" s="8" t="n">
        <v>-0.000699</v>
      </c>
      <c r="O395" s="8" t="n">
        <v>0.5122</v>
      </c>
      <c r="P395" s="8" t="n">
        <v>0.004765</v>
      </c>
      <c r="Q395" s="8" t="n">
        <v>0.018247</v>
      </c>
      <c r="R395" s="8" t="n">
        <v>-0.013482</v>
      </c>
      <c r="S395" s="8" t="n">
        <v>0.7929</v>
      </c>
      <c r="T395" s="8" t="n">
        <v>-0.024141</v>
      </c>
      <c r="U395" s="8" t="n">
        <v>0.019437</v>
      </c>
      <c r="V395" s="8" t="n">
        <v>-0.043578</v>
      </c>
      <c r="W395" s="8" t="n">
        <v>0.446</v>
      </c>
      <c r="X395" s="8" t="n">
        <v>-0.069568</v>
      </c>
      <c r="Y395" s="8" t="n">
        <v>-0.028957</v>
      </c>
      <c r="Z395" s="8" t="n">
        <v>-0.040611</v>
      </c>
      <c r="AA395" s="8" t="n">
        <v>0.2939</v>
      </c>
    </row>
    <row r="396">
      <c r="A396" s="11" t="inlineStr">
        <is>
          <t>2024-04-03</t>
        </is>
      </c>
      <c r="B396" s="11" t="inlineStr">
        <is>
          <t>中间分位</t>
        </is>
      </c>
      <c r="C396" s="15" t="n">
        <v>0.748</v>
      </c>
      <c r="D396" s="13" t="n">
        <v>-0.004756</v>
      </c>
      <c r="E396" s="13" t="n">
        <v>-0.009535</v>
      </c>
      <c r="F396" s="13" t="n">
        <v>0.004779</v>
      </c>
      <c r="G396" s="13" t="n">
        <v>0.6672</v>
      </c>
      <c r="H396" s="13" t="n">
        <v>-0.018388</v>
      </c>
      <c r="I396" s="13" t="n">
        <v>-0.016289</v>
      </c>
      <c r="J396" s="13" t="n">
        <v>-0.002099</v>
      </c>
      <c r="K396" s="13" t="n">
        <v>0.4697</v>
      </c>
      <c r="L396" s="13" t="n">
        <v>0.024099</v>
      </c>
      <c r="M396" s="13" t="n">
        <v>0.024632</v>
      </c>
      <c r="N396" s="13" t="n">
        <v>-0.0005330000000000001</v>
      </c>
      <c r="O396" s="13" t="n">
        <v>0.5054999999999999</v>
      </c>
      <c r="P396" s="13" t="n">
        <v>0.013952</v>
      </c>
      <c r="Q396" s="13" t="n">
        <v>0.011522</v>
      </c>
      <c r="R396" s="13" t="n">
        <v>0.00243</v>
      </c>
      <c r="S396" s="13" t="n">
        <v>0.4523</v>
      </c>
      <c r="T396" s="13" t="n">
        <v>-0.029802</v>
      </c>
      <c r="U396" s="13" t="n">
        <v>0.018673</v>
      </c>
      <c r="V396" s="13" t="n">
        <v>-0.048475</v>
      </c>
      <c r="W396" s="13" t="n">
        <v>0.3852</v>
      </c>
      <c r="X396" s="13" t="n">
        <v>-0.041852</v>
      </c>
      <c r="Y396" s="13" t="n">
        <v>0.003178</v>
      </c>
      <c r="Z396" s="13" t="n">
        <v>-0.04503</v>
      </c>
      <c r="AA396" s="13" t="n">
        <v>0.0706</v>
      </c>
    </row>
    <row r="397">
      <c r="A397" s="6" t="inlineStr">
        <is>
          <t>2024-04-08</t>
        </is>
      </c>
      <c r="B397" s="6" t="inlineStr">
        <is>
          <t>中间分位</t>
        </is>
      </c>
      <c r="C397" s="10" t="n">
        <v>0.784</v>
      </c>
      <c r="D397" s="8" t="n">
        <v>-0.013697</v>
      </c>
      <c r="E397" s="8" t="n">
        <v>-0.005616</v>
      </c>
      <c r="F397" s="8" t="n">
        <v>-0.008081</v>
      </c>
      <c r="G397" s="8" t="n">
        <v>0.2908</v>
      </c>
      <c r="H397" s="8" t="n">
        <v>-0.013697</v>
      </c>
      <c r="I397" s="8" t="n">
        <v>0.011231</v>
      </c>
      <c r="J397" s="8" t="n">
        <v>-0.024928</v>
      </c>
      <c r="K397" s="8" t="n">
        <v>0.4505</v>
      </c>
      <c r="L397" s="8" t="n">
        <v>0.037273</v>
      </c>
      <c r="M397" s="8" t="n">
        <v>0.026073</v>
      </c>
      <c r="N397" s="8" t="n">
        <v>0.0112</v>
      </c>
      <c r="O397" s="8" t="n">
        <v>0.4116</v>
      </c>
      <c r="P397" s="8" t="n">
        <v>0.014657</v>
      </c>
      <c r="Q397" s="8" t="n">
        <v>0.02848</v>
      </c>
      <c r="R397" s="8" t="n">
        <v>-0.013823</v>
      </c>
      <c r="S397" s="8" t="n">
        <v>0.6602</v>
      </c>
      <c r="T397" s="8" t="n">
        <v>-0.028989</v>
      </c>
      <c r="U397" s="8" t="n">
        <v>0.018853</v>
      </c>
      <c r="V397" s="8" t="n">
        <v>-0.047842</v>
      </c>
      <c r="W397" s="8" t="n">
        <v>0.3941</v>
      </c>
      <c r="X397" s="8" t="n">
        <v>-0.014653</v>
      </c>
      <c r="Y397" s="8" t="n">
        <v>0.029683</v>
      </c>
      <c r="Z397" s="8" t="n">
        <v>-0.044336</v>
      </c>
      <c r="AA397" s="8" t="n">
        <v>0.6695</v>
      </c>
    </row>
    <row r="398">
      <c r="A398" s="11" t="inlineStr">
        <is>
          <t>2024-04-09</t>
        </is>
      </c>
      <c r="B398" s="11" t="inlineStr">
        <is>
          <t>中间分位</t>
        </is>
      </c>
      <c r="C398" s="15" t="n">
        <v>0.696</v>
      </c>
      <c r="D398" s="13" t="n">
        <v>-0.013244</v>
      </c>
      <c r="E398" s="13" t="n">
        <v>0.016539</v>
      </c>
      <c r="F398" s="13" t="n">
        <v>-0.029783</v>
      </c>
      <c r="G398" s="13" t="n">
        <v>0.5553</v>
      </c>
      <c r="H398" s="13" t="n">
        <v>0.025516</v>
      </c>
      <c r="I398" s="13" t="n">
        <v>0.013715</v>
      </c>
      <c r="J398" s="13" t="n">
        <v>0.011801</v>
      </c>
      <c r="K398" s="13" t="n">
        <v>0.3496</v>
      </c>
      <c r="L398" s="13" t="n">
        <v>0.052647</v>
      </c>
      <c r="M398" s="13" t="n">
        <v>0.010891</v>
      </c>
      <c r="N398" s="13" t="n">
        <v>0.041756</v>
      </c>
      <c r="O398" s="13" t="n">
        <v>0.1714</v>
      </c>
      <c r="P398" s="13" t="n">
        <v>0.034884</v>
      </c>
      <c r="Q398" s="13" t="n">
        <v>0.029447</v>
      </c>
      <c r="R398" s="13" t="n">
        <v>0.005437</v>
      </c>
      <c r="S398" s="13" t="n">
        <v>0.4577</v>
      </c>
      <c r="T398" s="13" t="n">
        <v>-0.024872</v>
      </c>
      <c r="U398" s="13" t="n">
        <v>0.017749</v>
      </c>
      <c r="V398" s="13" t="n">
        <v>-0.042621</v>
      </c>
      <c r="W398" s="13" t="n">
        <v>0.4164</v>
      </c>
      <c r="X398" s="13" t="n">
        <v>0.015826</v>
      </c>
      <c r="Y398" s="13" t="n">
        <v>0.015329</v>
      </c>
      <c r="Z398" s="13" t="n">
        <v>0.000497</v>
      </c>
      <c r="AA398" s="13" t="n">
        <v>0.492</v>
      </c>
    </row>
    <row r="399">
      <c r="A399" s="6" t="inlineStr">
        <is>
          <t>2024-04-10</t>
        </is>
      </c>
      <c r="B399" s="6" t="inlineStr">
        <is>
          <t>中间分位</t>
        </is>
      </c>
      <c r="C399" s="10" t="n">
        <v>0.396</v>
      </c>
      <c r="D399" s="8" t="n">
        <v>0.01015</v>
      </c>
      <c r="E399" s="8" t="n">
        <v>-0.020635</v>
      </c>
      <c r="F399" s="8" t="n">
        <v>0.030785</v>
      </c>
      <c r="G399" s="8" t="n">
        <v>0.6703</v>
      </c>
      <c r="H399" s="8" t="n">
        <v>0.03699</v>
      </c>
      <c r="I399" s="8" t="n">
        <v>0.002778</v>
      </c>
      <c r="J399" s="8" t="n">
        <v>0.034212</v>
      </c>
      <c r="K399" s="8" t="n">
        <v>0.0699</v>
      </c>
      <c r="L399" s="8" t="n">
        <v>0.060558</v>
      </c>
      <c r="M399" s="8" t="n">
        <v>-0.003571</v>
      </c>
      <c r="N399" s="8" t="n">
        <v>0.06412900000000001</v>
      </c>
      <c r="O399" s="8" t="n">
        <v>0.0557</v>
      </c>
      <c r="P399" s="8" t="n">
        <v>0.05434</v>
      </c>
      <c r="Q399" s="8" t="n">
        <v>0.032143</v>
      </c>
      <c r="R399" s="8" t="n">
        <v>0.022197</v>
      </c>
      <c r="S399" s="8" t="n">
        <v>0.3717</v>
      </c>
      <c r="T399" s="8" t="n">
        <v>-0.016038</v>
      </c>
      <c r="U399" s="8" t="n">
        <v>0.011905</v>
      </c>
      <c r="V399" s="8" t="n">
        <v>-0.027943</v>
      </c>
      <c r="W399" s="8" t="n">
        <v>0.426</v>
      </c>
      <c r="X399" s="8" t="n">
        <v>0.013422</v>
      </c>
      <c r="Y399" s="8" t="n">
        <v>-0.013095</v>
      </c>
      <c r="Z399" s="8" t="n">
        <v>0.026517</v>
      </c>
      <c r="AA399" s="8" t="n">
        <v>0.4938</v>
      </c>
    </row>
    <row r="400">
      <c r="A400" s="11" t="inlineStr">
        <is>
          <t>2024-04-11</t>
        </is>
      </c>
      <c r="B400" s="11" t="inlineStr">
        <is>
          <t>中间分位</t>
        </is>
      </c>
      <c r="C400" s="15" t="n">
        <v>0.716</v>
      </c>
      <c r="D400" s="13" t="n">
        <v>0.003239</v>
      </c>
      <c r="E400" s="13" t="n">
        <v>0.003241</v>
      </c>
      <c r="F400" s="13" t="n">
        <v>-2e-06</v>
      </c>
      <c r="G400" s="13" t="n">
        <v>0.5002</v>
      </c>
      <c r="H400" s="13" t="n">
        <v>0.034347</v>
      </c>
      <c r="I400" s="13" t="n">
        <v>0.036467</v>
      </c>
      <c r="J400" s="13" t="n">
        <v>-0.00212</v>
      </c>
      <c r="K400" s="13" t="n">
        <v>0.515</v>
      </c>
      <c r="L400" s="13" t="n">
        <v>0.030459</v>
      </c>
      <c r="M400" s="13" t="n">
        <v>0.010535</v>
      </c>
      <c r="N400" s="13" t="n">
        <v>0.019924</v>
      </c>
      <c r="O400" s="13" t="n">
        <v>0.257</v>
      </c>
      <c r="P400" s="13" t="n">
        <v>0.049901</v>
      </c>
      <c r="Q400" s="13" t="n">
        <v>0.044165</v>
      </c>
      <c r="R400" s="13" t="n">
        <v>0.005736</v>
      </c>
      <c r="S400" s="13" t="n">
        <v>0.4695</v>
      </c>
      <c r="T400" s="13" t="n">
        <v>-0.016526</v>
      </c>
      <c r="U400" s="13" t="n">
        <v>0.027958</v>
      </c>
      <c r="V400" s="13" t="n">
        <v>-0.044484</v>
      </c>
      <c r="W400" s="13" t="n">
        <v>0.6284999999999999</v>
      </c>
      <c r="X400" s="13" t="n">
        <v>-0.025602</v>
      </c>
      <c r="Y400" s="13" t="n">
        <v>0.014182</v>
      </c>
      <c r="Z400" s="13" t="n">
        <v>-0.039784</v>
      </c>
      <c r="AA400" s="13" t="n">
        <v>0.3565</v>
      </c>
    </row>
    <row r="401">
      <c r="A401" s="6" t="inlineStr">
        <is>
          <t>2024-04-12</t>
        </is>
      </c>
      <c r="B401" s="6" t="inlineStr">
        <is>
          <t>中间分位</t>
        </is>
      </c>
      <c r="C401" s="10" t="n">
        <v>0.716</v>
      </c>
      <c r="D401" s="8" t="n">
        <v>0</v>
      </c>
      <c r="E401" s="8" t="n">
        <v>0.018174</v>
      </c>
      <c r="F401" s="8" t="n">
        <v>-0.018174</v>
      </c>
      <c r="G401" s="8" t="n">
        <v>1</v>
      </c>
      <c r="H401" s="8" t="n">
        <v>0.043283</v>
      </c>
      <c r="I401" s="8" t="n">
        <v>0.041599</v>
      </c>
      <c r="J401" s="8" t="n">
        <v>0.001684</v>
      </c>
      <c r="K401" s="8" t="n">
        <v>0.4901</v>
      </c>
      <c r="L401" s="8" t="n">
        <v>0.012275</v>
      </c>
      <c r="M401" s="8" t="n">
        <v>0.013328</v>
      </c>
      <c r="N401" s="8" t="n">
        <v>-0.001053</v>
      </c>
      <c r="O401" s="8" t="n">
        <v>0.5206</v>
      </c>
      <c r="P401" s="8" t="n">
        <v>0.08688800000000001</v>
      </c>
      <c r="Q401" s="8" t="n">
        <v>0.045638</v>
      </c>
      <c r="R401" s="8" t="n">
        <v>0.04125</v>
      </c>
      <c r="S401" s="8" t="n">
        <v>0.3444</v>
      </c>
      <c r="T401" s="8" t="n">
        <v>-0.024872</v>
      </c>
      <c r="U401" s="8" t="n">
        <v>0.043619</v>
      </c>
      <c r="V401" s="8" t="n">
        <v>-0.068491</v>
      </c>
      <c r="W401" s="8" t="n">
        <v>0.6369</v>
      </c>
      <c r="X401" s="8" t="n">
        <v>-0.010981</v>
      </c>
      <c r="Y401" s="8" t="n">
        <v>0.009289</v>
      </c>
      <c r="Z401" s="8" t="n">
        <v>-0.02027</v>
      </c>
      <c r="AA401" s="8" t="n">
        <v>0.4583</v>
      </c>
    </row>
    <row r="402">
      <c r="A402" s="11" t="inlineStr">
        <is>
          <t>2024-04-15</t>
        </is>
      </c>
      <c r="B402" s="11" t="inlineStr">
        <is>
          <t>中间分位</t>
        </is>
      </c>
      <c r="C402" s="15" t="n">
        <v>0.5679999999999999</v>
      </c>
      <c r="D402" s="13" t="n">
        <v>0.025516</v>
      </c>
      <c r="E402" s="13" t="n">
        <v>-0.003173</v>
      </c>
      <c r="F402" s="13" t="n">
        <v>0.028689</v>
      </c>
      <c r="G402" s="13" t="n">
        <v>0.1106</v>
      </c>
      <c r="H402" s="13" t="n">
        <v>0.051678</v>
      </c>
      <c r="I402" s="13" t="n">
        <v>0.014677</v>
      </c>
      <c r="J402" s="13" t="n">
        <v>0.037001</v>
      </c>
      <c r="K402" s="13" t="n">
        <v>0.2212</v>
      </c>
      <c r="L402" s="13" t="n">
        <v>0.020349</v>
      </c>
      <c r="M402" s="13" t="n">
        <v>0.009917</v>
      </c>
      <c r="N402" s="13" t="n">
        <v>0.010432</v>
      </c>
      <c r="O402" s="13" t="n">
        <v>0.3277</v>
      </c>
      <c r="P402" s="13" t="n">
        <v>0.096252</v>
      </c>
      <c r="Q402" s="13" t="n">
        <v>0.033717</v>
      </c>
      <c r="R402" s="13" t="n">
        <v>0.06253499999999999</v>
      </c>
      <c r="S402" s="13" t="n">
        <v>0.2594</v>
      </c>
      <c r="T402" s="13" t="n">
        <v>-0.011628</v>
      </c>
      <c r="U402" s="13" t="n">
        <v>0.020627</v>
      </c>
      <c r="V402" s="13" t="n">
        <v>-0.032255</v>
      </c>
      <c r="W402" s="13" t="n">
        <v>0.6395</v>
      </c>
      <c r="X402" s="13" t="n">
        <v>-0.027132</v>
      </c>
      <c r="Y402" s="13" t="n">
        <v>-0.025387</v>
      </c>
      <c r="Z402" s="13" t="n">
        <v>-0.001745</v>
      </c>
      <c r="AA402" s="13" t="n">
        <v>0.4834</v>
      </c>
    </row>
    <row r="403">
      <c r="A403" s="6" t="inlineStr">
        <is>
          <t>2024-04-16</t>
        </is>
      </c>
      <c r="B403" s="6" t="inlineStr">
        <is>
          <t>中间分位</t>
        </is>
      </c>
      <c r="C403" s="10" t="n">
        <v>0.8080000000000001</v>
      </c>
      <c r="D403" s="8" t="n">
        <v>-0.002203</v>
      </c>
      <c r="E403" s="8" t="n">
        <v>0.005571</v>
      </c>
      <c r="F403" s="8" t="n">
        <v>-0.007774</v>
      </c>
      <c r="G403" s="8" t="n">
        <v>0.7166</v>
      </c>
      <c r="H403" s="8" t="n">
        <v>0.026457</v>
      </c>
      <c r="I403" s="8" t="n">
        <v>-0.002786</v>
      </c>
      <c r="J403" s="8" t="n">
        <v>0.029243</v>
      </c>
      <c r="K403" s="8" t="n">
        <v>0.0953</v>
      </c>
      <c r="L403" s="8" t="n">
        <v>0.001262</v>
      </c>
      <c r="M403" s="8" t="n">
        <v>0.017907</v>
      </c>
      <c r="N403" s="8" t="n">
        <v>-0.016645</v>
      </c>
      <c r="O403" s="8" t="n">
        <v>0.9342</v>
      </c>
      <c r="P403" s="8" t="n">
        <v>0.082522</v>
      </c>
      <c r="Q403" s="8" t="n">
        <v>0.056506</v>
      </c>
      <c r="R403" s="8" t="n">
        <v>0.026016</v>
      </c>
      <c r="S403" s="8" t="n">
        <v>0.4064</v>
      </c>
      <c r="T403" s="8" t="n">
        <v>-0.03244</v>
      </c>
      <c r="U403" s="8" t="n">
        <v>0.02308</v>
      </c>
      <c r="V403" s="8" t="n">
        <v>-0.05552</v>
      </c>
      <c r="W403" s="8" t="n">
        <v>0.4157</v>
      </c>
      <c r="X403" s="8" t="n">
        <v>-0.063621</v>
      </c>
      <c r="Y403" s="8" t="n">
        <v>-0.02507</v>
      </c>
      <c r="Z403" s="8" t="n">
        <v>-0.038551</v>
      </c>
      <c r="AA403" s="8" t="n">
        <v>0.2827</v>
      </c>
    </row>
    <row r="404">
      <c r="A404" s="11" t="inlineStr">
        <is>
          <t>2024-04-17</t>
        </is>
      </c>
      <c r="B404" s="11" t="inlineStr">
        <is>
          <t>中间分位</t>
        </is>
      </c>
      <c r="C404" s="15" t="n">
        <v>0.744</v>
      </c>
      <c r="D404" s="13" t="n">
        <v>0.007576</v>
      </c>
      <c r="E404" s="13" t="n">
        <v>0.012268</v>
      </c>
      <c r="F404" s="13" t="n">
        <v>-0.004692</v>
      </c>
      <c r="G404" s="13" t="n">
        <v>0.6182</v>
      </c>
      <c r="H404" s="13" t="n">
        <v>0.022727</v>
      </c>
      <c r="I404" s="13" t="n">
        <v>-0.006332</v>
      </c>
      <c r="J404" s="13" t="n">
        <v>0.029059</v>
      </c>
      <c r="K404" s="13" t="n">
        <v>0.2179</v>
      </c>
      <c r="L404" s="13" t="n">
        <v>0.00442</v>
      </c>
      <c r="M404" s="13" t="n">
        <v>0.006332</v>
      </c>
      <c r="N404" s="13" t="n">
        <v>-0.001912</v>
      </c>
      <c r="O404" s="13" t="n">
        <v>0.5889</v>
      </c>
      <c r="P404" s="13" t="n">
        <v>0.118686</v>
      </c>
      <c r="Q404" s="13" t="n">
        <v>0.054214</v>
      </c>
      <c r="R404" s="13" t="n">
        <v>0.064472</v>
      </c>
      <c r="S404" s="13" t="n">
        <v>0.3136</v>
      </c>
      <c r="T404" s="13" t="n">
        <v>-0.025254</v>
      </c>
      <c r="U404" s="13" t="n">
        <v>0.015433</v>
      </c>
      <c r="V404" s="13" t="n">
        <v>-0.040687</v>
      </c>
      <c r="W404" s="13" t="n">
        <v>0.3793</v>
      </c>
      <c r="X404" s="13" t="n">
        <v>-0.071023</v>
      </c>
      <c r="Y404" s="13" t="n">
        <v>-0.040364</v>
      </c>
      <c r="Z404" s="13" t="n">
        <v>-0.030659</v>
      </c>
      <c r="AA404" s="13" t="n">
        <v>0.3624</v>
      </c>
    </row>
    <row r="405">
      <c r="A405" s="6" t="inlineStr">
        <is>
          <t>2024-04-18</t>
        </is>
      </c>
      <c r="B405" s="6" t="inlineStr">
        <is>
          <t>中间分位</t>
        </is>
      </c>
      <c r="C405" s="10" t="n">
        <v>0.68</v>
      </c>
      <c r="D405" s="8" t="n">
        <v>0.011906</v>
      </c>
      <c r="E405" s="8" t="n">
        <v>0.00821</v>
      </c>
      <c r="F405" s="8" t="n">
        <v>0.003696</v>
      </c>
      <c r="G405" s="8" t="n">
        <v>0.4081</v>
      </c>
      <c r="H405" s="8" t="n">
        <v>-0.003759</v>
      </c>
      <c r="I405" s="8" t="n">
        <v>-0.02502</v>
      </c>
      <c r="J405" s="8" t="n">
        <v>0.021261</v>
      </c>
      <c r="K405" s="8" t="n">
        <v>0.8694</v>
      </c>
      <c r="L405" s="8" t="n">
        <v>-0.009086</v>
      </c>
      <c r="M405" s="8" t="n">
        <v>0.003518</v>
      </c>
      <c r="N405" s="8" t="n">
        <v>-0.012604</v>
      </c>
      <c r="O405" s="8" t="n">
        <v>0.2791</v>
      </c>
      <c r="P405" s="8" t="n">
        <v>0.135338</v>
      </c>
      <c r="Q405" s="8" t="n">
        <v>0.028929</v>
      </c>
      <c r="R405" s="8" t="n">
        <v>0.106409</v>
      </c>
      <c r="S405" s="8" t="n">
        <v>0.1761</v>
      </c>
      <c r="T405" s="8" t="n">
        <v>-0.031955</v>
      </c>
      <c r="U405" s="8" t="n">
        <v>-0.011337</v>
      </c>
      <c r="V405" s="8" t="n">
        <v>-0.020618</v>
      </c>
      <c r="W405" s="8" t="n">
        <v>0.2619</v>
      </c>
      <c r="X405" s="8" t="n">
        <v>-0.07643999999999999</v>
      </c>
      <c r="Y405" s="8" t="n">
        <v>-0.048475</v>
      </c>
      <c r="Z405" s="8" t="n">
        <v>-0.027965</v>
      </c>
      <c r="AA405" s="8" t="n">
        <v>0.3881</v>
      </c>
    </row>
    <row r="406">
      <c r="A406" s="11" t="inlineStr">
        <is>
          <t>2024-04-19</t>
        </is>
      </c>
      <c r="B406" s="11" t="inlineStr">
        <is>
          <t>中间分位</t>
        </is>
      </c>
      <c r="C406" s="15" t="n">
        <v>0.732</v>
      </c>
      <c r="D406" s="13" t="n">
        <v>0.008047</v>
      </c>
      <c r="E406" s="13" t="n">
        <v>-0.008142999999999999</v>
      </c>
      <c r="F406" s="13" t="n">
        <v>0.01619</v>
      </c>
      <c r="G406" s="13" t="n">
        <v>0.503</v>
      </c>
      <c r="H406" s="13" t="n">
        <v>-0.029721</v>
      </c>
      <c r="I406" s="13" t="n">
        <v>-0.027142</v>
      </c>
      <c r="J406" s="13" t="n">
        <v>-0.002579</v>
      </c>
      <c r="K406" s="13" t="n">
        <v>0.4773</v>
      </c>
      <c r="L406" s="13" t="n">
        <v>-0.009908</v>
      </c>
      <c r="M406" s="13" t="n">
        <v>-0.012796</v>
      </c>
      <c r="N406" s="13" t="n">
        <v>0.002888</v>
      </c>
      <c r="O406" s="13" t="n">
        <v>0.5636</v>
      </c>
      <c r="P406" s="13" t="n">
        <v>0.095974</v>
      </c>
      <c r="Q406" s="13" t="n">
        <v>0.019</v>
      </c>
      <c r="R406" s="13" t="n">
        <v>0.076974</v>
      </c>
      <c r="S406" s="13" t="n">
        <v>0.1653</v>
      </c>
      <c r="T406" s="13" t="n">
        <v>-0.054799</v>
      </c>
      <c r="U406" s="13" t="n">
        <v>-0.020938</v>
      </c>
      <c r="V406" s="13" t="n">
        <v>-0.033861</v>
      </c>
      <c r="W406" s="13" t="n">
        <v>0.2765</v>
      </c>
      <c r="X406" s="13" t="n">
        <v>-0.093808</v>
      </c>
      <c r="Y406" s="13" t="n">
        <v>-0.074835</v>
      </c>
      <c r="Z406" s="13" t="n">
        <v>-0.018973</v>
      </c>
      <c r="AA406" s="13" t="n">
        <v>0.4437</v>
      </c>
    </row>
    <row r="407">
      <c r="A407" s="6" t="inlineStr">
        <is>
          <t>2024-04-22</t>
        </is>
      </c>
      <c r="B407" s="6" t="inlineStr">
        <is>
          <t>中间分位</t>
        </is>
      </c>
      <c r="C407" s="10" t="n">
        <v>0.856</v>
      </c>
      <c r="D407" s="8" t="n">
        <v>0.0009210000000000001</v>
      </c>
      <c r="E407" s="8" t="n">
        <v>-0.020328</v>
      </c>
      <c r="F407" s="8" t="n">
        <v>0.021249</v>
      </c>
      <c r="G407" s="8" t="n">
        <v>0.9567</v>
      </c>
      <c r="H407" s="8" t="n">
        <v>-0.02979</v>
      </c>
      <c r="I407" s="8" t="n">
        <v>-0.004691</v>
      </c>
      <c r="J407" s="8" t="n">
        <v>-0.025099</v>
      </c>
      <c r="K407" s="8" t="n">
        <v>0.136</v>
      </c>
      <c r="L407" s="8" t="n">
        <v>-0.021803</v>
      </c>
      <c r="M407" s="8" t="n">
        <v>0.002346</v>
      </c>
      <c r="N407" s="8" t="n">
        <v>-0.024149</v>
      </c>
      <c r="O407" s="8" t="n">
        <v>0.09710000000000001</v>
      </c>
      <c r="P407" s="8" t="n">
        <v>0.036243</v>
      </c>
      <c r="Q407" s="8" t="n">
        <v>0.012901</v>
      </c>
      <c r="R407" s="8" t="n">
        <v>0.023342</v>
      </c>
      <c r="S407" s="8" t="n">
        <v>0.2625</v>
      </c>
      <c r="T407" s="8" t="n">
        <v>-0.069103</v>
      </c>
      <c r="U407" s="8" t="n">
        <v>-0.02541</v>
      </c>
      <c r="V407" s="8" t="n">
        <v>-0.043693</v>
      </c>
      <c r="W407" s="8" t="n">
        <v>0.2689</v>
      </c>
      <c r="X407" s="8" t="n">
        <v>-0.115478</v>
      </c>
      <c r="Y407" s="8" t="n">
        <v>-0.051994</v>
      </c>
      <c r="Z407" s="8" t="n">
        <v>-0.063484</v>
      </c>
      <c r="AA407" s="8" t="n">
        <v>0.3105</v>
      </c>
    </row>
    <row r="408">
      <c r="A408" s="11" t="inlineStr">
        <is>
          <t>2024-04-23</t>
        </is>
      </c>
      <c r="B408" s="11" t="inlineStr">
        <is>
          <t>高分位</t>
        </is>
      </c>
      <c r="C408" s="15" t="n">
        <v>0.976</v>
      </c>
      <c r="D408" s="13" t="n">
        <v>-0.005829</v>
      </c>
      <c r="E408" s="13" t="n">
        <v>0.001995</v>
      </c>
      <c r="F408" s="13" t="n">
        <v>-0.007823999999999999</v>
      </c>
      <c r="G408" s="13" t="n">
        <v>0.255</v>
      </c>
      <c r="H408" s="13" t="n">
        <v>-0.024545</v>
      </c>
      <c r="I408" s="13" t="n">
        <v>0.02075</v>
      </c>
      <c r="J408" s="13" t="n">
        <v>-0.045295</v>
      </c>
      <c r="K408" s="13" t="n">
        <v>0.4581</v>
      </c>
      <c r="L408" s="13" t="n">
        <v>-0.016875</v>
      </c>
      <c r="M408" s="13" t="n">
        <v>0.018356</v>
      </c>
      <c r="N408" s="13" t="n">
        <v>-0.035231</v>
      </c>
      <c r="O408" s="13" t="n">
        <v>0.521</v>
      </c>
      <c r="P408" s="13" t="n">
        <v>0.015649</v>
      </c>
      <c r="Q408" s="13" t="n">
        <v>0.03751</v>
      </c>
      <c r="R408" s="13" t="n">
        <v>-0.021861</v>
      </c>
      <c r="S408" s="13" t="n">
        <v>0.7056</v>
      </c>
      <c r="T408" s="13" t="n">
        <v>-0.079471</v>
      </c>
      <c r="U408" s="13" t="n">
        <v>-0.007183</v>
      </c>
      <c r="V408" s="13" t="n">
        <v>-0.07228800000000001</v>
      </c>
      <c r="W408" s="13" t="n">
        <v>0.0829</v>
      </c>
      <c r="X408" s="13" t="n">
        <v>-0.110154</v>
      </c>
      <c r="Y408" s="13" t="n">
        <v>-0.032721</v>
      </c>
      <c r="Z408" s="13" t="n">
        <v>-0.077433</v>
      </c>
      <c r="AA408" s="13" t="n">
        <v>0.229</v>
      </c>
    </row>
    <row r="409">
      <c r="A409" s="6" t="inlineStr">
        <is>
          <t>2024-04-24</t>
        </is>
      </c>
      <c r="B409" s="6" t="inlineStr">
        <is>
          <t>高分位</t>
        </is>
      </c>
      <c r="C409" s="10" t="n">
        <v>0.9320000000000001</v>
      </c>
      <c r="D409" s="8" t="n">
        <v>-0.018519</v>
      </c>
      <c r="E409" s="8" t="n">
        <v>-0.00677</v>
      </c>
      <c r="F409" s="8" t="n">
        <v>-0.011749</v>
      </c>
      <c r="G409" s="8" t="n">
        <v>0.2677</v>
      </c>
      <c r="H409" s="8" t="n">
        <v>-0.0179</v>
      </c>
      <c r="I409" s="8" t="n">
        <v>0.012744</v>
      </c>
      <c r="J409" s="8" t="n">
        <v>-0.030644</v>
      </c>
      <c r="K409" s="8" t="n">
        <v>0.4159</v>
      </c>
      <c r="L409" s="8" t="n">
        <v>-0.005863</v>
      </c>
      <c r="M409" s="8" t="n">
        <v>0.035842</v>
      </c>
      <c r="N409" s="8" t="n">
        <v>-0.041705</v>
      </c>
      <c r="O409" s="8" t="n">
        <v>0.8594000000000001</v>
      </c>
      <c r="P409" s="8" t="n">
        <v>0.018519</v>
      </c>
      <c r="Q409" s="8" t="n">
        <v>0.043011</v>
      </c>
      <c r="R409" s="8" t="n">
        <v>-0.024492</v>
      </c>
      <c r="S409" s="8" t="n">
        <v>0.699</v>
      </c>
      <c r="T409" s="8" t="n">
        <v>-0.07561900000000001</v>
      </c>
      <c r="U409" s="8" t="n">
        <v>-0.004381</v>
      </c>
      <c r="V409" s="8" t="n">
        <v>-0.071238</v>
      </c>
      <c r="W409" s="8" t="n">
        <v>0.0548</v>
      </c>
      <c r="X409" s="8" t="n">
        <v>-0.104322</v>
      </c>
      <c r="Y409" s="8" t="n">
        <v>-0.025886</v>
      </c>
      <c r="Z409" s="8" t="n">
        <v>-0.07843600000000001</v>
      </c>
      <c r="AA409" s="8" t="n">
        <v>0.1988</v>
      </c>
    </row>
    <row r="410">
      <c r="A410" s="11" t="inlineStr">
        <is>
          <t>2024-04-25</t>
        </is>
      </c>
      <c r="B410" s="11" t="inlineStr">
        <is>
          <t>中间分位</t>
        </is>
      </c>
      <c r="C410" s="15" t="n">
        <v>0.856</v>
      </c>
      <c r="D410" s="13" t="n">
        <v>-0.014464</v>
      </c>
      <c r="E410" s="13" t="n">
        <v>0.006014</v>
      </c>
      <c r="F410" s="13" t="n">
        <v>-0.020478</v>
      </c>
      <c r="G410" s="13" t="n">
        <v>0.2937</v>
      </c>
      <c r="H410" s="13" t="n">
        <v>-0.005347</v>
      </c>
      <c r="I410" s="13" t="n">
        <v>0.02927</v>
      </c>
      <c r="J410" s="13" t="n">
        <v>-0.034617</v>
      </c>
      <c r="K410" s="13" t="n">
        <v>0.8455</v>
      </c>
      <c r="L410" s="13" t="n">
        <v>0.018868</v>
      </c>
      <c r="M410" s="13" t="n">
        <v>0.03328</v>
      </c>
      <c r="N410" s="13" t="n">
        <v>-0.014412</v>
      </c>
      <c r="O410" s="13" t="n">
        <v>0.6382</v>
      </c>
      <c r="P410" s="13" t="n">
        <v>0.045596</v>
      </c>
      <c r="Q410" s="13" t="n">
        <v>0.05012</v>
      </c>
      <c r="R410" s="13" t="n">
        <v>-0.004524</v>
      </c>
      <c r="S410" s="13" t="n">
        <v>0.5236</v>
      </c>
      <c r="T410" s="13" t="n">
        <v>-0.05283</v>
      </c>
      <c r="U410" s="13" t="n">
        <v>0.007217</v>
      </c>
      <c r="V410" s="13" t="n">
        <v>-0.060047</v>
      </c>
      <c r="W410" s="13" t="n">
        <v>0.1202</v>
      </c>
      <c r="X410" s="13" t="n">
        <v>-0.079245</v>
      </c>
      <c r="Y410" s="13" t="n">
        <v>-0.016439</v>
      </c>
      <c r="Z410" s="13" t="n">
        <v>-0.062806</v>
      </c>
      <c r="AA410" s="13" t="n">
        <v>0.1718</v>
      </c>
    </row>
    <row r="411">
      <c r="A411" s="6" t="inlineStr">
        <is>
          <t>2024-04-26</t>
        </is>
      </c>
      <c r="B411" s="6" t="inlineStr">
        <is>
          <t>中间分位</t>
        </is>
      </c>
      <c r="C411" s="10" t="n">
        <v>0.672</v>
      </c>
      <c r="D411" s="8" t="n">
        <v>0.007976</v>
      </c>
      <c r="E411" s="8" t="n">
        <v>0.014747</v>
      </c>
      <c r="F411" s="8" t="n">
        <v>-0.006771</v>
      </c>
      <c r="G411" s="8" t="n">
        <v>0.649</v>
      </c>
      <c r="H411" s="8" t="n">
        <v>0.02042</v>
      </c>
      <c r="I411" s="8" t="n">
        <v>0.014747</v>
      </c>
      <c r="J411" s="8" t="n">
        <v>0.005673</v>
      </c>
      <c r="K411" s="8" t="n">
        <v>0.4193</v>
      </c>
      <c r="L411" s="8" t="n">
        <v>0.073708</v>
      </c>
      <c r="M411" s="8" t="n">
        <v>0.031885</v>
      </c>
      <c r="N411" s="8" t="n">
        <v>0.041823</v>
      </c>
      <c r="O411" s="8" t="n">
        <v>0.302</v>
      </c>
      <c r="P411" s="8" t="n">
        <v>0.069879</v>
      </c>
      <c r="Q411" s="8" t="n">
        <v>0.046234</v>
      </c>
      <c r="R411" s="8" t="n">
        <v>0.023645</v>
      </c>
      <c r="S411" s="8" t="n">
        <v>0.3982</v>
      </c>
      <c r="T411" s="8" t="n">
        <v>-0.039569</v>
      </c>
      <c r="U411" s="8" t="n">
        <v>-0.009964000000000001</v>
      </c>
      <c r="V411" s="8" t="n">
        <v>-0.029605</v>
      </c>
      <c r="W411" s="8" t="n">
        <v>0.2012</v>
      </c>
      <c r="X411" s="8" t="n">
        <v>-0.0635</v>
      </c>
      <c r="Y411" s="8" t="n">
        <v>-0.007573</v>
      </c>
      <c r="Z411" s="8" t="n">
        <v>-0.055927</v>
      </c>
      <c r="AA411" s="8" t="n">
        <v>0.1066</v>
      </c>
    </row>
    <row r="412">
      <c r="A412" s="11" t="inlineStr">
        <is>
          <t>2024-04-29</t>
        </is>
      </c>
      <c r="B412" s="11" t="inlineStr">
        <is>
          <t>中间分位</t>
        </is>
      </c>
      <c r="C412" s="15" t="n">
        <v>0.612</v>
      </c>
      <c r="D412" s="13" t="n">
        <v>0.006332</v>
      </c>
      <c r="E412" s="13" t="n">
        <v>0.004713</v>
      </c>
      <c r="F412" s="13" t="n">
        <v>0.001619</v>
      </c>
      <c r="G412" s="13" t="n">
        <v>0.4267</v>
      </c>
      <c r="H412" s="13" t="n">
        <v>0.008232</v>
      </c>
      <c r="I412" s="13" t="n">
        <v>0.00707</v>
      </c>
      <c r="J412" s="13" t="n">
        <v>0.001162</v>
      </c>
      <c r="K412" s="13" t="n">
        <v>0.462</v>
      </c>
      <c r="L412" s="13" t="n">
        <v>0.074389</v>
      </c>
      <c r="M412" s="13" t="n">
        <v>0.023566</v>
      </c>
      <c r="N412" s="13" t="n">
        <v>0.050823</v>
      </c>
      <c r="O412" s="13" t="n">
        <v>0.2406</v>
      </c>
      <c r="P412" s="13" t="n">
        <v>0.058245</v>
      </c>
      <c r="Q412" s="13" t="n">
        <v>0.044383</v>
      </c>
      <c r="R412" s="13" t="n">
        <v>0.013862</v>
      </c>
      <c r="S412" s="13" t="n">
        <v>0.4325</v>
      </c>
      <c r="T412" s="13" t="n">
        <v>-0.046534</v>
      </c>
      <c r="U412" s="13" t="n">
        <v>-0.012569</v>
      </c>
      <c r="V412" s="13" t="n">
        <v>-0.033965</v>
      </c>
      <c r="W412" s="13" t="n">
        <v>0.2127</v>
      </c>
      <c r="X412" s="13" t="n">
        <v>-0.054131</v>
      </c>
      <c r="Y412" s="13" t="n">
        <v>-0.038492</v>
      </c>
      <c r="Z412" s="13" t="n">
        <v>-0.015639</v>
      </c>
      <c r="AA412" s="13" t="n">
        <v>0.4156</v>
      </c>
    </row>
    <row r="413">
      <c r="A413" s="6" t="inlineStr">
        <is>
          <t>2024-04-30</t>
        </is>
      </c>
      <c r="B413" s="6" t="inlineStr">
        <is>
          <t>中间分位</t>
        </is>
      </c>
      <c r="C413" s="10" t="n">
        <v>0.628</v>
      </c>
      <c r="D413" s="8" t="n">
        <v>0.000944</v>
      </c>
      <c r="E413" s="8" t="n">
        <v>-0.005864</v>
      </c>
      <c r="F413" s="8" t="n">
        <v>0.006808</v>
      </c>
      <c r="G413" s="8" t="n">
        <v>0.8613</v>
      </c>
      <c r="H413" s="8" t="n">
        <v>0.007863</v>
      </c>
      <c r="I413" s="8" t="n">
        <v>-0.002346</v>
      </c>
      <c r="J413" s="8" t="n">
        <v>0.010209</v>
      </c>
      <c r="K413" s="8" t="n">
        <v>0.2298</v>
      </c>
      <c r="L413" s="8" t="n">
        <v>0.08115700000000001</v>
      </c>
      <c r="M413" s="8" t="n">
        <v>0.03792</v>
      </c>
      <c r="N413" s="8" t="n">
        <v>0.043237</v>
      </c>
      <c r="O413" s="8" t="n">
        <v>0.3184</v>
      </c>
      <c r="P413" s="8" t="n">
        <v>0.056935</v>
      </c>
      <c r="Q413" s="8" t="n">
        <v>0.028538</v>
      </c>
      <c r="R413" s="8" t="n">
        <v>0.028397</v>
      </c>
      <c r="S413" s="8" t="n">
        <v>0.3339</v>
      </c>
      <c r="T413" s="8" t="n">
        <v>-0.046871</v>
      </c>
      <c r="U413" s="8" t="n">
        <v>-0.028147</v>
      </c>
      <c r="V413" s="8" t="n">
        <v>-0.018724</v>
      </c>
      <c r="W413" s="8" t="n">
        <v>0.3752</v>
      </c>
      <c r="X413" s="8" t="n">
        <v>-0.067319</v>
      </c>
      <c r="Y413" s="8" t="n">
        <v>-0.047303</v>
      </c>
      <c r="Z413" s="8" t="n">
        <v>-0.020016</v>
      </c>
      <c r="AA413" s="8" t="n">
        <v>0.4127</v>
      </c>
    </row>
    <row r="414">
      <c r="A414" s="11" t="inlineStr">
        <is>
          <t>2024-05-06</t>
        </is>
      </c>
      <c r="B414" s="11" t="inlineStr">
        <is>
          <t>中间分位</t>
        </is>
      </c>
      <c r="C414" s="15" t="n">
        <v>0.7</v>
      </c>
      <c r="D414" s="13" t="n">
        <v>-0.005974</v>
      </c>
      <c r="E414" s="13" t="n">
        <v>0.009438</v>
      </c>
      <c r="F414" s="13" t="n">
        <v>-0.015412</v>
      </c>
      <c r="G414" s="13" t="n">
        <v>0.6124000000000001</v>
      </c>
      <c r="H414" s="13" t="n">
        <v>0.012256</v>
      </c>
      <c r="I414" s="13" t="n">
        <v>0.022808</v>
      </c>
      <c r="J414" s="13" t="n">
        <v>-0.010552</v>
      </c>
      <c r="K414" s="13" t="n">
        <v>0.6505</v>
      </c>
      <c r="L414" s="13" t="n">
        <v>0.113762</v>
      </c>
      <c r="M414" s="13" t="n">
        <v>0.047582</v>
      </c>
      <c r="N414" s="13" t="n">
        <v>0.06618</v>
      </c>
      <c r="O414" s="13" t="n">
        <v>0.2949</v>
      </c>
      <c r="P414" s="13" t="n">
        <v>0.041483</v>
      </c>
      <c r="Q414" s="13" t="n">
        <v>0.009830999999999999</v>
      </c>
      <c r="R414" s="13" t="n">
        <v>0.031652</v>
      </c>
      <c r="S414" s="13" t="n">
        <v>0.1916</v>
      </c>
      <c r="T414" s="13" t="n">
        <v>-0.057198</v>
      </c>
      <c r="U414" s="13" t="n">
        <v>-0.037357</v>
      </c>
      <c r="V414" s="13" t="n">
        <v>-0.019841</v>
      </c>
      <c r="W414" s="13" t="n">
        <v>0.3951</v>
      </c>
      <c r="X414" s="13" t="n">
        <v>-0.07982499999999999</v>
      </c>
      <c r="Y414" s="13" t="n">
        <v>-0.019662</v>
      </c>
      <c r="Z414" s="13" t="n">
        <v>-0.060163</v>
      </c>
      <c r="AA414" s="13" t="n">
        <v>0.1976</v>
      </c>
    </row>
    <row r="415">
      <c r="A415" s="6" t="inlineStr">
        <is>
          <t>2024-05-07</t>
        </is>
      </c>
      <c r="B415" s="6" t="inlineStr">
        <is>
          <t>中间分位</t>
        </is>
      </c>
      <c r="C415" s="10" t="n">
        <v>0.5679999999999999</v>
      </c>
      <c r="D415" s="8" t="n">
        <v>0.011067</v>
      </c>
      <c r="E415" s="8" t="n">
        <v>-0.008181000000000001</v>
      </c>
      <c r="F415" s="8" t="n">
        <v>0.019248</v>
      </c>
      <c r="G415" s="8" t="n">
        <v>0.425</v>
      </c>
      <c r="H415" s="8" t="n">
        <v>0.024345</v>
      </c>
      <c r="I415" s="8" t="n">
        <v>0.003896</v>
      </c>
      <c r="J415" s="8" t="n">
        <v>0.020449</v>
      </c>
      <c r="K415" s="8" t="n">
        <v>0.138</v>
      </c>
      <c r="L415" s="8" t="n">
        <v>0.145749</v>
      </c>
      <c r="M415" s="8" t="n">
        <v>0.025321</v>
      </c>
      <c r="N415" s="8" t="n">
        <v>0.120428</v>
      </c>
      <c r="O415" s="8" t="n">
        <v>0.148</v>
      </c>
      <c r="P415" s="8" t="n">
        <v>0.019288</v>
      </c>
      <c r="Q415" s="8" t="n">
        <v>-0.001948</v>
      </c>
      <c r="R415" s="8" t="n">
        <v>0.021236</v>
      </c>
      <c r="S415" s="8" t="n">
        <v>0.0917</v>
      </c>
      <c r="T415" s="8" t="n">
        <v>-0.064496</v>
      </c>
      <c r="U415" s="8" t="n">
        <v>-0.029607</v>
      </c>
      <c r="V415" s="8" t="n">
        <v>-0.034889</v>
      </c>
      <c r="W415" s="8" t="n">
        <v>0.3146</v>
      </c>
      <c r="X415" s="8" t="n">
        <v>-0.057223</v>
      </c>
      <c r="Y415" s="8" t="n">
        <v>-0.034281</v>
      </c>
      <c r="Z415" s="8" t="n">
        <v>-0.022942</v>
      </c>
      <c r="AA415" s="8" t="n">
        <v>0.3746</v>
      </c>
    </row>
    <row r="416">
      <c r="A416" s="11" t="inlineStr">
        <is>
          <t>2024-05-08</t>
        </is>
      </c>
      <c r="B416" s="11" t="inlineStr">
        <is>
          <t>中间分位</t>
        </is>
      </c>
      <c r="C416" s="15" t="n">
        <v>0.74</v>
      </c>
      <c r="D416" s="13" t="n">
        <v>-0.004064</v>
      </c>
      <c r="E416" s="13" t="n">
        <v>0.00707</v>
      </c>
      <c r="F416" s="13" t="n">
        <v>-0.011134</v>
      </c>
      <c r="G416" s="13" t="n">
        <v>0.635</v>
      </c>
      <c r="H416" s="13" t="n">
        <v>0.052221</v>
      </c>
      <c r="I416" s="13" t="n">
        <v>0.016889</v>
      </c>
      <c r="J416" s="13" t="n">
        <v>0.035332</v>
      </c>
      <c r="K416" s="13" t="n">
        <v>0.2444</v>
      </c>
      <c r="L416" s="13" t="n">
        <v>0.106942</v>
      </c>
      <c r="M416" s="13" t="n">
        <v>0.032207</v>
      </c>
      <c r="N416" s="13" t="n">
        <v>0.074735</v>
      </c>
      <c r="O416" s="13" t="n">
        <v>0.2315</v>
      </c>
      <c r="P416" s="13" t="n">
        <v>-0.003441</v>
      </c>
      <c r="Q416" s="13" t="n">
        <v>0.010605</v>
      </c>
      <c r="R416" s="13" t="n">
        <v>-0.014046</v>
      </c>
      <c r="S416" s="13" t="n">
        <v>0.755</v>
      </c>
      <c r="T416" s="13" t="n">
        <v>-0.058161</v>
      </c>
      <c r="U416" s="13" t="n">
        <v>-0.020031</v>
      </c>
      <c r="V416" s="13" t="n">
        <v>-0.03813</v>
      </c>
      <c r="W416" s="13" t="n">
        <v>0.2562</v>
      </c>
      <c r="X416" s="13" t="n">
        <v>-0.071295</v>
      </c>
      <c r="Y416" s="13" t="n">
        <v>-0.027494</v>
      </c>
      <c r="Z416" s="13" t="n">
        <v>-0.043801</v>
      </c>
      <c r="AA416" s="13" t="n">
        <v>0.2783</v>
      </c>
    </row>
    <row r="417">
      <c r="A417" s="6" t="inlineStr">
        <is>
          <t>2024-05-09</t>
        </is>
      </c>
      <c r="B417" s="6" t="inlineStr">
        <is>
          <t>中间分位</t>
        </is>
      </c>
      <c r="C417" s="10" t="n">
        <v>0.62</v>
      </c>
      <c r="D417" s="8" t="n">
        <v>0.005964</v>
      </c>
      <c r="E417" s="8" t="n">
        <v>-0.00468</v>
      </c>
      <c r="F417" s="8" t="n">
        <v>0.010644</v>
      </c>
      <c r="G417" s="8" t="n">
        <v>0.4397</v>
      </c>
      <c r="H417" s="8" t="n">
        <v>0.065618</v>
      </c>
      <c r="I417" s="8" t="n">
        <v>0.016381</v>
      </c>
      <c r="J417" s="8" t="n">
        <v>0.049237</v>
      </c>
      <c r="K417" s="8" t="n">
        <v>0.1998</v>
      </c>
      <c r="L417" s="8" t="n">
        <v>0.059341</v>
      </c>
      <c r="M417" s="8" t="n">
        <v>0.01053</v>
      </c>
      <c r="N417" s="8" t="n">
        <v>0.048811</v>
      </c>
      <c r="O417" s="8" t="n">
        <v>0.1507</v>
      </c>
      <c r="P417" s="8" t="n">
        <v>0.002197</v>
      </c>
      <c r="Q417" s="8" t="n">
        <v>0</v>
      </c>
      <c r="R417" s="8" t="n">
        <v>0.002197</v>
      </c>
      <c r="S417" s="8" t="n">
        <v>0</v>
      </c>
      <c r="T417" s="8" t="n">
        <v>-0.054318</v>
      </c>
      <c r="U417" s="8" t="n">
        <v>-0.023011</v>
      </c>
      <c r="V417" s="8" t="n">
        <v>-0.031307</v>
      </c>
      <c r="W417" s="8" t="n">
        <v>0.2976</v>
      </c>
      <c r="X417" s="8" t="n">
        <v>-0.06938900000000001</v>
      </c>
      <c r="Y417" s="8" t="n">
        <v>-0.024571</v>
      </c>
      <c r="Z417" s="8" t="n">
        <v>-0.044818</v>
      </c>
      <c r="AA417" s="8" t="n">
        <v>0.2615</v>
      </c>
    </row>
    <row r="418">
      <c r="A418" s="11" t="inlineStr">
        <is>
          <t>2024-05-10</t>
        </is>
      </c>
      <c r="B418" s="11" t="inlineStr">
        <is>
          <t>中间分位</t>
        </is>
      </c>
      <c r="C418" s="15" t="n">
        <v>0.736</v>
      </c>
      <c r="D418" s="13" t="n">
        <v>0.005307</v>
      </c>
      <c r="E418" s="13" t="n">
        <v>0.019201</v>
      </c>
      <c r="F418" s="13" t="n">
        <v>-0.013894</v>
      </c>
      <c r="G418" s="13" t="n">
        <v>0.7835</v>
      </c>
      <c r="H418" s="13" t="n">
        <v>0.072723</v>
      </c>
      <c r="I418" s="13" t="n">
        <v>0.040361</v>
      </c>
      <c r="J418" s="13" t="n">
        <v>0.032362</v>
      </c>
      <c r="K418" s="13" t="n">
        <v>0.3569</v>
      </c>
      <c r="L418" s="13" t="n">
        <v>0.033082</v>
      </c>
      <c r="M418" s="13" t="n">
        <v>0.018809</v>
      </c>
      <c r="N418" s="13" t="n">
        <v>0.014273</v>
      </c>
      <c r="O418" s="13" t="n">
        <v>0.3625</v>
      </c>
      <c r="P418" s="13" t="n">
        <v>-0.018727</v>
      </c>
      <c r="Q418" s="13" t="n">
        <v>0.000784</v>
      </c>
      <c r="R418" s="13" t="n">
        <v>-0.019511</v>
      </c>
      <c r="S418" s="13" t="n">
        <v>0.0402</v>
      </c>
      <c r="T418" s="13" t="n">
        <v>-0.058052</v>
      </c>
      <c r="U418" s="13" t="n">
        <v>-0.032132</v>
      </c>
      <c r="V418" s="13" t="n">
        <v>-0.02592</v>
      </c>
      <c r="W418" s="13" t="n">
        <v>0.3563</v>
      </c>
      <c r="X418" s="13" t="n">
        <v>-0.074906</v>
      </c>
      <c r="Y418" s="13" t="n">
        <v>-0.028605</v>
      </c>
      <c r="Z418" s="13" t="n">
        <v>-0.046301</v>
      </c>
      <c r="AA418" s="13" t="n">
        <v>0.2763</v>
      </c>
    </row>
    <row r="419">
      <c r="A419" s="6" t="inlineStr">
        <is>
          <t>2024-05-13</t>
        </is>
      </c>
      <c r="B419" s="6" t="inlineStr">
        <is>
          <t>中间分位</t>
        </is>
      </c>
      <c r="C419" s="10" t="n">
        <v>0.6</v>
      </c>
      <c r="D419" s="8" t="n">
        <v>0.005898</v>
      </c>
      <c r="E419" s="8" t="n">
        <v>-0.009227000000000001</v>
      </c>
      <c r="F419" s="8" t="n">
        <v>0.015125</v>
      </c>
      <c r="G419" s="8" t="n">
        <v>0.61</v>
      </c>
      <c r="H419" s="8" t="n">
        <v>0.100277</v>
      </c>
      <c r="I419" s="8" t="n">
        <v>0.024221</v>
      </c>
      <c r="J419" s="8" t="n">
        <v>0.076056</v>
      </c>
      <c r="K419" s="8" t="n">
        <v>0.1945</v>
      </c>
      <c r="L419" s="8" t="n">
        <v>0.024525</v>
      </c>
      <c r="M419" s="8" t="n">
        <v>0.00692</v>
      </c>
      <c r="N419" s="8" t="n">
        <v>0.017605</v>
      </c>
      <c r="O419" s="8" t="n">
        <v>0.2201</v>
      </c>
      <c r="P419" s="8" t="n">
        <v>-0.031358</v>
      </c>
      <c r="Q419" s="8" t="n">
        <v>-0.019608</v>
      </c>
      <c r="R419" s="8" t="n">
        <v>-0.01175</v>
      </c>
      <c r="S419" s="8" t="n">
        <v>0.3847</v>
      </c>
      <c r="T419" s="8" t="n">
        <v>-0.072339</v>
      </c>
      <c r="U419" s="8" t="n">
        <v>-0.053825</v>
      </c>
      <c r="V419" s="8" t="n">
        <v>-0.018514</v>
      </c>
      <c r="W419" s="8" t="n">
        <v>0.4266</v>
      </c>
      <c r="X419" s="8" t="n">
        <v>-0.07979</v>
      </c>
      <c r="Y419" s="8" t="n">
        <v>-0.034987</v>
      </c>
      <c r="Z419" s="8" t="n">
        <v>-0.044803</v>
      </c>
      <c r="AA419" s="8" t="n">
        <v>0.3048</v>
      </c>
    </row>
    <row r="420">
      <c r="A420" s="11" t="inlineStr">
        <is>
          <t>2024-05-14</t>
        </is>
      </c>
      <c r="B420" s="11" t="inlineStr">
        <is>
          <t>中间分位</t>
        </is>
      </c>
      <c r="C420" s="15" t="n">
        <v>0.752</v>
      </c>
      <c r="D420" s="13" t="n">
        <v>0.038581</v>
      </c>
      <c r="E420" s="13" t="n">
        <v>0.004657</v>
      </c>
      <c r="F420" s="13" t="n">
        <v>0.033924</v>
      </c>
      <c r="G420" s="13" t="n">
        <v>0.1077</v>
      </c>
      <c r="H420" s="13" t="n">
        <v>0.118519</v>
      </c>
      <c r="I420" s="13" t="n">
        <v>0.021343</v>
      </c>
      <c r="J420" s="13" t="n">
        <v>0.097176</v>
      </c>
      <c r="K420" s="13" t="n">
        <v>0.1526</v>
      </c>
      <c r="L420" s="13" t="n">
        <v>0.026233</v>
      </c>
      <c r="M420" s="13" t="n">
        <v>0.016298</v>
      </c>
      <c r="N420" s="13" t="n">
        <v>0.009934999999999999</v>
      </c>
      <c r="O420" s="13" t="n">
        <v>0.3832</v>
      </c>
      <c r="P420" s="13" t="n">
        <v>-0.037037</v>
      </c>
      <c r="Q420" s="13" t="n">
        <v>-0.006597</v>
      </c>
      <c r="R420" s="13" t="n">
        <v>-0.03044</v>
      </c>
      <c r="S420" s="13" t="n">
        <v>0.1512</v>
      </c>
      <c r="T420" s="13" t="n">
        <v>-0.083026</v>
      </c>
      <c r="U420" s="13" t="n">
        <v>-0.04579</v>
      </c>
      <c r="V420" s="13" t="n">
        <v>-0.037236</v>
      </c>
      <c r="W420" s="13" t="n">
        <v>0.3555</v>
      </c>
      <c r="X420" s="13" t="n">
        <v>-0.074381</v>
      </c>
      <c r="Y420" s="13" t="n">
        <v>-0.029492</v>
      </c>
      <c r="Z420" s="13" t="n">
        <v>-0.044889</v>
      </c>
      <c r="AA420" s="13" t="n">
        <v>0.2839</v>
      </c>
    </row>
    <row r="421">
      <c r="A421" s="6" t="inlineStr">
        <is>
          <t>2024-05-15</t>
        </is>
      </c>
      <c r="B421" s="6" t="inlineStr">
        <is>
          <t>高分位</t>
        </is>
      </c>
      <c r="C421" s="10" t="n">
        <v>0.968</v>
      </c>
      <c r="D421" s="8" t="n">
        <v>0.008616</v>
      </c>
      <c r="E421" s="8" t="n">
        <v>0.006566</v>
      </c>
      <c r="F421" s="8" t="n">
        <v>0.00205</v>
      </c>
      <c r="G421" s="8" t="n">
        <v>0.4325</v>
      </c>
      <c r="H421" s="8" t="n">
        <v>0.052005</v>
      </c>
      <c r="I421" s="8" t="n">
        <v>0.015064</v>
      </c>
      <c r="J421" s="8" t="n">
        <v>0.036941</v>
      </c>
      <c r="K421" s="8" t="n">
        <v>0.2246</v>
      </c>
      <c r="L421" s="8" t="n">
        <v>-0.003566</v>
      </c>
      <c r="M421" s="8" t="n">
        <v>0.013905</v>
      </c>
      <c r="N421" s="8" t="n">
        <v>-0.017471</v>
      </c>
      <c r="O421" s="8" t="n">
        <v>0.7959000000000001</v>
      </c>
      <c r="P421" s="8" t="n">
        <v>-0.072809</v>
      </c>
      <c r="Q421" s="8" t="n">
        <v>-0.022016</v>
      </c>
      <c r="R421" s="8" t="n">
        <v>-0.050793</v>
      </c>
      <c r="S421" s="8" t="n">
        <v>0.2322</v>
      </c>
      <c r="T421" s="8" t="n">
        <v>-0.118573</v>
      </c>
      <c r="U421" s="8" t="n">
        <v>-0.051371</v>
      </c>
      <c r="V421" s="8" t="n">
        <v>-0.067202</v>
      </c>
      <c r="W421" s="8" t="n">
        <v>0.3023</v>
      </c>
      <c r="X421" s="8" t="n">
        <v>-0.11382</v>
      </c>
      <c r="Y421" s="8" t="n">
        <v>-0.039397</v>
      </c>
      <c r="Z421" s="8" t="n">
        <v>-0.074423</v>
      </c>
      <c r="AA421" s="8" t="n">
        <v>0.2571</v>
      </c>
    </row>
    <row r="422">
      <c r="A422" s="11" t="inlineStr">
        <is>
          <t>2024-05-16</t>
        </is>
      </c>
      <c r="B422" s="11" t="inlineStr">
        <is>
          <t>高分位</t>
        </is>
      </c>
      <c r="C422" s="15" t="n">
        <v>0.976</v>
      </c>
      <c r="D422" s="13" t="n">
        <v>0.012672</v>
      </c>
      <c r="E422" s="13" t="n">
        <v>0.018803</v>
      </c>
      <c r="F422" s="13" t="n">
        <v>-0.006131</v>
      </c>
      <c r="G422" s="13" t="n">
        <v>0.5974</v>
      </c>
      <c r="H422" s="13" t="n">
        <v>-0.00589</v>
      </c>
      <c r="I422" s="13" t="n">
        <v>-0.005756</v>
      </c>
      <c r="J422" s="13" t="n">
        <v>-0.000134</v>
      </c>
      <c r="K422" s="13" t="n">
        <v>0.4942</v>
      </c>
      <c r="L422" s="13" t="n">
        <v>-0.015027</v>
      </c>
      <c r="M422" s="13" t="n">
        <v>0.020338</v>
      </c>
      <c r="N422" s="13" t="n">
        <v>-0.035365</v>
      </c>
      <c r="O422" s="13" t="n">
        <v>0.5750999999999999</v>
      </c>
      <c r="P422" s="13" t="n">
        <v>-0.094872</v>
      </c>
      <c r="Q422" s="13" t="n">
        <v>-0.029547</v>
      </c>
      <c r="R422" s="13" t="n">
        <v>-0.06532499999999999</v>
      </c>
      <c r="S422" s="13" t="n">
        <v>0.2375</v>
      </c>
      <c r="T422" s="13" t="n">
        <v>-0.126103</v>
      </c>
      <c r="U422" s="13" t="n">
        <v>-0.061397</v>
      </c>
      <c r="V422" s="13" t="n">
        <v>-0.064706</v>
      </c>
      <c r="W422" s="13" t="n">
        <v>0.3275</v>
      </c>
      <c r="X422" s="13" t="n">
        <v>-0.128754</v>
      </c>
      <c r="Y422" s="13" t="n">
        <v>-0.048734</v>
      </c>
      <c r="Z422" s="13" t="n">
        <v>-0.08001999999999999</v>
      </c>
      <c r="AA422" s="13" t="n">
        <v>0.2746</v>
      </c>
    </row>
    <row r="423">
      <c r="A423" s="6" t="inlineStr">
        <is>
          <t>2024-05-17</t>
        </is>
      </c>
      <c r="B423" s="6" t="inlineStr">
        <is>
          <t>高分位</t>
        </is>
      </c>
      <c r="C423" s="10" t="n">
        <v>0.9360000000000001</v>
      </c>
      <c r="D423" s="8" t="n">
        <v>0.031129</v>
      </c>
      <c r="E423" s="8" t="n">
        <v>0.00339</v>
      </c>
      <c r="F423" s="8" t="n">
        <v>0.027739</v>
      </c>
      <c r="G423" s="8" t="n">
        <v>0.0982</v>
      </c>
      <c r="H423" s="8" t="n">
        <v>-0.036953</v>
      </c>
      <c r="I423" s="8" t="n">
        <v>-0.020716</v>
      </c>
      <c r="J423" s="8" t="n">
        <v>-0.016237</v>
      </c>
      <c r="K423" s="8" t="n">
        <v>0.3592</v>
      </c>
      <c r="L423" s="8" t="n">
        <v>-0.022404</v>
      </c>
      <c r="M423" s="8" t="n">
        <v>-0.009039999999999999</v>
      </c>
      <c r="N423" s="8" t="n">
        <v>-0.013364</v>
      </c>
      <c r="O423" s="8" t="n">
        <v>0.2875</v>
      </c>
      <c r="P423" s="8" t="n">
        <v>-0.111146</v>
      </c>
      <c r="Q423" s="8" t="n">
        <v>-0.052354</v>
      </c>
      <c r="R423" s="8" t="n">
        <v>-0.058792</v>
      </c>
      <c r="S423" s="8" t="n">
        <v>0.3202</v>
      </c>
      <c r="T423" s="8" t="n">
        <v>-0.141112</v>
      </c>
      <c r="U423" s="8" t="n">
        <v>-0.089266</v>
      </c>
      <c r="V423" s="8" t="n">
        <v>-0.051846</v>
      </c>
      <c r="W423" s="8" t="n">
        <v>0.3875</v>
      </c>
      <c r="X423" s="8" t="n">
        <v>-0.137621</v>
      </c>
      <c r="Y423" s="8" t="n">
        <v>-0.061394</v>
      </c>
      <c r="Z423" s="8" t="n">
        <v>-0.076227</v>
      </c>
      <c r="AA423" s="8" t="n">
        <v>0.3085</v>
      </c>
    </row>
    <row r="424">
      <c r="A424" s="11" t="inlineStr">
        <is>
          <t>2024-05-20</t>
        </is>
      </c>
      <c r="B424" s="11" t="inlineStr">
        <is>
          <t>高分位</t>
        </is>
      </c>
      <c r="C424" s="15" t="n">
        <v>0.998</v>
      </c>
      <c r="D424" s="13" t="n">
        <v>0.022575</v>
      </c>
      <c r="E424" s="13" t="n">
        <v>-0.012012</v>
      </c>
      <c r="F424" s="13" t="n">
        <v>0.034587</v>
      </c>
      <c r="G424" s="13" t="n">
        <v>0.3473</v>
      </c>
      <c r="H424" s="13" t="n">
        <v>-0.06884800000000001</v>
      </c>
      <c r="I424" s="13" t="n">
        <v>-0.016892</v>
      </c>
      <c r="J424" s="13" t="n">
        <v>-0.051956</v>
      </c>
      <c r="K424" s="13" t="n">
        <v>0.197</v>
      </c>
      <c r="L424" s="13" t="n">
        <v>-0.064896</v>
      </c>
      <c r="M424" s="13" t="n">
        <v>-0.036036</v>
      </c>
      <c r="N424" s="13" t="n">
        <v>-0.02886</v>
      </c>
      <c r="O424" s="13" t="n">
        <v>0.357</v>
      </c>
      <c r="P424" s="13" t="n">
        <v>-0.146726</v>
      </c>
      <c r="Q424" s="13" t="n">
        <v>-0.057432</v>
      </c>
      <c r="R424" s="13" t="n">
        <v>-0.089294</v>
      </c>
      <c r="S424" s="13" t="n">
        <v>0.2813</v>
      </c>
      <c r="T424" s="13" t="n">
        <v>-0.180305</v>
      </c>
      <c r="U424" s="13" t="n">
        <v>-0.062312</v>
      </c>
      <c r="V424" s="13" t="n">
        <v>-0.117993</v>
      </c>
      <c r="W424" s="13" t="n">
        <v>0.2568</v>
      </c>
      <c r="X424" s="13" t="n">
        <v>-0.158577</v>
      </c>
      <c r="Y424" s="13" t="n">
        <v>-0.067943</v>
      </c>
      <c r="Z424" s="13" t="n">
        <v>-0.09063400000000001</v>
      </c>
      <c r="AA424" s="13" t="n">
        <v>0.2999</v>
      </c>
    </row>
    <row r="425">
      <c r="A425" s="6" t="inlineStr">
        <is>
          <t>2024-05-21</t>
        </is>
      </c>
      <c r="B425" s="6" t="inlineStr">
        <is>
          <t>高分位</t>
        </is>
      </c>
      <c r="C425" s="10" t="n">
        <v>0.998</v>
      </c>
      <c r="D425" s="8" t="n">
        <v>-0.023179</v>
      </c>
      <c r="E425" s="8" t="n">
        <v>-0.00152</v>
      </c>
      <c r="F425" s="8" t="n">
        <v>-0.021659</v>
      </c>
      <c r="G425" s="8" t="n">
        <v>0.0615</v>
      </c>
      <c r="H425" s="8" t="n">
        <v>-0.082507</v>
      </c>
      <c r="I425" s="8" t="n">
        <v>-0.004939</v>
      </c>
      <c r="J425" s="8" t="n">
        <v>-0.077568</v>
      </c>
      <c r="K425" s="8" t="n">
        <v>0.0565</v>
      </c>
      <c r="L425" s="8" t="n">
        <v>-0.110374</v>
      </c>
      <c r="M425" s="8" t="n">
        <v>-0.026596</v>
      </c>
      <c r="N425" s="8" t="n">
        <v>-0.08377800000000001</v>
      </c>
      <c r="O425" s="8" t="n">
        <v>0.1942</v>
      </c>
      <c r="P425" s="8" t="n">
        <v>-0.166944</v>
      </c>
      <c r="Q425" s="8" t="n">
        <v>-0.036094</v>
      </c>
      <c r="R425" s="8" t="n">
        <v>-0.13085</v>
      </c>
      <c r="S425" s="8" t="n">
        <v>0.1778</v>
      </c>
      <c r="T425" s="8" t="n">
        <v>-0.191778</v>
      </c>
      <c r="U425" s="8" t="n">
        <v>-0.058891</v>
      </c>
      <c r="V425" s="8" t="n">
        <v>-0.132887</v>
      </c>
      <c r="W425" s="8" t="n">
        <v>0.2349</v>
      </c>
      <c r="X425" s="8" t="n">
        <v>-0.180464</v>
      </c>
      <c r="Y425" s="8" t="n">
        <v>-0.053951</v>
      </c>
      <c r="Z425" s="8" t="n">
        <v>-0.126513</v>
      </c>
      <c r="AA425" s="8" t="n">
        <v>0.2302</v>
      </c>
    </row>
    <row r="426">
      <c r="A426" s="11" t="inlineStr">
        <is>
          <t>2024-05-22</t>
        </is>
      </c>
      <c r="B426" s="11" t="inlineStr">
        <is>
          <t>高分位</t>
        </is>
      </c>
      <c r="C426" s="15" t="n">
        <v>0.996</v>
      </c>
      <c r="D426" s="13" t="n">
        <v>-0.046892</v>
      </c>
      <c r="E426" s="13" t="n">
        <v>-0.014079</v>
      </c>
      <c r="F426" s="13" t="n">
        <v>-0.032813</v>
      </c>
      <c r="G426" s="13" t="n">
        <v>0.2309</v>
      </c>
      <c r="H426" s="13" t="n">
        <v>-0.052824</v>
      </c>
      <c r="I426" s="13" t="n">
        <v>-0.001142</v>
      </c>
      <c r="J426" s="13" t="n">
        <v>-0.051682</v>
      </c>
      <c r="K426" s="13" t="n">
        <v>0.0212</v>
      </c>
      <c r="L426" s="13" t="n">
        <v>-0.099719</v>
      </c>
      <c r="M426" s="13" t="n">
        <v>-0.020928</v>
      </c>
      <c r="N426" s="13" t="n">
        <v>-0.078791</v>
      </c>
      <c r="O426" s="13" t="n">
        <v>0.1735</v>
      </c>
      <c r="P426" s="13" t="n">
        <v>-0.142373</v>
      </c>
      <c r="Q426" s="13" t="n">
        <v>-0.037671</v>
      </c>
      <c r="R426" s="13" t="n">
        <v>-0.104702</v>
      </c>
      <c r="S426" s="13" t="n">
        <v>0.2092</v>
      </c>
      <c r="T426" s="13" t="n">
        <v>-0.16921</v>
      </c>
      <c r="U426" s="13" t="n">
        <v>-0.06544899999999999</v>
      </c>
      <c r="V426" s="13" t="n">
        <v>-0.103761</v>
      </c>
      <c r="W426" s="13" t="n">
        <v>0.2789</v>
      </c>
      <c r="X426" s="13" t="n">
        <v>-0.152542</v>
      </c>
      <c r="Y426" s="13" t="n">
        <v>-0.037291</v>
      </c>
      <c r="Z426" s="13" t="n">
        <v>-0.115251</v>
      </c>
      <c r="AA426" s="13" t="n">
        <v>0.1964</v>
      </c>
    </row>
    <row r="427">
      <c r="A427" s="6" t="inlineStr">
        <is>
          <t>2024-05-23</t>
        </is>
      </c>
      <c r="B427" s="6" t="inlineStr">
        <is>
          <t>高分位</t>
        </is>
      </c>
      <c r="C427" s="10" t="n">
        <v>0.96</v>
      </c>
      <c r="D427" s="8" t="n">
        <v>-0.018971</v>
      </c>
      <c r="E427" s="8" t="n">
        <v>0.003474</v>
      </c>
      <c r="F427" s="8" t="n">
        <v>-0.022445</v>
      </c>
      <c r="G427" s="8" t="n">
        <v>0.1548</v>
      </c>
      <c r="H427" s="8" t="n">
        <v>-0.00919</v>
      </c>
      <c r="I427" s="8" t="n">
        <v>0.026245</v>
      </c>
      <c r="J427" s="8" t="n">
        <v>-0.035435</v>
      </c>
      <c r="K427" s="8" t="n">
        <v>0.7407</v>
      </c>
      <c r="L427" s="8" t="n">
        <v>-0.053943</v>
      </c>
      <c r="M427" s="8" t="n">
        <v>-0.010421</v>
      </c>
      <c r="N427" s="8" t="n">
        <v>-0.043522</v>
      </c>
      <c r="O427" s="8" t="n">
        <v>0.1619</v>
      </c>
      <c r="P427" s="8" t="n">
        <v>-0.101363</v>
      </c>
      <c r="Q427" s="8" t="n">
        <v>-0.035893</v>
      </c>
      <c r="R427" s="8" t="n">
        <v>-0.06547</v>
      </c>
      <c r="S427" s="8" t="n">
        <v>0.2615</v>
      </c>
      <c r="T427" s="8" t="n">
        <v>-0.142264</v>
      </c>
      <c r="U427" s="8" t="n">
        <v>-0.059822</v>
      </c>
      <c r="V427" s="8" t="n">
        <v>-0.082442</v>
      </c>
      <c r="W427" s="8" t="n">
        <v>0.296</v>
      </c>
      <c r="X427" s="8" t="n">
        <v>-0.107292</v>
      </c>
      <c r="Y427" s="8" t="n">
        <v>-0.013508</v>
      </c>
      <c r="Z427" s="8" t="n">
        <v>-0.09378400000000001</v>
      </c>
      <c r="AA427" s="8" t="n">
        <v>0.1118</v>
      </c>
    </row>
    <row r="428">
      <c r="A428" s="11" t="inlineStr">
        <is>
          <t>2024-05-24</t>
        </is>
      </c>
      <c r="B428" s="11" t="inlineStr">
        <is>
          <t>中间分位</t>
        </is>
      </c>
      <c r="C428" s="15" t="n">
        <v>0.836</v>
      </c>
      <c r="D428" s="13" t="n">
        <v>-0.00302</v>
      </c>
      <c r="E428" s="13" t="n">
        <v>0.007308</v>
      </c>
      <c r="F428" s="13" t="n">
        <v>-0.010328</v>
      </c>
      <c r="G428" s="13" t="n">
        <v>0.7076</v>
      </c>
      <c r="H428" s="13" t="n">
        <v>0.015107</v>
      </c>
      <c r="I428" s="13" t="n">
        <v>0.011923</v>
      </c>
      <c r="J428" s="13" t="n">
        <v>0.003184</v>
      </c>
      <c r="K428" s="13" t="n">
        <v>0.4411</v>
      </c>
      <c r="L428" s="13" t="n">
        <v>-0.05015</v>
      </c>
      <c r="M428" s="13" t="n">
        <v>-0.017692</v>
      </c>
      <c r="N428" s="13" t="n">
        <v>-0.032458</v>
      </c>
      <c r="O428" s="13" t="n">
        <v>0.2608</v>
      </c>
      <c r="P428" s="13" t="n">
        <v>-0.093654</v>
      </c>
      <c r="Q428" s="13" t="n">
        <v>-0.046923</v>
      </c>
      <c r="R428" s="13" t="n">
        <v>-0.046731</v>
      </c>
      <c r="S428" s="13" t="n">
        <v>0.3338</v>
      </c>
      <c r="T428" s="13" t="n">
        <v>-0.125677</v>
      </c>
      <c r="U428" s="13" t="n">
        <v>-0.060385</v>
      </c>
      <c r="V428" s="13" t="n">
        <v>-0.065292</v>
      </c>
      <c r="W428" s="13" t="n">
        <v>0.3245</v>
      </c>
      <c r="X428" s="13" t="n">
        <v>-0.084591</v>
      </c>
      <c r="Y428" s="13" t="n">
        <v>-0.012692</v>
      </c>
      <c r="Z428" s="13" t="n">
        <v>-0.071899</v>
      </c>
      <c r="AA428" s="13" t="n">
        <v>0.1305</v>
      </c>
    </row>
    <row r="429">
      <c r="A429" s="6" t="inlineStr">
        <is>
          <t>2024-05-27</t>
        </is>
      </c>
      <c r="B429" s="6" t="inlineStr">
        <is>
          <t>中间分位</t>
        </is>
      </c>
      <c r="C429" s="10" t="n">
        <v>0.772</v>
      </c>
      <c r="D429" s="8" t="n">
        <v>0.007575</v>
      </c>
      <c r="E429" s="8" t="n">
        <v>0</v>
      </c>
      <c r="F429" s="8" t="n">
        <v>0.007575</v>
      </c>
      <c r="G429" s="8" t="n">
        <v>0</v>
      </c>
      <c r="H429" s="8" t="n">
        <v>0.004244</v>
      </c>
      <c r="I429" s="8" t="n">
        <v>-0.019473</v>
      </c>
      <c r="J429" s="8" t="n">
        <v>0.023717</v>
      </c>
      <c r="K429" s="8" t="n">
        <v>0.8211000000000001</v>
      </c>
      <c r="L429" s="8" t="n">
        <v>-0.054545</v>
      </c>
      <c r="M429" s="8" t="n">
        <v>-0.026346</v>
      </c>
      <c r="N429" s="8" t="n">
        <v>-0.028199</v>
      </c>
      <c r="O429" s="8" t="n">
        <v>0.3257</v>
      </c>
      <c r="P429" s="8" t="n">
        <v>-0.09636400000000001</v>
      </c>
      <c r="Q429" s="8" t="n">
        <v>-0.040473</v>
      </c>
      <c r="R429" s="8" t="n">
        <v>-0.055891</v>
      </c>
      <c r="S429" s="8" t="n">
        <v>0.2958</v>
      </c>
      <c r="T429" s="8" t="n">
        <v>-0.116364</v>
      </c>
      <c r="U429" s="8" t="n">
        <v>-0.050401</v>
      </c>
      <c r="V429" s="8" t="n">
        <v>-0.06596299999999999</v>
      </c>
      <c r="W429" s="8" t="n">
        <v>0.3022</v>
      </c>
      <c r="X429" s="8" t="n">
        <v>-0.073029</v>
      </c>
      <c r="Y429" s="8" t="n">
        <v>-0.0168</v>
      </c>
      <c r="Z429" s="8" t="n">
        <v>-0.056229</v>
      </c>
      <c r="AA429" s="8" t="n">
        <v>0.187</v>
      </c>
    </row>
    <row r="430">
      <c r="A430" s="11" t="inlineStr">
        <is>
          <t>2024-05-28</t>
        </is>
      </c>
      <c r="B430" s="11" t="inlineStr">
        <is>
          <t>中间分位</t>
        </is>
      </c>
      <c r="C430" s="15" t="n">
        <v>0.8120000000000001</v>
      </c>
      <c r="D430" s="13" t="n">
        <v>0.008423</v>
      </c>
      <c r="E430" s="13" t="n">
        <v>0.002291</v>
      </c>
      <c r="F430" s="13" t="n">
        <v>0.006132</v>
      </c>
      <c r="G430" s="13" t="n">
        <v>0.2138</v>
      </c>
      <c r="H430" s="13" t="n">
        <v>-0.030374</v>
      </c>
      <c r="I430" s="13" t="n">
        <v>-0.021764</v>
      </c>
      <c r="J430" s="13" t="n">
        <v>-0.00861</v>
      </c>
      <c r="K430" s="13" t="n">
        <v>0.4174</v>
      </c>
      <c r="L430" s="13" t="n">
        <v>-0.061653</v>
      </c>
      <c r="M430" s="13" t="n">
        <v>-0.022528</v>
      </c>
      <c r="N430" s="13" t="n">
        <v>-0.039125</v>
      </c>
      <c r="O430" s="13" t="n">
        <v>0.2676</v>
      </c>
      <c r="P430" s="13" t="n">
        <v>-0.09052499999999999</v>
      </c>
      <c r="Q430" s="13" t="n">
        <v>-0.043146</v>
      </c>
      <c r="R430" s="13" t="n">
        <v>-0.047379</v>
      </c>
      <c r="S430" s="13" t="n">
        <v>0.3228</v>
      </c>
      <c r="T430" s="13" t="n">
        <v>-0.115186</v>
      </c>
      <c r="U430" s="13" t="n">
        <v>-0.038946</v>
      </c>
      <c r="V430" s="13" t="n">
        <v>-0.07624</v>
      </c>
      <c r="W430" s="13" t="n">
        <v>0.2527</v>
      </c>
      <c r="X430" s="13" t="n">
        <v>-0.079698</v>
      </c>
      <c r="Y430" s="13" t="n">
        <v>-0.002673</v>
      </c>
      <c r="Z430" s="13" t="n">
        <v>-0.077025</v>
      </c>
      <c r="AA430" s="13" t="n">
        <v>0.0325</v>
      </c>
    </row>
    <row r="431">
      <c r="A431" s="6" t="inlineStr">
        <is>
          <t>2024-05-29</t>
        </is>
      </c>
      <c r="B431" s="6" t="inlineStr">
        <is>
          <t>中间分位</t>
        </is>
      </c>
      <c r="C431" s="10" t="n">
        <v>0.852</v>
      </c>
      <c r="D431" s="8" t="n">
        <v>-0.002985</v>
      </c>
      <c r="E431" s="8" t="n">
        <v>0.012952</v>
      </c>
      <c r="F431" s="8" t="n">
        <v>-0.015937</v>
      </c>
      <c r="G431" s="8" t="n">
        <v>0.8127</v>
      </c>
      <c r="H431" s="8" t="n">
        <v>-0.04951</v>
      </c>
      <c r="I431" s="8" t="n">
        <v>-0.01981</v>
      </c>
      <c r="J431" s="8" t="n">
        <v>-0.0297</v>
      </c>
      <c r="K431" s="8" t="n">
        <v>0.2858</v>
      </c>
      <c r="L431" s="8" t="n">
        <v>-0.069491</v>
      </c>
      <c r="M431" s="8" t="n">
        <v>-0.035429</v>
      </c>
      <c r="N431" s="8" t="n">
        <v>-0.034062</v>
      </c>
      <c r="O431" s="8" t="n">
        <v>0.3377</v>
      </c>
      <c r="P431" s="8" t="n">
        <v>-0.098122</v>
      </c>
      <c r="Q431" s="8" t="n">
        <v>-0.040762</v>
      </c>
      <c r="R431" s="8" t="n">
        <v>-0.05736</v>
      </c>
      <c r="S431" s="8" t="n">
        <v>0.2935</v>
      </c>
      <c r="T431" s="8" t="n">
        <v>-0.116314</v>
      </c>
      <c r="U431" s="8" t="n">
        <v>-0.044952</v>
      </c>
      <c r="V431" s="8" t="n">
        <v>-0.07136199999999999</v>
      </c>
      <c r="W431" s="8" t="n">
        <v>0.2787</v>
      </c>
      <c r="X431" s="8" t="n">
        <v>-0.07664899999999999</v>
      </c>
      <c r="Y431" s="8" t="n">
        <v>-0.016</v>
      </c>
      <c r="Z431" s="8" t="n">
        <v>-0.060649</v>
      </c>
      <c r="AA431" s="8" t="n">
        <v>0.1727</v>
      </c>
    </row>
    <row r="432">
      <c r="A432" s="11" t="inlineStr">
        <is>
          <t>2024-05-30</t>
        </is>
      </c>
      <c r="B432" s="11" t="inlineStr">
        <is>
          <t>中间分位</t>
        </is>
      </c>
      <c r="C432" s="15" t="n">
        <v>0.732</v>
      </c>
      <c r="D432" s="13" t="n">
        <v>0.005086</v>
      </c>
      <c r="E432" s="13" t="n">
        <v>-0.01053</v>
      </c>
      <c r="F432" s="13" t="n">
        <v>0.015616</v>
      </c>
      <c r="G432" s="13" t="n">
        <v>0.6743</v>
      </c>
      <c r="H432" s="13" t="n">
        <v>-0.045168</v>
      </c>
      <c r="I432" s="13" t="n">
        <v>-0.035728</v>
      </c>
      <c r="J432" s="13" t="n">
        <v>-0.00944</v>
      </c>
      <c r="K432" s="13" t="n">
        <v>0.4417</v>
      </c>
      <c r="L432" s="13" t="n">
        <v>-0.081064</v>
      </c>
      <c r="M432" s="13" t="n">
        <v>-0.048891</v>
      </c>
      <c r="N432" s="13" t="n">
        <v>-0.032173</v>
      </c>
      <c r="O432" s="13" t="n">
        <v>0.3762</v>
      </c>
      <c r="P432" s="13" t="n">
        <v>-0.091833</v>
      </c>
      <c r="Q432" s="13" t="n">
        <v>-0.039865</v>
      </c>
      <c r="R432" s="13" t="n">
        <v>-0.051968</v>
      </c>
      <c r="S432" s="13" t="n">
        <v>0.3027</v>
      </c>
      <c r="T432" s="13" t="n">
        <v>-0.109181</v>
      </c>
      <c r="U432" s="13" t="n">
        <v>-0.062429</v>
      </c>
      <c r="V432" s="13" t="n">
        <v>-0.046752</v>
      </c>
      <c r="W432" s="13" t="n">
        <v>0.3638</v>
      </c>
      <c r="X432" s="13" t="n">
        <v>-0.081064</v>
      </c>
      <c r="Y432" s="13" t="n">
        <v>-0.021437</v>
      </c>
      <c r="Z432" s="13" t="n">
        <v>-0.059627</v>
      </c>
      <c r="AA432" s="13" t="n">
        <v>0.2091</v>
      </c>
    </row>
    <row r="433">
      <c r="A433" s="6" t="inlineStr">
        <is>
          <t>2024-05-31</t>
        </is>
      </c>
      <c r="B433" s="6" t="inlineStr">
        <is>
          <t>中间分位</t>
        </is>
      </c>
      <c r="C433" s="10" t="n">
        <v>0.844</v>
      </c>
      <c r="D433" s="8" t="n">
        <v>-0.013689</v>
      </c>
      <c r="E433" s="8" t="n">
        <v>-0.023945</v>
      </c>
      <c r="F433" s="8" t="n">
        <v>0.010256</v>
      </c>
      <c r="G433" s="8" t="n">
        <v>0.6363</v>
      </c>
      <c r="H433" s="8" t="n">
        <v>-0.064286</v>
      </c>
      <c r="I433" s="8" t="n">
        <v>-0.029266</v>
      </c>
      <c r="J433" s="8" t="n">
        <v>-0.03502</v>
      </c>
      <c r="K433" s="8" t="n">
        <v>0.3128</v>
      </c>
      <c r="L433" s="8" t="n">
        <v>-0.09077499999999999</v>
      </c>
      <c r="M433" s="8" t="n">
        <v>-0.04371</v>
      </c>
      <c r="N433" s="8" t="n">
        <v>-0.047065</v>
      </c>
      <c r="O433" s="8" t="n">
        <v>0.325</v>
      </c>
      <c r="P433" s="8" t="n">
        <v>-0.087796</v>
      </c>
      <c r="Q433" s="8" t="n">
        <v>-0.032687</v>
      </c>
      <c r="R433" s="8" t="n">
        <v>-0.055109</v>
      </c>
      <c r="S433" s="8" t="n">
        <v>0.2713</v>
      </c>
      <c r="T433" s="8" t="n">
        <v>-0.120832</v>
      </c>
      <c r="U433" s="8" t="n">
        <v>-0.038388</v>
      </c>
      <c r="V433" s="8" t="n">
        <v>-0.082444</v>
      </c>
      <c r="W433" s="8" t="n">
        <v>0.2411</v>
      </c>
      <c r="X433" s="8" t="n">
        <v>-0.079168</v>
      </c>
      <c r="Y433" s="8" t="n">
        <v>-0.022045</v>
      </c>
      <c r="Z433" s="8" t="n">
        <v>-0.057123</v>
      </c>
      <c r="AA433" s="8" t="n">
        <v>0.2178</v>
      </c>
    </row>
    <row r="434">
      <c r="A434" s="11" t="inlineStr">
        <is>
          <t>2024-06-03</t>
        </is>
      </c>
      <c r="B434" s="11" t="inlineStr">
        <is>
          <t>高分位</t>
        </is>
      </c>
      <c r="C434" s="15" t="n">
        <v>0.908</v>
      </c>
      <c r="D434" s="13" t="n">
        <v>-0.027157</v>
      </c>
      <c r="E434" s="13" t="n">
        <v>-0.002336</v>
      </c>
      <c r="F434" s="13" t="n">
        <v>-0.024821</v>
      </c>
      <c r="G434" s="13" t="n">
        <v>0.07920000000000001</v>
      </c>
      <c r="H434" s="13" t="n">
        <v>-0.058541</v>
      </c>
      <c r="I434" s="13" t="n">
        <v>-0.007009</v>
      </c>
      <c r="J434" s="13" t="n">
        <v>-0.051532</v>
      </c>
      <c r="K434" s="13" t="n">
        <v>0.1069</v>
      </c>
      <c r="L434" s="13" t="n">
        <v>-0.087509</v>
      </c>
      <c r="M434" s="13" t="n">
        <v>-0.022196</v>
      </c>
      <c r="N434" s="13" t="n">
        <v>-0.065313</v>
      </c>
      <c r="O434" s="13" t="n">
        <v>0.2023</v>
      </c>
      <c r="P434" s="13" t="n">
        <v>-0.082982</v>
      </c>
      <c r="Q434" s="13" t="n">
        <v>0.001558</v>
      </c>
      <c r="R434" s="13" t="n">
        <v>-0.08454</v>
      </c>
      <c r="S434" s="13" t="n">
        <v>0.0184</v>
      </c>
      <c r="T434" s="13" t="n">
        <v>-0.096261</v>
      </c>
      <c r="U434" s="13" t="n">
        <v>-0.01285</v>
      </c>
      <c r="V434" s="13" t="n">
        <v>-0.083411</v>
      </c>
      <c r="W434" s="13" t="n">
        <v>0.1178</v>
      </c>
      <c r="X434" s="13" t="n">
        <v>-0.076946</v>
      </c>
      <c r="Y434" s="13" t="n">
        <v>-0.005452</v>
      </c>
      <c r="Z434" s="13" t="n">
        <v>-0.071494</v>
      </c>
      <c r="AA434" s="13" t="n">
        <v>0.06619999999999999</v>
      </c>
    </row>
    <row r="435">
      <c r="A435" s="6" t="inlineStr">
        <is>
          <t>2024-06-04</t>
        </is>
      </c>
      <c r="B435" s="6" t="inlineStr">
        <is>
          <t>中间分位</t>
        </is>
      </c>
      <c r="C435" s="10" t="n">
        <v>0.752</v>
      </c>
      <c r="D435" s="8" t="n">
        <v>-0.011479</v>
      </c>
      <c r="E435" s="8" t="n">
        <v>0.004294</v>
      </c>
      <c r="F435" s="8" t="n">
        <v>-0.015773</v>
      </c>
      <c r="G435" s="8" t="n">
        <v>0.2722</v>
      </c>
      <c r="H435" s="8" t="n">
        <v>-0.032259</v>
      </c>
      <c r="I435" s="8" t="n">
        <v>-0.000781</v>
      </c>
      <c r="J435" s="8" t="n">
        <v>-0.031478</v>
      </c>
      <c r="K435" s="8" t="n">
        <v>0.0236</v>
      </c>
      <c r="L435" s="8" t="n">
        <v>-0.06358800000000001</v>
      </c>
      <c r="M435" s="8" t="n">
        <v>-0.009757999999999999</v>
      </c>
      <c r="N435" s="8" t="n">
        <v>-0.05383</v>
      </c>
      <c r="O435" s="8" t="n">
        <v>0.133</v>
      </c>
      <c r="P435" s="8" t="n">
        <v>-0.047148</v>
      </c>
      <c r="Q435" s="8" t="n">
        <v>0.003123</v>
      </c>
      <c r="R435" s="8" t="n">
        <v>-0.050271</v>
      </c>
      <c r="S435" s="8" t="n">
        <v>0.0621</v>
      </c>
      <c r="T435" s="8" t="n">
        <v>-0.06948</v>
      </c>
      <c r="U435" s="8" t="n">
        <v>-0.009757999999999999</v>
      </c>
      <c r="V435" s="8" t="n">
        <v>-0.059722</v>
      </c>
      <c r="W435" s="8" t="n">
        <v>0.1231</v>
      </c>
      <c r="X435" s="8" t="n">
        <v>-0.055213</v>
      </c>
      <c r="Y435" s="8" t="n">
        <v>0.001561</v>
      </c>
      <c r="Z435" s="8" t="n">
        <v>-0.056774</v>
      </c>
      <c r="AA435" s="8" t="n">
        <v>0.0275</v>
      </c>
    </row>
    <row r="436">
      <c r="A436" s="11" t="inlineStr">
        <is>
          <t>2024-06-05</t>
        </is>
      </c>
      <c r="B436" s="11" t="inlineStr">
        <is>
          <t>中间分位</t>
        </is>
      </c>
      <c r="C436" s="15" t="n">
        <v>0.6</v>
      </c>
      <c r="D436" s="13" t="n">
        <v>0.00157</v>
      </c>
      <c r="E436" s="13" t="n">
        <v>-0.003498</v>
      </c>
      <c r="F436" s="13" t="n">
        <v>0.005068</v>
      </c>
      <c r="G436" s="13" t="n">
        <v>0.6902</v>
      </c>
      <c r="H436" s="13" t="n">
        <v>-0.021022</v>
      </c>
      <c r="I436" s="13" t="n">
        <v>-0.015935</v>
      </c>
      <c r="J436" s="13" t="n">
        <v>-0.005087</v>
      </c>
      <c r="K436" s="13" t="n">
        <v>0.4312</v>
      </c>
      <c r="L436" s="13" t="n">
        <v>-0.047379</v>
      </c>
      <c r="M436" s="13" t="n">
        <v>-0.017101</v>
      </c>
      <c r="N436" s="13" t="n">
        <v>-0.030278</v>
      </c>
      <c r="O436" s="13" t="n">
        <v>0.2652</v>
      </c>
      <c r="P436" s="13" t="n">
        <v>-0.039848</v>
      </c>
      <c r="Q436" s="13" t="n">
        <v>-0.003498</v>
      </c>
      <c r="R436" s="13" t="n">
        <v>-0.03635</v>
      </c>
      <c r="S436" s="13" t="n">
        <v>0.08069999999999999</v>
      </c>
      <c r="T436" s="13" t="n">
        <v>-0.05648</v>
      </c>
      <c r="U436" s="13" t="n">
        <v>-0.015157</v>
      </c>
      <c r="V436" s="13" t="n">
        <v>-0.041323</v>
      </c>
      <c r="W436" s="13" t="n">
        <v>0.2116</v>
      </c>
      <c r="X436" s="13" t="n">
        <v>-0.042043</v>
      </c>
      <c r="Y436" s="13" t="n">
        <v>-0.001943</v>
      </c>
      <c r="Z436" s="13" t="n">
        <v>-0.0401</v>
      </c>
      <c r="AA436" s="13" t="n">
        <v>0.0442</v>
      </c>
    </row>
    <row r="437">
      <c r="A437" s="6" t="inlineStr">
        <is>
          <t>2024-06-06</t>
        </is>
      </c>
      <c r="B437" s="6" t="inlineStr">
        <is>
          <t>中间分位</t>
        </is>
      </c>
      <c r="C437" s="10" t="n">
        <v>0.636</v>
      </c>
      <c r="D437" s="8" t="n">
        <v>-0.015038</v>
      </c>
      <c r="E437" s="8" t="n">
        <v>-0.0039</v>
      </c>
      <c r="F437" s="8" t="n">
        <v>-0.011138</v>
      </c>
      <c r="G437" s="8" t="n">
        <v>0.2059</v>
      </c>
      <c r="H437" s="8" t="n">
        <v>-0.037594</v>
      </c>
      <c r="I437" s="8" t="n">
        <v>-0.013651</v>
      </c>
      <c r="J437" s="8" t="n">
        <v>-0.023943</v>
      </c>
      <c r="K437" s="8" t="n">
        <v>0.2664</v>
      </c>
      <c r="L437" s="8" t="n">
        <v>-0.050124</v>
      </c>
      <c r="M437" s="8" t="n">
        <v>-0.025741</v>
      </c>
      <c r="N437" s="8" t="n">
        <v>-0.024383</v>
      </c>
      <c r="O437" s="8" t="n">
        <v>0.3393</v>
      </c>
      <c r="P437" s="8" t="n">
        <v>-0.045113</v>
      </c>
      <c r="Q437" s="8" t="n">
        <v>-0.00936</v>
      </c>
      <c r="R437" s="8" t="n">
        <v>-0.035753</v>
      </c>
      <c r="S437" s="8" t="n">
        <v>0.1718</v>
      </c>
      <c r="T437" s="8" t="n">
        <v>-0.061718</v>
      </c>
      <c r="U437" s="8" t="n">
        <v>-0.014041</v>
      </c>
      <c r="V437" s="8" t="n">
        <v>-0.047677</v>
      </c>
      <c r="W437" s="8" t="n">
        <v>0.1853</v>
      </c>
      <c r="X437" s="8" t="n">
        <v>-0.045425</v>
      </c>
      <c r="Y437" s="8" t="n">
        <v>-0.008189999999999999</v>
      </c>
      <c r="Z437" s="8" t="n">
        <v>-0.037235</v>
      </c>
      <c r="AA437" s="8" t="n">
        <v>0.1528</v>
      </c>
    </row>
    <row r="438">
      <c r="A438" s="11" t="inlineStr">
        <is>
          <t>2024-06-07</t>
        </is>
      </c>
      <c r="B438" s="11" t="inlineStr">
        <is>
          <t>中间分位</t>
        </is>
      </c>
      <c r="C438" s="15" t="n">
        <v>0.5639999999999999</v>
      </c>
      <c r="D438" s="13" t="n">
        <v>-0.007634</v>
      </c>
      <c r="E438" s="13" t="n">
        <v>-0.001566</v>
      </c>
      <c r="F438" s="13" t="n">
        <v>-0.006068</v>
      </c>
      <c r="G438" s="13" t="n">
        <v>0.1702</v>
      </c>
      <c r="H438" s="13" t="n">
        <v>-0.028309</v>
      </c>
      <c r="I438" s="13" t="n">
        <v>-0.014879</v>
      </c>
      <c r="J438" s="13" t="n">
        <v>-0.01343</v>
      </c>
      <c r="K438" s="13" t="n">
        <v>0.3445</v>
      </c>
      <c r="L438" s="13" t="n">
        <v>-0.045802</v>
      </c>
      <c r="M438" s="13" t="n">
        <v>-0.029757</v>
      </c>
      <c r="N438" s="13" t="n">
        <v>-0.016045</v>
      </c>
      <c r="O438" s="13" t="n">
        <v>0.3938</v>
      </c>
      <c r="P438" s="13" t="n">
        <v>-0.03976</v>
      </c>
      <c r="Q438" s="13" t="n">
        <v>-0.012138</v>
      </c>
      <c r="R438" s="13" t="n">
        <v>-0.027622</v>
      </c>
      <c r="S438" s="13" t="n">
        <v>0.2339</v>
      </c>
      <c r="T438" s="13" t="n">
        <v>-0.053435</v>
      </c>
      <c r="U438" s="13" t="n">
        <v>-0.030149</v>
      </c>
      <c r="V438" s="13" t="n">
        <v>-0.023286</v>
      </c>
      <c r="W438" s="13" t="n">
        <v>0.3607</v>
      </c>
      <c r="X438" s="13" t="n">
        <v>-0.041668</v>
      </c>
      <c r="Y438" s="13" t="n">
        <v>-0.012921</v>
      </c>
      <c r="Z438" s="13" t="n">
        <v>-0.028747</v>
      </c>
      <c r="AA438" s="13" t="n">
        <v>0.2367</v>
      </c>
    </row>
    <row r="439">
      <c r="A439" s="6" t="inlineStr">
        <is>
          <t>2024-06-11</t>
        </is>
      </c>
      <c r="B439" s="6" t="inlineStr">
        <is>
          <t>中间分位</t>
        </is>
      </c>
      <c r="C439" s="10" t="n">
        <v>0.508</v>
      </c>
      <c r="D439" s="8" t="n">
        <v>0</v>
      </c>
      <c r="E439" s="8" t="n">
        <v>0.003922</v>
      </c>
      <c r="F439" s="8" t="n">
        <v>-0.003922</v>
      </c>
      <c r="G439" s="8" t="n">
        <v>1</v>
      </c>
      <c r="H439" s="8" t="n">
        <v>-0.030769</v>
      </c>
      <c r="I439" s="8" t="n">
        <v>-0.015294</v>
      </c>
      <c r="J439" s="8" t="n">
        <v>-0.015475</v>
      </c>
      <c r="K439" s="8" t="n">
        <v>0.332</v>
      </c>
      <c r="L439" s="8" t="n">
        <v>-0.044231</v>
      </c>
      <c r="M439" s="8" t="n">
        <v>-0.01451</v>
      </c>
      <c r="N439" s="8" t="n">
        <v>-0.029721</v>
      </c>
      <c r="O439" s="8" t="n">
        <v>0.247</v>
      </c>
      <c r="P439" s="8" t="n">
        <v>-0.036538</v>
      </c>
      <c r="Q439" s="8" t="n">
        <v>0</v>
      </c>
      <c r="R439" s="8" t="n">
        <v>-0.036538</v>
      </c>
      <c r="S439" s="8" t="n">
        <v>0</v>
      </c>
      <c r="T439" s="8" t="n">
        <v>-0.053846</v>
      </c>
      <c r="U439" s="8" t="n">
        <v>-0.033725</v>
      </c>
      <c r="V439" s="8" t="n">
        <v>-0.020121</v>
      </c>
      <c r="W439" s="8" t="n">
        <v>0.3851</v>
      </c>
      <c r="X439" s="8" t="n">
        <v>-0.034935</v>
      </c>
      <c r="Y439" s="8" t="n">
        <v>-0.009412</v>
      </c>
      <c r="Z439" s="8" t="n">
        <v>-0.025523</v>
      </c>
      <c r="AA439" s="8" t="n">
        <v>0.2122</v>
      </c>
    </row>
    <row r="440">
      <c r="A440" s="11" t="inlineStr">
        <is>
          <t>2024-06-12</t>
        </is>
      </c>
      <c r="B440" s="11" t="inlineStr">
        <is>
          <t>中间分位</t>
        </is>
      </c>
      <c r="C440" s="15" t="n">
        <v>0.468</v>
      </c>
      <c r="D440" s="13" t="n">
        <v>0</v>
      </c>
      <c r="E440" s="13" t="n">
        <v>-0.010937</v>
      </c>
      <c r="F440" s="13" t="n">
        <v>0.010937</v>
      </c>
      <c r="G440" s="13" t="n">
        <v>1</v>
      </c>
      <c r="H440" s="13" t="n">
        <v>-0.032373</v>
      </c>
      <c r="I440" s="13" t="n">
        <v>-0.008984000000000001</v>
      </c>
      <c r="J440" s="13" t="n">
        <v>-0.023389</v>
      </c>
      <c r="K440" s="13" t="n">
        <v>0.2172</v>
      </c>
      <c r="L440" s="13" t="n">
        <v>-0.030769</v>
      </c>
      <c r="M440" s="13" t="n">
        <v>-0.021094</v>
      </c>
      <c r="N440" s="13" t="n">
        <v>-0.009675</v>
      </c>
      <c r="O440" s="13" t="n">
        <v>0.4067</v>
      </c>
      <c r="P440" s="13" t="n">
        <v>-0.027242</v>
      </c>
      <c r="Q440" s="13" t="n">
        <v>-0.008984000000000001</v>
      </c>
      <c r="R440" s="13" t="n">
        <v>-0.018258</v>
      </c>
      <c r="S440" s="13" t="n">
        <v>0.248</v>
      </c>
      <c r="T440" s="13" t="n">
        <v>-0.057373</v>
      </c>
      <c r="U440" s="13" t="n">
        <v>-0.059375</v>
      </c>
      <c r="V440" s="13" t="n">
        <v>0.002002</v>
      </c>
      <c r="W440" s="13" t="n">
        <v>0.5086000000000001</v>
      </c>
      <c r="X440" s="13" t="n">
        <v>-0.045192</v>
      </c>
      <c r="Y440" s="13" t="n">
        <v>-0.010547</v>
      </c>
      <c r="Z440" s="13" t="n">
        <v>-0.034645</v>
      </c>
      <c r="AA440" s="13" t="n">
        <v>0.1892</v>
      </c>
    </row>
    <row r="441">
      <c r="A441" s="6" t="inlineStr">
        <is>
          <t>2024-06-13</t>
        </is>
      </c>
      <c r="B441" s="6" t="inlineStr">
        <is>
          <t>中间分位</t>
        </is>
      </c>
      <c r="C441" s="10" t="n">
        <v>0.584</v>
      </c>
      <c r="D441" s="8" t="n">
        <v>-0.015385</v>
      </c>
      <c r="E441" s="8" t="n">
        <v>-0.001185</v>
      </c>
      <c r="F441" s="8" t="n">
        <v>-0.0142</v>
      </c>
      <c r="G441" s="8" t="n">
        <v>0.07149999999999999</v>
      </c>
      <c r="H441" s="8" t="n">
        <v>-0.026923</v>
      </c>
      <c r="I441" s="8" t="n">
        <v>-0.001185</v>
      </c>
      <c r="J441" s="8" t="n">
        <v>-0.025738</v>
      </c>
      <c r="K441" s="8" t="n">
        <v>0.0422</v>
      </c>
      <c r="L441" s="8" t="n">
        <v>-0.030769</v>
      </c>
      <c r="M441" s="8" t="n">
        <v>-0.005529</v>
      </c>
      <c r="N441" s="8" t="n">
        <v>-0.02524</v>
      </c>
      <c r="O441" s="8" t="n">
        <v>0.1523</v>
      </c>
      <c r="P441" s="8" t="n">
        <v>-0.032373</v>
      </c>
      <c r="Q441" s="8" t="n">
        <v>0.020537</v>
      </c>
      <c r="R441" s="8" t="n">
        <v>-0.05291</v>
      </c>
      <c r="S441" s="8" t="n">
        <v>0.3881</v>
      </c>
      <c r="T441" s="8" t="n">
        <v>-0.06730800000000001</v>
      </c>
      <c r="U441" s="8" t="n">
        <v>-0.060427</v>
      </c>
      <c r="V441" s="8" t="n">
        <v>-0.006881</v>
      </c>
      <c r="W441" s="8" t="n">
        <v>0.4731</v>
      </c>
      <c r="X441" s="8" t="n">
        <v>-0.036858</v>
      </c>
      <c r="Y441" s="8" t="n">
        <v>0.013823</v>
      </c>
      <c r="Z441" s="8" t="n">
        <v>-0.050681</v>
      </c>
      <c r="AA441" s="8" t="n">
        <v>0.2727</v>
      </c>
    </row>
    <row r="442">
      <c r="A442" s="11" t="inlineStr">
        <is>
          <t>2024-06-14</t>
        </is>
      </c>
      <c r="B442" s="11" t="inlineStr">
        <is>
          <t>中间分位</t>
        </is>
      </c>
      <c r="C442" s="15" t="n">
        <v>0.432</v>
      </c>
      <c r="D442" s="13" t="n">
        <v>-0.005535</v>
      </c>
      <c r="E442" s="13" t="n">
        <v>-0.00514</v>
      </c>
      <c r="F442" s="13" t="n">
        <v>-0.000395</v>
      </c>
      <c r="G442" s="13" t="n">
        <v>0.4815</v>
      </c>
      <c r="H442" s="13" t="n">
        <v>-0.01302</v>
      </c>
      <c r="I442" s="13" t="n">
        <v>-0.012258</v>
      </c>
      <c r="J442" s="13" t="n">
        <v>-0.000762</v>
      </c>
      <c r="K442" s="13" t="n">
        <v>0.4849</v>
      </c>
      <c r="L442" s="13" t="n">
        <v>-0.011719</v>
      </c>
      <c r="M442" s="13" t="n">
        <v>0.00949</v>
      </c>
      <c r="N442" s="13" t="n">
        <v>-0.021209</v>
      </c>
      <c r="O442" s="13" t="n">
        <v>0.4475</v>
      </c>
      <c r="P442" s="13" t="n">
        <v>-0.003906</v>
      </c>
      <c r="Q442" s="13" t="n">
        <v>0.017398</v>
      </c>
      <c r="R442" s="13" t="n">
        <v>-0.021304</v>
      </c>
      <c r="S442" s="13" t="n">
        <v>0.8167</v>
      </c>
      <c r="T442" s="13" t="n">
        <v>-0.068035</v>
      </c>
      <c r="U442" s="13" t="n">
        <v>-0.062475</v>
      </c>
      <c r="V442" s="13" t="n">
        <v>-0.00556</v>
      </c>
      <c r="W442" s="13" t="n">
        <v>0.4787</v>
      </c>
      <c r="X442" s="13" t="n">
        <v>-0.011719</v>
      </c>
      <c r="Y442" s="13" t="n">
        <v>0.022539</v>
      </c>
      <c r="Z442" s="13" t="n">
        <v>-0.034258</v>
      </c>
      <c r="AA442" s="13" t="n">
        <v>0.6579</v>
      </c>
    </row>
    <row r="443">
      <c r="A443" s="6" t="inlineStr">
        <is>
          <t>2024-06-17</t>
        </is>
      </c>
      <c r="B443" s="6" t="inlineStr">
        <is>
          <t>中间分位</t>
        </is>
      </c>
      <c r="C443" s="10" t="n">
        <v>0.42</v>
      </c>
      <c r="D443" s="8" t="n">
        <v>-0.010146</v>
      </c>
      <c r="E443" s="8" t="n">
        <v>-0.001987</v>
      </c>
      <c r="F443" s="8" t="n">
        <v>-0.008159</v>
      </c>
      <c r="G443" s="8" t="n">
        <v>0.1638</v>
      </c>
      <c r="H443" s="8" t="n">
        <v>-0.018002</v>
      </c>
      <c r="I443" s="8" t="n">
        <v>-0.015103</v>
      </c>
      <c r="J443" s="8" t="n">
        <v>-0.002899</v>
      </c>
      <c r="K443" s="8" t="n">
        <v>0.4562</v>
      </c>
      <c r="L443" s="8" t="n">
        <v>0.003276</v>
      </c>
      <c r="M443" s="8" t="n">
        <v>0.011526</v>
      </c>
      <c r="N443" s="8" t="n">
        <v>-0.00825</v>
      </c>
      <c r="O443" s="8" t="n">
        <v>0.7786999999999999</v>
      </c>
      <c r="P443" s="8" t="n">
        <v>0.005566</v>
      </c>
      <c r="Q443" s="8" t="n">
        <v>0.02186</v>
      </c>
      <c r="R443" s="8" t="n">
        <v>-0.016294</v>
      </c>
      <c r="S443" s="8" t="n">
        <v>0.7971</v>
      </c>
      <c r="T443" s="8" t="n">
        <v>-0.062848</v>
      </c>
      <c r="U443" s="8" t="n">
        <v>-0.059618</v>
      </c>
      <c r="V443" s="8" t="n">
        <v>-0.00323</v>
      </c>
      <c r="W443" s="8" t="n">
        <v>0.4868</v>
      </c>
      <c r="X443" s="8" t="n">
        <v>0.000982</v>
      </c>
      <c r="Y443" s="8" t="n">
        <v>0.036566</v>
      </c>
      <c r="Z443" s="8" t="n">
        <v>-0.035584</v>
      </c>
      <c r="AA443" s="8" t="n">
        <v>0.9738</v>
      </c>
    </row>
    <row r="444">
      <c r="A444" s="11" t="inlineStr">
        <is>
          <t>2024-06-18</t>
        </is>
      </c>
      <c r="B444" s="11" t="inlineStr">
        <is>
          <t>中间分位</t>
        </is>
      </c>
      <c r="C444" s="15" t="n">
        <v>0.304</v>
      </c>
      <c r="D444" s="13" t="n">
        <v>-0.001655</v>
      </c>
      <c r="E444" s="13" t="n">
        <v>0.010354</v>
      </c>
      <c r="F444" s="13" t="n">
        <v>-0.012009</v>
      </c>
      <c r="G444" s="13" t="n">
        <v>0.8622</v>
      </c>
      <c r="H444" s="13" t="n">
        <v>-0.013889</v>
      </c>
      <c r="I444" s="13" t="n">
        <v>0.000796</v>
      </c>
      <c r="J444" s="13" t="n">
        <v>-0.014685</v>
      </c>
      <c r="K444" s="13" t="n">
        <v>0.0542</v>
      </c>
      <c r="L444" s="13" t="n">
        <v>0.00496</v>
      </c>
      <c r="M444" s="13" t="n">
        <v>0.024293</v>
      </c>
      <c r="N444" s="13" t="n">
        <v>-0.019333</v>
      </c>
      <c r="O444" s="13" t="n">
        <v>0.8304</v>
      </c>
      <c r="P444" s="13" t="n">
        <v>0.021163</v>
      </c>
      <c r="Q444" s="13" t="n">
        <v>0.021904</v>
      </c>
      <c r="R444" s="13" t="n">
        <v>-0.000741</v>
      </c>
      <c r="S444" s="13" t="n">
        <v>0.5086000000000001</v>
      </c>
      <c r="T444" s="13" t="n">
        <v>-0.055556</v>
      </c>
      <c r="U444" s="13" t="n">
        <v>-0.074074</v>
      </c>
      <c r="V444" s="13" t="n">
        <v>0.018518</v>
      </c>
      <c r="W444" s="13" t="n">
        <v>0.5714</v>
      </c>
      <c r="X444" s="13" t="n">
        <v>0.015873</v>
      </c>
      <c r="Y444" s="13" t="n">
        <v>0.04779</v>
      </c>
      <c r="Z444" s="13" t="n">
        <v>-0.031917</v>
      </c>
      <c r="AA444" s="13" t="n">
        <v>0.7507</v>
      </c>
    </row>
    <row r="445">
      <c r="A445" s="6" t="inlineStr">
        <is>
          <t>2024-06-19</t>
        </is>
      </c>
      <c r="B445" s="6" t="inlineStr">
        <is>
          <t>中间分位</t>
        </is>
      </c>
      <c r="C445" s="10" t="n">
        <v>0.172</v>
      </c>
      <c r="D445" s="8" t="n">
        <v>0.005632</v>
      </c>
      <c r="E445" s="8" t="n">
        <v>-0.003153</v>
      </c>
      <c r="F445" s="8" t="n">
        <v>0.008784999999999999</v>
      </c>
      <c r="G445" s="8" t="n">
        <v>0.3589</v>
      </c>
      <c r="H445" s="8" t="n">
        <v>0.001658</v>
      </c>
      <c r="I445" s="8" t="n">
        <v>-0.012219</v>
      </c>
      <c r="J445" s="8" t="n">
        <v>0.013877</v>
      </c>
      <c r="K445" s="8" t="n">
        <v>0.8804999999999999</v>
      </c>
      <c r="L445" s="8" t="n">
        <v>0.017557</v>
      </c>
      <c r="M445" s="8" t="n">
        <v>0.013007</v>
      </c>
      <c r="N445" s="8" t="n">
        <v>0.00455</v>
      </c>
      <c r="O445" s="8" t="n">
        <v>0.4256</v>
      </c>
      <c r="P445" s="8" t="n">
        <v>0.023519</v>
      </c>
      <c r="Q445" s="8" t="n">
        <v>-0.003153</v>
      </c>
      <c r="R445" s="8" t="n">
        <v>0.026672</v>
      </c>
      <c r="S445" s="8" t="n">
        <v>0.1182</v>
      </c>
      <c r="T445" s="8" t="n">
        <v>-0.070883</v>
      </c>
      <c r="U445" s="8" t="n">
        <v>-0.071738</v>
      </c>
      <c r="V445" s="8" t="n">
        <v>0.000855</v>
      </c>
      <c r="W445" s="8" t="n">
        <v>0.503</v>
      </c>
      <c r="X445" s="8" t="n">
        <v>0.031799</v>
      </c>
      <c r="Y445" s="8" t="n">
        <v>0.028774</v>
      </c>
      <c r="Z445" s="8" t="n">
        <v>0.003025</v>
      </c>
      <c r="AA445" s="8" t="n">
        <v>0.475</v>
      </c>
    </row>
    <row r="446">
      <c r="A446" s="11" t="inlineStr">
        <is>
          <t>2024-06-20</t>
        </is>
      </c>
      <c r="B446" s="11" t="inlineStr">
        <is>
          <t>中间分位</t>
        </is>
      </c>
      <c r="C446" s="15" t="n">
        <v>0.268</v>
      </c>
      <c r="D446" s="13" t="n">
        <v>-0.001316</v>
      </c>
      <c r="E446" s="13" t="n">
        <v>-0.012258</v>
      </c>
      <c r="F446" s="13" t="n">
        <v>0.010942</v>
      </c>
      <c r="G446" s="13" t="n">
        <v>0.903</v>
      </c>
      <c r="H446" s="13" t="n">
        <v>-0.003953</v>
      </c>
      <c r="I446" s="13" t="n">
        <v>-0.00435</v>
      </c>
      <c r="J446" s="13" t="n">
        <v>0.000397</v>
      </c>
      <c r="K446" s="13" t="n">
        <v>0.5239</v>
      </c>
      <c r="L446" s="13" t="n">
        <v>0.007905000000000001</v>
      </c>
      <c r="M446" s="13" t="n">
        <v>0.013839</v>
      </c>
      <c r="N446" s="13" t="n">
        <v>-0.005934</v>
      </c>
      <c r="O446" s="13" t="n">
        <v>0.6365</v>
      </c>
      <c r="P446" s="13" t="n">
        <v>0.005601</v>
      </c>
      <c r="Q446" s="13" t="n">
        <v>-0.001582</v>
      </c>
      <c r="R446" s="13" t="n">
        <v>0.007183</v>
      </c>
      <c r="S446" s="13" t="n">
        <v>0.2202</v>
      </c>
      <c r="T446" s="13" t="n">
        <v>-0.062913</v>
      </c>
      <c r="U446" s="13" t="n">
        <v>-0.056544</v>
      </c>
      <c r="V446" s="13" t="n">
        <v>-0.006369</v>
      </c>
      <c r="W446" s="13" t="n">
        <v>0.4733</v>
      </c>
      <c r="X446" s="13" t="n">
        <v>0.027668</v>
      </c>
      <c r="Y446" s="13" t="n">
        <v>0.035587</v>
      </c>
      <c r="Z446" s="13" t="n">
        <v>-0.007919000000000001</v>
      </c>
      <c r="AA446" s="13" t="n">
        <v>0.5626</v>
      </c>
    </row>
    <row r="447">
      <c r="A447" s="6" t="inlineStr">
        <is>
          <t>2024-06-21</t>
        </is>
      </c>
      <c r="B447" s="6" t="inlineStr">
        <is>
          <t>中间分位</t>
        </is>
      </c>
      <c r="C447" s="10" t="n">
        <v>0.428</v>
      </c>
      <c r="D447" s="8" t="n">
        <v>-0.010555</v>
      </c>
      <c r="E447" s="8" t="n">
        <v>-0.008005999999999999</v>
      </c>
      <c r="F447" s="8" t="n">
        <v>-0.002549</v>
      </c>
      <c r="G447" s="8" t="n">
        <v>0.4313</v>
      </c>
      <c r="H447" s="8" t="n">
        <v>0.001318</v>
      </c>
      <c r="I447" s="8" t="n">
        <v>0.022018</v>
      </c>
      <c r="J447" s="8" t="n">
        <v>-0.0207</v>
      </c>
      <c r="K447" s="8" t="n">
        <v>0.9435</v>
      </c>
      <c r="L447" s="8" t="n">
        <v>0.005276</v>
      </c>
      <c r="M447" s="8" t="n">
        <v>0.016813</v>
      </c>
      <c r="N447" s="8" t="n">
        <v>-0.011537</v>
      </c>
      <c r="O447" s="8" t="n">
        <v>0.7611</v>
      </c>
      <c r="P447" s="8" t="n">
        <v>-0.000332</v>
      </c>
      <c r="Q447" s="8" t="n">
        <v>-0.002002</v>
      </c>
      <c r="R447" s="8" t="n">
        <v>0.00167</v>
      </c>
      <c r="S447" s="8" t="n">
        <v>0.8578</v>
      </c>
      <c r="T447" s="8" t="n">
        <v>-0.047826</v>
      </c>
      <c r="U447" s="8" t="n">
        <v>-0.046037</v>
      </c>
      <c r="V447" s="8" t="n">
        <v>-0.001789</v>
      </c>
      <c r="W447" s="8" t="n">
        <v>0.4905</v>
      </c>
      <c r="X447" s="8" t="n">
        <v>0.036938</v>
      </c>
      <c r="Y447" s="8" t="n">
        <v>0.042434</v>
      </c>
      <c r="Z447" s="8" t="n">
        <v>-0.005496</v>
      </c>
      <c r="AA447" s="8" t="n">
        <v>0.5346</v>
      </c>
    </row>
    <row r="448">
      <c r="A448" s="11" t="inlineStr">
        <is>
          <t>2024-06-24</t>
        </is>
      </c>
      <c r="B448" s="11" t="inlineStr">
        <is>
          <t>中间分位</t>
        </is>
      </c>
      <c r="C448" s="15" t="n">
        <v>0.392</v>
      </c>
      <c r="D448" s="13" t="n">
        <v>-0.006</v>
      </c>
      <c r="E448" s="13" t="n">
        <v>0.014124</v>
      </c>
      <c r="F448" s="13" t="n">
        <v>-0.020124</v>
      </c>
      <c r="G448" s="13" t="n">
        <v>0.7018</v>
      </c>
      <c r="H448" s="13" t="n">
        <v>0.021668</v>
      </c>
      <c r="I448" s="13" t="n">
        <v>0.027038</v>
      </c>
      <c r="J448" s="13" t="n">
        <v>-0.00537</v>
      </c>
      <c r="K448" s="13" t="n">
        <v>0.5551</v>
      </c>
      <c r="L448" s="13" t="n">
        <v>0.006332</v>
      </c>
      <c r="M448" s="13" t="n">
        <v>0.01816</v>
      </c>
      <c r="N448" s="13" t="n">
        <v>-0.011828</v>
      </c>
      <c r="O448" s="13" t="n">
        <v>0.7415</v>
      </c>
      <c r="P448" s="13" t="n">
        <v>0</v>
      </c>
      <c r="Q448" s="13" t="n">
        <v>0.004036</v>
      </c>
      <c r="R448" s="13" t="n">
        <v>-0.004036</v>
      </c>
      <c r="S448" s="13" t="n">
        <v>1</v>
      </c>
      <c r="T448" s="13" t="n">
        <v>-0.039332</v>
      </c>
      <c r="U448" s="13" t="n">
        <v>-0.037127</v>
      </c>
      <c r="V448" s="13" t="n">
        <v>-0.002205</v>
      </c>
      <c r="W448" s="13" t="n">
        <v>0.4856</v>
      </c>
      <c r="X448" s="13" t="n">
        <v>0.045668</v>
      </c>
      <c r="Y448" s="13" t="n">
        <v>0.047619</v>
      </c>
      <c r="Z448" s="13" t="n">
        <v>-0.001951</v>
      </c>
      <c r="AA448" s="13" t="n">
        <v>0.5105</v>
      </c>
    </row>
    <row r="449">
      <c r="A449" s="6" t="inlineStr">
        <is>
          <t>2024-06-25</t>
        </is>
      </c>
      <c r="B449" s="6" t="inlineStr">
        <is>
          <t>中间分位</t>
        </is>
      </c>
      <c r="C449" s="10" t="n">
        <v>0.156</v>
      </c>
      <c r="D449" s="8" t="n">
        <v>0.014085</v>
      </c>
      <c r="E449" s="8" t="n">
        <v>-0.002786</v>
      </c>
      <c r="F449" s="8" t="n">
        <v>0.016871</v>
      </c>
      <c r="G449" s="8" t="n">
        <v>0.1651</v>
      </c>
      <c r="H449" s="8" t="n">
        <v>0.019115</v>
      </c>
      <c r="I449" s="8" t="n">
        <v>0.023478</v>
      </c>
      <c r="J449" s="8" t="n">
        <v>-0.004363</v>
      </c>
      <c r="K449" s="8" t="n">
        <v>0.5512</v>
      </c>
      <c r="L449" s="8" t="n">
        <v>0.008048</v>
      </c>
      <c r="M449" s="8" t="n">
        <v>0.014723</v>
      </c>
      <c r="N449" s="8" t="n">
        <v>-0.006675</v>
      </c>
      <c r="O449" s="8" t="n">
        <v>0.6466</v>
      </c>
      <c r="P449" s="8" t="n">
        <v>0.004358</v>
      </c>
      <c r="Q449" s="8" t="n">
        <v>-0.005173</v>
      </c>
      <c r="R449" s="8" t="n">
        <v>0.009531</v>
      </c>
      <c r="S449" s="8" t="n">
        <v>0.5427999999999999</v>
      </c>
      <c r="T449" s="8" t="n">
        <v>-0.033533</v>
      </c>
      <c r="U449" s="8" t="n">
        <v>-0.040191</v>
      </c>
      <c r="V449" s="8" t="n">
        <v>0.006658</v>
      </c>
      <c r="W449" s="8" t="n">
        <v>0.5452</v>
      </c>
      <c r="X449" s="8" t="n">
        <v>0.056338</v>
      </c>
      <c r="Y449" s="8" t="n">
        <v>0.039395</v>
      </c>
      <c r="Z449" s="8" t="n">
        <v>0.016943</v>
      </c>
      <c r="AA449" s="8" t="n">
        <v>0.4115</v>
      </c>
    </row>
    <row r="450">
      <c r="A450" s="11" t="inlineStr">
        <is>
          <t>2024-06-26</t>
        </is>
      </c>
      <c r="B450" s="11" t="inlineStr">
        <is>
          <t>中间分位</t>
        </is>
      </c>
      <c r="C450" s="15" t="n">
        <v>0.344</v>
      </c>
      <c r="D450" s="13" t="n">
        <v>0</v>
      </c>
      <c r="E450" s="13" t="n">
        <v>0.004789</v>
      </c>
      <c r="F450" s="13" t="n">
        <v>-0.004789</v>
      </c>
      <c r="G450" s="13" t="n">
        <v>1</v>
      </c>
      <c r="H450" s="13" t="n">
        <v>0.015873</v>
      </c>
      <c r="I450" s="13" t="n">
        <v>0.025539</v>
      </c>
      <c r="J450" s="13" t="n">
        <v>-0.009665999999999999</v>
      </c>
      <c r="K450" s="13" t="n">
        <v>0.6167</v>
      </c>
      <c r="L450" s="13" t="n">
        <v>0.003639</v>
      </c>
      <c r="M450" s="13" t="n">
        <v>0.01237</v>
      </c>
      <c r="N450" s="13" t="n">
        <v>-0.008730999999999999</v>
      </c>
      <c r="O450" s="13" t="n">
        <v>0.7727000000000001</v>
      </c>
      <c r="P450" s="13" t="n">
        <v>-0.003968</v>
      </c>
      <c r="Q450" s="13" t="n">
        <v>0.002394</v>
      </c>
      <c r="R450" s="13" t="n">
        <v>-0.006362</v>
      </c>
      <c r="S450" s="13" t="n">
        <v>0.3763</v>
      </c>
      <c r="T450" s="13" t="n">
        <v>-0.031746</v>
      </c>
      <c r="U450" s="13" t="n">
        <v>-0.049481</v>
      </c>
      <c r="V450" s="13" t="n">
        <v>0.017735</v>
      </c>
      <c r="W450" s="13" t="n">
        <v>0.6092</v>
      </c>
      <c r="X450" s="13" t="n">
        <v>0.041667</v>
      </c>
      <c r="Y450" s="13" t="n">
        <v>0.034717</v>
      </c>
      <c r="Z450" s="13" t="n">
        <v>0.00695</v>
      </c>
      <c r="AA450" s="13" t="n">
        <v>0.4545</v>
      </c>
    </row>
    <row r="451">
      <c r="A451" s="6" t="inlineStr">
        <is>
          <t>2024-06-27</t>
        </is>
      </c>
      <c r="B451" s="6" t="inlineStr">
        <is>
          <t>中间分位</t>
        </is>
      </c>
      <c r="C451" s="10" t="n">
        <v>0.276</v>
      </c>
      <c r="D451" s="8" t="n">
        <v>0.003968</v>
      </c>
      <c r="E451" s="8" t="n">
        <v>0.0139</v>
      </c>
      <c r="F451" s="8" t="n">
        <v>-0.009932</v>
      </c>
      <c r="G451" s="8" t="n">
        <v>0.7779</v>
      </c>
      <c r="H451" s="8" t="n">
        <v>0.011905</v>
      </c>
      <c r="I451" s="8" t="n">
        <v>0.018268</v>
      </c>
      <c r="J451" s="8" t="n">
        <v>-0.006363</v>
      </c>
      <c r="K451" s="8" t="n">
        <v>0.6054</v>
      </c>
      <c r="L451" s="8" t="n">
        <v>-0.001655</v>
      </c>
      <c r="M451" s="8" t="n">
        <v>0.026211</v>
      </c>
      <c r="N451" s="8" t="n">
        <v>-0.027866</v>
      </c>
      <c r="O451" s="8" t="n">
        <v>0.9406</v>
      </c>
      <c r="P451" s="8" t="n">
        <v>-0.004631</v>
      </c>
      <c r="Q451" s="8" t="n">
        <v>-0.013503</v>
      </c>
      <c r="R451" s="8" t="n">
        <v>0.008872</v>
      </c>
      <c r="S451" s="8" t="n">
        <v>0.7446</v>
      </c>
      <c r="T451" s="8" t="n">
        <v>-0.043651</v>
      </c>
      <c r="U451" s="8" t="n">
        <v>-0.071088</v>
      </c>
      <c r="V451" s="8" t="n">
        <v>0.027437</v>
      </c>
      <c r="W451" s="8" t="n">
        <v>0.6196</v>
      </c>
      <c r="X451" s="8" t="n">
        <v>0.061837</v>
      </c>
      <c r="Y451" s="8" t="n">
        <v>0.049245</v>
      </c>
      <c r="Z451" s="8" t="n">
        <v>0.012592</v>
      </c>
      <c r="AA451" s="8" t="n">
        <v>0.4433</v>
      </c>
    </row>
    <row r="452">
      <c r="A452" s="11" t="inlineStr">
        <is>
          <t>2024-06-28</t>
        </is>
      </c>
      <c r="B452" s="11" t="inlineStr">
        <is>
          <t>中间分位</t>
        </is>
      </c>
      <c r="C452" s="15" t="n">
        <v>0.176</v>
      </c>
      <c r="D452" s="13" t="n">
        <v>0.009553000000000001</v>
      </c>
      <c r="E452" s="13" t="n">
        <v>-0.003134</v>
      </c>
      <c r="F452" s="13" t="n">
        <v>0.012687</v>
      </c>
      <c r="G452" s="13" t="n">
        <v>0.247</v>
      </c>
      <c r="H452" s="13" t="n">
        <v>0.003953</v>
      </c>
      <c r="I452" s="13" t="n">
        <v>-0.005092</v>
      </c>
      <c r="J452" s="13" t="n">
        <v>0.009044999999999999</v>
      </c>
      <c r="K452" s="13" t="n">
        <v>0.5629999999999999</v>
      </c>
      <c r="L452" s="13" t="n">
        <v>0.007905000000000001</v>
      </c>
      <c r="M452" s="13" t="n">
        <v>0.007834000000000001</v>
      </c>
      <c r="N452" s="13" t="n">
        <v>7.1e-05</v>
      </c>
      <c r="O452" s="13" t="n">
        <v>0.4977</v>
      </c>
      <c r="P452" s="13" t="n">
        <v>-0.007905000000000001</v>
      </c>
      <c r="Q452" s="13" t="n">
        <v>-0.015276</v>
      </c>
      <c r="R452" s="13" t="n">
        <v>0.007371</v>
      </c>
      <c r="S452" s="13" t="n">
        <v>0.659</v>
      </c>
      <c r="T452" s="13" t="n">
        <v>-0.059289</v>
      </c>
      <c r="U452" s="13" t="n">
        <v>-0.061496</v>
      </c>
      <c r="V452" s="13" t="n">
        <v>0.002207</v>
      </c>
      <c r="W452" s="13" t="n">
        <v>0.5091</v>
      </c>
      <c r="X452" s="13" t="n">
        <v>0.08563999999999999</v>
      </c>
      <c r="Y452" s="13" t="n">
        <v>0.040736</v>
      </c>
      <c r="Z452" s="13" t="n">
        <v>0.044904</v>
      </c>
      <c r="AA452" s="13" t="n">
        <v>0.3223</v>
      </c>
    </row>
    <row r="453">
      <c r="A453" s="6" t="inlineStr">
        <is>
          <t>2024-07-01</t>
        </is>
      </c>
      <c r="B453" s="6" t="inlineStr">
        <is>
          <t>中间分位</t>
        </is>
      </c>
      <c r="C453" s="10" t="n">
        <v>0.32</v>
      </c>
      <c r="D453" s="8" t="n">
        <v>-0.008484</v>
      </c>
      <c r="E453" s="8" t="n">
        <v>0.010609</v>
      </c>
      <c r="F453" s="8" t="n">
        <v>-0.019093</v>
      </c>
      <c r="G453" s="8" t="n">
        <v>0.5556</v>
      </c>
      <c r="H453" s="8" t="n">
        <v>-0.015011</v>
      </c>
      <c r="I453" s="8" t="n">
        <v>-0.008644000000000001</v>
      </c>
      <c r="J453" s="8" t="n">
        <v>-0.006367</v>
      </c>
      <c r="K453" s="8" t="n">
        <v>0.3654</v>
      </c>
      <c r="L453" s="8" t="n">
        <v>0.002283</v>
      </c>
      <c r="M453" s="8" t="n">
        <v>0.010216</v>
      </c>
      <c r="N453" s="8" t="n">
        <v>-0.007933000000000001</v>
      </c>
      <c r="O453" s="8" t="n">
        <v>0.8173</v>
      </c>
      <c r="P453" s="8" t="n">
        <v>-0.011421</v>
      </c>
      <c r="Q453" s="8" t="n">
        <v>-0.023183</v>
      </c>
      <c r="R453" s="8" t="n">
        <v>0.011762</v>
      </c>
      <c r="S453" s="8" t="n">
        <v>0.67</v>
      </c>
      <c r="T453" s="8" t="n">
        <v>-0.06590799999999999</v>
      </c>
      <c r="U453" s="8" t="n">
        <v>-0.054617</v>
      </c>
      <c r="V453" s="8" t="n">
        <v>-0.011291</v>
      </c>
      <c r="W453" s="8" t="n">
        <v>0.4532</v>
      </c>
      <c r="X453" s="8" t="n">
        <v>0.079932</v>
      </c>
      <c r="Y453" s="8" t="n">
        <v>0.042436</v>
      </c>
      <c r="Z453" s="8" t="n">
        <v>0.037496</v>
      </c>
      <c r="AA453" s="8" t="n">
        <v>0.3468</v>
      </c>
    </row>
    <row r="454">
      <c r="A454" s="11" t="inlineStr">
        <is>
          <t>2024-07-02</t>
        </is>
      </c>
      <c r="B454" s="11" t="inlineStr">
        <is>
          <t>中间分位</t>
        </is>
      </c>
      <c r="C454" s="15" t="n">
        <v>0.128</v>
      </c>
      <c r="D454" s="13" t="n">
        <v>0.010859</v>
      </c>
      <c r="E454" s="13" t="n">
        <v>-0.000778</v>
      </c>
      <c r="F454" s="13" t="n">
        <v>0.011637</v>
      </c>
      <c r="G454" s="13" t="n">
        <v>0.0669</v>
      </c>
      <c r="H454" s="13" t="n">
        <v>-0.010859</v>
      </c>
      <c r="I454" s="13" t="n">
        <v>-0.008554000000000001</v>
      </c>
      <c r="J454" s="13" t="n">
        <v>-0.002305</v>
      </c>
      <c r="K454" s="13" t="n">
        <v>0.4406</v>
      </c>
      <c r="L454" s="13" t="n">
        <v>0.016122</v>
      </c>
      <c r="M454" s="13" t="n">
        <v>-0.002333</v>
      </c>
      <c r="N454" s="13" t="n">
        <v>0.018455</v>
      </c>
      <c r="O454" s="13" t="n">
        <v>0.1264</v>
      </c>
      <c r="P454" s="13" t="n">
        <v>-0.012833</v>
      </c>
      <c r="Q454" s="13" t="n">
        <v>-0.048212</v>
      </c>
      <c r="R454" s="13" t="n">
        <v>0.035379</v>
      </c>
      <c r="S454" s="13" t="n">
        <v>0.7897999999999999</v>
      </c>
      <c r="T454" s="13" t="n">
        <v>-0.032904</v>
      </c>
      <c r="U454" s="13" t="n">
        <v>-0.061431</v>
      </c>
      <c r="V454" s="13" t="n">
        <v>0.028527</v>
      </c>
      <c r="W454" s="13" t="n">
        <v>0.6512</v>
      </c>
      <c r="X454" s="13" t="n">
        <v>0.08193499999999999</v>
      </c>
      <c r="Y454" s="13" t="n">
        <v>0.031104</v>
      </c>
      <c r="Z454" s="13" t="n">
        <v>0.050831</v>
      </c>
      <c r="AA454" s="13" t="n">
        <v>0.2752</v>
      </c>
    </row>
    <row r="455">
      <c r="A455" s="6" t="inlineStr">
        <is>
          <t>2024-07-03</t>
        </is>
      </c>
      <c r="B455" s="6" t="inlineStr">
        <is>
          <t>中间分位</t>
        </is>
      </c>
      <c r="C455" s="10" t="n">
        <v>0.228</v>
      </c>
      <c r="D455" s="8" t="n">
        <v>-0.003906</v>
      </c>
      <c r="E455" s="8" t="n">
        <v>-0.002335</v>
      </c>
      <c r="F455" s="8" t="n">
        <v>-0.001571</v>
      </c>
      <c r="G455" s="8" t="n">
        <v>0.3741</v>
      </c>
      <c r="H455" s="8" t="n">
        <v>-0.012043</v>
      </c>
      <c r="I455" s="8" t="n">
        <v>-0.01284</v>
      </c>
      <c r="J455" s="8" t="n">
        <v>0.000797</v>
      </c>
      <c r="K455" s="8" t="n">
        <v>0.516</v>
      </c>
      <c r="L455" s="8" t="n">
        <v>0.005859</v>
      </c>
      <c r="M455" s="8" t="n">
        <v>-0.015953</v>
      </c>
      <c r="N455" s="8" t="n">
        <v>0.021812</v>
      </c>
      <c r="O455" s="8" t="n">
        <v>0.7314000000000001</v>
      </c>
      <c r="P455" s="8" t="n">
        <v>-0.036785</v>
      </c>
      <c r="Q455" s="8" t="n">
        <v>-0.030739</v>
      </c>
      <c r="R455" s="8" t="n">
        <v>-0.006046</v>
      </c>
      <c r="S455" s="8" t="n">
        <v>0.4552</v>
      </c>
      <c r="T455" s="8" t="n">
        <v>-0.046551</v>
      </c>
      <c r="U455" s="8" t="n">
        <v>-0.047471</v>
      </c>
      <c r="V455" s="8" t="n">
        <v>0.00092</v>
      </c>
      <c r="W455" s="8" t="n">
        <v>0.5049</v>
      </c>
      <c r="X455" s="8" t="n">
        <v>0.07421899999999999</v>
      </c>
      <c r="Y455" s="8" t="n">
        <v>0.02607</v>
      </c>
      <c r="Z455" s="8" t="n">
        <v>0.048149</v>
      </c>
      <c r="AA455" s="8" t="n">
        <v>0.2599</v>
      </c>
    </row>
    <row r="456">
      <c r="A456" s="11" t="inlineStr">
        <is>
          <t>2024-07-04</t>
        </is>
      </c>
      <c r="B456" s="11" t="inlineStr">
        <is>
          <t>中间分位</t>
        </is>
      </c>
      <c r="C456" s="15" t="n">
        <v>0.22</v>
      </c>
      <c r="D456" s="13" t="n">
        <v>-0.003922</v>
      </c>
      <c r="E456" s="13" t="n">
        <v>-0.00936</v>
      </c>
      <c r="F456" s="13" t="n">
        <v>0.005438</v>
      </c>
      <c r="G456" s="13" t="n">
        <v>0.7047</v>
      </c>
      <c r="H456" s="13" t="n">
        <v>-0.0134</v>
      </c>
      <c r="I456" s="13" t="n">
        <v>0.0078</v>
      </c>
      <c r="J456" s="13" t="n">
        <v>-0.0212</v>
      </c>
      <c r="K456" s="13" t="n">
        <v>0.3679</v>
      </c>
      <c r="L456" s="13" t="n">
        <v>-0.002286</v>
      </c>
      <c r="M456" s="13" t="n">
        <v>-0.015211</v>
      </c>
      <c r="N456" s="13" t="n">
        <v>0.012925</v>
      </c>
      <c r="O456" s="13" t="n">
        <v>0.8693</v>
      </c>
      <c r="P456" s="13" t="n">
        <v>-0.015686</v>
      </c>
      <c r="Q456" s="13" t="n">
        <v>-0.026911</v>
      </c>
      <c r="R456" s="13" t="n">
        <v>0.011225</v>
      </c>
      <c r="S456" s="13" t="n">
        <v>0.6318</v>
      </c>
      <c r="T456" s="13" t="n">
        <v>-0.01242</v>
      </c>
      <c r="U456" s="13" t="n">
        <v>-0.015211</v>
      </c>
      <c r="V456" s="13" t="n">
        <v>0.002791</v>
      </c>
      <c r="W456" s="13" t="n">
        <v>0.5505</v>
      </c>
      <c r="X456" s="13" t="n">
        <v>0.0634</v>
      </c>
      <c r="Y456" s="13" t="n">
        <v>0.042902</v>
      </c>
      <c r="Z456" s="13" t="n">
        <v>0.020498</v>
      </c>
      <c r="AA456" s="13" t="n">
        <v>0.4036</v>
      </c>
    </row>
    <row r="457">
      <c r="A457" s="6" t="inlineStr">
        <is>
          <t>2024-07-05</t>
        </is>
      </c>
      <c r="B457" s="6" t="inlineStr">
        <is>
          <t>中间分位</t>
        </is>
      </c>
      <c r="C457" s="10" t="n">
        <v>0.276</v>
      </c>
      <c r="D457" s="8" t="n">
        <v>-0.009516</v>
      </c>
      <c r="E457" s="8" t="n">
        <v>-0.006693</v>
      </c>
      <c r="F457" s="8" t="n">
        <v>-0.002823</v>
      </c>
      <c r="G457" s="8" t="n">
        <v>0.4129</v>
      </c>
      <c r="H457" s="8" t="n">
        <v>0.003937</v>
      </c>
      <c r="I457" s="8" t="n">
        <v>0.012992</v>
      </c>
      <c r="J457" s="8" t="n">
        <v>-0.009055000000000001</v>
      </c>
      <c r="K457" s="8" t="n">
        <v>0.7674</v>
      </c>
      <c r="L457" s="8" t="n">
        <v>-0.005579</v>
      </c>
      <c r="M457" s="8" t="n">
        <v>-0.018504</v>
      </c>
      <c r="N457" s="8" t="n">
        <v>0.012925</v>
      </c>
      <c r="O457" s="8" t="n">
        <v>0.7683</v>
      </c>
      <c r="P457" s="8" t="n">
        <v>-0.011811</v>
      </c>
      <c r="Q457" s="8" t="n">
        <v>-0.01378</v>
      </c>
      <c r="R457" s="8" t="n">
        <v>0.001969</v>
      </c>
      <c r="S457" s="8" t="n">
        <v>0.5385</v>
      </c>
      <c r="T457" s="8" t="n">
        <v>0.014764</v>
      </c>
      <c r="U457" s="8" t="n">
        <v>0.01063</v>
      </c>
      <c r="V457" s="8" t="n">
        <v>0.004134</v>
      </c>
      <c r="W457" s="8" t="n">
        <v>0.4186</v>
      </c>
      <c r="X457" s="8" t="n">
        <v>0.081035</v>
      </c>
      <c r="Y457" s="8" t="n">
        <v>0.06417299999999999</v>
      </c>
      <c r="Z457" s="8" t="n">
        <v>0.016862</v>
      </c>
      <c r="AA457" s="8" t="n">
        <v>0.4419</v>
      </c>
    </row>
    <row r="458">
      <c r="A458" s="11" t="inlineStr">
        <is>
          <t>2024-07-08</t>
        </is>
      </c>
      <c r="B458" s="11" t="inlineStr">
        <is>
          <t>中间分位</t>
        </is>
      </c>
      <c r="C458" s="15" t="n">
        <v>0.236</v>
      </c>
      <c r="D458" s="13" t="n">
        <v>-0.004305</v>
      </c>
      <c r="E458" s="13" t="n">
        <v>0.010702</v>
      </c>
      <c r="F458" s="13" t="n">
        <v>-0.015007</v>
      </c>
      <c r="G458" s="13" t="n">
        <v>0.7131</v>
      </c>
      <c r="H458" s="13" t="n">
        <v>0.017557</v>
      </c>
      <c r="I458" s="13" t="n">
        <v>0.019025</v>
      </c>
      <c r="J458" s="13" t="n">
        <v>-0.001468</v>
      </c>
      <c r="K458" s="13" t="n">
        <v>0.5201</v>
      </c>
      <c r="L458" s="13" t="n">
        <v>-0.006292</v>
      </c>
      <c r="M458" s="13" t="n">
        <v>-0.013872</v>
      </c>
      <c r="N458" s="13" t="n">
        <v>0.00758</v>
      </c>
      <c r="O458" s="13" t="n">
        <v>0.6879999999999999</v>
      </c>
      <c r="P458" s="13" t="n">
        <v>-0.00033</v>
      </c>
      <c r="Q458" s="13" t="n">
        <v>-0.021007</v>
      </c>
      <c r="R458" s="13" t="n">
        <v>0.020677</v>
      </c>
      <c r="S458" s="13" t="n">
        <v>0.9845</v>
      </c>
      <c r="T458" s="13" t="n">
        <v>0.041736</v>
      </c>
      <c r="U458" s="13" t="n">
        <v>-0.002378</v>
      </c>
      <c r="V458" s="13" t="n">
        <v>0.044114</v>
      </c>
      <c r="W458" s="13" t="n">
        <v>0.0539</v>
      </c>
      <c r="X458" s="13" t="n">
        <v>0.09639</v>
      </c>
      <c r="Y458" s="13" t="n">
        <v>0.07292899999999999</v>
      </c>
      <c r="Z458" s="13" t="n">
        <v>0.023461</v>
      </c>
      <c r="AA458" s="13" t="n">
        <v>0.4307</v>
      </c>
    </row>
    <row r="459">
      <c r="A459" s="6" t="inlineStr">
        <is>
          <t>2024-07-09</t>
        </is>
      </c>
      <c r="B459" s="6" t="inlineStr">
        <is>
          <t>中间分位</t>
        </is>
      </c>
      <c r="C459" s="10" t="n">
        <v>0.12</v>
      </c>
      <c r="D459" s="8" t="n">
        <v>0.009649</v>
      </c>
      <c r="E459" s="8" t="n">
        <v>-0.005098</v>
      </c>
      <c r="F459" s="8" t="n">
        <v>0.014747</v>
      </c>
      <c r="G459" s="8" t="n">
        <v>0.3457</v>
      </c>
      <c r="H459" s="8" t="n">
        <v>0.027277</v>
      </c>
      <c r="I459" s="8" t="n">
        <v>0.006275</v>
      </c>
      <c r="J459" s="8" t="n">
        <v>0.021002</v>
      </c>
      <c r="K459" s="8" t="n">
        <v>0.187</v>
      </c>
      <c r="L459" s="8" t="n">
        <v>-0.003661</v>
      </c>
      <c r="M459" s="8" t="n">
        <v>-0.019608</v>
      </c>
      <c r="N459" s="8" t="n">
        <v>0.015947</v>
      </c>
      <c r="O459" s="8" t="n">
        <v>0.8427</v>
      </c>
      <c r="P459" s="8" t="n">
        <v>-0.005988</v>
      </c>
      <c r="Q459" s="8" t="n">
        <v>-0.034902</v>
      </c>
      <c r="R459" s="8" t="n">
        <v>0.028914</v>
      </c>
      <c r="S459" s="8" t="n">
        <v>0.8536</v>
      </c>
      <c r="T459" s="8" t="n">
        <v>0.02994</v>
      </c>
      <c r="U459" s="8" t="n">
        <v>-0.024706</v>
      </c>
      <c r="V459" s="8" t="n">
        <v>0.054646</v>
      </c>
      <c r="W459" s="8" t="n">
        <v>0.4521</v>
      </c>
      <c r="X459" s="8" t="n">
        <v>0.109449</v>
      </c>
      <c r="Y459" s="8" t="n">
        <v>0.042745</v>
      </c>
      <c r="Z459" s="8" t="n">
        <v>0.066704</v>
      </c>
      <c r="AA459" s="8" t="n">
        <v>0.2809</v>
      </c>
    </row>
    <row r="460">
      <c r="A460" s="11" t="inlineStr">
        <is>
          <t>2024-07-10</t>
        </is>
      </c>
      <c r="B460" s="11" t="inlineStr">
        <is>
          <t>中间分位</t>
        </is>
      </c>
      <c r="C460" s="15" t="n">
        <v>0.232</v>
      </c>
      <c r="D460" s="13" t="n">
        <v>-0.005274</v>
      </c>
      <c r="E460" s="13" t="n">
        <v>0.018526</v>
      </c>
      <c r="F460" s="13" t="n">
        <v>-0.0238</v>
      </c>
      <c r="G460" s="13" t="n">
        <v>0.7784</v>
      </c>
      <c r="H460" s="13" t="n">
        <v>0.018121</v>
      </c>
      <c r="I460" s="13" t="n">
        <v>-0.003153</v>
      </c>
      <c r="J460" s="13" t="n">
        <v>0.021274</v>
      </c>
      <c r="K460" s="13" t="n">
        <v>0.1482</v>
      </c>
      <c r="L460" s="13" t="n">
        <v>-0.00758</v>
      </c>
      <c r="M460" s="13" t="n">
        <v>-0.009854</v>
      </c>
      <c r="N460" s="13" t="n">
        <v>0.002274</v>
      </c>
      <c r="O460" s="13" t="n">
        <v>0.5652</v>
      </c>
      <c r="P460" s="13" t="n">
        <v>-0.02109</v>
      </c>
      <c r="Q460" s="13" t="n">
        <v>-0.030745</v>
      </c>
      <c r="R460" s="13" t="n">
        <v>0.009655</v>
      </c>
      <c r="S460" s="13" t="n">
        <v>0.5931</v>
      </c>
      <c r="T460" s="13" t="n">
        <v>-0.009228</v>
      </c>
      <c r="U460" s="13" t="n">
        <v>-0.013402</v>
      </c>
      <c r="V460" s="13" t="n">
        <v>0.004174</v>
      </c>
      <c r="W460" s="13" t="n">
        <v>0.5921999999999999</v>
      </c>
      <c r="X460" s="13" t="n">
        <v>0.087313</v>
      </c>
      <c r="Y460" s="13" t="n">
        <v>0.021285</v>
      </c>
      <c r="Z460" s="13" t="n">
        <v>0.066028</v>
      </c>
      <c r="AA460" s="13" t="n">
        <v>0.196</v>
      </c>
    </row>
    <row r="461">
      <c r="A461" s="6" t="inlineStr">
        <is>
          <t>2024-07-11</t>
        </is>
      </c>
      <c r="B461" s="6" t="inlineStr">
        <is>
          <t>低分位</t>
        </is>
      </c>
      <c r="C461" s="10" t="n">
        <v>0.07199999999999999</v>
      </c>
      <c r="D461" s="8" t="n">
        <v>0.013582</v>
      </c>
      <c r="E461" s="8" t="n">
        <v>-0.004257</v>
      </c>
      <c r="F461" s="8" t="n">
        <v>0.017839</v>
      </c>
      <c r="G461" s="8" t="n">
        <v>0.2386</v>
      </c>
      <c r="H461" s="8" t="n">
        <v>0.011265</v>
      </c>
      <c r="I461" s="8" t="n">
        <v>-0.022833</v>
      </c>
      <c r="J461" s="8" t="n">
        <v>0.034098</v>
      </c>
      <c r="K461" s="8" t="n">
        <v>0.6696</v>
      </c>
      <c r="L461" s="8" t="n">
        <v>-0.002981</v>
      </c>
      <c r="M461" s="8" t="n">
        <v>-0.0387</v>
      </c>
      <c r="N461" s="8" t="n">
        <v>0.035719</v>
      </c>
      <c r="O461" s="8" t="n">
        <v>0.9285</v>
      </c>
      <c r="P461" s="8" t="n">
        <v>-0.017553</v>
      </c>
      <c r="Q461" s="8" t="n">
        <v>-0.049536</v>
      </c>
      <c r="R461" s="8" t="n">
        <v>0.031983</v>
      </c>
      <c r="S461" s="8" t="n">
        <v>0.7383999999999999</v>
      </c>
      <c r="T461" s="8" t="n">
        <v>0.014246</v>
      </c>
      <c r="U461" s="8" t="n">
        <v>-0.032895</v>
      </c>
      <c r="V461" s="8" t="n">
        <v>0.047141</v>
      </c>
      <c r="W461" s="8" t="n">
        <v>0.6978</v>
      </c>
      <c r="X461" s="8" t="n">
        <v>0.060616</v>
      </c>
      <c r="Y461" s="8" t="n">
        <v>0</v>
      </c>
      <c r="Z461" s="8" t="n">
        <v>0.060616</v>
      </c>
      <c r="AA461" s="8" t="n">
        <v>0</v>
      </c>
    </row>
    <row r="462">
      <c r="A462" s="11" t="inlineStr">
        <is>
          <t>2024-07-12</t>
        </is>
      </c>
      <c r="B462" s="11" t="inlineStr">
        <is>
          <t>中间分位</t>
        </is>
      </c>
      <c r="C462" s="15" t="n">
        <v>0.188</v>
      </c>
      <c r="D462" s="13" t="n">
        <v>0.003922</v>
      </c>
      <c r="E462" s="13" t="n">
        <v>-0.000777</v>
      </c>
      <c r="F462" s="13" t="n">
        <v>0.004699</v>
      </c>
      <c r="G462" s="13" t="n">
        <v>0.1654</v>
      </c>
      <c r="H462" s="13" t="n">
        <v>-0.009478</v>
      </c>
      <c r="I462" s="13" t="n">
        <v>-0.031092</v>
      </c>
      <c r="J462" s="13" t="n">
        <v>0.021614</v>
      </c>
      <c r="K462" s="13" t="n">
        <v>0.7664</v>
      </c>
      <c r="L462" s="13" t="n">
        <v>-0.015686</v>
      </c>
      <c r="M462" s="13" t="n">
        <v>-0.02293</v>
      </c>
      <c r="N462" s="13" t="n">
        <v>0.007244</v>
      </c>
      <c r="O462" s="13" t="n">
        <v>0.5938</v>
      </c>
      <c r="P462" s="13" t="n">
        <v>-0.030718</v>
      </c>
      <c r="Q462" s="13" t="n">
        <v>-0.049359</v>
      </c>
      <c r="R462" s="13" t="n">
        <v>0.018641</v>
      </c>
      <c r="S462" s="13" t="n">
        <v>0.6163999999999999</v>
      </c>
      <c r="T462" s="13" t="n">
        <v>-0.015686</v>
      </c>
      <c r="U462" s="13" t="n">
        <v>-0.045084</v>
      </c>
      <c r="V462" s="13" t="n">
        <v>0.029398</v>
      </c>
      <c r="W462" s="13" t="n">
        <v>0.7419</v>
      </c>
      <c r="X462" s="13" t="n">
        <v>0.048365</v>
      </c>
      <c r="Y462" s="13" t="n">
        <v>0.010882</v>
      </c>
      <c r="Z462" s="13" t="n">
        <v>0.037483</v>
      </c>
      <c r="AA462" s="13" t="n">
        <v>0.1837</v>
      </c>
    </row>
    <row r="463">
      <c r="A463" s="6" t="inlineStr">
        <is>
          <t>2024-07-15</t>
        </is>
      </c>
      <c r="B463" s="6" t="inlineStr">
        <is>
          <t>中间分位</t>
        </is>
      </c>
      <c r="C463" s="10" t="n">
        <v>0.232</v>
      </c>
      <c r="D463" s="8" t="n">
        <v>0.005207</v>
      </c>
      <c r="E463" s="8" t="n">
        <v>-0.001945</v>
      </c>
      <c r="F463" s="8" t="n">
        <v>0.007152</v>
      </c>
      <c r="G463" s="8" t="n">
        <v>0.272</v>
      </c>
      <c r="H463" s="8" t="n">
        <v>-0.023438</v>
      </c>
      <c r="I463" s="8" t="n">
        <v>-0.032283</v>
      </c>
      <c r="J463" s="8" t="n">
        <v>0.008845</v>
      </c>
      <c r="K463" s="8" t="n">
        <v>0.5794</v>
      </c>
      <c r="L463" s="8" t="n">
        <v>-0.013672</v>
      </c>
      <c r="M463" s="8" t="n">
        <v>-0.033061</v>
      </c>
      <c r="N463" s="8" t="n">
        <v>0.019389</v>
      </c>
      <c r="O463" s="8" t="n">
        <v>0.7074</v>
      </c>
      <c r="P463" s="8" t="n">
        <v>-0.039062</v>
      </c>
      <c r="Q463" s="8" t="n">
        <v>-0.05951</v>
      </c>
      <c r="R463" s="8" t="n">
        <v>0.020448</v>
      </c>
      <c r="S463" s="8" t="n">
        <v>0.6037</v>
      </c>
      <c r="T463" s="8" t="n">
        <v>-0.032227</v>
      </c>
      <c r="U463" s="8" t="n">
        <v>-0.047063</v>
      </c>
      <c r="V463" s="8" t="n">
        <v>0.014836</v>
      </c>
      <c r="W463" s="8" t="n">
        <v>0.5936</v>
      </c>
      <c r="X463" s="8" t="n">
        <v>0.050129</v>
      </c>
      <c r="Y463" s="8" t="n">
        <v>0.007001</v>
      </c>
      <c r="Z463" s="8" t="n">
        <v>0.043128</v>
      </c>
      <c r="AA463" s="8" t="n">
        <v>0.1225</v>
      </c>
    </row>
    <row r="464">
      <c r="A464" s="11" t="inlineStr">
        <is>
          <t>2024-07-16</t>
        </is>
      </c>
      <c r="B464" s="11" t="inlineStr">
        <is>
          <t>中间分位</t>
        </is>
      </c>
      <c r="C464" s="15" t="n">
        <v>0.328</v>
      </c>
      <c r="D464" s="13" t="n">
        <v>0.0006489999999999999</v>
      </c>
      <c r="E464" s="13" t="n">
        <v>-0.014419</v>
      </c>
      <c r="F464" s="13" t="n">
        <v>0.015068</v>
      </c>
      <c r="G464" s="13" t="n">
        <v>0.9569</v>
      </c>
      <c r="H464" s="13" t="n">
        <v>-0.030117</v>
      </c>
      <c r="I464" s="13" t="n">
        <v>-0.025721</v>
      </c>
      <c r="J464" s="13" t="n">
        <v>-0.004396</v>
      </c>
      <c r="K464" s="13" t="n">
        <v>0.4606</v>
      </c>
      <c r="L464" s="13" t="n">
        <v>-0.028496</v>
      </c>
      <c r="M464" s="13" t="n">
        <v>-0.045986</v>
      </c>
      <c r="N464" s="13" t="n">
        <v>0.01749</v>
      </c>
      <c r="O464" s="13" t="n">
        <v>0.6173999999999999</v>
      </c>
      <c r="P464" s="13" t="n">
        <v>-0.059262</v>
      </c>
      <c r="Q464" s="13" t="n">
        <v>-0.0265</v>
      </c>
      <c r="R464" s="13" t="n">
        <v>-0.032762</v>
      </c>
      <c r="S464" s="13" t="n">
        <v>0.309</v>
      </c>
      <c r="T464" s="13" t="n">
        <v>-0.046955</v>
      </c>
      <c r="U464" s="13" t="n">
        <v>-0.054949</v>
      </c>
      <c r="V464" s="13" t="n">
        <v>0.007993999999999999</v>
      </c>
      <c r="W464" s="13" t="n">
        <v>0.5392</v>
      </c>
      <c r="X464" s="13" t="n">
        <v>0.039187</v>
      </c>
      <c r="Y464" s="13" t="n">
        <v>0.011691</v>
      </c>
      <c r="Z464" s="13" t="n">
        <v>0.027496</v>
      </c>
      <c r="AA464" s="13" t="n">
        <v>0.2298</v>
      </c>
    </row>
    <row r="465">
      <c r="A465" s="6" t="inlineStr">
        <is>
          <t>2024-07-17</t>
        </is>
      </c>
      <c r="B465" s="6" t="inlineStr">
        <is>
          <t>中间分位</t>
        </is>
      </c>
      <c r="C465" s="10" t="n">
        <v>0.54</v>
      </c>
      <c r="D465" s="8" t="n">
        <v>-0.011973</v>
      </c>
      <c r="E465" s="8" t="n">
        <v>-0.001582</v>
      </c>
      <c r="F465" s="8" t="n">
        <v>-0.010391</v>
      </c>
      <c r="G465" s="8" t="n">
        <v>0.1167</v>
      </c>
      <c r="H465" s="8" t="n">
        <v>-0.025243</v>
      </c>
      <c r="I465" s="8" t="n">
        <v>-0.006722</v>
      </c>
      <c r="J465" s="8" t="n">
        <v>-0.018521</v>
      </c>
      <c r="K465" s="8" t="n">
        <v>0.2103</v>
      </c>
      <c r="L465" s="8" t="n">
        <v>-0.042396</v>
      </c>
      <c r="M465" s="8" t="n">
        <v>-0.015026</v>
      </c>
      <c r="N465" s="8" t="n">
        <v>-0.02737</v>
      </c>
      <c r="O465" s="8" t="n">
        <v>0.2617</v>
      </c>
      <c r="P465" s="8" t="n">
        <v>-0.052105</v>
      </c>
      <c r="Q465" s="8" t="n">
        <v>-0.020561</v>
      </c>
      <c r="R465" s="8" t="n">
        <v>-0.031544</v>
      </c>
      <c r="S465" s="8" t="n">
        <v>0.283</v>
      </c>
      <c r="T465" s="8" t="n">
        <v>-0.045953</v>
      </c>
      <c r="U465" s="8" t="n">
        <v>-0.037564</v>
      </c>
      <c r="V465" s="8" t="n">
        <v>-0.008389000000000001</v>
      </c>
      <c r="W465" s="8" t="n">
        <v>0.4498</v>
      </c>
      <c r="X465" s="8" t="n">
        <v>0.046924</v>
      </c>
      <c r="Y465" s="8" t="n">
        <v>0.0431</v>
      </c>
      <c r="Z465" s="8" t="n">
        <v>0.003824</v>
      </c>
      <c r="AA465" s="8" t="n">
        <v>0.4788</v>
      </c>
    </row>
    <row r="466">
      <c r="A466" s="11" t="inlineStr">
        <is>
          <t>2024-07-18</t>
        </is>
      </c>
      <c r="B466" s="11" t="inlineStr">
        <is>
          <t>中间分位</t>
        </is>
      </c>
      <c r="C466" s="15" t="n">
        <v>0.392</v>
      </c>
      <c r="D466" s="13" t="n">
        <v>-0.007209</v>
      </c>
      <c r="E466" s="13" t="n">
        <v>-0.012673</v>
      </c>
      <c r="F466" s="13" t="n">
        <v>0.005464</v>
      </c>
      <c r="G466" s="13" t="n">
        <v>0.6374</v>
      </c>
      <c r="H466" s="13" t="n">
        <v>-0.014087</v>
      </c>
      <c r="I466" s="13" t="n">
        <v>-0.016238</v>
      </c>
      <c r="J466" s="13" t="n">
        <v>0.002151</v>
      </c>
      <c r="K466" s="13" t="n">
        <v>0.5355</v>
      </c>
      <c r="L466" s="13" t="n">
        <v>-0.013431</v>
      </c>
      <c r="M466" s="13" t="n">
        <v>-0.011881</v>
      </c>
      <c r="N466" s="13" t="n">
        <v>-0.00155</v>
      </c>
      <c r="O466" s="13" t="n">
        <v>0.4694</v>
      </c>
      <c r="P466" s="13" t="n">
        <v>-0.036688</v>
      </c>
      <c r="Q466" s="13" t="n">
        <v>-0.027327</v>
      </c>
      <c r="R466" s="13" t="n">
        <v>-0.009361</v>
      </c>
      <c r="S466" s="13" t="n">
        <v>0.4269</v>
      </c>
      <c r="T466" s="13" t="n">
        <v>-0.041271</v>
      </c>
      <c r="U466" s="13" t="n">
        <v>-0.05505</v>
      </c>
      <c r="V466" s="13" t="n">
        <v>0.013779</v>
      </c>
      <c r="W466" s="13" t="n">
        <v>0.5715</v>
      </c>
      <c r="X466" s="13" t="n">
        <v>0.059611</v>
      </c>
      <c r="Y466" s="13" t="n">
        <v>0.044752</v>
      </c>
      <c r="Z466" s="13" t="n">
        <v>0.014859</v>
      </c>
      <c r="AA466" s="13" t="n">
        <v>0.4288</v>
      </c>
    </row>
    <row r="467">
      <c r="A467" s="6" t="inlineStr">
        <is>
          <t>2024-07-19</t>
        </is>
      </c>
      <c r="B467" s="6" t="inlineStr">
        <is>
          <t>中间分位</t>
        </is>
      </c>
      <c r="C467" s="10" t="n">
        <v>0.484</v>
      </c>
      <c r="D467" s="8" t="n">
        <v>-0.010226</v>
      </c>
      <c r="E467" s="8" t="n">
        <v>-0.002006</v>
      </c>
      <c r="F467" s="8" t="n">
        <v>-0.00822</v>
      </c>
      <c r="G467" s="8" t="n">
        <v>0.164</v>
      </c>
      <c r="H467" s="8" t="n">
        <v>-0.006267</v>
      </c>
      <c r="I467" s="8" t="n">
        <v>0.008423999999999999</v>
      </c>
      <c r="J467" s="8" t="n">
        <v>-0.014691</v>
      </c>
      <c r="K467" s="8" t="n">
        <v>0.5734</v>
      </c>
      <c r="L467" s="8" t="n">
        <v>-0.006267</v>
      </c>
      <c r="M467" s="8" t="n">
        <v>0.004813</v>
      </c>
      <c r="N467" s="8" t="n">
        <v>-0.01108</v>
      </c>
      <c r="O467" s="8" t="n">
        <v>0.4344</v>
      </c>
      <c r="P467" s="8" t="n">
        <v>-0.045197</v>
      </c>
      <c r="Q467" s="8" t="n">
        <v>-0.022864</v>
      </c>
      <c r="R467" s="8" t="n">
        <v>-0.022333</v>
      </c>
      <c r="S467" s="8" t="n">
        <v>0.3359</v>
      </c>
      <c r="T467" s="8" t="n">
        <v>-0.049817</v>
      </c>
      <c r="U467" s="8" t="n">
        <v>-0.027276</v>
      </c>
      <c r="V467" s="8" t="n">
        <v>-0.022541</v>
      </c>
      <c r="W467" s="8" t="n">
        <v>0.3538</v>
      </c>
      <c r="X467" s="8" t="n">
        <v>0.084131</v>
      </c>
      <c r="Y467" s="8" t="n">
        <v>0.065383</v>
      </c>
      <c r="Z467" s="8" t="n">
        <v>0.018748</v>
      </c>
      <c r="AA467" s="8" t="n">
        <v>0.4373</v>
      </c>
    </row>
    <row r="468">
      <c r="A468" s="11" t="inlineStr">
        <is>
          <t>2024-07-22</t>
        </is>
      </c>
      <c r="B468" s="11" t="inlineStr">
        <is>
          <t>中间分位</t>
        </is>
      </c>
      <c r="C468" s="15" t="n">
        <v>0.352</v>
      </c>
      <c r="D468" s="13" t="n">
        <v>-0.001668</v>
      </c>
      <c r="E468" s="13" t="n">
        <v>0.004823</v>
      </c>
      <c r="F468" s="13" t="n">
        <v>-0.006491</v>
      </c>
      <c r="G468" s="13" t="n">
        <v>0.743</v>
      </c>
      <c r="H468" s="13" t="n">
        <v>0.01</v>
      </c>
      <c r="I468" s="13" t="n">
        <v>-0.000804</v>
      </c>
      <c r="J468" s="13" t="n">
        <v>0.010804</v>
      </c>
      <c r="K468" s="13" t="n">
        <v>0.07439999999999999</v>
      </c>
      <c r="L468" s="13" t="n">
        <v>0.006</v>
      </c>
      <c r="M468" s="13" t="n">
        <v>-0.007235</v>
      </c>
      <c r="N468" s="13" t="n">
        <v>0.013235</v>
      </c>
      <c r="O468" s="13" t="n">
        <v>0.5467</v>
      </c>
      <c r="P468" s="13" t="n">
        <v>-0.035332</v>
      </c>
      <c r="Q468" s="13" t="n">
        <v>-0.018087</v>
      </c>
      <c r="R468" s="13" t="n">
        <v>-0.017245</v>
      </c>
      <c r="S468" s="13" t="n">
        <v>0.3386</v>
      </c>
      <c r="T468" s="13" t="n">
        <v>-0.033332</v>
      </c>
      <c r="U468" s="13" t="n">
        <v>-0.025723</v>
      </c>
      <c r="V468" s="13" t="n">
        <v>-0.007609</v>
      </c>
      <c r="W468" s="13" t="n">
        <v>0.4356</v>
      </c>
      <c r="X468" s="13" t="n">
        <v>0.09966800000000001</v>
      </c>
      <c r="Y468" s="13" t="n">
        <v>0.053859</v>
      </c>
      <c r="Z468" s="13" t="n">
        <v>0.045809</v>
      </c>
      <c r="AA468" s="13" t="n">
        <v>0.3508</v>
      </c>
    </row>
    <row r="469">
      <c r="A469" s="6" t="inlineStr">
        <is>
          <t>2024-07-23</t>
        </is>
      </c>
      <c r="B469" s="6" t="inlineStr">
        <is>
          <t>中间分位</t>
        </is>
      </c>
      <c r="C469" s="10" t="n">
        <v>0.252</v>
      </c>
      <c r="D469" s="8" t="n">
        <v>0.005677</v>
      </c>
      <c r="E469" s="8" t="n">
        <v>0.0048</v>
      </c>
      <c r="F469" s="8" t="n">
        <v>0.000877</v>
      </c>
      <c r="G469" s="8" t="n">
        <v>0.4581</v>
      </c>
      <c r="H469" s="8" t="n">
        <v>0.001671</v>
      </c>
      <c r="I469" s="8" t="n">
        <v>-0.0208</v>
      </c>
      <c r="J469" s="8" t="n">
        <v>0.022471</v>
      </c>
      <c r="K469" s="8" t="n">
        <v>0.9256</v>
      </c>
      <c r="L469" s="8" t="n">
        <v>-0.002336</v>
      </c>
      <c r="M469" s="8" t="n">
        <v>-0.0156</v>
      </c>
      <c r="N469" s="8" t="n">
        <v>0.013264</v>
      </c>
      <c r="O469" s="8" t="n">
        <v>0.8698</v>
      </c>
      <c r="P469" s="8" t="n">
        <v>-0.026376</v>
      </c>
      <c r="Q469" s="8" t="n">
        <v>-0.0052</v>
      </c>
      <c r="R469" s="8" t="n">
        <v>-0.021176</v>
      </c>
      <c r="S469" s="8" t="n">
        <v>0.1647</v>
      </c>
      <c r="T469" s="8" t="n">
        <v>-0.031052</v>
      </c>
      <c r="U469" s="8" t="n">
        <v>-0.0216</v>
      </c>
      <c r="V469" s="8" t="n">
        <v>-0.009452</v>
      </c>
      <c r="W469" s="8" t="n">
        <v>0.4102</v>
      </c>
      <c r="X469" s="8" t="n">
        <v>0.085811</v>
      </c>
      <c r="Y469" s="8" t="n">
        <v>0.0416</v>
      </c>
      <c r="Z469" s="8" t="n">
        <v>0.044211</v>
      </c>
      <c r="AA469" s="8" t="n">
        <v>0.3265</v>
      </c>
    </row>
    <row r="470">
      <c r="A470" s="11" t="inlineStr">
        <is>
          <t>2024-07-24</t>
        </is>
      </c>
      <c r="B470" s="11" t="inlineStr">
        <is>
          <t>中间分位</t>
        </is>
      </c>
      <c r="C470" s="15" t="n">
        <v>0.26</v>
      </c>
      <c r="D470" s="13" t="n">
        <v>-0.000665</v>
      </c>
      <c r="E470" s="13" t="n">
        <v>-0.011146</v>
      </c>
      <c r="F470" s="13" t="n">
        <v>0.010481</v>
      </c>
      <c r="G470" s="13" t="n">
        <v>0.9437</v>
      </c>
      <c r="H470" s="13" t="n">
        <v>-0.017598</v>
      </c>
      <c r="I470" s="13" t="n">
        <v>-0.008359999999999999</v>
      </c>
      <c r="J470" s="13" t="n">
        <v>-0.009238</v>
      </c>
      <c r="K470" s="13" t="n">
        <v>0.3221</v>
      </c>
      <c r="L470" s="13" t="n">
        <v>-0.013614</v>
      </c>
      <c r="M470" s="13" t="n">
        <v>-0.021099</v>
      </c>
      <c r="N470" s="13" t="n">
        <v>0.007485</v>
      </c>
      <c r="O470" s="13" t="n">
        <v>0.6078</v>
      </c>
      <c r="P470" s="13" t="n">
        <v>-0.023239</v>
      </c>
      <c r="Q470" s="13" t="n">
        <v>0.00199</v>
      </c>
      <c r="R470" s="13" t="n">
        <v>-0.025229</v>
      </c>
      <c r="S470" s="13" t="n">
        <v>0.0789</v>
      </c>
      <c r="T470" s="13" t="n">
        <v>-0.027888</v>
      </c>
      <c r="U470" s="13" t="n">
        <v>-0.023487</v>
      </c>
      <c r="V470" s="13" t="n">
        <v>-0.004401</v>
      </c>
      <c r="W470" s="13" t="n">
        <v>0.4572</v>
      </c>
      <c r="X470" s="13" t="n">
        <v>0.074036</v>
      </c>
      <c r="Y470" s="13" t="n">
        <v>0.027866</v>
      </c>
      <c r="Z470" s="13" t="n">
        <v>0.04617</v>
      </c>
      <c r="AA470" s="13" t="n">
        <v>0.2735</v>
      </c>
    </row>
    <row r="471">
      <c r="A471" s="6" t="inlineStr">
        <is>
          <t>2024-07-25</t>
        </is>
      </c>
      <c r="B471" s="6" t="inlineStr">
        <is>
          <t>中间分位</t>
        </is>
      </c>
      <c r="C471" s="10" t="n">
        <v>0.42</v>
      </c>
      <c r="D471" s="8" t="n">
        <v>0.000666</v>
      </c>
      <c r="E471" s="8" t="n">
        <v>0.012077</v>
      </c>
      <c r="F471" s="8" t="n">
        <v>-0.011411</v>
      </c>
      <c r="G471" s="8" t="n">
        <v>0.9477</v>
      </c>
      <c r="H471" s="8" t="n">
        <v>0.000666</v>
      </c>
      <c r="I471" s="8" t="n">
        <v>0.004428</v>
      </c>
      <c r="J471" s="8" t="n">
        <v>-0.003762</v>
      </c>
      <c r="K471" s="8" t="n">
        <v>0.8693</v>
      </c>
      <c r="L471" s="8" t="n">
        <v>-0.014615</v>
      </c>
      <c r="M471" s="8" t="n">
        <v>-0.011272</v>
      </c>
      <c r="N471" s="8" t="n">
        <v>-0.003343</v>
      </c>
      <c r="O471" s="8" t="n">
        <v>0.4354</v>
      </c>
      <c r="P471" s="8" t="n">
        <v>-0.015612</v>
      </c>
      <c r="Q471" s="8" t="n">
        <v>0.009259</v>
      </c>
      <c r="R471" s="8" t="n">
        <v>-0.024871</v>
      </c>
      <c r="S471" s="8" t="n">
        <v>0.3723</v>
      </c>
      <c r="T471" s="8" t="n">
        <v>-0.024917</v>
      </c>
      <c r="U471" s="8" t="n">
        <v>0.002415</v>
      </c>
      <c r="V471" s="8" t="n">
        <v>-0.027332</v>
      </c>
      <c r="W471" s="8" t="n">
        <v>0.08840000000000001</v>
      </c>
      <c r="X471" s="8" t="n">
        <v>0.060136</v>
      </c>
      <c r="Y471" s="8" t="n">
        <v>0.043076</v>
      </c>
      <c r="Z471" s="8" t="n">
        <v>0.01706</v>
      </c>
      <c r="AA471" s="8" t="n">
        <v>0.4174</v>
      </c>
    </row>
    <row r="472">
      <c r="A472" s="11" t="inlineStr">
        <is>
          <t>2024-07-26</t>
        </is>
      </c>
      <c r="B472" s="11" t="inlineStr">
        <is>
          <t>中间分位</t>
        </is>
      </c>
      <c r="C472" s="15" t="n">
        <v>0.248</v>
      </c>
      <c r="D472" s="13" t="n">
        <v>0.005976</v>
      </c>
      <c r="E472" s="13" t="n">
        <v>-0.011138</v>
      </c>
      <c r="F472" s="13" t="n">
        <v>0.017114</v>
      </c>
      <c r="G472" s="13" t="n">
        <v>0.6508</v>
      </c>
      <c r="H472" s="13" t="n">
        <v>0</v>
      </c>
      <c r="I472" s="13" t="n">
        <v>-0.00358</v>
      </c>
      <c r="J472" s="13" t="n">
        <v>0.00358</v>
      </c>
      <c r="K472" s="13" t="n">
        <v>1</v>
      </c>
      <c r="L472" s="13" t="n">
        <v>-0.015271</v>
      </c>
      <c r="M472" s="13" t="n">
        <v>-0.027049</v>
      </c>
      <c r="N472" s="13" t="n">
        <v>0.011778</v>
      </c>
      <c r="O472" s="13" t="n">
        <v>0.6392</v>
      </c>
      <c r="P472" s="13" t="n">
        <v>-0.011287</v>
      </c>
      <c r="Q472" s="13" t="n">
        <v>-0.008352999999999999</v>
      </c>
      <c r="R472" s="13" t="n">
        <v>-0.002934</v>
      </c>
      <c r="S472" s="13" t="n">
        <v>0.4253</v>
      </c>
      <c r="T472" s="13" t="n">
        <v>-0.007967999999999999</v>
      </c>
      <c r="U472" s="13" t="n">
        <v>-0.026253</v>
      </c>
      <c r="V472" s="13" t="n">
        <v>0.018285</v>
      </c>
      <c r="W472" s="13" t="n">
        <v>0.7672</v>
      </c>
      <c r="X472" s="13" t="n">
        <v>0.060092</v>
      </c>
      <c r="Y472" s="13" t="n">
        <v>0.023071</v>
      </c>
      <c r="Z472" s="13" t="n">
        <v>0.037021</v>
      </c>
      <c r="AA472" s="13" t="n">
        <v>0.2774</v>
      </c>
    </row>
    <row r="473">
      <c r="A473" s="6" t="inlineStr">
        <is>
          <t>2024-07-29</t>
        </is>
      </c>
      <c r="B473" s="6" t="inlineStr">
        <is>
          <t>中间分位</t>
        </is>
      </c>
      <c r="C473" s="10" t="n">
        <v>0.516</v>
      </c>
      <c r="D473" s="8" t="n">
        <v>-0.009901</v>
      </c>
      <c r="E473" s="8" t="n">
        <v>-0.015286</v>
      </c>
      <c r="F473" s="8" t="n">
        <v>0.005385</v>
      </c>
      <c r="G473" s="8" t="n">
        <v>0.6069</v>
      </c>
      <c r="H473" s="8" t="n">
        <v>-0.00396</v>
      </c>
      <c r="I473" s="8" t="n">
        <v>-0.006436</v>
      </c>
      <c r="J473" s="8" t="n">
        <v>0.002476</v>
      </c>
      <c r="K473" s="8" t="n">
        <v>0.6191</v>
      </c>
      <c r="L473" s="8" t="n">
        <v>-0.025743</v>
      </c>
      <c r="M473" s="8" t="n">
        <v>-0.027353</v>
      </c>
      <c r="N473" s="8" t="n">
        <v>0.00161</v>
      </c>
      <c r="O473" s="8" t="n">
        <v>0.5152</v>
      </c>
      <c r="P473" s="8" t="n">
        <v>-0.025081</v>
      </c>
      <c r="Q473" s="8" t="n">
        <v>0.017699</v>
      </c>
      <c r="R473" s="8" t="n">
        <v>-0.04278</v>
      </c>
      <c r="S473" s="8" t="n">
        <v>0.4137</v>
      </c>
      <c r="T473" s="8" t="n">
        <v>-0.021453</v>
      </c>
      <c r="U473" s="8" t="n">
        <v>-0.01971</v>
      </c>
      <c r="V473" s="8" t="n">
        <v>-0.001743</v>
      </c>
      <c r="W473" s="8" t="n">
        <v>0.4788</v>
      </c>
      <c r="X473" s="8" t="n">
        <v>0.046863</v>
      </c>
      <c r="Y473" s="8" t="n">
        <v>0.024135</v>
      </c>
      <c r="Z473" s="8" t="n">
        <v>0.022728</v>
      </c>
      <c r="AA473" s="8" t="n">
        <v>0.3399</v>
      </c>
    </row>
    <row r="474">
      <c r="A474" s="11" t="inlineStr">
        <is>
          <t>2024-07-30</t>
        </is>
      </c>
      <c r="B474" s="11" t="inlineStr">
        <is>
          <t>中间分位</t>
        </is>
      </c>
      <c r="C474" s="15" t="n">
        <v>0.5679999999999999</v>
      </c>
      <c r="D474" s="13" t="n">
        <v>-0.013668</v>
      </c>
      <c r="E474" s="13" t="n">
        <v>0.017565</v>
      </c>
      <c r="F474" s="13" t="n">
        <v>-0.031233</v>
      </c>
      <c r="G474" s="13" t="n">
        <v>0.5624</v>
      </c>
      <c r="H474" s="13" t="n">
        <v>-0.004</v>
      </c>
      <c r="I474" s="13" t="n">
        <v>0.00531</v>
      </c>
      <c r="J474" s="13" t="n">
        <v>-0.009310000000000001</v>
      </c>
      <c r="K474" s="13" t="n">
        <v>0.5704</v>
      </c>
      <c r="L474" s="13" t="n">
        <v>-0.031668</v>
      </c>
      <c r="M474" s="13" t="n">
        <v>0.020425</v>
      </c>
      <c r="N474" s="13" t="n">
        <v>-0.052093</v>
      </c>
      <c r="O474" s="13" t="n">
        <v>0.3921</v>
      </c>
      <c r="P474" s="13" t="n">
        <v>-0.001668</v>
      </c>
      <c r="Q474" s="13" t="n">
        <v>0.035539</v>
      </c>
      <c r="R474" s="13" t="n">
        <v>-0.037207</v>
      </c>
      <c r="S474" s="13" t="n">
        <v>0.9552</v>
      </c>
      <c r="T474" s="13" t="n">
        <v>-0.024</v>
      </c>
      <c r="U474" s="13" t="n">
        <v>0.018382</v>
      </c>
      <c r="V474" s="13" t="n">
        <v>-0.042382</v>
      </c>
      <c r="W474" s="13" t="n">
        <v>0.4337</v>
      </c>
      <c r="X474" s="13" t="n">
        <v>0.052</v>
      </c>
      <c r="Y474" s="13" t="n">
        <v>0.044118</v>
      </c>
      <c r="Z474" s="13" t="n">
        <v>0.007882</v>
      </c>
      <c r="AA474" s="13" t="n">
        <v>0.459</v>
      </c>
    </row>
    <row r="475">
      <c r="A475" s="6" t="inlineStr">
        <is>
          <t>2024-07-31</t>
        </is>
      </c>
      <c r="B475" s="6" t="inlineStr">
        <is>
          <t>中间分位</t>
        </is>
      </c>
      <c r="C475" s="10" t="n">
        <v>0.156</v>
      </c>
      <c r="D475" s="8" t="n">
        <v>0.017913</v>
      </c>
      <c r="E475" s="8" t="n">
        <v>0.001606</v>
      </c>
      <c r="F475" s="8" t="n">
        <v>0.016307</v>
      </c>
      <c r="G475" s="8" t="n">
        <v>0.0823</v>
      </c>
      <c r="H475" s="8" t="n">
        <v>0.004055</v>
      </c>
      <c r="I475" s="8" t="n">
        <v>-0.012846</v>
      </c>
      <c r="J475" s="8" t="n">
        <v>0.016901</v>
      </c>
      <c r="K475" s="8" t="n">
        <v>0.7601</v>
      </c>
      <c r="L475" s="8" t="n">
        <v>-0.010139</v>
      </c>
      <c r="M475" s="8" t="n">
        <v>-0.00562</v>
      </c>
      <c r="N475" s="8" t="n">
        <v>-0.004519</v>
      </c>
      <c r="O475" s="8" t="n">
        <v>0.3566</v>
      </c>
      <c r="P475" s="8" t="n">
        <v>0.013857</v>
      </c>
      <c r="Q475" s="8" t="n">
        <v>0.018466</v>
      </c>
      <c r="R475" s="8" t="n">
        <v>-0.004609</v>
      </c>
      <c r="S475" s="8" t="n">
        <v>0.5713</v>
      </c>
      <c r="T475" s="8" t="n">
        <v>0.007774</v>
      </c>
      <c r="U475" s="8" t="n">
        <v>-0.004817</v>
      </c>
      <c r="V475" s="8" t="n">
        <v>0.012591</v>
      </c>
      <c r="W475" s="8" t="n">
        <v>0.3826</v>
      </c>
      <c r="X475" s="8" t="n">
        <v>0.068942</v>
      </c>
      <c r="Y475" s="8" t="n">
        <v>0.025291</v>
      </c>
      <c r="Z475" s="8" t="n">
        <v>0.043651</v>
      </c>
      <c r="AA475" s="8" t="n">
        <v>0.2684</v>
      </c>
    </row>
    <row r="476">
      <c r="A476" s="11" t="inlineStr">
        <is>
          <t>2024-08-01</t>
        </is>
      </c>
      <c r="B476" s="11" t="inlineStr">
        <is>
          <t>中间分位</t>
        </is>
      </c>
      <c r="C476" s="15" t="n">
        <v>0.376</v>
      </c>
      <c r="D476" s="13" t="n">
        <v>0</v>
      </c>
      <c r="E476" s="13" t="n">
        <v>0.004008</v>
      </c>
      <c r="F476" s="13" t="n">
        <v>-0.004008</v>
      </c>
      <c r="G476" s="13" t="n">
        <v>1</v>
      </c>
      <c r="H476" s="13" t="n">
        <v>-0.015271</v>
      </c>
      <c r="I476" s="13" t="n">
        <v>-0.015631</v>
      </c>
      <c r="J476" s="13" t="n">
        <v>0.00036</v>
      </c>
      <c r="K476" s="13" t="n">
        <v>0.5058</v>
      </c>
      <c r="L476" s="13" t="n">
        <v>-0.023574</v>
      </c>
      <c r="M476" s="13" t="n">
        <v>-0.015631</v>
      </c>
      <c r="N476" s="13" t="n">
        <v>-0.007943</v>
      </c>
      <c r="O476" s="13" t="n">
        <v>0.3987</v>
      </c>
      <c r="P476" s="13" t="n">
        <v>-0.001661</v>
      </c>
      <c r="Q476" s="13" t="n">
        <v>0.015631</v>
      </c>
      <c r="R476" s="13" t="n">
        <v>-0.017292</v>
      </c>
      <c r="S476" s="13" t="n">
        <v>0.9039</v>
      </c>
      <c r="T476" s="13" t="n">
        <v>-0.013944</v>
      </c>
      <c r="U476" s="13" t="n">
        <v>-0.007615</v>
      </c>
      <c r="V476" s="13" t="n">
        <v>-0.006329</v>
      </c>
      <c r="W476" s="13" t="n">
        <v>0.3532</v>
      </c>
      <c r="X476" s="13" t="n">
        <v>0.050131</v>
      </c>
      <c r="Y476" s="13" t="n">
        <v>0.029659</v>
      </c>
      <c r="Z476" s="13" t="n">
        <v>0.020472</v>
      </c>
      <c r="AA476" s="13" t="n">
        <v>0.3717</v>
      </c>
    </row>
    <row r="477">
      <c r="A477" s="6" t="inlineStr">
        <is>
          <t>2024-08-02</t>
        </is>
      </c>
      <c r="B477" s="6" t="inlineStr">
        <is>
          <t>中间分位</t>
        </is>
      </c>
      <c r="C477" s="10" t="n">
        <v>0.308</v>
      </c>
      <c r="D477" s="8" t="n">
        <v>0.001992</v>
      </c>
      <c r="E477" s="8" t="n">
        <v>-0.013972</v>
      </c>
      <c r="F477" s="8" t="n">
        <v>0.015964</v>
      </c>
      <c r="G477" s="8" t="n">
        <v>0.8752</v>
      </c>
      <c r="H477" s="8" t="n">
        <v>-0.015271</v>
      </c>
      <c r="I477" s="8" t="n">
        <v>-0.023553</v>
      </c>
      <c r="J477" s="8" t="n">
        <v>0.008281999999999999</v>
      </c>
      <c r="K477" s="8" t="n">
        <v>0.6067</v>
      </c>
      <c r="L477" s="8" t="n">
        <v>-0.039175</v>
      </c>
      <c r="M477" s="8" t="n">
        <v>-0.027545</v>
      </c>
      <c r="N477" s="8" t="n">
        <v>-0.01163</v>
      </c>
      <c r="O477" s="8" t="n">
        <v>0.4128</v>
      </c>
      <c r="P477" s="8" t="n">
        <v>-0.005645</v>
      </c>
      <c r="Q477" s="8" t="n">
        <v>0.009181999999999999</v>
      </c>
      <c r="R477" s="8" t="n">
        <v>-0.014827</v>
      </c>
      <c r="S477" s="8" t="n">
        <v>0.6193</v>
      </c>
      <c r="T477" s="8" t="n">
        <v>-0.015936</v>
      </c>
      <c r="U477" s="8" t="n">
        <v>-0.001597</v>
      </c>
      <c r="V477" s="8" t="n">
        <v>-0.014339</v>
      </c>
      <c r="W477" s="8" t="n">
        <v>0.0911</v>
      </c>
      <c r="X477" s="8" t="n">
        <v>0.057104</v>
      </c>
      <c r="Y477" s="8" t="n">
        <v>0.02994</v>
      </c>
      <c r="Z477" s="8" t="n">
        <v>0.027164</v>
      </c>
      <c r="AA477" s="8" t="n">
        <v>0.344</v>
      </c>
    </row>
    <row r="478">
      <c r="A478" s="11" t="inlineStr">
        <is>
          <t>2024-08-05</t>
        </is>
      </c>
      <c r="B478" s="11" t="inlineStr">
        <is>
          <t>中间分位</t>
        </is>
      </c>
      <c r="C478" s="15" t="n">
        <v>0.54</v>
      </c>
      <c r="D478" s="13" t="n">
        <v>-0.009939999999999999</v>
      </c>
      <c r="E478" s="13" t="n">
        <v>-0.003644</v>
      </c>
      <c r="F478" s="13" t="n">
        <v>-0.006296</v>
      </c>
      <c r="G478" s="13" t="n">
        <v>0.2683</v>
      </c>
      <c r="H478" s="13" t="n">
        <v>-0.021869</v>
      </c>
      <c r="I478" s="13" t="n">
        <v>-0.021053</v>
      </c>
      <c r="J478" s="13" t="n">
        <v>-0.000816</v>
      </c>
      <c r="K478" s="13" t="n">
        <v>0.4905</v>
      </c>
      <c r="L478" s="13" t="n">
        <v>-0.041085</v>
      </c>
      <c r="M478" s="13" t="n">
        <v>-0.010931</v>
      </c>
      <c r="N478" s="13" t="n">
        <v>-0.030154</v>
      </c>
      <c r="O478" s="13" t="n">
        <v>0.2101</v>
      </c>
      <c r="P478" s="13" t="n">
        <v>-0.013917</v>
      </c>
      <c r="Q478" s="13" t="n">
        <v>0.002834</v>
      </c>
      <c r="R478" s="13" t="n">
        <v>-0.016751</v>
      </c>
      <c r="S478" s="13" t="n">
        <v>0.1692</v>
      </c>
      <c r="T478" s="13" t="n">
        <v>-0.017893</v>
      </c>
      <c r="U478" s="13" t="n">
        <v>0.003644</v>
      </c>
      <c r="V478" s="13" t="n">
        <v>-0.021537</v>
      </c>
      <c r="W478" s="13" t="n">
        <v>0.1692</v>
      </c>
      <c r="X478" s="13" t="n">
        <v>0.053678</v>
      </c>
      <c r="Y478" s="13" t="n">
        <v>0.047773</v>
      </c>
      <c r="Z478" s="13" t="n">
        <v>0.005905</v>
      </c>
      <c r="AA478" s="13" t="n">
        <v>0.4709</v>
      </c>
    </row>
    <row r="479">
      <c r="A479" s="6" t="inlineStr">
        <is>
          <t>2024-08-06</t>
        </is>
      </c>
      <c r="B479" s="6" t="inlineStr">
        <is>
          <t>中间分位</t>
        </is>
      </c>
      <c r="C479" s="10" t="n">
        <v>0.444</v>
      </c>
      <c r="D479" s="8" t="n">
        <v>-0.005691</v>
      </c>
      <c r="E479" s="8" t="n">
        <v>-0.000813</v>
      </c>
      <c r="F479" s="8" t="n">
        <v>-0.004878</v>
      </c>
      <c r="G479" s="8" t="n">
        <v>0.125</v>
      </c>
      <c r="H479" s="8" t="n">
        <v>-0.027779</v>
      </c>
      <c r="I479" s="8" t="n">
        <v>0.015035</v>
      </c>
      <c r="J479" s="8" t="n">
        <v>-0.042814</v>
      </c>
      <c r="K479" s="8" t="n">
        <v>0.3512</v>
      </c>
      <c r="L479" s="8" t="n">
        <v>-0.024096</v>
      </c>
      <c r="M479" s="8" t="n">
        <v>0.010565</v>
      </c>
      <c r="N479" s="8" t="n">
        <v>-0.034661</v>
      </c>
      <c r="O479" s="8" t="n">
        <v>0.3048</v>
      </c>
      <c r="P479" s="8" t="n">
        <v>-0.012048</v>
      </c>
      <c r="Q479" s="8" t="n">
        <v>0.001219</v>
      </c>
      <c r="R479" s="8" t="n">
        <v>-0.013267</v>
      </c>
      <c r="S479" s="8" t="n">
        <v>0.0919</v>
      </c>
      <c r="T479" s="8" t="n">
        <v>-0.008031999999999999</v>
      </c>
      <c r="U479" s="8" t="n">
        <v>0.019911</v>
      </c>
      <c r="V479" s="8" t="n">
        <v>-0.027943</v>
      </c>
      <c r="W479" s="8" t="n">
        <v>0.7126</v>
      </c>
      <c r="X479" s="8" t="n">
        <v>0.06794</v>
      </c>
      <c r="Y479" s="8" t="n">
        <v>0.059732</v>
      </c>
      <c r="Z479" s="8" t="n">
        <v>0.008208</v>
      </c>
      <c r="AA479" s="8" t="n">
        <v>0.4679</v>
      </c>
    </row>
    <row r="480">
      <c r="A480" s="11" t="inlineStr">
        <is>
          <t>2024-08-07</t>
        </is>
      </c>
      <c r="B480" s="11" t="inlineStr">
        <is>
          <t>中间分位</t>
        </is>
      </c>
      <c r="C480" s="15" t="n">
        <v>0.38</v>
      </c>
      <c r="D480" s="13" t="n">
        <v>-0.00168</v>
      </c>
      <c r="E480" s="13" t="n">
        <v>-0.00122</v>
      </c>
      <c r="F480" s="13" t="n">
        <v>-0.00046</v>
      </c>
      <c r="G480" s="13" t="n">
        <v>0.4207</v>
      </c>
      <c r="H480" s="13" t="n">
        <v>-0.014137</v>
      </c>
      <c r="I480" s="13" t="n">
        <v>0.00732</v>
      </c>
      <c r="J480" s="13" t="n">
        <v>-0.021457</v>
      </c>
      <c r="K480" s="13" t="n">
        <v>0.3411</v>
      </c>
      <c r="L480" s="13" t="n">
        <v>-0.009757999999999999</v>
      </c>
      <c r="M480" s="13" t="n">
        <v>0.023587</v>
      </c>
      <c r="N480" s="13" t="n">
        <v>-0.033345</v>
      </c>
      <c r="O480" s="13" t="n">
        <v>0.7074</v>
      </c>
      <c r="P480" s="13" t="n">
        <v>-0.010098</v>
      </c>
      <c r="Q480" s="13" t="n">
        <v>-0.02074</v>
      </c>
      <c r="R480" s="13" t="n">
        <v>0.010642</v>
      </c>
      <c r="S480" s="13" t="n">
        <v>0.6725</v>
      </c>
      <c r="T480" s="13" t="n">
        <v>0.009427</v>
      </c>
      <c r="U480" s="13" t="n">
        <v>0.01708</v>
      </c>
      <c r="V480" s="13" t="n">
        <v>-0.007653</v>
      </c>
      <c r="W480" s="13" t="n">
        <v>0.6444</v>
      </c>
      <c r="X480" s="13" t="n">
        <v>0.081791</v>
      </c>
      <c r="Y480" s="13" t="n">
        <v>0.057747</v>
      </c>
      <c r="Z480" s="13" t="n">
        <v>0.024044</v>
      </c>
      <c r="AA480" s="13" t="n">
        <v>0.4138</v>
      </c>
    </row>
    <row r="481">
      <c r="A481" s="6" t="inlineStr">
        <is>
          <t>2024-08-08</t>
        </is>
      </c>
      <c r="B481" s="6" t="inlineStr">
        <is>
          <t>中间分位</t>
        </is>
      </c>
      <c r="C481" s="10" t="n">
        <v>0.372</v>
      </c>
      <c r="D481" s="8" t="n">
        <v>0</v>
      </c>
      <c r="E481" s="8" t="n">
        <v>-0.004072</v>
      </c>
      <c r="F481" s="8" t="n">
        <v>0.004072</v>
      </c>
      <c r="G481" s="8" t="n">
        <v>1</v>
      </c>
      <c r="H481" s="8" t="n">
        <v>-0.008432</v>
      </c>
      <c r="I481" s="8" t="n">
        <v>0</v>
      </c>
      <c r="J481" s="8" t="n">
        <v>-0.008432</v>
      </c>
      <c r="K481" s="8" t="n">
        <v>0</v>
      </c>
      <c r="L481" s="8" t="n">
        <v>-0.001011</v>
      </c>
      <c r="M481" s="8" t="n">
        <v>0.020765</v>
      </c>
      <c r="N481" s="8" t="n">
        <v>-0.021776</v>
      </c>
      <c r="O481" s="8" t="n">
        <v>0.9536</v>
      </c>
      <c r="P481" s="8" t="n">
        <v>-0.018882</v>
      </c>
      <c r="Q481" s="8" t="n">
        <v>-0.031352</v>
      </c>
      <c r="R481" s="8" t="n">
        <v>0.01247</v>
      </c>
      <c r="S481" s="8" t="n">
        <v>0.6241</v>
      </c>
      <c r="T481" s="8" t="n">
        <v>0.005393</v>
      </c>
      <c r="U481" s="8" t="n">
        <v>0.012622</v>
      </c>
      <c r="V481" s="8" t="n">
        <v>-0.007229</v>
      </c>
      <c r="W481" s="8" t="n">
        <v>0.7006</v>
      </c>
      <c r="X481" s="8" t="n">
        <v>0.072825</v>
      </c>
      <c r="Y481" s="8" t="n">
        <v>0.050081</v>
      </c>
      <c r="Z481" s="8" t="n">
        <v>0.022744</v>
      </c>
      <c r="AA481" s="8" t="n">
        <v>0.4075</v>
      </c>
    </row>
    <row r="482">
      <c r="A482" s="11" t="inlineStr">
        <is>
          <t>2024-08-09</t>
        </is>
      </c>
      <c r="B482" s="11" t="inlineStr">
        <is>
          <t>中间分位</t>
        </is>
      </c>
      <c r="C482" s="15" t="n">
        <v>0.42</v>
      </c>
      <c r="D482" s="13" t="n">
        <v>-0.004722</v>
      </c>
      <c r="E482" s="13" t="n">
        <v>-0.011447</v>
      </c>
      <c r="F482" s="13" t="n">
        <v>0.006725</v>
      </c>
      <c r="G482" s="13" t="n">
        <v>0.708</v>
      </c>
      <c r="H482" s="13" t="n">
        <v>-0.024275</v>
      </c>
      <c r="I482" s="13" t="n">
        <v>-0.004088</v>
      </c>
      <c r="J482" s="13" t="n">
        <v>-0.020187</v>
      </c>
      <c r="K482" s="13" t="n">
        <v>0.1441</v>
      </c>
      <c r="L482" s="13" t="n">
        <v>0.004046</v>
      </c>
      <c r="M482" s="13" t="n">
        <v>0.019215</v>
      </c>
      <c r="N482" s="13" t="n">
        <v>-0.015169</v>
      </c>
      <c r="O482" s="13" t="n">
        <v>0.8260999999999999</v>
      </c>
      <c r="P482" s="13" t="n">
        <v>-0.03473</v>
      </c>
      <c r="Q482" s="13" t="n">
        <v>-0.030662</v>
      </c>
      <c r="R482" s="13" t="n">
        <v>-0.004068</v>
      </c>
      <c r="S482" s="13" t="n">
        <v>0.4689</v>
      </c>
      <c r="T482" s="13" t="n">
        <v>-0.003034</v>
      </c>
      <c r="U482" s="13" t="n">
        <v>0.013491</v>
      </c>
      <c r="V482" s="13" t="n">
        <v>-0.016525</v>
      </c>
      <c r="W482" s="13" t="n">
        <v>0.8164</v>
      </c>
      <c r="X482" s="13" t="n">
        <v>0.068104</v>
      </c>
      <c r="Y482" s="13" t="n">
        <v>0.039248</v>
      </c>
      <c r="Z482" s="13" t="n">
        <v>0.028856</v>
      </c>
      <c r="AA482" s="13" t="n">
        <v>0.3656</v>
      </c>
    </row>
    <row r="483">
      <c r="A483" s="6" t="inlineStr">
        <is>
          <t>2024-08-12</t>
        </is>
      </c>
      <c r="B483" s="6" t="inlineStr">
        <is>
          <t>中间分位</t>
        </is>
      </c>
      <c r="C483" s="10" t="n">
        <v>0.524</v>
      </c>
      <c r="D483" s="8" t="n">
        <v>-0.015923</v>
      </c>
      <c r="E483" s="8" t="n">
        <v>0.033085</v>
      </c>
      <c r="F483" s="8" t="n">
        <v>-0.049008</v>
      </c>
      <c r="G483" s="8" t="n">
        <v>0.6751</v>
      </c>
      <c r="H483" s="8" t="n">
        <v>-0.019646</v>
      </c>
      <c r="I483" s="8" t="n">
        <v>0.010339</v>
      </c>
      <c r="J483" s="8" t="n">
        <v>-0.029985</v>
      </c>
      <c r="K483" s="8" t="n">
        <v>0.3448</v>
      </c>
      <c r="L483" s="8" t="n">
        <v>0.000679</v>
      </c>
      <c r="M483" s="8" t="n">
        <v>0.046319</v>
      </c>
      <c r="N483" s="8" t="n">
        <v>-0.04564</v>
      </c>
      <c r="O483" s="8" t="n">
        <v>0.9856</v>
      </c>
      <c r="P483" s="8" t="n">
        <v>-0.03015</v>
      </c>
      <c r="Q483" s="8" t="n">
        <v>-0.021505</v>
      </c>
      <c r="R483" s="8" t="n">
        <v>-0.008645</v>
      </c>
      <c r="S483" s="8" t="n">
        <v>0.4163</v>
      </c>
      <c r="T483" s="8" t="n">
        <v>0.004065</v>
      </c>
      <c r="U483" s="8" t="n">
        <v>0.030604</v>
      </c>
      <c r="V483" s="8" t="n">
        <v>-0.026539</v>
      </c>
      <c r="W483" s="8" t="n">
        <v>0.8827</v>
      </c>
      <c r="X483" s="8" t="n">
        <v>0.058606</v>
      </c>
      <c r="Y483" s="8" t="n">
        <v>0.044665</v>
      </c>
      <c r="Z483" s="8" t="n">
        <v>0.013941</v>
      </c>
      <c r="AA483" s="8" t="n">
        <v>0.4325</v>
      </c>
    </row>
    <row r="484">
      <c r="A484" s="11" t="inlineStr">
        <is>
          <t>2024-08-13</t>
        </is>
      </c>
      <c r="B484" s="11" t="inlineStr">
        <is>
          <t>低分位</t>
        </is>
      </c>
      <c r="C484" s="15" t="n">
        <v>0.028</v>
      </c>
      <c r="D484" s="13" t="n">
        <v>0.008262</v>
      </c>
      <c r="E484" s="13" t="n">
        <v>-0.008407</v>
      </c>
      <c r="F484" s="13" t="n">
        <v>0.016669</v>
      </c>
      <c r="G484" s="13" t="n">
        <v>0.5043</v>
      </c>
      <c r="H484" s="13" t="n">
        <v>0.003788</v>
      </c>
      <c r="I484" s="13" t="n">
        <v>-0.004404</v>
      </c>
      <c r="J484" s="13" t="n">
        <v>0.008192</v>
      </c>
      <c r="K484" s="13" t="n">
        <v>0.5376</v>
      </c>
      <c r="L484" s="13" t="n">
        <v>0.030981</v>
      </c>
      <c r="M484" s="13" t="n">
        <v>0.014812</v>
      </c>
      <c r="N484" s="13" t="n">
        <v>0.016169</v>
      </c>
      <c r="O484" s="13" t="n">
        <v>0.3235</v>
      </c>
      <c r="P484" s="13" t="n">
        <v>-0.016866</v>
      </c>
      <c r="Q484" s="13" t="n">
        <v>-0.069255</v>
      </c>
      <c r="R484" s="13" t="n">
        <v>0.052389</v>
      </c>
      <c r="S484" s="13" t="n">
        <v>0.8042</v>
      </c>
      <c r="T484" s="13" t="n">
        <v>0.026507</v>
      </c>
      <c r="U484" s="13" t="n">
        <v>-0.006005</v>
      </c>
      <c r="V484" s="13" t="n">
        <v>0.032512</v>
      </c>
      <c r="W484" s="13" t="n">
        <v>0.1847</v>
      </c>
      <c r="X484" s="13" t="n">
        <v>0.06506000000000001</v>
      </c>
      <c r="Y484" s="13" t="n">
        <v>0.022818</v>
      </c>
      <c r="Z484" s="13" t="n">
        <v>0.042242</v>
      </c>
      <c r="AA484" s="13" t="n">
        <v>0.2597</v>
      </c>
    </row>
    <row r="485">
      <c r="A485" s="6" t="inlineStr">
        <is>
          <t>2024-08-14</t>
        </is>
      </c>
      <c r="B485" s="6" t="inlineStr">
        <is>
          <t>中间分位</t>
        </is>
      </c>
      <c r="C485" s="10" t="n">
        <v>0.116</v>
      </c>
      <c r="D485" s="8" t="n">
        <v>0.004097</v>
      </c>
      <c r="E485" s="8" t="n">
        <v>-0.008477999999999999</v>
      </c>
      <c r="F485" s="8" t="n">
        <v>0.012575</v>
      </c>
      <c r="G485" s="8" t="n">
        <v>0.6742</v>
      </c>
      <c r="H485" s="8" t="n">
        <v>0.004441</v>
      </c>
      <c r="I485" s="8" t="n">
        <v>0.016149</v>
      </c>
      <c r="J485" s="8" t="n">
        <v>-0.011708</v>
      </c>
      <c r="K485" s="8" t="n">
        <v>0.7843</v>
      </c>
      <c r="L485" s="8" t="n">
        <v>0.024242</v>
      </c>
      <c r="M485" s="8" t="n">
        <v>0.024223</v>
      </c>
      <c r="N485" s="8" t="n">
        <v>1.9e-05</v>
      </c>
      <c r="O485" s="8" t="n">
        <v>0.4998</v>
      </c>
      <c r="P485" s="8" t="n">
        <v>-0.042334</v>
      </c>
      <c r="Q485" s="8" t="n">
        <v>-0.049253</v>
      </c>
      <c r="R485" s="8" t="n">
        <v>0.006919</v>
      </c>
      <c r="S485" s="8" t="n">
        <v>0.5377999999999999</v>
      </c>
      <c r="T485" s="8" t="n">
        <v>0.013999</v>
      </c>
      <c r="U485" s="8" t="n">
        <v>0.005248</v>
      </c>
      <c r="V485" s="8" t="n">
        <v>0.008751</v>
      </c>
      <c r="W485" s="8" t="n">
        <v>0.2727</v>
      </c>
      <c r="X485" s="8" t="n">
        <v>0.064871</v>
      </c>
      <c r="Y485" s="8" t="n">
        <v>0.027453</v>
      </c>
      <c r="Z485" s="8" t="n">
        <v>0.037418</v>
      </c>
      <c r="AA485" s="8" t="n">
        <v>0.2974</v>
      </c>
    </row>
    <row r="486">
      <c r="A486" s="11" t="inlineStr">
        <is>
          <t>2024-08-15</t>
        </is>
      </c>
      <c r="B486" s="11" t="inlineStr">
        <is>
          <t>中间分位</t>
        </is>
      </c>
      <c r="C486" s="15" t="n">
        <v>0.228</v>
      </c>
      <c r="D486" s="13" t="n">
        <v>-0.015978</v>
      </c>
      <c r="E486" s="13" t="n">
        <v>-0.008142999999999999</v>
      </c>
      <c r="F486" s="13" t="n">
        <v>-0.007835</v>
      </c>
      <c r="G486" s="13" t="n">
        <v>0.3376</v>
      </c>
      <c r="H486" s="13" t="n">
        <v>0.007483</v>
      </c>
      <c r="I486" s="13" t="n">
        <v>0.020765</v>
      </c>
      <c r="J486" s="13" t="n">
        <v>-0.013282</v>
      </c>
      <c r="K486" s="13" t="n">
        <v>0.7351</v>
      </c>
      <c r="L486" s="13" t="n">
        <v>0.022441</v>
      </c>
      <c r="M486" s="13" t="n">
        <v>0.031759</v>
      </c>
      <c r="N486" s="13" t="n">
        <v>-0.009318</v>
      </c>
      <c r="O486" s="13" t="n">
        <v>0.586</v>
      </c>
      <c r="P486" s="13" t="n">
        <v>-0.032642</v>
      </c>
      <c r="Q486" s="13" t="n">
        <v>-0.028502</v>
      </c>
      <c r="R486" s="13" t="n">
        <v>-0.00414</v>
      </c>
      <c r="S486" s="13" t="n">
        <v>0.4661</v>
      </c>
      <c r="T486" s="13" t="n">
        <v>0.020063</v>
      </c>
      <c r="U486" s="13" t="n">
        <v>0.03013</v>
      </c>
      <c r="V486" s="13" t="n">
        <v>-0.010067</v>
      </c>
      <c r="W486" s="13" t="n">
        <v>0.6002999999999999</v>
      </c>
      <c r="X486" s="13" t="n">
        <v>0.056446</v>
      </c>
      <c r="Y486" s="13" t="n">
        <v>0.032166</v>
      </c>
      <c r="Z486" s="13" t="n">
        <v>0.02428</v>
      </c>
      <c r="AA486" s="13" t="n">
        <v>0.363</v>
      </c>
    </row>
    <row r="487">
      <c r="A487" s="6" t="inlineStr">
        <is>
          <t>2024-08-16</t>
        </is>
      </c>
      <c r="B487" s="6" t="inlineStr">
        <is>
          <t>中间分位</t>
        </is>
      </c>
      <c r="C487" s="10" t="n">
        <v>0.156</v>
      </c>
      <c r="D487" s="8" t="n">
        <v>0</v>
      </c>
      <c r="E487" s="8" t="n">
        <v>0.002874</v>
      </c>
      <c r="F487" s="8" t="n">
        <v>-0.002874</v>
      </c>
      <c r="G487" s="8" t="n">
        <v>1</v>
      </c>
      <c r="H487" s="8" t="n">
        <v>0.029026</v>
      </c>
      <c r="I487" s="8" t="n">
        <v>0.023399</v>
      </c>
      <c r="J487" s="8" t="n">
        <v>0.005627</v>
      </c>
      <c r="K487" s="8" t="n">
        <v>0.4463</v>
      </c>
      <c r="L487" s="8" t="n">
        <v>0.034897</v>
      </c>
      <c r="M487" s="8" t="n">
        <v>0.037767</v>
      </c>
      <c r="N487" s="8" t="n">
        <v>-0.00287</v>
      </c>
      <c r="O487" s="8" t="n">
        <v>0.5197000000000001</v>
      </c>
      <c r="P487" s="8" t="n">
        <v>-0.002422</v>
      </c>
      <c r="Q487" s="8" t="n">
        <v>-0.021757</v>
      </c>
      <c r="R487" s="8" t="n">
        <v>0.019335</v>
      </c>
      <c r="S487" s="8" t="n">
        <v>0.8998</v>
      </c>
      <c r="T487" s="8" t="n">
        <v>0.040773</v>
      </c>
      <c r="U487" s="8" t="n">
        <v>0.049261</v>
      </c>
      <c r="V487" s="8" t="n">
        <v>-0.008488000000000001</v>
      </c>
      <c r="W487" s="8" t="n">
        <v>0.5471</v>
      </c>
      <c r="X487" s="8" t="n">
        <v>0.069798</v>
      </c>
      <c r="Y487" s="8" t="n">
        <v>0.045567</v>
      </c>
      <c r="Z487" s="8" t="n">
        <v>0.024231</v>
      </c>
      <c r="AA487" s="8" t="n">
        <v>0.395</v>
      </c>
    </row>
    <row r="488">
      <c r="A488" s="11" t="inlineStr">
        <is>
          <t>2024-08-19</t>
        </is>
      </c>
      <c r="B488" s="11" t="inlineStr">
        <is>
          <t>中间分位</t>
        </is>
      </c>
      <c r="C488" s="15" t="n">
        <v>0.132</v>
      </c>
      <c r="D488" s="13" t="n">
        <v>0.007601</v>
      </c>
      <c r="E488" s="13" t="n">
        <v>0.018011</v>
      </c>
      <c r="F488" s="13" t="n">
        <v>-0.01041</v>
      </c>
      <c r="G488" s="13" t="n">
        <v>0.7032</v>
      </c>
      <c r="H488" s="13" t="n">
        <v>0.020733</v>
      </c>
      <c r="I488" s="13" t="n">
        <v>0.035612</v>
      </c>
      <c r="J488" s="13" t="n">
        <v>-0.014879</v>
      </c>
      <c r="K488" s="13" t="n">
        <v>0.632</v>
      </c>
      <c r="L488" s="13" t="n">
        <v>0.028333</v>
      </c>
      <c r="M488" s="13" t="n">
        <v>0.013917</v>
      </c>
      <c r="N488" s="13" t="n">
        <v>0.014416</v>
      </c>
      <c r="O488" s="13" t="n">
        <v>0.3294</v>
      </c>
      <c r="P488" s="13" t="n">
        <v>-0.004147</v>
      </c>
      <c r="Q488" s="13" t="n">
        <v>-0.023332</v>
      </c>
      <c r="R488" s="13" t="n">
        <v>0.019185</v>
      </c>
      <c r="S488" s="13" t="n">
        <v>0.8491</v>
      </c>
      <c r="T488" s="13" t="n">
        <v>0.046992</v>
      </c>
      <c r="U488" s="13" t="n">
        <v>0.050757</v>
      </c>
      <c r="V488" s="13" t="n">
        <v>-0.003765</v>
      </c>
      <c r="W488" s="13" t="n">
        <v>0.5193</v>
      </c>
      <c r="X488" s="13" t="n">
        <v>0.076018</v>
      </c>
      <c r="Y488" s="13" t="n">
        <v>0.042571</v>
      </c>
      <c r="Z488" s="13" t="n">
        <v>0.033447</v>
      </c>
      <c r="AA488" s="13" t="n">
        <v>0.359</v>
      </c>
    </row>
    <row r="489">
      <c r="A489" s="6" t="inlineStr">
        <is>
          <t>2024-08-20</t>
        </is>
      </c>
      <c r="B489" s="6" t="inlineStr">
        <is>
          <t>低分位</t>
        </is>
      </c>
      <c r="C489" s="10" t="n">
        <v>0.08400000000000001</v>
      </c>
      <c r="D489" s="8" t="n">
        <v>0.008918000000000001</v>
      </c>
      <c r="E489" s="8" t="n">
        <v>0.012063</v>
      </c>
      <c r="F489" s="8" t="n">
        <v>-0.003145</v>
      </c>
      <c r="G489" s="8" t="n">
        <v>0.5749</v>
      </c>
      <c r="H489" s="8" t="n">
        <v>0.027091</v>
      </c>
      <c r="I489" s="8" t="n">
        <v>0.0193</v>
      </c>
      <c r="J489" s="8" t="n">
        <v>0.007791</v>
      </c>
      <c r="K489" s="8" t="n">
        <v>0.416</v>
      </c>
      <c r="L489" s="8" t="n">
        <v>0.012346</v>
      </c>
      <c r="M489" s="8" t="n">
        <v>-0.009247999999999999</v>
      </c>
      <c r="N489" s="8" t="n">
        <v>0.021594</v>
      </c>
      <c r="O489" s="8" t="n">
        <v>0.4283</v>
      </c>
      <c r="P489" s="8" t="n">
        <v>-0.011658</v>
      </c>
      <c r="Q489" s="8" t="n">
        <v>-0.030157</v>
      </c>
      <c r="R489" s="8" t="n">
        <v>0.018499</v>
      </c>
      <c r="S489" s="8" t="n">
        <v>0.7212</v>
      </c>
      <c r="T489" s="8" t="n">
        <v>0.049041</v>
      </c>
      <c r="U489" s="8" t="n">
        <v>0.035384</v>
      </c>
      <c r="V489" s="8" t="n">
        <v>0.013657</v>
      </c>
      <c r="W489" s="8" t="n">
        <v>0.4191</v>
      </c>
      <c r="X489" s="8" t="n">
        <v>0.069272</v>
      </c>
      <c r="Y489" s="8" t="n">
        <v>0.032569</v>
      </c>
      <c r="Z489" s="8" t="n">
        <v>0.036703</v>
      </c>
      <c r="AA489" s="8" t="n">
        <v>0.3198</v>
      </c>
    </row>
    <row r="490">
      <c r="A490" s="11" t="inlineStr">
        <is>
          <t>2024-08-21</t>
        </is>
      </c>
      <c r="B490" s="11" t="inlineStr">
        <is>
          <t>低分位</t>
        </is>
      </c>
      <c r="C490" s="15" t="n">
        <v>0.06</v>
      </c>
      <c r="D490" s="13" t="n">
        <v>0.007138</v>
      </c>
      <c r="E490" s="13" t="n">
        <v>-0.003973</v>
      </c>
      <c r="F490" s="13" t="n">
        <v>0.011111</v>
      </c>
      <c r="G490" s="13" t="n">
        <v>0.3576</v>
      </c>
      <c r="H490" s="13" t="n">
        <v>0.019713</v>
      </c>
      <c r="I490" s="13" t="n">
        <v>0.007946</v>
      </c>
      <c r="J490" s="13" t="n">
        <v>0.011767</v>
      </c>
      <c r="K490" s="13" t="n">
        <v>0.2873</v>
      </c>
      <c r="L490" s="13" t="n">
        <v>-0.000343</v>
      </c>
      <c r="M490" s="13" t="n">
        <v>-0.043306</v>
      </c>
      <c r="N490" s="13" t="n">
        <v>0.042963</v>
      </c>
      <c r="O490" s="13" t="n">
        <v>0.9921</v>
      </c>
      <c r="P490" s="13" t="n">
        <v>-0.00476</v>
      </c>
      <c r="Q490" s="13" t="n">
        <v>-0.053635</v>
      </c>
      <c r="R490" s="13" t="n">
        <v>0.048875</v>
      </c>
      <c r="S490" s="13" t="n">
        <v>0.9185</v>
      </c>
      <c r="T490" s="13" t="n">
        <v>0.040107</v>
      </c>
      <c r="U490" s="13" t="n">
        <v>0.037743</v>
      </c>
      <c r="V490" s="13" t="n">
        <v>0.002364</v>
      </c>
      <c r="W490" s="13" t="n">
        <v>0.4848</v>
      </c>
      <c r="X490" s="13" t="n">
        <v>0.067978</v>
      </c>
      <c r="Y490" s="13" t="n">
        <v>0.009138</v>
      </c>
      <c r="Z490" s="13" t="n">
        <v>0.05884</v>
      </c>
      <c r="AA490" s="13" t="n">
        <v>0.1185</v>
      </c>
    </row>
    <row r="491">
      <c r="A491" s="6" t="inlineStr">
        <is>
          <t>2024-08-22</t>
        </is>
      </c>
      <c r="B491" s="6" t="inlineStr">
        <is>
          <t>中间分位</t>
        </is>
      </c>
      <c r="C491" s="10" t="n">
        <v>0.108</v>
      </c>
      <c r="D491" s="8" t="n">
        <v>0.005062</v>
      </c>
      <c r="E491" s="8" t="n">
        <v>-0.005584</v>
      </c>
      <c r="F491" s="8" t="n">
        <v>0.010646</v>
      </c>
      <c r="G491" s="8" t="n">
        <v>0.5245</v>
      </c>
      <c r="H491" s="8" t="n">
        <v>0.014847</v>
      </c>
      <c r="I491" s="8" t="n">
        <v>0.01077</v>
      </c>
      <c r="J491" s="8" t="n">
        <v>0.004077</v>
      </c>
      <c r="K491" s="8" t="n">
        <v>0.4204</v>
      </c>
      <c r="L491" s="8" t="n">
        <v>-0.017889</v>
      </c>
      <c r="M491" s="8" t="n">
        <v>-0.051057</v>
      </c>
      <c r="N491" s="8" t="n">
        <v>0.033168</v>
      </c>
      <c r="O491" s="8" t="n">
        <v>0.7405</v>
      </c>
      <c r="P491" s="8" t="n">
        <v>-0.023964</v>
      </c>
      <c r="Q491" s="8" t="n">
        <v>-0.067012</v>
      </c>
      <c r="R491" s="8" t="n">
        <v>0.043048</v>
      </c>
      <c r="S491" s="8" t="n">
        <v>0.7366</v>
      </c>
      <c r="T491" s="8" t="n">
        <v>0.044886</v>
      </c>
      <c r="U491" s="8" t="n">
        <v>0.030315</v>
      </c>
      <c r="V491" s="8" t="n">
        <v>0.014571</v>
      </c>
      <c r="W491" s="8" t="n">
        <v>0.4031</v>
      </c>
      <c r="X491" s="8" t="n">
        <v>0.048599</v>
      </c>
      <c r="Y491" s="8" t="n">
        <v>0.019146</v>
      </c>
      <c r="Z491" s="8" t="n">
        <v>0.029453</v>
      </c>
      <c r="AA491" s="8" t="n">
        <v>0.2826</v>
      </c>
    </row>
    <row r="492">
      <c r="A492" s="11" t="inlineStr">
        <is>
          <t>2024-08-23</t>
        </is>
      </c>
      <c r="B492" s="11" t="inlineStr">
        <is>
          <t>中间分位</t>
        </is>
      </c>
      <c r="C492" s="15" t="n">
        <v>0.204</v>
      </c>
      <c r="D492" s="13" t="n">
        <v>-0.008059</v>
      </c>
      <c r="E492" s="13" t="n">
        <v>0.014842</v>
      </c>
      <c r="F492" s="13" t="n">
        <v>-0.022901</v>
      </c>
      <c r="G492" s="13" t="n">
        <v>0.6481</v>
      </c>
      <c r="H492" s="13" t="n">
        <v>0.005706</v>
      </c>
      <c r="I492" s="13" t="n">
        <v>0.014039</v>
      </c>
      <c r="J492" s="13" t="n">
        <v>-0.008333</v>
      </c>
      <c r="K492" s="13" t="n">
        <v>0.711</v>
      </c>
      <c r="L492" s="13" t="n">
        <v>-0.038619</v>
      </c>
      <c r="M492" s="13" t="n">
        <v>-0.048937</v>
      </c>
      <c r="N492" s="13" t="n">
        <v>0.010318</v>
      </c>
      <c r="O492" s="13" t="n">
        <v>0.5589</v>
      </c>
      <c r="P492" s="13" t="n">
        <v>-0.040968</v>
      </c>
      <c r="Q492" s="13" t="n">
        <v>-0.038909</v>
      </c>
      <c r="R492" s="13" t="n">
        <v>-0.002059</v>
      </c>
      <c r="S492" s="13" t="n">
        <v>0.4871</v>
      </c>
      <c r="T492" s="13" t="n">
        <v>0.031563</v>
      </c>
      <c r="U492" s="13" t="n">
        <v>0.043722</v>
      </c>
      <c r="V492" s="13" t="n">
        <v>-0.012159</v>
      </c>
      <c r="W492" s="13" t="n">
        <v>0.5808</v>
      </c>
      <c r="X492" s="13" t="n">
        <v>0.049023</v>
      </c>
      <c r="Y492" s="13" t="n">
        <v>0.038508</v>
      </c>
      <c r="Z492" s="13" t="n">
        <v>0.010515</v>
      </c>
      <c r="AA492" s="13" t="n">
        <v>0.4399</v>
      </c>
    </row>
    <row r="493">
      <c r="A493" s="6" t="inlineStr">
        <is>
          <t>2024-08-26</t>
        </is>
      </c>
      <c r="B493" s="6" t="inlineStr">
        <is>
          <t>低分位</t>
        </is>
      </c>
      <c r="C493" s="10" t="n">
        <v>0.04</v>
      </c>
      <c r="D493" s="8" t="n">
        <v>0.013877</v>
      </c>
      <c r="E493" s="8" t="n">
        <v>0.001976</v>
      </c>
      <c r="F493" s="8" t="n">
        <v>0.011901</v>
      </c>
      <c r="G493" s="8" t="n">
        <v>0.1246</v>
      </c>
      <c r="H493" s="8" t="n">
        <v>0.007446</v>
      </c>
      <c r="I493" s="8" t="n">
        <v>-0.020949</v>
      </c>
      <c r="J493" s="8" t="n">
        <v>0.028395</v>
      </c>
      <c r="K493" s="8" t="n">
        <v>0.7378</v>
      </c>
      <c r="L493" s="8" t="n">
        <v>-0.030808</v>
      </c>
      <c r="M493" s="8" t="n">
        <v>-0.064822</v>
      </c>
      <c r="N493" s="8" t="n">
        <v>0.034014</v>
      </c>
      <c r="O493" s="8" t="n">
        <v>0.6778</v>
      </c>
      <c r="P493" s="8" t="n">
        <v>-0.030808</v>
      </c>
      <c r="Q493" s="8" t="n">
        <v>-0.049012</v>
      </c>
      <c r="R493" s="8" t="n">
        <v>0.018204</v>
      </c>
      <c r="S493" s="8" t="n">
        <v>0.614</v>
      </c>
      <c r="T493" s="8" t="n">
        <v>0.047391</v>
      </c>
      <c r="U493" s="8" t="n">
        <v>0.016996</v>
      </c>
      <c r="V493" s="8" t="n">
        <v>0.030395</v>
      </c>
      <c r="W493" s="8" t="n">
        <v>0.264</v>
      </c>
      <c r="X493" s="8" t="n">
        <v>0.070074</v>
      </c>
      <c r="Y493" s="8" t="n">
        <v>0.022134</v>
      </c>
      <c r="Z493" s="8" t="n">
        <v>0.04794</v>
      </c>
      <c r="AA493" s="8" t="n">
        <v>0.24</v>
      </c>
    </row>
    <row r="494">
      <c r="A494" s="11" t="inlineStr">
        <is>
          <t>2024-08-27</t>
        </is>
      </c>
      <c r="B494" s="11" t="inlineStr">
        <is>
          <t>低分位</t>
        </is>
      </c>
      <c r="C494" s="15" t="n">
        <v>0.1</v>
      </c>
      <c r="D494" s="13" t="n">
        <v>0.001671</v>
      </c>
      <c r="E494" s="13" t="n">
        <v>0.000789</v>
      </c>
      <c r="F494" s="13" t="n">
        <v>0.000882</v>
      </c>
      <c r="G494" s="13" t="n">
        <v>0.3207</v>
      </c>
      <c r="H494" s="13" t="n">
        <v>-0.014356</v>
      </c>
      <c r="I494" s="13" t="n">
        <v>-0.028008</v>
      </c>
      <c r="J494" s="13" t="n">
        <v>0.013652</v>
      </c>
      <c r="K494" s="13" t="n">
        <v>0.6611</v>
      </c>
      <c r="L494" s="13" t="n">
        <v>-0.046409</v>
      </c>
      <c r="M494" s="13" t="n">
        <v>-0.08284</v>
      </c>
      <c r="N494" s="13" t="n">
        <v>0.036431</v>
      </c>
      <c r="O494" s="13" t="n">
        <v>0.6409</v>
      </c>
      <c r="P494" s="13" t="n">
        <v>-0.018695</v>
      </c>
      <c r="Q494" s="13" t="n">
        <v>-0.047732</v>
      </c>
      <c r="R494" s="13" t="n">
        <v>0.029037</v>
      </c>
      <c r="S494" s="13" t="n">
        <v>0.7186</v>
      </c>
      <c r="T494" s="13" t="n">
        <v>0.021372</v>
      </c>
      <c r="U494" s="13" t="n">
        <v>0.007495</v>
      </c>
      <c r="V494" s="13" t="n">
        <v>0.013877</v>
      </c>
      <c r="W494" s="13" t="n">
        <v>0.2596</v>
      </c>
      <c r="X494" s="13" t="n">
        <v>0.053425</v>
      </c>
      <c r="Y494" s="13" t="n">
        <v>0.028008</v>
      </c>
      <c r="Z494" s="13" t="n">
        <v>0.025417</v>
      </c>
      <c r="AA494" s="13" t="n">
        <v>0.3439</v>
      </c>
    </row>
    <row r="495">
      <c r="A495" s="6" t="inlineStr">
        <is>
          <t>2024-08-28</t>
        </is>
      </c>
      <c r="B495" s="6" t="inlineStr">
        <is>
          <t>中间分位</t>
        </is>
      </c>
      <c r="C495" s="10" t="n">
        <v>0.116</v>
      </c>
      <c r="D495" s="8" t="n">
        <v>0.002332</v>
      </c>
      <c r="E495" s="8" t="n">
        <v>-0.001182</v>
      </c>
      <c r="F495" s="8" t="n">
        <v>0.003514</v>
      </c>
      <c r="G495" s="8" t="n">
        <v>0.3364</v>
      </c>
      <c r="H495" s="8" t="n">
        <v>-0.019668</v>
      </c>
      <c r="I495" s="8" t="n">
        <v>-0.050847</v>
      </c>
      <c r="J495" s="8" t="n">
        <v>0.031179</v>
      </c>
      <c r="K495" s="8" t="n">
        <v>0.7211</v>
      </c>
      <c r="L495" s="8" t="n">
        <v>-0.065</v>
      </c>
      <c r="M495" s="8" t="n">
        <v>-0.071738</v>
      </c>
      <c r="N495" s="8" t="n">
        <v>0.006738</v>
      </c>
      <c r="O495" s="8" t="n">
        <v>0.5246</v>
      </c>
      <c r="P495" s="8" t="n">
        <v>-0.023668</v>
      </c>
      <c r="Q495" s="8" t="n">
        <v>-0.035081</v>
      </c>
      <c r="R495" s="8" t="n">
        <v>0.011413</v>
      </c>
      <c r="S495" s="8" t="n">
        <v>0.5971</v>
      </c>
      <c r="T495" s="8" t="n">
        <v>0.015332</v>
      </c>
      <c r="U495" s="8" t="n">
        <v>0.011431</v>
      </c>
      <c r="V495" s="8" t="n">
        <v>0.003901</v>
      </c>
      <c r="W495" s="8" t="n">
        <v>0.4271</v>
      </c>
      <c r="X495" s="8" t="n">
        <v>0.057668</v>
      </c>
      <c r="Y495" s="8" t="n">
        <v>0.027592</v>
      </c>
      <c r="Z495" s="8" t="n">
        <v>0.030076</v>
      </c>
      <c r="AA495" s="8" t="n">
        <v>0.3236</v>
      </c>
    </row>
    <row r="496">
      <c r="A496" s="11" t="inlineStr">
        <is>
          <t>2024-08-29</t>
        </is>
      </c>
      <c r="B496" s="11" t="inlineStr">
        <is>
          <t>中间分位</t>
        </is>
      </c>
      <c r="C496" s="15" t="n">
        <v>0.144</v>
      </c>
      <c r="D496" s="13" t="n">
        <v>-0.003991</v>
      </c>
      <c r="E496" s="13" t="n">
        <v>-0.002368</v>
      </c>
      <c r="F496" s="13" t="n">
        <v>-0.001623</v>
      </c>
      <c r="G496" s="13" t="n">
        <v>0.3724</v>
      </c>
      <c r="H496" s="13" t="n">
        <v>-0.032257</v>
      </c>
      <c r="I496" s="13" t="n">
        <v>-0.061168</v>
      </c>
      <c r="J496" s="13" t="n">
        <v>0.028911</v>
      </c>
      <c r="K496" s="13" t="n">
        <v>0.6546999999999999</v>
      </c>
      <c r="L496" s="13" t="n">
        <v>-0.053874</v>
      </c>
      <c r="M496" s="13" t="n">
        <v>-0.058406</v>
      </c>
      <c r="N496" s="13" t="n">
        <v>0.004532</v>
      </c>
      <c r="O496" s="13" t="n">
        <v>0.5202</v>
      </c>
      <c r="P496" s="13" t="n">
        <v>0.004988</v>
      </c>
      <c r="Q496" s="13" t="n">
        <v>-0.003552</v>
      </c>
      <c r="R496" s="13" t="n">
        <v>0.008540000000000001</v>
      </c>
      <c r="S496" s="13" t="n">
        <v>0.4159</v>
      </c>
      <c r="T496" s="13" t="n">
        <v>0.0153</v>
      </c>
      <c r="U496" s="13" t="n">
        <v>0.013418</v>
      </c>
      <c r="V496" s="13" t="n">
        <v>0.001882</v>
      </c>
      <c r="W496" s="13" t="n">
        <v>0.4672</v>
      </c>
      <c r="X496" s="13" t="n">
        <v>0.057534</v>
      </c>
      <c r="Y496" s="13" t="n">
        <v>0.022494</v>
      </c>
      <c r="Z496" s="13" t="n">
        <v>0.03504</v>
      </c>
      <c r="AA496" s="13" t="n">
        <v>0.2811</v>
      </c>
    </row>
    <row r="497">
      <c r="A497" s="6" t="inlineStr">
        <is>
          <t>2024-08-30</t>
        </is>
      </c>
      <c r="B497" s="6" t="inlineStr">
        <is>
          <t>中间分位</t>
        </is>
      </c>
      <c r="C497" s="10" t="n">
        <v>0.128</v>
      </c>
      <c r="D497" s="8" t="n">
        <v>-0.006343</v>
      </c>
      <c r="E497" s="8" t="n">
        <v>-0.020174</v>
      </c>
      <c r="F497" s="8" t="n">
        <v>0.013831</v>
      </c>
      <c r="G497" s="8" t="n">
        <v>0.7608</v>
      </c>
      <c r="H497" s="8" t="n">
        <v>-0.044074</v>
      </c>
      <c r="I497" s="8" t="n">
        <v>-0.062104</v>
      </c>
      <c r="J497" s="8" t="n">
        <v>0.01803</v>
      </c>
      <c r="K497" s="8" t="n">
        <v>0.5849</v>
      </c>
      <c r="L497" s="8" t="n">
        <v>-0.03606</v>
      </c>
      <c r="M497" s="8" t="n">
        <v>-0.057358</v>
      </c>
      <c r="N497" s="8" t="n">
        <v>0.021298</v>
      </c>
      <c r="O497" s="8" t="n">
        <v>0.614</v>
      </c>
      <c r="P497" s="8" t="n">
        <v>0.032723</v>
      </c>
      <c r="Q497" s="8" t="n">
        <v>0.015427</v>
      </c>
      <c r="R497" s="8" t="n">
        <v>0.017296</v>
      </c>
      <c r="S497" s="8" t="n">
        <v>0.3204</v>
      </c>
      <c r="T497" s="8" t="n">
        <v>0.017365</v>
      </c>
      <c r="U497" s="8" t="n">
        <v>0.005934</v>
      </c>
      <c r="V497" s="8" t="n">
        <v>0.011431</v>
      </c>
      <c r="W497" s="8" t="n">
        <v>0.2547</v>
      </c>
      <c r="X497" s="8" t="n">
        <v>0.059435</v>
      </c>
      <c r="Y497" s="8" t="n">
        <v>0.017009</v>
      </c>
      <c r="Z497" s="8" t="n">
        <v>0.042426</v>
      </c>
      <c r="AA497" s="8" t="n">
        <v>0.2225</v>
      </c>
    </row>
    <row r="498">
      <c r="A498" s="11" t="inlineStr">
        <is>
          <t>2024-09-02</t>
        </is>
      </c>
      <c r="B498" s="11" t="inlineStr">
        <is>
          <t>中间分位</t>
        </is>
      </c>
      <c r="C498" s="15" t="n">
        <v>0.288</v>
      </c>
      <c r="D498" s="13" t="n">
        <v>-0.008064999999999999</v>
      </c>
      <c r="E498" s="13" t="n">
        <v>-0.005248</v>
      </c>
      <c r="F498" s="13" t="n">
        <v>-0.002817</v>
      </c>
      <c r="G498" s="13" t="n">
        <v>0.3942</v>
      </c>
      <c r="H498" s="13" t="n">
        <v>-0.037972</v>
      </c>
      <c r="I498" s="13" t="n">
        <v>-0.044812</v>
      </c>
      <c r="J498" s="13" t="n">
        <v>0.00684</v>
      </c>
      <c r="K498" s="13" t="n">
        <v>0.5413</v>
      </c>
      <c r="L498" s="13" t="n">
        <v>-0.031585</v>
      </c>
      <c r="M498" s="13" t="n">
        <v>-0.036738</v>
      </c>
      <c r="N498" s="13" t="n">
        <v>0.005153</v>
      </c>
      <c r="O498" s="13" t="n">
        <v>0.5377</v>
      </c>
      <c r="P498" s="13" t="n">
        <v>0.056786</v>
      </c>
      <c r="Q498" s="13" t="n">
        <v>0.016149</v>
      </c>
      <c r="R498" s="13" t="n">
        <v>0.040637</v>
      </c>
      <c r="S498" s="13" t="n">
        <v>0.2214</v>
      </c>
      <c r="T498" s="13" t="n">
        <v>0.012431</v>
      </c>
      <c r="U498" s="13" t="n">
        <v>0.017763</v>
      </c>
      <c r="V498" s="13" t="n">
        <v>-0.005332</v>
      </c>
      <c r="W498" s="13" t="n">
        <v>0.5883</v>
      </c>
      <c r="X498" s="13" t="n">
        <v>0.068214</v>
      </c>
      <c r="Y498" s="13" t="n">
        <v>0.046023</v>
      </c>
      <c r="Z498" s="13" t="n">
        <v>0.022191</v>
      </c>
      <c r="AA498" s="13" t="n">
        <v>0.4029</v>
      </c>
    </row>
    <row r="499">
      <c r="A499" s="6" t="inlineStr">
        <is>
          <t>2024-09-03</t>
        </is>
      </c>
      <c r="B499" s="6" t="inlineStr">
        <is>
          <t>中间分位</t>
        </is>
      </c>
      <c r="C499" s="10" t="n">
        <v>0.236</v>
      </c>
      <c r="D499" s="8" t="n">
        <v>-0.003728</v>
      </c>
      <c r="E499" s="8" t="n">
        <v>-0.022727</v>
      </c>
      <c r="F499" s="8" t="n">
        <v>0.018999</v>
      </c>
      <c r="G499" s="8" t="n">
        <v>0.8591</v>
      </c>
      <c r="H499" s="8" t="n">
        <v>-0.03252</v>
      </c>
      <c r="I499" s="8" t="n">
        <v>-0.056412</v>
      </c>
      <c r="J499" s="8" t="n">
        <v>0.023892</v>
      </c>
      <c r="K499" s="8" t="n">
        <v>0.6343</v>
      </c>
      <c r="L499" s="8" t="n">
        <v>-0.023711</v>
      </c>
      <c r="M499" s="8" t="n">
        <v>-0.021104</v>
      </c>
      <c r="N499" s="8" t="n">
        <v>-0.002607</v>
      </c>
      <c r="O499" s="8" t="n">
        <v>0.4709</v>
      </c>
      <c r="P499" s="8" t="n">
        <v>0.04878</v>
      </c>
      <c r="Q499" s="8" t="n">
        <v>0.009334</v>
      </c>
      <c r="R499" s="8" t="n">
        <v>0.039446</v>
      </c>
      <c r="S499" s="8" t="n">
        <v>0.1606</v>
      </c>
      <c r="T499" s="8" t="n">
        <v>0.019988</v>
      </c>
      <c r="U499" s="8" t="n">
        <v>0.025162</v>
      </c>
      <c r="V499" s="8" t="n">
        <v>-0.005174</v>
      </c>
      <c r="W499" s="8" t="n">
        <v>0.5573</v>
      </c>
      <c r="X499" s="8" t="n">
        <v>0.08502800000000001</v>
      </c>
      <c r="Y499" s="8" t="n">
        <v>0.051542</v>
      </c>
      <c r="Z499" s="8" t="n">
        <v>0.033486</v>
      </c>
      <c r="AA499" s="8" t="n">
        <v>0.3774</v>
      </c>
    </row>
    <row r="500">
      <c r="A500" s="11" t="inlineStr">
        <is>
          <t>2024-09-04</t>
        </is>
      </c>
      <c r="B500" s="11" t="inlineStr">
        <is>
          <t>中间分位</t>
        </is>
      </c>
      <c r="C500" s="15" t="n">
        <v>0.532</v>
      </c>
      <c r="D500" s="13" t="n">
        <v>-0.010539</v>
      </c>
      <c r="E500" s="13" t="n">
        <v>-0.012043</v>
      </c>
      <c r="F500" s="13" t="n">
        <v>0.001504</v>
      </c>
      <c r="G500" s="13" t="n">
        <v>0.5333</v>
      </c>
      <c r="H500" s="13" t="n">
        <v>-0.046241</v>
      </c>
      <c r="I500" s="13" t="n">
        <v>-0.02201</v>
      </c>
      <c r="J500" s="13" t="n">
        <v>-0.024231</v>
      </c>
      <c r="K500" s="13" t="n">
        <v>0.3225</v>
      </c>
      <c r="L500" s="13" t="n">
        <v>-0.004419</v>
      </c>
      <c r="M500" s="13" t="n">
        <v>-0.010797</v>
      </c>
      <c r="N500" s="13" t="n">
        <v>0.006378</v>
      </c>
      <c r="O500" s="13" t="n">
        <v>0.7096</v>
      </c>
      <c r="P500" s="13" t="n">
        <v>0.022441</v>
      </c>
      <c r="Q500" s="13" t="n">
        <v>0.039452</v>
      </c>
      <c r="R500" s="13" t="n">
        <v>-0.017011</v>
      </c>
      <c r="S500" s="13" t="n">
        <v>0.6374</v>
      </c>
      <c r="T500" s="13" t="n">
        <v>0.012922</v>
      </c>
      <c r="U500" s="13" t="n">
        <v>0.05191</v>
      </c>
      <c r="V500" s="13" t="n">
        <v>-0.038988</v>
      </c>
      <c r="W500" s="13" t="n">
        <v>0.8007</v>
      </c>
      <c r="X500" s="13" t="n">
        <v>0.089088</v>
      </c>
      <c r="Y500" s="13" t="n">
        <v>0.075166</v>
      </c>
      <c r="Z500" s="13" t="n">
        <v>0.013922</v>
      </c>
      <c r="AA500" s="13" t="n">
        <v>0.4576</v>
      </c>
    </row>
    <row r="501">
      <c r="A501" s="6" t="inlineStr">
        <is>
          <t>2024-09-05</t>
        </is>
      </c>
      <c r="B501" s="6" t="inlineStr">
        <is>
          <t>中间分位</t>
        </is>
      </c>
      <c r="C501" s="10" t="n">
        <v>0.544</v>
      </c>
      <c r="D501" s="8" t="n">
        <v>-0.016153</v>
      </c>
      <c r="E501" s="8" t="n">
        <v>-0.003363</v>
      </c>
      <c r="F501" s="8" t="n">
        <v>-0.01279</v>
      </c>
      <c r="G501" s="8" t="n">
        <v>0.1723</v>
      </c>
      <c r="H501" s="8" t="n">
        <v>-0.022338</v>
      </c>
      <c r="I501" s="8" t="n">
        <v>0.002942</v>
      </c>
      <c r="J501" s="8" t="n">
        <v>-0.02528</v>
      </c>
      <c r="K501" s="8" t="n">
        <v>0.1164</v>
      </c>
      <c r="L501" s="8" t="n">
        <v>-0.006186</v>
      </c>
      <c r="M501" s="8" t="n">
        <v>-0.016814</v>
      </c>
      <c r="N501" s="8" t="n">
        <v>0.010628</v>
      </c>
      <c r="O501" s="8" t="n">
        <v>0.731</v>
      </c>
      <c r="P501" s="8" t="n">
        <v>0.052235</v>
      </c>
      <c r="Q501" s="8" t="n">
        <v>0.050441</v>
      </c>
      <c r="R501" s="8" t="n">
        <v>0.001794</v>
      </c>
      <c r="S501" s="8" t="n">
        <v>0.4913</v>
      </c>
      <c r="T501" s="8" t="n">
        <v>0.032647</v>
      </c>
      <c r="U501" s="8" t="n">
        <v>0.079025</v>
      </c>
      <c r="V501" s="8" t="n">
        <v>-0.046378</v>
      </c>
      <c r="W501" s="8" t="n">
        <v>0.7077</v>
      </c>
      <c r="X501" s="8" t="n">
        <v>0.101031</v>
      </c>
      <c r="Y501" s="8" t="n">
        <v>0.061791</v>
      </c>
      <c r="Z501" s="8" t="n">
        <v>0.03924</v>
      </c>
      <c r="AA501" s="8" t="n">
        <v>0.3795</v>
      </c>
    </row>
    <row r="502">
      <c r="A502" s="11" t="inlineStr">
        <is>
          <t>2024-09-06</t>
        </is>
      </c>
      <c r="B502" s="11" t="inlineStr">
        <is>
          <t>中间分位</t>
        </is>
      </c>
      <c r="C502" s="15" t="n">
        <v>0.356</v>
      </c>
      <c r="D502" s="13" t="n">
        <v>0</v>
      </c>
      <c r="E502" s="13" t="n">
        <v>-0.002109</v>
      </c>
      <c r="F502" s="13" t="n">
        <v>0.002109</v>
      </c>
      <c r="G502" s="13" t="n">
        <v>1</v>
      </c>
      <c r="H502" s="13" t="n">
        <v>0.008383</v>
      </c>
      <c r="I502" s="13" t="n">
        <v>0.005061</v>
      </c>
      <c r="J502" s="13" t="n">
        <v>0.003322</v>
      </c>
      <c r="K502" s="13" t="n">
        <v>0.3765</v>
      </c>
      <c r="L502" s="13" t="n">
        <v>-0.002444</v>
      </c>
      <c r="M502" s="13" t="n">
        <v>0.010544</v>
      </c>
      <c r="N502" s="13" t="n">
        <v>-0.012988</v>
      </c>
      <c r="O502" s="13" t="n">
        <v>0.8118</v>
      </c>
      <c r="P502" s="13" t="n">
        <v>0.052045</v>
      </c>
      <c r="Q502" s="13" t="n">
        <v>0.036272</v>
      </c>
      <c r="R502" s="13" t="n">
        <v>0.015773</v>
      </c>
      <c r="S502" s="13" t="n">
        <v>0.4107</v>
      </c>
      <c r="T502" s="13" t="n">
        <v>0.060428</v>
      </c>
      <c r="U502" s="13" t="n">
        <v>0.090679</v>
      </c>
      <c r="V502" s="13" t="n">
        <v>-0.030251</v>
      </c>
      <c r="W502" s="13" t="n">
        <v>0.6001</v>
      </c>
      <c r="X502" s="13" t="n">
        <v>0.100946</v>
      </c>
      <c r="Y502" s="13" t="n">
        <v>0.070856</v>
      </c>
      <c r="Z502" s="13" t="n">
        <v>0.03009</v>
      </c>
      <c r="AA502" s="13" t="n">
        <v>0.4124</v>
      </c>
    </row>
    <row r="503">
      <c r="A503" s="6" t="inlineStr">
        <is>
          <t>2024-09-09</t>
        </is>
      </c>
      <c r="B503" s="6" t="inlineStr">
        <is>
          <t>中间分位</t>
        </is>
      </c>
      <c r="C503" s="10" t="n">
        <v>0.388</v>
      </c>
      <c r="D503" s="8" t="n">
        <v>-0.002444</v>
      </c>
      <c r="E503" s="8" t="n">
        <v>-0.017329</v>
      </c>
      <c r="F503" s="8" t="n">
        <v>0.014885</v>
      </c>
      <c r="G503" s="8" t="n">
        <v>0.8764</v>
      </c>
      <c r="H503" s="8" t="n">
        <v>0.006639</v>
      </c>
      <c r="I503" s="8" t="n">
        <v>0.008453</v>
      </c>
      <c r="J503" s="8" t="n">
        <v>-0.001814</v>
      </c>
      <c r="K503" s="8" t="n">
        <v>0.5601</v>
      </c>
      <c r="L503" s="8" t="n">
        <v>0</v>
      </c>
      <c r="M503" s="8" t="n">
        <v>0.016906</v>
      </c>
      <c r="N503" s="8" t="n">
        <v>-0.016906</v>
      </c>
      <c r="O503" s="8" t="n">
        <v>1</v>
      </c>
      <c r="P503" s="8" t="n">
        <v>0.038423</v>
      </c>
      <c r="Q503" s="8" t="n">
        <v>0.035503</v>
      </c>
      <c r="R503" s="8" t="n">
        <v>0.00292</v>
      </c>
      <c r="S503" s="8" t="n">
        <v>0.4803</v>
      </c>
      <c r="T503" s="8" t="n">
        <v>0.06811</v>
      </c>
      <c r="U503" s="8" t="n">
        <v>0.102282</v>
      </c>
      <c r="V503" s="8" t="n">
        <v>-0.034172</v>
      </c>
      <c r="W503" s="8" t="n">
        <v>0.6002999999999999</v>
      </c>
      <c r="X503" s="8" t="n">
        <v>0.101642</v>
      </c>
      <c r="Y503" s="8" t="n">
        <v>0.095097</v>
      </c>
      <c r="Z503" s="8" t="n">
        <v>0.006545</v>
      </c>
      <c r="AA503" s="8" t="n">
        <v>0.4834</v>
      </c>
    </row>
    <row r="504">
      <c r="A504" s="11" t="inlineStr">
        <is>
          <t>2024-09-10</t>
        </is>
      </c>
      <c r="B504" s="11" t="inlineStr">
        <is>
          <t>中间分位</t>
        </is>
      </c>
      <c r="C504" s="15" t="n">
        <v>0.592</v>
      </c>
      <c r="D504" s="13" t="n">
        <v>-0.017857</v>
      </c>
      <c r="E504" s="13" t="n">
        <v>0.012903</v>
      </c>
      <c r="F504" s="13" t="n">
        <v>-0.03076</v>
      </c>
      <c r="G504" s="13" t="n">
        <v>0.4195</v>
      </c>
      <c r="H504" s="13" t="n">
        <v>0.009105</v>
      </c>
      <c r="I504" s="13" t="n">
        <v>0.037419</v>
      </c>
      <c r="J504" s="13" t="n">
        <v>-0.028314</v>
      </c>
      <c r="K504" s="13" t="n">
        <v>0.8043</v>
      </c>
      <c r="L504" s="13" t="n">
        <v>0.029063</v>
      </c>
      <c r="M504" s="13" t="n">
        <v>0.03828</v>
      </c>
      <c r="N504" s="13" t="n">
        <v>-0.009216999999999999</v>
      </c>
      <c r="O504" s="13" t="n">
        <v>0.5684</v>
      </c>
      <c r="P504" s="13" t="n">
        <v>0.030462</v>
      </c>
      <c r="Q504" s="13" t="n">
        <v>0.043011</v>
      </c>
      <c r="R504" s="13" t="n">
        <v>-0.012549</v>
      </c>
      <c r="S504" s="13" t="n">
        <v>0.5854</v>
      </c>
      <c r="T504" s="13" t="n">
        <v>0.07563</v>
      </c>
      <c r="U504" s="13" t="n">
        <v>0.131613</v>
      </c>
      <c r="V504" s="13" t="n">
        <v>-0.055983</v>
      </c>
      <c r="W504" s="13" t="n">
        <v>0.6351</v>
      </c>
      <c r="X504" s="13" t="n">
        <v>0.116248</v>
      </c>
      <c r="Y504" s="13" t="n">
        <v>0.104086</v>
      </c>
      <c r="Z504" s="13" t="n">
        <v>0.012162</v>
      </c>
      <c r="AA504" s="13" t="n">
        <v>0.4724</v>
      </c>
    </row>
    <row r="505">
      <c r="A505" s="6" t="inlineStr">
        <is>
          <t>2024-09-11</t>
        </is>
      </c>
      <c r="B505" s="6" t="inlineStr">
        <is>
          <t>中间分位</t>
        </is>
      </c>
      <c r="C505" s="10" t="n">
        <v>0.16</v>
      </c>
      <c r="D505" s="8" t="n">
        <v>0.014259</v>
      </c>
      <c r="E505" s="8" t="n">
        <v>0.013163</v>
      </c>
      <c r="F505" s="8" t="n">
        <v>0.001096</v>
      </c>
      <c r="G505" s="8" t="n">
        <v>0.48</v>
      </c>
      <c r="H505" s="8" t="n">
        <v>0.04385</v>
      </c>
      <c r="I505" s="8" t="n">
        <v>0.011465</v>
      </c>
      <c r="J505" s="8" t="n">
        <v>0.032385</v>
      </c>
      <c r="K505" s="8" t="n">
        <v>0.2073</v>
      </c>
      <c r="L505" s="8" t="n">
        <v>0.044205</v>
      </c>
      <c r="M505" s="8" t="n">
        <v>0.03949</v>
      </c>
      <c r="N505" s="8" t="n">
        <v>0.004715</v>
      </c>
      <c r="O505" s="8" t="n">
        <v>0.4718</v>
      </c>
      <c r="P505" s="8" t="n">
        <v>0.050982</v>
      </c>
      <c r="Q505" s="8" t="n">
        <v>0.033546</v>
      </c>
      <c r="R505" s="8" t="n">
        <v>0.017436</v>
      </c>
      <c r="S505" s="8" t="n">
        <v>0.3969</v>
      </c>
      <c r="T505" s="8" t="n">
        <v>0.110516</v>
      </c>
      <c r="U505" s="8" t="n">
        <v>0.10828</v>
      </c>
      <c r="V505" s="8" t="n">
        <v>0.002236</v>
      </c>
      <c r="W505" s="8" t="n">
        <v>0.4949</v>
      </c>
      <c r="X505" s="8" t="n">
        <v>0.142246</v>
      </c>
      <c r="Y505" s="8" t="n">
        <v>0.075159</v>
      </c>
      <c r="Z505" s="8" t="n">
        <v>0.06708699999999999</v>
      </c>
      <c r="AA505" s="8" t="n">
        <v>0.3457</v>
      </c>
    </row>
    <row r="506">
      <c r="A506" s="11" t="inlineStr">
        <is>
          <t>2024-09-12</t>
        </is>
      </c>
      <c r="B506" s="11" t="inlineStr">
        <is>
          <t>中间分位</t>
        </is>
      </c>
      <c r="C506" s="15" t="n">
        <v>0.164</v>
      </c>
      <c r="D506" s="13" t="n">
        <v>0.014763</v>
      </c>
      <c r="E506" s="13" t="n">
        <v>-0.001257</v>
      </c>
      <c r="F506" s="13" t="n">
        <v>0.01602</v>
      </c>
      <c r="G506" s="13" t="n">
        <v>0.0785</v>
      </c>
      <c r="H506" s="13" t="n">
        <v>0.016522</v>
      </c>
      <c r="I506" s="13" t="n">
        <v>-0.019698</v>
      </c>
      <c r="J506" s="13" t="n">
        <v>0.03622</v>
      </c>
      <c r="K506" s="13" t="n">
        <v>0.5438</v>
      </c>
      <c r="L506" s="13" t="n">
        <v>0.062214</v>
      </c>
      <c r="M506" s="13" t="n">
        <v>0.058256</v>
      </c>
      <c r="N506" s="13" t="n">
        <v>0.003958</v>
      </c>
      <c r="O506" s="13" t="n">
        <v>0.4836</v>
      </c>
      <c r="P506" s="13" t="n">
        <v>0.028825</v>
      </c>
      <c r="Q506" s="13" t="n">
        <v>0</v>
      </c>
      <c r="R506" s="13" t="n">
        <v>0.028825</v>
      </c>
      <c r="S506" s="13" t="n">
        <v>0</v>
      </c>
      <c r="T506" s="13" t="n">
        <v>0.096662</v>
      </c>
      <c r="U506" s="13" t="n">
        <v>0.097653</v>
      </c>
      <c r="V506" s="13" t="n">
        <v>-0.0009909999999999999</v>
      </c>
      <c r="W506" s="13" t="n">
        <v>0.5024999999999999</v>
      </c>
      <c r="X506" s="13" t="n">
        <v>0.119511</v>
      </c>
      <c r="Y506" s="13" t="n">
        <v>0.063286</v>
      </c>
      <c r="Z506" s="13" t="n">
        <v>0.056225</v>
      </c>
      <c r="AA506" s="13" t="n">
        <v>0.3462</v>
      </c>
    </row>
    <row r="507">
      <c r="A507" s="6" t="inlineStr">
        <is>
          <t>2024-09-13</t>
        </is>
      </c>
      <c r="B507" s="6" t="inlineStr">
        <is>
          <t>中间分位</t>
        </is>
      </c>
      <c r="C507" s="10" t="n">
        <v>0.392</v>
      </c>
      <c r="D507" s="8" t="n">
        <v>-0.001729</v>
      </c>
      <c r="E507" s="8" t="n">
        <v>0.001259</v>
      </c>
      <c r="F507" s="8" t="n">
        <v>-0.002988</v>
      </c>
      <c r="G507" s="8" t="n">
        <v>0.4214</v>
      </c>
      <c r="H507" s="8" t="n">
        <v>-0.010736</v>
      </c>
      <c r="I507" s="8" t="n">
        <v>0.005455</v>
      </c>
      <c r="J507" s="8" t="n">
        <v>-0.016191</v>
      </c>
      <c r="K507" s="8" t="n">
        <v>0.3369</v>
      </c>
      <c r="L507" s="8" t="n">
        <v>0.071356</v>
      </c>
      <c r="M507" s="8" t="n">
        <v>0.077214</v>
      </c>
      <c r="N507" s="8" t="n">
        <v>-0.005858</v>
      </c>
      <c r="O507" s="8" t="n">
        <v>0.5197000000000001</v>
      </c>
      <c r="P507" s="8" t="n">
        <v>-0.002423</v>
      </c>
      <c r="Q507" s="8" t="n">
        <v>0.017625</v>
      </c>
      <c r="R507" s="8" t="n">
        <v>-0.020048</v>
      </c>
      <c r="S507" s="8" t="n">
        <v>0.8791</v>
      </c>
      <c r="T507" s="8" t="n">
        <v>0.089021</v>
      </c>
      <c r="U507" s="8" t="n">
        <v>0.09274</v>
      </c>
      <c r="V507" s="8" t="n">
        <v>-0.003719</v>
      </c>
      <c r="W507" s="8" t="n">
        <v>0.5102</v>
      </c>
      <c r="X507" s="8" t="n">
        <v>0.10911</v>
      </c>
      <c r="Y507" s="8" t="n">
        <v>0.073856</v>
      </c>
      <c r="Z507" s="8" t="n">
        <v>0.035254</v>
      </c>
      <c r="AA507" s="8" t="n">
        <v>0.4037</v>
      </c>
    </row>
    <row r="508">
      <c r="A508" s="11" t="inlineStr">
        <is>
          <t>2024-09-18</t>
        </is>
      </c>
      <c r="B508" s="11" t="inlineStr">
        <is>
          <t>中间分位</t>
        </is>
      </c>
      <c r="C508" s="15" t="n">
        <v>0.348</v>
      </c>
      <c r="D508" s="13" t="n">
        <v>0</v>
      </c>
      <c r="E508" s="13" t="n">
        <v>0.010897</v>
      </c>
      <c r="F508" s="13" t="n">
        <v>-0.010897</v>
      </c>
      <c r="G508" s="13" t="n">
        <v>1</v>
      </c>
      <c r="H508" s="13" t="n">
        <v>-0.006595</v>
      </c>
      <c r="I508" s="13" t="n">
        <v>0.008382000000000001</v>
      </c>
      <c r="J508" s="13" t="n">
        <v>-0.014977</v>
      </c>
      <c r="K508" s="13" t="n">
        <v>0.5597</v>
      </c>
      <c r="L508" s="13" t="n">
        <v>0.091253</v>
      </c>
      <c r="M508" s="13" t="n">
        <v>0.054904</v>
      </c>
      <c r="N508" s="13" t="n">
        <v>0.036349</v>
      </c>
      <c r="O508" s="13" t="n">
        <v>0.3757</v>
      </c>
      <c r="P508" s="13" t="n">
        <v>0.006246</v>
      </c>
      <c r="Q508" s="13" t="n">
        <v>0.015926</v>
      </c>
      <c r="R508" s="13" t="n">
        <v>-0.009679999999999999</v>
      </c>
      <c r="S508" s="13" t="n">
        <v>0.7183</v>
      </c>
      <c r="T508" s="13" t="n">
        <v>0.08848</v>
      </c>
      <c r="U508" s="13" t="n">
        <v>0.08801299999999999</v>
      </c>
      <c r="V508" s="13" t="n">
        <v>0.000467</v>
      </c>
      <c r="W508" s="13" t="n">
        <v>0.4987</v>
      </c>
      <c r="X508" s="13" t="n">
        <v>0.12179</v>
      </c>
      <c r="Y508" s="13" t="n">
        <v>0.070411</v>
      </c>
      <c r="Z508" s="13" t="n">
        <v>0.051379</v>
      </c>
      <c r="AA508" s="13" t="n">
        <v>0.3663</v>
      </c>
    </row>
    <row r="509">
      <c r="A509" s="6" t="inlineStr">
        <is>
          <t>2024-09-19</t>
        </is>
      </c>
      <c r="B509" s="6" t="inlineStr">
        <is>
          <t>中间分位</t>
        </is>
      </c>
      <c r="C509" s="10" t="n">
        <v>0.172</v>
      </c>
      <c r="D509" s="8" t="n">
        <v>0.01596</v>
      </c>
      <c r="E509" s="8" t="n">
        <v>-0.012438</v>
      </c>
      <c r="F509" s="8" t="n">
        <v>0.028398</v>
      </c>
      <c r="G509" s="8" t="n">
        <v>0.438</v>
      </c>
      <c r="H509" s="8" t="n">
        <v>0.019778</v>
      </c>
      <c r="I509" s="8" t="n">
        <v>0.000829</v>
      </c>
      <c r="J509" s="8" t="n">
        <v>0.018949</v>
      </c>
      <c r="K509" s="8" t="n">
        <v>0.0402</v>
      </c>
      <c r="L509" s="8" t="n">
        <v>0.074252</v>
      </c>
      <c r="M509" s="8" t="n">
        <v>0.031095</v>
      </c>
      <c r="N509" s="8" t="n">
        <v>0.043157</v>
      </c>
      <c r="O509" s="8" t="n">
        <v>0.2952</v>
      </c>
      <c r="P509" s="8" t="n">
        <v>0.006937</v>
      </c>
      <c r="Q509" s="8" t="n">
        <v>0.014096</v>
      </c>
      <c r="R509" s="8" t="n">
        <v>-0.007159</v>
      </c>
      <c r="S509" s="8" t="n">
        <v>0.6702</v>
      </c>
      <c r="T509" s="8" t="n">
        <v>0.092989</v>
      </c>
      <c r="U509" s="8" t="n">
        <v>0.08291900000000001</v>
      </c>
      <c r="V509" s="8" t="n">
        <v>0.01007</v>
      </c>
      <c r="W509" s="8" t="n">
        <v>0.4714</v>
      </c>
      <c r="X509" s="8" t="n">
        <v>0.12179</v>
      </c>
      <c r="Y509" s="8" t="n">
        <v>0.07255399999999999</v>
      </c>
      <c r="Z509" s="8" t="n">
        <v>0.049236</v>
      </c>
      <c r="AA509" s="8" t="n">
        <v>0.3733</v>
      </c>
    </row>
    <row r="510">
      <c r="A510" s="11" t="inlineStr">
        <is>
          <t>2024-09-20</t>
        </is>
      </c>
      <c r="B510" s="11" t="inlineStr">
        <is>
          <t>中间分位</t>
        </is>
      </c>
      <c r="C510" s="15" t="n">
        <v>0.592</v>
      </c>
      <c r="D510" s="13" t="n">
        <v>-0.012295</v>
      </c>
      <c r="E510" s="13" t="n">
        <v>-0.018052</v>
      </c>
      <c r="F510" s="13" t="n">
        <v>0.005757</v>
      </c>
      <c r="G510" s="13" t="n">
        <v>0.5949</v>
      </c>
      <c r="H510" s="13" t="n">
        <v>0.00034</v>
      </c>
      <c r="I510" s="13" t="n">
        <v>0.027708</v>
      </c>
      <c r="J510" s="13" t="n">
        <v>-0.027368</v>
      </c>
      <c r="K510" s="13" t="n">
        <v>0.9879</v>
      </c>
      <c r="L510" s="13" t="n">
        <v>0.02698</v>
      </c>
      <c r="M510" s="13" t="n">
        <v>0.050798</v>
      </c>
      <c r="N510" s="13" t="n">
        <v>-0.023818</v>
      </c>
      <c r="O510" s="13" t="n">
        <v>0.6531</v>
      </c>
      <c r="P510" s="13" t="n">
        <v>0</v>
      </c>
      <c r="Q510" s="13" t="n">
        <v>0.029807</v>
      </c>
      <c r="R510" s="13" t="n">
        <v>-0.029807</v>
      </c>
      <c r="S510" s="13" t="n">
        <v>1</v>
      </c>
      <c r="T510" s="13" t="n">
        <v>0.07582</v>
      </c>
      <c r="U510" s="13" t="n">
        <v>0.08858099999999999</v>
      </c>
      <c r="V510" s="13" t="n">
        <v>-0.012761</v>
      </c>
      <c r="W510" s="13" t="n">
        <v>0.5387999999999999</v>
      </c>
      <c r="X510" s="13" t="n">
        <v>0.114754</v>
      </c>
      <c r="Y510" s="13" t="n">
        <v>0.070109</v>
      </c>
      <c r="Z510" s="13" t="n">
        <v>0.044645</v>
      </c>
      <c r="AA510" s="13" t="n">
        <v>0.3792</v>
      </c>
    </row>
    <row r="511">
      <c r="A511" s="6" t="inlineStr">
        <is>
          <t>2024-09-23</t>
        </is>
      </c>
      <c r="B511" s="6" t="inlineStr">
        <is>
          <t>中间分位</t>
        </is>
      </c>
      <c r="C511" s="10" t="n">
        <v>0.628</v>
      </c>
      <c r="D511" s="8" t="n">
        <v>-0.012448</v>
      </c>
      <c r="E511" s="8" t="n">
        <v>0.024369</v>
      </c>
      <c r="F511" s="8" t="n">
        <v>-0.036817</v>
      </c>
      <c r="G511" s="8" t="n">
        <v>0.6619</v>
      </c>
      <c r="H511" s="8" t="n">
        <v>0.04495</v>
      </c>
      <c r="I511" s="8" t="n">
        <v>0.07952099999999999</v>
      </c>
      <c r="J511" s="8" t="n">
        <v>-0.034571</v>
      </c>
      <c r="K511" s="8" t="n">
        <v>0.6389</v>
      </c>
      <c r="L511" s="8" t="n">
        <v>0.058784</v>
      </c>
      <c r="M511" s="8" t="n">
        <v>0.06840499999999999</v>
      </c>
      <c r="N511" s="8" t="n">
        <v>-0.009620999999999999</v>
      </c>
      <c r="O511" s="8" t="n">
        <v>0.5377999999999999</v>
      </c>
      <c r="P511" s="8" t="n">
        <v>0.014867</v>
      </c>
      <c r="Q511" s="8" t="n">
        <v>0.064558</v>
      </c>
      <c r="R511" s="8" t="n">
        <v>-0.049691</v>
      </c>
      <c r="S511" s="8" t="n">
        <v>0.8128</v>
      </c>
      <c r="T511" s="8" t="n">
        <v>0.110303</v>
      </c>
      <c r="U511" s="8" t="n">
        <v>0.129543</v>
      </c>
      <c r="V511" s="8" t="n">
        <v>-0.01924</v>
      </c>
      <c r="W511" s="8" t="n">
        <v>0.5401</v>
      </c>
      <c r="X511" s="8" t="n">
        <v>0.107539</v>
      </c>
      <c r="Y511" s="8" t="n">
        <v>0.09106499999999999</v>
      </c>
      <c r="Z511" s="8" t="n">
        <v>0.016474</v>
      </c>
      <c r="AA511" s="8" t="n">
        <v>0.4585</v>
      </c>
    </row>
    <row r="512">
      <c r="A512" s="11" t="inlineStr">
        <is>
          <t>2024-09-24</t>
        </is>
      </c>
      <c r="B512" s="11" t="inlineStr">
        <is>
          <t>中间分位</t>
        </is>
      </c>
      <c r="C512" s="15" t="n">
        <v>0.14</v>
      </c>
      <c r="D512" s="13" t="n">
        <v>0.00245</v>
      </c>
      <c r="E512" s="13" t="n">
        <v>0.004174</v>
      </c>
      <c r="F512" s="13" t="n">
        <v>-0.001724</v>
      </c>
      <c r="G512" s="13" t="n">
        <v>0.6301</v>
      </c>
      <c r="H512" s="13" t="n">
        <v>0.082983</v>
      </c>
      <c r="I512" s="13" t="n">
        <v>0.071369</v>
      </c>
      <c r="J512" s="13" t="n">
        <v>0.011614</v>
      </c>
      <c r="K512" s="13" t="n">
        <v>0.4624</v>
      </c>
      <c r="L512" s="13" t="n">
        <v>0.054622</v>
      </c>
      <c r="M512" s="13" t="n">
        <v>0.025459</v>
      </c>
      <c r="N512" s="13" t="n">
        <v>0.029163</v>
      </c>
      <c r="O512" s="13" t="n">
        <v>0.3179</v>
      </c>
      <c r="P512" s="13" t="n">
        <v>0.046218</v>
      </c>
      <c r="Q512" s="13" t="n">
        <v>0.021703</v>
      </c>
      <c r="R512" s="13" t="n">
        <v>0.024515</v>
      </c>
      <c r="S512" s="13" t="n">
        <v>0.3195</v>
      </c>
      <c r="T512" s="13" t="n">
        <v>0.154063</v>
      </c>
      <c r="U512" s="13" t="n">
        <v>0.108932</v>
      </c>
      <c r="V512" s="13" t="n">
        <v>0.045131</v>
      </c>
      <c r="W512" s="13" t="n">
        <v>0.4142</v>
      </c>
      <c r="X512" s="13" t="n">
        <v>0.125702</v>
      </c>
      <c r="Y512" s="13" t="n">
        <v>0.069699</v>
      </c>
      <c r="Z512" s="13" t="n">
        <v>0.056003</v>
      </c>
      <c r="AA512" s="13" t="n">
        <v>0.3567</v>
      </c>
    </row>
    <row r="513">
      <c r="A513" s="6" t="inlineStr">
        <is>
          <t>2024-09-25</t>
        </is>
      </c>
      <c r="B513" s="6" t="inlineStr">
        <is>
          <t>中间分位</t>
        </is>
      </c>
      <c r="C513" s="10" t="n">
        <v>0.12</v>
      </c>
      <c r="D513" s="8" t="n">
        <v>0.026548</v>
      </c>
      <c r="E513" s="8" t="n">
        <v>0.003325</v>
      </c>
      <c r="F513" s="8" t="n">
        <v>0.023223</v>
      </c>
      <c r="G513" s="8" t="n">
        <v>0.1113</v>
      </c>
      <c r="H513" s="8" t="n">
        <v>0.098498</v>
      </c>
      <c r="I513" s="8" t="n">
        <v>0.046135</v>
      </c>
      <c r="J513" s="8" t="n">
        <v>0.052363</v>
      </c>
      <c r="K513" s="8" t="n">
        <v>0.319</v>
      </c>
      <c r="L513" s="8" t="n">
        <v>0.038423</v>
      </c>
      <c r="M513" s="8" t="n">
        <v>0.018288</v>
      </c>
      <c r="N513" s="8" t="n">
        <v>0.020135</v>
      </c>
      <c r="O513" s="8" t="n">
        <v>0.3225</v>
      </c>
      <c r="P513" s="8" t="n">
        <v>0.035627</v>
      </c>
      <c r="Q513" s="8" t="n">
        <v>0.012884</v>
      </c>
      <c r="R513" s="8" t="n">
        <v>0.022743</v>
      </c>
      <c r="S513" s="8" t="n">
        <v>0.2656</v>
      </c>
      <c r="T513" s="8" t="n">
        <v>0.15613</v>
      </c>
      <c r="U513" s="8" t="n">
        <v>0.10266</v>
      </c>
      <c r="V513" s="8" t="n">
        <v>0.05347</v>
      </c>
      <c r="W513" s="8" t="n">
        <v>0.3967</v>
      </c>
      <c r="X513" s="8" t="n">
        <v>0.12749</v>
      </c>
      <c r="Y513" s="8" t="n">
        <v>0.05611</v>
      </c>
      <c r="Z513" s="8" t="n">
        <v>0.07138</v>
      </c>
      <c r="AA513" s="8" t="n">
        <v>0.3056</v>
      </c>
    </row>
    <row r="514">
      <c r="A514" s="11" t="inlineStr">
        <is>
          <t>2024-09-26</t>
        </is>
      </c>
      <c r="B514" s="11" t="inlineStr">
        <is>
          <t>中间分位</t>
        </is>
      </c>
      <c r="C514" s="15" t="n">
        <v>0.464</v>
      </c>
      <c r="D514" s="13" t="n">
        <v>-0.003405</v>
      </c>
      <c r="E514" s="13" t="n">
        <v>0.014085</v>
      </c>
      <c r="F514" s="13" t="n">
        <v>-0.01749</v>
      </c>
      <c r="G514" s="13" t="n">
        <v>0.8053</v>
      </c>
      <c r="H514" s="13" t="n">
        <v>0.053418</v>
      </c>
      <c r="I514" s="13" t="n">
        <v>0.03024</v>
      </c>
      <c r="J514" s="13" t="n">
        <v>0.023178</v>
      </c>
      <c r="K514" s="13" t="n">
        <v>0.3615</v>
      </c>
      <c r="L514" s="13" t="n">
        <v>0.00136</v>
      </c>
      <c r="M514" s="13" t="n">
        <v>0.004557</v>
      </c>
      <c r="N514" s="13" t="n">
        <v>-0.003197</v>
      </c>
      <c r="O514" s="13" t="n">
        <v>0.7702</v>
      </c>
      <c r="P514" s="13" t="n">
        <v>-0.003744</v>
      </c>
      <c r="Q514" s="13" t="n">
        <v>0.032726</v>
      </c>
      <c r="R514" s="13" t="n">
        <v>-0.03647</v>
      </c>
      <c r="S514" s="13" t="n">
        <v>0.8973</v>
      </c>
      <c r="T514" s="13" t="n">
        <v>0.118746</v>
      </c>
      <c r="U514" s="13" t="n">
        <v>0.098592</v>
      </c>
      <c r="V514" s="13" t="n">
        <v>0.020154</v>
      </c>
      <c r="W514" s="13" t="n">
        <v>0.4536</v>
      </c>
      <c r="X514" s="13" t="n">
        <v>0.083702</v>
      </c>
      <c r="Y514" s="13" t="n">
        <v>0.026926</v>
      </c>
      <c r="Z514" s="13" t="n">
        <v>0.056776</v>
      </c>
      <c r="AA514" s="13" t="n">
        <v>0.2434</v>
      </c>
    </row>
    <row r="515">
      <c r="A515" s="6" t="inlineStr">
        <is>
          <t>2024-09-27</t>
        </is>
      </c>
      <c r="B515" s="6" t="inlineStr">
        <is>
          <t>中间分位</t>
        </is>
      </c>
      <c r="C515" s="10" t="n">
        <v>0.18</v>
      </c>
      <c r="D515" s="8" t="n">
        <v>0.031751</v>
      </c>
      <c r="E515" s="8" t="n">
        <v>0.031454</v>
      </c>
      <c r="F515" s="8" t="n">
        <v>0.000297</v>
      </c>
      <c r="G515" s="8" t="n">
        <v>0.4977</v>
      </c>
      <c r="H515" s="8" t="n">
        <v>0.02663</v>
      </c>
      <c r="I515" s="8" t="n">
        <v>0.022467</v>
      </c>
      <c r="J515" s="8" t="n">
        <v>0.004163</v>
      </c>
      <c r="K515" s="8" t="n">
        <v>0.4576</v>
      </c>
      <c r="L515" s="8" t="n">
        <v>0.00649</v>
      </c>
      <c r="M515" s="8" t="n">
        <v>-0.005719</v>
      </c>
      <c r="N515" s="8" t="n">
        <v>0.012209</v>
      </c>
      <c r="O515" s="8" t="n">
        <v>0.4684</v>
      </c>
      <c r="P515" s="8" t="n">
        <v>0.018096</v>
      </c>
      <c r="Q515" s="8" t="n">
        <v>0.012663</v>
      </c>
      <c r="R515" s="8" t="n">
        <v>0.005433</v>
      </c>
      <c r="S515" s="8" t="n">
        <v>0.4117</v>
      </c>
      <c r="T515" s="8" t="n">
        <v>0.126666</v>
      </c>
      <c r="U515" s="8" t="n">
        <v>0.077206</v>
      </c>
      <c r="V515" s="8" t="n">
        <v>0.04946</v>
      </c>
      <c r="W515" s="8" t="n">
        <v>0.3787</v>
      </c>
      <c r="X515" s="8" t="n">
        <v>0.061114</v>
      </c>
      <c r="Y515" s="8" t="n">
        <v>0.015523</v>
      </c>
      <c r="Z515" s="8" t="n">
        <v>0.045591</v>
      </c>
      <c r="AA515" s="8" t="n">
        <v>0.2026</v>
      </c>
    </row>
    <row r="516">
      <c r="A516" s="11" t="inlineStr">
        <is>
          <t>2024-09-30</t>
        </is>
      </c>
      <c r="B516" s="11" t="inlineStr">
        <is>
          <t>中间分位</t>
        </is>
      </c>
      <c r="C516" s="15" t="n">
        <v>0.188</v>
      </c>
      <c r="D516" s="13" t="n">
        <v>0.023496</v>
      </c>
      <c r="E516" s="13" t="n">
        <v>0.016634</v>
      </c>
      <c r="F516" s="13" t="n">
        <v>0.006862</v>
      </c>
      <c r="G516" s="13" t="n">
        <v>0.4145</v>
      </c>
      <c r="H516" s="13" t="n">
        <v>0.013239</v>
      </c>
      <c r="I516" s="13" t="n">
        <v>-0.010297</v>
      </c>
      <c r="J516" s="13" t="n">
        <v>0.023536</v>
      </c>
      <c r="K516" s="13" t="n">
        <v>0.4375</v>
      </c>
      <c r="L516" s="13" t="n">
        <v>-0.031434</v>
      </c>
      <c r="M516" s="13" t="n">
        <v>-0.05505</v>
      </c>
      <c r="N516" s="13" t="n">
        <v>0.023616</v>
      </c>
      <c r="O516" s="13" t="n">
        <v>0.6365</v>
      </c>
      <c r="P516" s="13" t="n">
        <v>-0.017206</v>
      </c>
      <c r="Q516" s="13" t="n">
        <v>-0.019406</v>
      </c>
      <c r="R516" s="13" t="n">
        <v>0.0022</v>
      </c>
      <c r="S516" s="13" t="n">
        <v>0.53</v>
      </c>
      <c r="T516" s="13" t="n">
        <v>0.07677299999999999</v>
      </c>
      <c r="U516" s="13" t="n">
        <v>0.05901</v>
      </c>
      <c r="V516" s="13" t="n">
        <v>0.017763</v>
      </c>
      <c r="W516" s="13" t="n">
        <v>0.4346</v>
      </c>
      <c r="X516" s="13" t="n">
        <v>0.024488</v>
      </c>
      <c r="Y516" s="13" t="n">
        <v>-0.016238</v>
      </c>
      <c r="Z516" s="13" t="n">
        <v>0.040726</v>
      </c>
      <c r="AA516" s="13" t="n">
        <v>0.3987</v>
      </c>
    </row>
    <row r="517">
      <c r="A517" s="6" t="inlineStr">
        <is>
          <t>2024-10-08</t>
        </is>
      </c>
      <c r="B517" s="6" t="inlineStr">
        <is>
          <t>中间分位</t>
        </is>
      </c>
      <c r="C517" s="10" t="n">
        <v>0.292</v>
      </c>
      <c r="D517" s="8" t="n">
        <v>0.016811</v>
      </c>
      <c r="E517" s="8" t="n">
        <v>-0.019478</v>
      </c>
      <c r="F517" s="8" t="n">
        <v>0.036289</v>
      </c>
      <c r="G517" s="8" t="n">
        <v>0.5367</v>
      </c>
      <c r="H517" s="8" t="n">
        <v>-0.026188</v>
      </c>
      <c r="I517" s="8" t="n">
        <v>-0.042852</v>
      </c>
      <c r="J517" s="8" t="n">
        <v>0.016664</v>
      </c>
      <c r="K517" s="8" t="n">
        <v>0.6207</v>
      </c>
      <c r="L517" s="8" t="n">
        <v>-0.068865</v>
      </c>
      <c r="M517" s="8" t="n">
        <v>-0.055317</v>
      </c>
      <c r="N517" s="8" t="n">
        <v>-0.013548</v>
      </c>
      <c r="O517" s="8" t="n">
        <v>0.4455</v>
      </c>
      <c r="P517" s="8" t="n">
        <v>-0.041707</v>
      </c>
      <c r="Q517" s="8" t="n">
        <v>-0.025711</v>
      </c>
      <c r="R517" s="8" t="n">
        <v>-0.015996</v>
      </c>
      <c r="S517" s="8" t="n">
        <v>0.3814</v>
      </c>
      <c r="T517" s="8" t="n">
        <v>0.065307</v>
      </c>
      <c r="U517" s="8" t="n">
        <v>0.05298</v>
      </c>
      <c r="V517" s="8" t="n">
        <v>0.012327</v>
      </c>
      <c r="W517" s="8" t="n">
        <v>0.4479</v>
      </c>
      <c r="X517" s="8" t="n">
        <v>-0.0009700000000000001</v>
      </c>
      <c r="Y517" s="8" t="n">
        <v>-0.04402</v>
      </c>
      <c r="Z517" s="8" t="n">
        <v>0.04305</v>
      </c>
      <c r="AA517" s="8" t="n">
        <v>0.9784</v>
      </c>
    </row>
    <row r="518">
      <c r="A518" s="11" t="inlineStr">
        <is>
          <t>2024-10-09</t>
        </is>
      </c>
      <c r="B518" s="11" t="inlineStr">
        <is>
          <t>中间分位</t>
        </is>
      </c>
      <c r="C518" s="15" t="n">
        <v>0.716</v>
      </c>
      <c r="D518" s="13" t="n">
        <v>-0.015579</v>
      </c>
      <c r="E518" s="13" t="n">
        <v>-0.011919</v>
      </c>
      <c r="F518" s="13" t="n">
        <v>-0.00366</v>
      </c>
      <c r="G518" s="13" t="n">
        <v>0.4334</v>
      </c>
      <c r="H518" s="13" t="n">
        <v>-0.054689</v>
      </c>
      <c r="I518" s="13" t="n">
        <v>-0.026619</v>
      </c>
      <c r="J518" s="13" t="n">
        <v>-0.02807</v>
      </c>
      <c r="K518" s="13" t="n">
        <v>0.3274</v>
      </c>
      <c r="L518" s="13" t="n">
        <v>-0.077899</v>
      </c>
      <c r="M518" s="13" t="n">
        <v>-0.036949</v>
      </c>
      <c r="N518" s="13" t="n">
        <v>-0.04095</v>
      </c>
      <c r="O518" s="13" t="n">
        <v>0.3217</v>
      </c>
      <c r="P518" s="13" t="n">
        <v>-0.05755</v>
      </c>
      <c r="Q518" s="13" t="n">
        <v>-0.015097</v>
      </c>
      <c r="R518" s="13" t="n">
        <v>-0.042453</v>
      </c>
      <c r="S518" s="13" t="n">
        <v>0.2078</v>
      </c>
      <c r="T518" s="13" t="n">
        <v>0.052464</v>
      </c>
      <c r="U518" s="13" t="n">
        <v>0.075487</v>
      </c>
      <c r="V518" s="13" t="n">
        <v>-0.023023</v>
      </c>
      <c r="W518" s="13" t="n">
        <v>0.59</v>
      </c>
      <c r="X518" s="13" t="n">
        <v>-0.027026</v>
      </c>
      <c r="Y518" s="13" t="n">
        <v>-0.056019</v>
      </c>
      <c r="Z518" s="13" t="n">
        <v>0.028993</v>
      </c>
      <c r="AA518" s="13" t="n">
        <v>0.6746</v>
      </c>
    </row>
    <row r="519">
      <c r="A519" s="6" t="inlineStr">
        <is>
          <t>2024-10-10</t>
        </is>
      </c>
      <c r="B519" s="6" t="inlineStr">
        <is>
          <t>中间分位</t>
        </is>
      </c>
      <c r="C519" s="10" t="n">
        <v>0.672</v>
      </c>
      <c r="D519" s="8" t="n">
        <v>-0.028748</v>
      </c>
      <c r="E519" s="8" t="n">
        <v>0.006433</v>
      </c>
      <c r="F519" s="8" t="n">
        <v>-0.035181</v>
      </c>
      <c r="G519" s="8" t="n">
        <v>0.1829</v>
      </c>
      <c r="H519" s="8" t="n">
        <v>-0.049419</v>
      </c>
      <c r="I519" s="8" t="n">
        <v>-0.02493</v>
      </c>
      <c r="J519" s="8" t="n">
        <v>-0.024489</v>
      </c>
      <c r="K519" s="8" t="n">
        <v>0.3353</v>
      </c>
      <c r="L519" s="8" t="n">
        <v>-0.062663</v>
      </c>
      <c r="M519" s="8" t="n">
        <v>-0.016486</v>
      </c>
      <c r="N519" s="8" t="n">
        <v>-0.046177</v>
      </c>
      <c r="O519" s="8" t="n">
        <v>0.2083</v>
      </c>
      <c r="P519" s="8" t="n">
        <v>-0.042636</v>
      </c>
      <c r="Q519" s="8" t="n">
        <v>0.009247999999999999</v>
      </c>
      <c r="R519" s="8" t="n">
        <v>-0.051884</v>
      </c>
      <c r="S519" s="8" t="n">
        <v>0.1782</v>
      </c>
      <c r="T519" s="8" t="n">
        <v>0.077198</v>
      </c>
      <c r="U519" s="8" t="n">
        <v>0.06916</v>
      </c>
      <c r="V519" s="8" t="n">
        <v>0.008038</v>
      </c>
      <c r="W519" s="8" t="n">
        <v>0.4725</v>
      </c>
      <c r="X519" s="8" t="n">
        <v>-0.031977</v>
      </c>
      <c r="Y519" s="8" t="n">
        <v>-0.054282</v>
      </c>
      <c r="Z519" s="8" t="n">
        <v>0.022305</v>
      </c>
      <c r="AA519" s="8" t="n">
        <v>0.6293</v>
      </c>
    </row>
    <row r="520">
      <c r="A520" s="11" t="inlineStr">
        <is>
          <t>2024-10-11</t>
        </is>
      </c>
      <c r="B520" s="11" t="inlineStr">
        <is>
          <t>中间分位</t>
        </is>
      </c>
      <c r="C520" s="15" t="n">
        <v>0.236</v>
      </c>
      <c r="D520" s="13" t="n">
        <v>0.018293</v>
      </c>
      <c r="E520" s="13" t="n">
        <v>-0.001598</v>
      </c>
      <c r="F520" s="13" t="n">
        <v>0.019891</v>
      </c>
      <c r="G520" s="13" t="n">
        <v>0.0803</v>
      </c>
      <c r="H520" s="13" t="n">
        <v>-0.019618</v>
      </c>
      <c r="I520" s="13" t="n">
        <v>-0.027567</v>
      </c>
      <c r="J520" s="13" t="n">
        <v>0.007948999999999999</v>
      </c>
      <c r="K520" s="13" t="n">
        <v>0.5842000000000001</v>
      </c>
      <c r="L520" s="13" t="n">
        <v>-0.026271</v>
      </c>
      <c r="M520" s="13" t="n">
        <v>-0.019976</v>
      </c>
      <c r="N520" s="13" t="n">
        <v>-0.006295</v>
      </c>
      <c r="O520" s="13" t="n">
        <v>0.4319</v>
      </c>
      <c r="P520" s="13" t="n">
        <v>-0.002658</v>
      </c>
      <c r="Q520" s="13" t="n">
        <v>-0.000799</v>
      </c>
      <c r="R520" s="13" t="n">
        <v>-0.001859</v>
      </c>
      <c r="S520" s="13" t="n">
        <v>0.2311</v>
      </c>
      <c r="T520" s="13" t="n">
        <v>0.097441</v>
      </c>
      <c r="U520" s="13" t="n">
        <v>0.035158</v>
      </c>
      <c r="V520" s="13" t="n">
        <v>0.062283</v>
      </c>
      <c r="W520" s="13" t="n">
        <v>0.2651</v>
      </c>
      <c r="X520" s="13" t="n">
        <v>-0.014299</v>
      </c>
      <c r="Y520" s="13" t="n">
        <v>-0.074311</v>
      </c>
      <c r="Z520" s="13" t="n">
        <v>0.060012</v>
      </c>
      <c r="AA520" s="13" t="n">
        <v>0.8386</v>
      </c>
    </row>
    <row r="521">
      <c r="A521" s="6" t="inlineStr">
        <is>
          <t>2024-10-14</t>
        </is>
      </c>
      <c r="B521" s="6" t="inlineStr">
        <is>
          <t>中间分位</t>
        </is>
      </c>
      <c r="C521" s="10" t="n">
        <v>0.544</v>
      </c>
      <c r="D521" s="8" t="n">
        <v>-0.01633</v>
      </c>
      <c r="E521" s="8" t="n">
        <v>-0.016807</v>
      </c>
      <c r="F521" s="8" t="n">
        <v>0.000477</v>
      </c>
      <c r="G521" s="8" t="n">
        <v>0.5072</v>
      </c>
      <c r="H521" s="8" t="n">
        <v>-0.044089</v>
      </c>
      <c r="I521" s="8" t="n">
        <v>-0.045218</v>
      </c>
      <c r="J521" s="8" t="n">
        <v>0.001129</v>
      </c>
      <c r="K521" s="8" t="n">
        <v>0.5063</v>
      </c>
      <c r="L521" s="8" t="n">
        <v>-0.041479</v>
      </c>
      <c r="M521" s="8" t="n">
        <v>-0.003601</v>
      </c>
      <c r="N521" s="8" t="n">
        <v>-0.037878</v>
      </c>
      <c r="O521" s="8" t="n">
        <v>0.0799</v>
      </c>
      <c r="P521" s="8" t="n">
        <v>-0.026128</v>
      </c>
      <c r="Q521" s="8" t="n">
        <v>-0.004802</v>
      </c>
      <c r="R521" s="8" t="n">
        <v>-0.021326</v>
      </c>
      <c r="S521" s="8" t="n">
        <v>0.1553</v>
      </c>
      <c r="T521" s="8" t="n">
        <v>0.045719</v>
      </c>
      <c r="U521" s="8" t="n">
        <v>0.034014</v>
      </c>
      <c r="V521" s="8" t="n">
        <v>0.011705</v>
      </c>
      <c r="W521" s="8" t="n">
        <v>0.4266</v>
      </c>
      <c r="X521" s="8" t="n">
        <v>-0.005553</v>
      </c>
      <c r="Y521" s="8" t="n">
        <v>-0.07563</v>
      </c>
      <c r="Z521" s="8" t="n">
        <v>0.070077</v>
      </c>
      <c r="AA521" s="8" t="n">
        <v>0.9316</v>
      </c>
    </row>
    <row r="522">
      <c r="A522" s="11" t="inlineStr">
        <is>
          <t>2024-10-15</t>
        </is>
      </c>
      <c r="B522" s="11" t="inlineStr">
        <is>
          <t>中间分位</t>
        </is>
      </c>
      <c r="C522" s="15" t="n">
        <v>0.552</v>
      </c>
      <c r="D522" s="13" t="n">
        <v>-0.012948</v>
      </c>
      <c r="E522" s="13" t="n">
        <v>-0.002849</v>
      </c>
      <c r="F522" s="13" t="n">
        <v>-0.010099</v>
      </c>
      <c r="G522" s="13" t="n">
        <v>0.1804</v>
      </c>
      <c r="H522" s="13" t="n">
        <v>-0.043825</v>
      </c>
      <c r="I522" s="13" t="n">
        <v>-0.013024</v>
      </c>
      <c r="J522" s="13" t="n">
        <v>-0.030801</v>
      </c>
      <c r="K522" s="13" t="n">
        <v>0.2291</v>
      </c>
      <c r="L522" s="13" t="n">
        <v>-0.007967999999999999</v>
      </c>
      <c r="M522" s="13" t="n">
        <v>-0.003663</v>
      </c>
      <c r="N522" s="13" t="n">
        <v>-0.004305</v>
      </c>
      <c r="O522" s="13" t="n">
        <v>0.3149</v>
      </c>
      <c r="P522" s="13" t="n">
        <v>-0.018259</v>
      </c>
      <c r="Q522" s="13" t="n">
        <v>0.008954</v>
      </c>
      <c r="R522" s="13" t="n">
        <v>-0.027213</v>
      </c>
      <c r="S522" s="13" t="n">
        <v>0.329</v>
      </c>
      <c r="T522" s="13" t="n">
        <v>0.065072</v>
      </c>
      <c r="U522" s="13" t="n">
        <v>0.058608</v>
      </c>
      <c r="V522" s="13" t="n">
        <v>0.006464</v>
      </c>
      <c r="W522" s="13" t="n">
        <v>0.4739</v>
      </c>
      <c r="X522" s="13" t="n">
        <v>-0.010956</v>
      </c>
      <c r="Y522" s="13" t="n">
        <v>-0.06959700000000001</v>
      </c>
      <c r="Z522" s="13" t="n">
        <v>0.058641</v>
      </c>
      <c r="AA522" s="13" t="n">
        <v>0.864</v>
      </c>
    </row>
    <row r="523">
      <c r="A523" s="6" t="inlineStr">
        <is>
          <t>2024-10-16</t>
        </is>
      </c>
      <c r="B523" s="6" t="inlineStr">
        <is>
          <t>中间分位</t>
        </is>
      </c>
      <c r="C523" s="10" t="n">
        <v>0.392</v>
      </c>
      <c r="D523" s="8" t="n">
        <v>-0.010091</v>
      </c>
      <c r="E523" s="8" t="n">
        <v>-0.010204</v>
      </c>
      <c r="F523" s="8" t="n">
        <v>0.000113</v>
      </c>
      <c r="G523" s="8" t="n">
        <v>0.5028</v>
      </c>
      <c r="H523" s="8" t="n">
        <v>-0.024553</v>
      </c>
      <c r="I523" s="8" t="n">
        <v>-0.010612</v>
      </c>
      <c r="J523" s="8" t="n">
        <v>-0.013941</v>
      </c>
      <c r="K523" s="8" t="n">
        <v>0.3018</v>
      </c>
      <c r="L523" s="8" t="n">
        <v>-0.002692</v>
      </c>
      <c r="M523" s="8" t="n">
        <v>-0.005306</v>
      </c>
      <c r="N523" s="8" t="n">
        <v>0.002614</v>
      </c>
      <c r="O523" s="8" t="n">
        <v>0.6634</v>
      </c>
      <c r="P523" s="8" t="n">
        <v>-0.003027</v>
      </c>
      <c r="Q523" s="8" t="n">
        <v>0.017143</v>
      </c>
      <c r="R523" s="8" t="n">
        <v>-0.02017</v>
      </c>
      <c r="S523" s="8" t="n">
        <v>0.8499</v>
      </c>
      <c r="T523" s="8" t="n">
        <v>0.08509799999999999</v>
      </c>
      <c r="U523" s="8" t="n">
        <v>0.056735</v>
      </c>
      <c r="V523" s="8" t="n">
        <v>0.028363</v>
      </c>
      <c r="W523" s="8" t="n">
        <v>0.4</v>
      </c>
      <c r="X523" s="8" t="n">
        <v>-0.007568</v>
      </c>
      <c r="Y523" s="8" t="n">
        <v>-0.07061199999999999</v>
      </c>
      <c r="Z523" s="8" t="n">
        <v>0.063044</v>
      </c>
      <c r="AA523" s="8" t="n">
        <v>0.9032</v>
      </c>
    </row>
    <row r="524">
      <c r="A524" s="11" t="inlineStr">
        <is>
          <t>2024-10-17</t>
        </is>
      </c>
      <c r="B524" s="11" t="inlineStr">
        <is>
          <t>中间分位</t>
        </is>
      </c>
      <c r="C524" s="15" t="n">
        <v>0.392</v>
      </c>
      <c r="D524" s="13" t="n">
        <v>0.0017</v>
      </c>
      <c r="E524" s="13" t="n">
        <v>0.003711</v>
      </c>
      <c r="F524" s="13" t="n">
        <v>-0.002011</v>
      </c>
      <c r="G524" s="13" t="n">
        <v>0.6858</v>
      </c>
      <c r="H524" s="13" t="n">
        <v>-0.013933</v>
      </c>
      <c r="I524" s="13" t="n">
        <v>0.008659999999999999</v>
      </c>
      <c r="J524" s="13" t="n">
        <v>-0.022593</v>
      </c>
      <c r="K524" s="13" t="n">
        <v>0.3833</v>
      </c>
      <c r="L524" s="13" t="n">
        <v>-0.005097</v>
      </c>
      <c r="M524" s="13" t="n">
        <v>0.028041</v>
      </c>
      <c r="N524" s="13" t="n">
        <v>-0.033138</v>
      </c>
      <c r="O524" s="13" t="n">
        <v>0.8462</v>
      </c>
      <c r="P524" s="13" t="n">
        <v>0.013252</v>
      </c>
      <c r="Q524" s="13" t="n">
        <v>0.023918</v>
      </c>
      <c r="R524" s="13" t="n">
        <v>-0.010666</v>
      </c>
      <c r="S524" s="13" t="n">
        <v>0.6435</v>
      </c>
      <c r="T524" s="13" t="n">
        <v>0.09038499999999999</v>
      </c>
      <c r="U524" s="13" t="n">
        <v>0.07051499999999999</v>
      </c>
      <c r="V524" s="13" t="n">
        <v>0.01987</v>
      </c>
      <c r="W524" s="13" t="n">
        <v>0.4383</v>
      </c>
      <c r="X524" s="13" t="n">
        <v>-0.003568</v>
      </c>
      <c r="Y524" s="13" t="n">
        <v>-0.067216</v>
      </c>
      <c r="Z524" s="13" t="n">
        <v>0.063648</v>
      </c>
      <c r="AA524" s="13" t="n">
        <v>0.9496</v>
      </c>
    </row>
    <row r="525">
      <c r="A525" s="6" t="inlineStr">
        <is>
          <t>2024-10-18</t>
        </is>
      </c>
      <c r="B525" s="6" t="inlineStr">
        <is>
          <t>中间分位</t>
        </is>
      </c>
      <c r="C525" s="10" t="n">
        <v>0.36</v>
      </c>
      <c r="D525" s="8" t="n">
        <v>-0.007123</v>
      </c>
      <c r="E525" s="8" t="n">
        <v>-0.019721</v>
      </c>
      <c r="F525" s="8" t="n">
        <v>0.012598</v>
      </c>
      <c r="G525" s="8" t="n">
        <v>0.7347</v>
      </c>
      <c r="H525" s="8" t="n">
        <v>-0.006786</v>
      </c>
      <c r="I525" s="8" t="n">
        <v>0.007806</v>
      </c>
      <c r="J525" s="8" t="n">
        <v>-0.014592</v>
      </c>
      <c r="K525" s="8" t="n">
        <v>0.535</v>
      </c>
      <c r="L525" s="8" t="n">
        <v>0.011532</v>
      </c>
      <c r="M525" s="8" t="n">
        <v>0.018488</v>
      </c>
      <c r="N525" s="8" t="n">
        <v>-0.006956</v>
      </c>
      <c r="O525" s="8" t="n">
        <v>0.6159</v>
      </c>
      <c r="P525" s="8" t="n">
        <v>0.007461</v>
      </c>
      <c r="Q525" s="8" t="n">
        <v>0.023007</v>
      </c>
      <c r="R525" s="8" t="n">
        <v>-0.015546</v>
      </c>
      <c r="S525" s="8" t="n">
        <v>0.7551</v>
      </c>
      <c r="T525" s="8" t="n">
        <v>0.09735099999999999</v>
      </c>
      <c r="U525" s="8" t="n">
        <v>0.083813</v>
      </c>
      <c r="V525" s="8" t="n">
        <v>0.013538</v>
      </c>
      <c r="W525" s="8" t="n">
        <v>0.4626</v>
      </c>
      <c r="X525" s="8" t="n">
        <v>-0.002715</v>
      </c>
      <c r="Y525" s="8" t="n">
        <v>-0.080526</v>
      </c>
      <c r="Z525" s="8" t="n">
        <v>0.07781100000000001</v>
      </c>
      <c r="AA525" s="8" t="n">
        <v>0.9674</v>
      </c>
    </row>
    <row r="526">
      <c r="A526" s="11" t="inlineStr">
        <is>
          <t>2024-10-21</t>
        </is>
      </c>
      <c r="B526" s="11" t="inlineStr">
        <is>
          <t>中间分位</t>
        </is>
      </c>
      <c r="C526" s="15" t="n">
        <v>0.5600000000000001</v>
      </c>
      <c r="D526" s="13" t="n">
        <v>-0.016059</v>
      </c>
      <c r="E526" s="13" t="n">
        <v>0.016345</v>
      </c>
      <c r="F526" s="13" t="n">
        <v>-0.032404</v>
      </c>
      <c r="G526" s="13" t="n">
        <v>0.5044</v>
      </c>
      <c r="H526" s="13" t="n">
        <v>0.00273</v>
      </c>
      <c r="I526" s="13" t="n">
        <v>0.043588</v>
      </c>
      <c r="J526" s="13" t="n">
        <v>-0.040858</v>
      </c>
      <c r="K526" s="13" t="n">
        <v>0.9411</v>
      </c>
      <c r="L526" s="13" t="n">
        <v>0.014689</v>
      </c>
      <c r="M526" s="13" t="n">
        <v>0.03772</v>
      </c>
      <c r="N526" s="13" t="n">
        <v>-0.023031</v>
      </c>
      <c r="O526" s="13" t="n">
        <v>0.7197</v>
      </c>
      <c r="P526" s="13" t="n">
        <v>0.024939</v>
      </c>
      <c r="Q526" s="13" t="n">
        <v>0.060352</v>
      </c>
      <c r="R526" s="13" t="n">
        <v>-0.035413</v>
      </c>
      <c r="S526" s="13" t="n">
        <v>0.7076</v>
      </c>
      <c r="T526" s="13" t="n">
        <v>0.105224</v>
      </c>
      <c r="U526" s="13" t="n">
        <v>0.105616</v>
      </c>
      <c r="V526" s="13" t="n">
        <v>-0.000392</v>
      </c>
      <c r="W526" s="13" t="n">
        <v>0.5009</v>
      </c>
      <c r="X526" s="13" t="n">
        <v>-0.014521</v>
      </c>
      <c r="Y526" s="13" t="n">
        <v>-0.050293</v>
      </c>
      <c r="Z526" s="13" t="n">
        <v>0.035772</v>
      </c>
      <c r="AA526" s="13" t="n">
        <v>0.776</v>
      </c>
    </row>
    <row r="527">
      <c r="A527" s="6" t="inlineStr">
        <is>
          <t>2024-10-22</t>
        </is>
      </c>
      <c r="B527" s="6" t="inlineStr">
        <is>
          <t>低分位</t>
        </is>
      </c>
      <c r="C527" s="10" t="n">
        <v>0.076</v>
      </c>
      <c r="D527" s="8" t="n">
        <v>0.006946</v>
      </c>
      <c r="E527" s="8" t="n">
        <v>-0.000412</v>
      </c>
      <c r="F527" s="8" t="n">
        <v>0.007358</v>
      </c>
      <c r="G527" s="8" t="n">
        <v>0.056</v>
      </c>
      <c r="H527" s="8" t="n">
        <v>0.0375</v>
      </c>
      <c r="I527" s="8" t="n">
        <v>0.009485</v>
      </c>
      <c r="J527" s="8" t="n">
        <v>0.028015</v>
      </c>
      <c r="K527" s="8" t="n">
        <v>0.2019</v>
      </c>
      <c r="L527" s="8" t="n">
        <v>0.029167</v>
      </c>
      <c r="M527" s="8" t="n">
        <v>0.03134</v>
      </c>
      <c r="N527" s="8" t="n">
        <v>-0.002173</v>
      </c>
      <c r="O527" s="8" t="n">
        <v>0.518</v>
      </c>
      <c r="P527" s="8" t="n">
        <v>0.045833</v>
      </c>
      <c r="Q527" s="8" t="n">
        <v>0.054021</v>
      </c>
      <c r="R527" s="8" t="n">
        <v>-0.008188000000000001</v>
      </c>
      <c r="S527" s="8" t="n">
        <v>0.541</v>
      </c>
      <c r="T527" s="8" t="n">
        <v>0.140971</v>
      </c>
      <c r="U527" s="8" t="n">
        <v>0.095258</v>
      </c>
      <c r="V527" s="8" t="n">
        <v>0.045713</v>
      </c>
      <c r="W527" s="8" t="n">
        <v>0.4032</v>
      </c>
      <c r="X527" s="8" t="n">
        <v>0.005729</v>
      </c>
      <c r="Y527" s="8" t="n">
        <v>-0.061856</v>
      </c>
      <c r="Z527" s="8" t="n">
        <v>0.06758500000000001</v>
      </c>
      <c r="AA527" s="8" t="n">
        <v>0.9152</v>
      </c>
    </row>
    <row r="528">
      <c r="A528" s="11" t="inlineStr">
        <is>
          <t>2024-10-23</t>
        </is>
      </c>
      <c r="B528" s="11" t="inlineStr">
        <is>
          <t>中间分位</t>
        </is>
      </c>
      <c r="C528" s="15" t="n">
        <v>0.16</v>
      </c>
      <c r="D528" s="13" t="n">
        <v>0.000687</v>
      </c>
      <c r="E528" s="13" t="n">
        <v>0.009076000000000001</v>
      </c>
      <c r="F528" s="13" t="n">
        <v>-0.008389000000000001</v>
      </c>
      <c r="G528" s="13" t="n">
        <v>0.9296</v>
      </c>
      <c r="H528" s="13" t="n">
        <v>0.022411</v>
      </c>
      <c r="I528" s="13" t="n">
        <v>0.005363</v>
      </c>
      <c r="J528" s="13" t="n">
        <v>0.017048</v>
      </c>
      <c r="K528" s="13" t="n">
        <v>0.1931</v>
      </c>
      <c r="L528" s="13" t="n">
        <v>0.022068</v>
      </c>
      <c r="M528" s="13" t="n">
        <v>0.02269</v>
      </c>
      <c r="N528" s="13" t="n">
        <v>-0.000622</v>
      </c>
      <c r="O528" s="13" t="n">
        <v>0.5069</v>
      </c>
      <c r="P528" s="13" t="n">
        <v>0.044826</v>
      </c>
      <c r="Q528" s="13" t="n">
        <v>0.058993</v>
      </c>
      <c r="R528" s="13" t="n">
        <v>-0.014167</v>
      </c>
      <c r="S528" s="13" t="n">
        <v>0.5682</v>
      </c>
      <c r="T528" s="13" t="n">
        <v>0.137586</v>
      </c>
      <c r="U528" s="13" t="n">
        <v>0.08168300000000001</v>
      </c>
      <c r="V528" s="13" t="n">
        <v>0.055903</v>
      </c>
      <c r="W528" s="13" t="n">
        <v>0.3725</v>
      </c>
      <c r="X528" s="13" t="n">
        <v>-0.000174</v>
      </c>
      <c r="Y528" s="13" t="n">
        <v>-0.06765699999999999</v>
      </c>
      <c r="Z528" s="13" t="n">
        <v>0.067483</v>
      </c>
      <c r="AA528" s="13" t="n">
        <v>0.9974</v>
      </c>
    </row>
    <row r="529">
      <c r="A529" s="6" t="inlineStr">
        <is>
          <t>2024-10-24</t>
        </is>
      </c>
      <c r="B529" s="6" t="inlineStr">
        <is>
          <t>低分位</t>
        </is>
      </c>
      <c r="C529" s="10" t="n">
        <v>0.064</v>
      </c>
      <c r="D529" s="8" t="n">
        <v>0.008961</v>
      </c>
      <c r="E529" s="8" t="n">
        <v>0.002862</v>
      </c>
      <c r="F529" s="8" t="n">
        <v>0.006099</v>
      </c>
      <c r="G529" s="8" t="n">
        <v>0.2421</v>
      </c>
      <c r="H529" s="8" t="n">
        <v>0.008961</v>
      </c>
      <c r="I529" s="8" t="n">
        <v>0.019215</v>
      </c>
      <c r="J529" s="8" t="n">
        <v>-0.010254</v>
      </c>
      <c r="K529" s="8" t="n">
        <v>0.6820000000000001</v>
      </c>
      <c r="L529" s="8" t="n">
        <v>0.021366</v>
      </c>
      <c r="M529" s="8" t="n">
        <v>0.026165</v>
      </c>
      <c r="N529" s="8" t="n">
        <v>-0.004799</v>
      </c>
      <c r="O529" s="8" t="n">
        <v>0.5505</v>
      </c>
      <c r="P529" s="8" t="n">
        <v>0.054103</v>
      </c>
      <c r="Q529" s="8" t="n">
        <v>0.052739</v>
      </c>
      <c r="R529" s="8" t="n">
        <v>0.001364</v>
      </c>
      <c r="S529" s="8" t="n">
        <v>0.4936</v>
      </c>
      <c r="T529" s="8" t="n">
        <v>0.120608</v>
      </c>
      <c r="U529" s="8" t="n">
        <v>0.064595</v>
      </c>
      <c r="V529" s="8" t="n">
        <v>0.056013</v>
      </c>
      <c r="W529" s="8" t="n">
        <v>0.3488</v>
      </c>
      <c r="X529" s="8" t="n">
        <v>-0.011715</v>
      </c>
      <c r="Y529" s="8" t="n">
        <v>-0.059689</v>
      </c>
      <c r="Z529" s="8" t="n">
        <v>0.047974</v>
      </c>
      <c r="AA529" s="8" t="n">
        <v>0.8359</v>
      </c>
    </row>
    <row r="530">
      <c r="A530" s="11" t="inlineStr">
        <is>
          <t>2024-10-25</t>
        </is>
      </c>
      <c r="B530" s="11" t="inlineStr">
        <is>
          <t>中间分位</t>
        </is>
      </c>
      <c r="C530" s="15" t="n">
        <v>0.14</v>
      </c>
      <c r="D530" s="13" t="n">
        <v>0.002389</v>
      </c>
      <c r="E530" s="13" t="n">
        <v>0.015084</v>
      </c>
      <c r="F530" s="13" t="n">
        <v>-0.012695</v>
      </c>
      <c r="G530" s="13" t="n">
        <v>0.8633</v>
      </c>
      <c r="H530" s="13" t="n">
        <v>0.018443</v>
      </c>
      <c r="I530" s="13" t="n">
        <v>0.010599</v>
      </c>
      <c r="J530" s="13" t="n">
        <v>0.007844</v>
      </c>
      <c r="K530" s="13" t="n">
        <v>0.365</v>
      </c>
      <c r="L530" s="13" t="n">
        <v>0.02425</v>
      </c>
      <c r="M530" s="13" t="n">
        <v>0.019568</v>
      </c>
      <c r="N530" s="13" t="n">
        <v>0.004682</v>
      </c>
      <c r="O530" s="13" t="n">
        <v>0.4466</v>
      </c>
      <c r="P530" s="13" t="n">
        <v>0.045082</v>
      </c>
      <c r="Q530" s="13" t="n">
        <v>0.064819</v>
      </c>
      <c r="R530" s="13" t="n">
        <v>-0.019737</v>
      </c>
      <c r="S530" s="13" t="n">
        <v>0.5898</v>
      </c>
      <c r="T530" s="13" t="n">
        <v>0.104848</v>
      </c>
      <c r="U530" s="13" t="n">
        <v>0.052589</v>
      </c>
      <c r="V530" s="13" t="n">
        <v>0.052259</v>
      </c>
      <c r="W530" s="13" t="n">
        <v>0.334</v>
      </c>
      <c r="X530" s="13" t="n">
        <v>-0.004098</v>
      </c>
      <c r="Y530" s="13" t="n">
        <v>-0.066857</v>
      </c>
      <c r="Z530" s="13" t="n">
        <v>0.062759</v>
      </c>
      <c r="AA530" s="13" t="n">
        <v>0.9422</v>
      </c>
    </row>
    <row r="531">
      <c r="A531" s="6" t="inlineStr">
        <is>
          <t>2024-10-28</t>
        </is>
      </c>
      <c r="B531" s="6" t="inlineStr">
        <is>
          <t>低分位</t>
        </is>
      </c>
      <c r="C531" s="10" t="n">
        <v>0.024</v>
      </c>
      <c r="D531" s="8" t="n">
        <v>0.018059</v>
      </c>
      <c r="E531" s="8" t="n">
        <v>-0.016867</v>
      </c>
      <c r="F531" s="8" t="n">
        <v>0.034926</v>
      </c>
      <c r="G531" s="8" t="n">
        <v>0.4829</v>
      </c>
      <c r="H531" s="8" t="n">
        <v>0.011926</v>
      </c>
      <c r="I531" s="8" t="n">
        <v>-0.005622</v>
      </c>
      <c r="J531" s="8" t="n">
        <v>0.017548</v>
      </c>
      <c r="K531" s="8" t="n">
        <v>0.3204</v>
      </c>
      <c r="L531" s="8" t="n">
        <v>0.016015</v>
      </c>
      <c r="M531" s="8" t="n">
        <v>-0.001205</v>
      </c>
      <c r="N531" s="8" t="n">
        <v>0.01722</v>
      </c>
      <c r="O531" s="8" t="n">
        <v>0.07000000000000001</v>
      </c>
      <c r="P531" s="8" t="n">
        <v>0.054857</v>
      </c>
      <c r="Q531" s="8" t="n">
        <v>0.037349</v>
      </c>
      <c r="R531" s="8" t="n">
        <v>0.017508</v>
      </c>
      <c r="S531" s="8" t="n">
        <v>0.4051</v>
      </c>
      <c r="T531" s="8" t="n">
        <v>0.087226</v>
      </c>
      <c r="U531" s="8" t="n">
        <v>0.040562</v>
      </c>
      <c r="V531" s="8" t="n">
        <v>0.046664</v>
      </c>
      <c r="W531" s="8" t="n">
        <v>0.3174</v>
      </c>
      <c r="X531" s="8" t="n">
        <v>-0.010561</v>
      </c>
      <c r="Y531" s="8" t="n">
        <v>-0.081124</v>
      </c>
      <c r="Z531" s="8" t="n">
        <v>0.070563</v>
      </c>
      <c r="AA531" s="8" t="n">
        <v>0.8848</v>
      </c>
    </row>
    <row r="532">
      <c r="A532" s="11" t="inlineStr">
        <is>
          <t>2024-10-29</t>
        </is>
      </c>
      <c r="B532" s="11" t="inlineStr">
        <is>
          <t>中间分位</t>
        </is>
      </c>
      <c r="C532" s="15" t="n">
        <v>0.488</v>
      </c>
      <c r="D532" s="13" t="n">
        <v>-0.007699</v>
      </c>
      <c r="E532" s="13" t="n">
        <v>-0.004493</v>
      </c>
      <c r="F532" s="13" t="n">
        <v>-0.003206</v>
      </c>
      <c r="G532" s="13" t="n">
        <v>0.3685</v>
      </c>
      <c r="H532" s="13" t="n">
        <v>-0.008031999999999999</v>
      </c>
      <c r="I532" s="13" t="n">
        <v>0.02165</v>
      </c>
      <c r="J532" s="13" t="n">
        <v>-0.029682</v>
      </c>
      <c r="K532" s="13" t="n">
        <v>0.7294</v>
      </c>
      <c r="L532" s="13" t="n">
        <v>-0.010373</v>
      </c>
      <c r="M532" s="13" t="n">
        <v>0.012663</v>
      </c>
      <c r="N532" s="13" t="n">
        <v>-0.023036</v>
      </c>
      <c r="O532" s="13" t="n">
        <v>0.5497</v>
      </c>
      <c r="P532" s="13" t="n">
        <v>0.028112</v>
      </c>
      <c r="Q532" s="13" t="n">
        <v>0.06290800000000001</v>
      </c>
      <c r="R532" s="13" t="n">
        <v>-0.034796</v>
      </c>
      <c r="S532" s="13" t="n">
        <v>0.6911</v>
      </c>
      <c r="T532" s="13" t="n">
        <v>0.068606</v>
      </c>
      <c r="U532" s="13" t="n">
        <v>0.050654</v>
      </c>
      <c r="V532" s="13" t="n">
        <v>0.017952</v>
      </c>
      <c r="W532" s="13" t="n">
        <v>0.4247</v>
      </c>
      <c r="X532" s="13" t="n">
        <v>-0.024598</v>
      </c>
      <c r="Y532" s="13" t="n">
        <v>-0.056373</v>
      </c>
      <c r="Z532" s="13" t="n">
        <v>0.031775</v>
      </c>
      <c r="AA532" s="13" t="n">
        <v>0.6962</v>
      </c>
    </row>
    <row r="533">
      <c r="A533" s="6" t="inlineStr">
        <is>
          <t>2024-10-30</t>
        </is>
      </c>
      <c r="B533" s="6" t="inlineStr">
        <is>
          <t>中间分位</t>
        </is>
      </c>
      <c r="C533" s="10" t="n">
        <v>0.448</v>
      </c>
      <c r="D533" s="8" t="n">
        <v>-0.012478</v>
      </c>
      <c r="E533" s="8" t="n">
        <v>0.022979</v>
      </c>
      <c r="F533" s="8" t="n">
        <v>-0.035457</v>
      </c>
      <c r="G533" s="8" t="n">
        <v>0.6481</v>
      </c>
      <c r="H533" s="8" t="n">
        <v>-0.000336</v>
      </c>
      <c r="I533" s="8" t="n">
        <v>0.017234</v>
      </c>
      <c r="J533" s="8" t="n">
        <v>-0.01757</v>
      </c>
      <c r="K533" s="8" t="n">
        <v>0.9809</v>
      </c>
      <c r="L533" s="8" t="n">
        <v>-0.000336</v>
      </c>
      <c r="M533" s="8" t="n">
        <v>0.022569</v>
      </c>
      <c r="N533" s="8" t="n">
        <v>-0.022905</v>
      </c>
      <c r="O533" s="8" t="n">
        <v>0.9853</v>
      </c>
      <c r="P533" s="8" t="n">
        <v>0.043508</v>
      </c>
      <c r="Q533" s="8" t="n">
        <v>0.055806</v>
      </c>
      <c r="R533" s="8" t="n">
        <v>-0.012298</v>
      </c>
      <c r="S533" s="8" t="n">
        <v>0.5619</v>
      </c>
      <c r="T533" s="8" t="n">
        <v>0.069815</v>
      </c>
      <c r="U533" s="8" t="n">
        <v>0.044727</v>
      </c>
      <c r="V533" s="8" t="n">
        <v>0.025088</v>
      </c>
      <c r="W533" s="8" t="n">
        <v>0.3905</v>
      </c>
      <c r="X533" s="8" t="n">
        <v>-0.007924</v>
      </c>
      <c r="Y533" s="8" t="n">
        <v>-0.065244</v>
      </c>
      <c r="Z533" s="8" t="n">
        <v>0.05732</v>
      </c>
      <c r="AA533" s="8" t="n">
        <v>0.8917</v>
      </c>
    </row>
    <row r="534">
      <c r="A534" s="11" t="inlineStr">
        <is>
          <t>2024-10-31</t>
        </is>
      </c>
      <c r="B534" s="11" t="inlineStr">
        <is>
          <t>低分位</t>
        </is>
      </c>
      <c r="C534" s="15" t="n">
        <v>0.024</v>
      </c>
      <c r="D534" s="13" t="n">
        <v>0.018443</v>
      </c>
      <c r="E534" s="13" t="n">
        <v>-0.005616</v>
      </c>
      <c r="F534" s="13" t="n">
        <v>0.024059</v>
      </c>
      <c r="G534" s="13" t="n">
        <v>0.2334</v>
      </c>
      <c r="H534" s="13" t="n">
        <v>0.012295</v>
      </c>
      <c r="I534" s="13" t="n">
        <v>0.006819</v>
      </c>
      <c r="J534" s="13" t="n">
        <v>0.005476</v>
      </c>
      <c r="K534" s="13" t="n">
        <v>0.3568</v>
      </c>
      <c r="L534" s="13" t="n">
        <v>0.018443</v>
      </c>
      <c r="M534" s="13" t="n">
        <v>-0.004011</v>
      </c>
      <c r="N534" s="13" t="n">
        <v>0.022454</v>
      </c>
      <c r="O534" s="13" t="n">
        <v>0.1786</v>
      </c>
      <c r="P534" s="13" t="n">
        <v>0.044742</v>
      </c>
      <c r="Q534" s="13" t="n">
        <v>0.024469</v>
      </c>
      <c r="R534" s="13" t="n">
        <v>0.020273</v>
      </c>
      <c r="S534" s="13" t="n">
        <v>0.3535</v>
      </c>
      <c r="T534" s="13" t="n">
        <v>0.07786899999999999</v>
      </c>
      <c r="U534" s="13" t="n">
        <v>0.025271</v>
      </c>
      <c r="V534" s="13" t="n">
        <v>0.052598</v>
      </c>
      <c r="W534" s="13" t="n">
        <v>0.245</v>
      </c>
      <c r="X534" s="13" t="n">
        <v>-0.001025</v>
      </c>
      <c r="Y534" s="13" t="n">
        <v>-0.09707200000000001</v>
      </c>
      <c r="Z534" s="13" t="n">
        <v>0.09604699999999999</v>
      </c>
      <c r="AA534" s="13" t="n">
        <v>0.9896</v>
      </c>
    </row>
    <row r="535">
      <c r="A535" s="6" t="inlineStr">
        <is>
          <t>2024-11-01</t>
        </is>
      </c>
      <c r="B535" s="6" t="inlineStr">
        <is>
          <t>中间分位</t>
        </is>
      </c>
      <c r="C535" s="10" t="n">
        <v>0.26</v>
      </c>
      <c r="D535" s="8" t="n">
        <v>-0.004024</v>
      </c>
      <c r="E535" s="8" t="n">
        <v>-0.00121</v>
      </c>
      <c r="F535" s="8" t="n">
        <v>-0.002814</v>
      </c>
      <c r="G535" s="8" t="n">
        <v>0.2312</v>
      </c>
      <c r="H535" s="8" t="n">
        <v>0.005702</v>
      </c>
      <c r="I535" s="8" t="n">
        <v>0.008874999999999999</v>
      </c>
      <c r="J535" s="8" t="n">
        <v>-0.003173</v>
      </c>
      <c r="K535" s="8" t="n">
        <v>0.6088</v>
      </c>
      <c r="L535" s="8" t="n">
        <v>-0.004024</v>
      </c>
      <c r="M535" s="8" t="n">
        <v>0.004437</v>
      </c>
      <c r="N535" s="8" t="n">
        <v>-0.008461</v>
      </c>
      <c r="O535" s="8" t="n">
        <v>0.5244</v>
      </c>
      <c r="P535" s="8" t="n">
        <v>0.021461</v>
      </c>
      <c r="Q535" s="8" t="n">
        <v>0.035095</v>
      </c>
      <c r="R535" s="8" t="n">
        <v>-0.013634</v>
      </c>
      <c r="S535" s="8" t="n">
        <v>0.6205000000000001</v>
      </c>
      <c r="T535" s="8" t="n">
        <v>0.060696</v>
      </c>
      <c r="U535" s="8" t="n">
        <v>0.030254</v>
      </c>
      <c r="V535" s="8" t="n">
        <v>0.030442</v>
      </c>
      <c r="W535" s="8" t="n">
        <v>0.3326</v>
      </c>
      <c r="X535" s="8" t="n">
        <v>-0.018109</v>
      </c>
      <c r="Y535" s="8" t="n">
        <v>-0.104881</v>
      </c>
      <c r="Z535" s="8" t="n">
        <v>0.086772</v>
      </c>
      <c r="AA535" s="8" t="n">
        <v>0.8528</v>
      </c>
    </row>
    <row r="536">
      <c r="A536" s="11" t="inlineStr">
        <is>
          <t>2024-11-04</t>
        </is>
      </c>
      <c r="B536" s="11" t="inlineStr">
        <is>
          <t>中间分位</t>
        </is>
      </c>
      <c r="C536" s="15" t="n">
        <v>0.224</v>
      </c>
      <c r="D536" s="13" t="n">
        <v>-0.00202</v>
      </c>
      <c r="E536" s="13" t="n">
        <v>0.010097</v>
      </c>
      <c r="F536" s="13" t="n">
        <v>-0.012117</v>
      </c>
      <c r="G536" s="13" t="n">
        <v>0.8333</v>
      </c>
      <c r="H536" s="13" t="n">
        <v>0.00404</v>
      </c>
      <c r="I536" s="13" t="n">
        <v>0.004443</v>
      </c>
      <c r="J536" s="13" t="n">
        <v>-0.000403</v>
      </c>
      <c r="K536" s="13" t="n">
        <v>0.5238</v>
      </c>
      <c r="L536" s="13" t="n">
        <v>0.010101</v>
      </c>
      <c r="M536" s="13" t="n">
        <v>0.021809</v>
      </c>
      <c r="N536" s="13" t="n">
        <v>-0.011708</v>
      </c>
      <c r="O536" s="13" t="n">
        <v>0.6835</v>
      </c>
      <c r="P536" s="13" t="n">
        <v>0.027947</v>
      </c>
      <c r="Q536" s="13" t="n">
        <v>0.037157</v>
      </c>
      <c r="R536" s="13" t="n">
        <v>-0.009209999999999999</v>
      </c>
      <c r="S536" s="13" t="n">
        <v>0.5707</v>
      </c>
      <c r="T536" s="13" t="n">
        <v>0.064982</v>
      </c>
      <c r="U536" s="13" t="n">
        <v>0.037561</v>
      </c>
      <c r="V536" s="13" t="n">
        <v>0.027421</v>
      </c>
      <c r="W536" s="13" t="n">
        <v>0.3663</v>
      </c>
      <c r="X536" s="13" t="n">
        <v>-0.018687</v>
      </c>
      <c r="Y536" s="13" t="n">
        <v>-0.095719</v>
      </c>
      <c r="Z536" s="13" t="n">
        <v>0.077032</v>
      </c>
      <c r="AA536" s="13" t="n">
        <v>0.8367</v>
      </c>
    </row>
    <row r="537">
      <c r="A537" s="6" t="inlineStr">
        <is>
          <t>2024-11-05</t>
        </is>
      </c>
      <c r="B537" s="6" t="inlineStr">
        <is>
          <t>低分位</t>
        </is>
      </c>
      <c r="C537" s="10" t="n">
        <v>0.068</v>
      </c>
      <c r="D537" s="8" t="n">
        <v>0</v>
      </c>
      <c r="E537" s="8" t="n">
        <v>-0.008796</v>
      </c>
      <c r="F537" s="8" t="n">
        <v>0.008796</v>
      </c>
      <c r="G537" s="8" t="n">
        <v>1</v>
      </c>
      <c r="H537" s="8" t="n">
        <v>-0.00236</v>
      </c>
      <c r="I537" s="8" t="n">
        <v>-0.008796</v>
      </c>
      <c r="J537" s="8" t="n">
        <v>0.006436</v>
      </c>
      <c r="K537" s="8" t="n">
        <v>0.7885</v>
      </c>
      <c r="L537" s="8" t="n">
        <v>0.016194</v>
      </c>
      <c r="M537" s="8" t="n">
        <v>0.021991</v>
      </c>
      <c r="N537" s="8" t="n">
        <v>-0.005797</v>
      </c>
      <c r="O537" s="8" t="n">
        <v>0.5759</v>
      </c>
      <c r="P537" s="8" t="n">
        <v>0.028004</v>
      </c>
      <c r="Q537" s="8" t="n">
        <v>0.016793</v>
      </c>
      <c r="R537" s="8" t="n">
        <v>0.011211</v>
      </c>
      <c r="S537" s="8" t="n">
        <v>0.3749</v>
      </c>
      <c r="T537" s="8" t="n">
        <v>0.074223</v>
      </c>
      <c r="U537" s="8" t="n">
        <v>0.031587</v>
      </c>
      <c r="V537" s="8" t="n">
        <v>0.042636</v>
      </c>
      <c r="W537" s="8" t="n">
        <v>0.2985</v>
      </c>
      <c r="X537" s="8" t="n">
        <v>-0.024291</v>
      </c>
      <c r="Y537" s="8" t="n">
        <v>-0.113954</v>
      </c>
      <c r="Z537" s="8" t="n">
        <v>0.08966300000000001</v>
      </c>
      <c r="AA537" s="8" t="n">
        <v>0.8243</v>
      </c>
    </row>
    <row r="538">
      <c r="A538" s="11" t="inlineStr">
        <is>
          <t>2024-11-06</t>
        </is>
      </c>
      <c r="B538" s="11" t="inlineStr">
        <is>
          <t>中间分位</t>
        </is>
      </c>
      <c r="C538" s="15" t="n">
        <v>0.176</v>
      </c>
      <c r="D538" s="13" t="n">
        <v>0</v>
      </c>
      <c r="E538" s="13" t="n">
        <v>0.012505</v>
      </c>
      <c r="F538" s="13" t="n">
        <v>-0.012505</v>
      </c>
      <c r="G538" s="13" t="n">
        <v>1</v>
      </c>
      <c r="H538" s="13" t="n">
        <v>0</v>
      </c>
      <c r="I538" s="13" t="n">
        <v>0.005244</v>
      </c>
      <c r="J538" s="13" t="n">
        <v>-0.005244</v>
      </c>
      <c r="K538" s="13" t="n">
        <v>1</v>
      </c>
      <c r="L538" s="13" t="n">
        <v>0.022267</v>
      </c>
      <c r="M538" s="13" t="n">
        <v>0.035498</v>
      </c>
      <c r="N538" s="13" t="n">
        <v>-0.013231</v>
      </c>
      <c r="O538" s="13" t="n">
        <v>0.6145</v>
      </c>
      <c r="P538" s="13" t="n">
        <v>0.01653</v>
      </c>
      <c r="Q538" s="13" t="n">
        <v>0.016942</v>
      </c>
      <c r="R538" s="13" t="n">
        <v>-0.000412</v>
      </c>
      <c r="S538" s="13" t="n">
        <v>0.5062</v>
      </c>
      <c r="T538" s="13" t="n">
        <v>0.07287399999999999</v>
      </c>
      <c r="U538" s="13" t="n">
        <v>0.043969</v>
      </c>
      <c r="V538" s="13" t="n">
        <v>0.028905</v>
      </c>
      <c r="W538" s="13" t="n">
        <v>0.3763</v>
      </c>
      <c r="X538" s="13" t="n">
        <v>-0.032389</v>
      </c>
      <c r="Y538" s="13" t="n">
        <v>-0.101654</v>
      </c>
      <c r="Z538" s="13" t="n">
        <v>0.06926499999999999</v>
      </c>
      <c r="AA538" s="13" t="n">
        <v>0.7584</v>
      </c>
    </row>
    <row r="539">
      <c r="A539" s="6" t="inlineStr">
        <is>
          <t>2024-11-07</t>
        </is>
      </c>
      <c r="B539" s="6" t="inlineStr">
        <is>
          <t>低分位</t>
        </is>
      </c>
      <c r="C539" s="10" t="n">
        <v>0.036</v>
      </c>
      <c r="D539" s="8" t="n">
        <v>0.01181</v>
      </c>
      <c r="E539" s="8" t="n">
        <v>-0.003586</v>
      </c>
      <c r="F539" s="8" t="n">
        <v>0.015396</v>
      </c>
      <c r="G539" s="8" t="n">
        <v>0.2329</v>
      </c>
      <c r="H539" s="8" t="n">
        <v>0.006073</v>
      </c>
      <c r="I539" s="8" t="n">
        <v>-0.010757</v>
      </c>
      <c r="J539" s="8" t="n">
        <v>0.01683</v>
      </c>
      <c r="K539" s="8" t="n">
        <v>0.6392</v>
      </c>
      <c r="L539" s="8" t="n">
        <v>0.032053</v>
      </c>
      <c r="M539" s="8" t="n">
        <v>0.025896</v>
      </c>
      <c r="N539" s="8" t="n">
        <v>0.006157</v>
      </c>
      <c r="O539" s="8" t="n">
        <v>0.4469</v>
      </c>
      <c r="P539" s="8" t="n">
        <v>0.015858</v>
      </c>
      <c r="Q539" s="8" t="n">
        <v>0.006375</v>
      </c>
      <c r="R539" s="8" t="n">
        <v>0.009483</v>
      </c>
      <c r="S539" s="8" t="n">
        <v>0.2867</v>
      </c>
      <c r="T539" s="8" t="n">
        <v>0.076587</v>
      </c>
      <c r="U539" s="8" t="n">
        <v>0.039044</v>
      </c>
      <c r="V539" s="8" t="n">
        <v>0.037543</v>
      </c>
      <c r="W539" s="8" t="n">
        <v>0.3377</v>
      </c>
      <c r="X539" s="8" t="n">
        <v>-0.027328</v>
      </c>
      <c r="Y539" s="8" t="n">
        <v>-0.09561799999999999</v>
      </c>
      <c r="Z539" s="8" t="n">
        <v>0.06829</v>
      </c>
      <c r="AA539" s="8" t="n">
        <v>0.7776999999999999</v>
      </c>
    </row>
    <row r="540">
      <c r="A540" s="11" t="inlineStr">
        <is>
          <t>2024-11-08</t>
        </is>
      </c>
      <c r="B540" s="11" t="inlineStr">
        <is>
          <t>中间分位</t>
        </is>
      </c>
      <c r="C540" s="15" t="n">
        <v>0.232</v>
      </c>
      <c r="D540" s="13" t="n">
        <v>-0.00567</v>
      </c>
      <c r="E540" s="13" t="n">
        <v>-0.005598</v>
      </c>
      <c r="F540" s="13" t="n">
        <v>-7.2e-05</v>
      </c>
      <c r="G540" s="13" t="n">
        <v>0.4968</v>
      </c>
      <c r="H540" s="13" t="n">
        <v>-0.009671000000000001</v>
      </c>
      <c r="I540" s="13" t="n">
        <v>-0.004398</v>
      </c>
      <c r="J540" s="13" t="n">
        <v>-0.005273</v>
      </c>
      <c r="K540" s="13" t="n">
        <v>0.3126</v>
      </c>
      <c r="L540" s="13" t="n">
        <v>0.020339</v>
      </c>
      <c r="M540" s="13" t="n">
        <v>0.044382</v>
      </c>
      <c r="N540" s="13" t="n">
        <v>-0.024043</v>
      </c>
      <c r="O540" s="13" t="n">
        <v>0.6857</v>
      </c>
      <c r="P540" s="13" t="n">
        <v>-0.00667</v>
      </c>
      <c r="Q540" s="13" t="n">
        <v>0.012795</v>
      </c>
      <c r="R540" s="13" t="n">
        <v>-0.019465</v>
      </c>
      <c r="S540" s="13" t="n">
        <v>0.6573</v>
      </c>
      <c r="T540" s="13" t="n">
        <v>0.071688</v>
      </c>
      <c r="U540" s="13" t="n">
        <v>0.039984</v>
      </c>
      <c r="V540" s="13" t="n">
        <v>0.031704</v>
      </c>
      <c r="W540" s="13" t="n">
        <v>0.358</v>
      </c>
      <c r="X540" s="13" t="n">
        <v>-0.038681</v>
      </c>
      <c r="Y540" s="13" t="n">
        <v>-0.083966</v>
      </c>
      <c r="Z540" s="13" t="n">
        <v>0.045285</v>
      </c>
      <c r="AA540" s="13" t="n">
        <v>0.6846</v>
      </c>
    </row>
    <row r="541">
      <c r="A541" s="6" t="inlineStr">
        <is>
          <t>2024-11-11</t>
        </is>
      </c>
      <c r="B541" s="6" t="inlineStr">
        <is>
          <t>中间分位</t>
        </is>
      </c>
      <c r="C541" s="10" t="n">
        <v>0.224</v>
      </c>
      <c r="D541" s="8" t="n">
        <v>-0.008382000000000001</v>
      </c>
      <c r="E541" s="8" t="n">
        <v>-0.003217</v>
      </c>
      <c r="F541" s="8" t="n">
        <v>-0.005165</v>
      </c>
      <c r="G541" s="8" t="n">
        <v>0.2774</v>
      </c>
      <c r="H541" s="8" t="n">
        <v>0.006036</v>
      </c>
      <c r="I541" s="8" t="n">
        <v>0.01729</v>
      </c>
      <c r="J541" s="8" t="n">
        <v>-0.011254</v>
      </c>
      <c r="K541" s="8" t="n">
        <v>0.7412</v>
      </c>
      <c r="L541" s="8" t="n">
        <v>0.038229</v>
      </c>
      <c r="M541" s="8" t="n">
        <v>0.038601</v>
      </c>
      <c r="N541" s="8" t="n">
        <v>-0.000372</v>
      </c>
      <c r="O541" s="8" t="n">
        <v>0.5024</v>
      </c>
      <c r="P541" s="8" t="n">
        <v>0.007714</v>
      </c>
      <c r="Q541" s="8" t="n">
        <v>0.032167</v>
      </c>
      <c r="R541" s="8" t="n">
        <v>-0.024453</v>
      </c>
      <c r="S541" s="8" t="n">
        <v>0.8066</v>
      </c>
      <c r="T541" s="8" t="n">
        <v>0.06707</v>
      </c>
      <c r="U541" s="8" t="n">
        <v>0.036992</v>
      </c>
      <c r="V541" s="8" t="n">
        <v>0.030078</v>
      </c>
      <c r="W541" s="8" t="n">
        <v>0.3555</v>
      </c>
      <c r="X541" s="8" t="n">
        <v>-0.012575</v>
      </c>
      <c r="Y541" s="8" t="n">
        <v>-0.049055</v>
      </c>
      <c r="Z541" s="8" t="n">
        <v>0.03648</v>
      </c>
      <c r="AA541" s="8" t="n">
        <v>0.796</v>
      </c>
    </row>
    <row r="542">
      <c r="A542" s="11" t="inlineStr">
        <is>
          <t>2024-11-12</t>
        </is>
      </c>
      <c r="B542" s="11" t="inlineStr">
        <is>
          <t>中间分位</t>
        </is>
      </c>
      <c r="C542" s="15" t="n">
        <v>0.148</v>
      </c>
      <c r="D542" s="13" t="n">
        <v>0.002366</v>
      </c>
      <c r="E542" s="13" t="n">
        <v>0.005244</v>
      </c>
      <c r="F542" s="13" t="n">
        <v>-0.002878</v>
      </c>
      <c r="G542" s="13" t="n">
        <v>0.6891</v>
      </c>
      <c r="H542" s="13" t="n">
        <v>0.018599</v>
      </c>
      <c r="I542" s="13" t="n">
        <v>0.031061</v>
      </c>
      <c r="J542" s="13" t="n">
        <v>-0.012462</v>
      </c>
      <c r="K542" s="13" t="n">
        <v>0.6254999999999999</v>
      </c>
      <c r="L542" s="13" t="n">
        <v>0.038889</v>
      </c>
      <c r="M542" s="13" t="n">
        <v>0.049617</v>
      </c>
      <c r="N542" s="13" t="n">
        <v>-0.010728</v>
      </c>
      <c r="O542" s="13" t="n">
        <v>0.5606</v>
      </c>
      <c r="P542" s="13" t="n">
        <v>0.026715</v>
      </c>
      <c r="Q542" s="13" t="n">
        <v>0.043163</v>
      </c>
      <c r="R542" s="13" t="n">
        <v>-0.016448</v>
      </c>
      <c r="S542" s="13" t="n">
        <v>0.6177</v>
      </c>
      <c r="T542" s="13" t="n">
        <v>0.071355</v>
      </c>
      <c r="U542" s="13" t="n">
        <v>0.025413</v>
      </c>
      <c r="V542" s="13" t="n">
        <v>0.045942</v>
      </c>
      <c r="W542" s="13" t="n">
        <v>0.2626</v>
      </c>
      <c r="X542" s="13" t="n">
        <v>0.023164</v>
      </c>
      <c r="Y542" s="13" t="n">
        <v>-0.064139</v>
      </c>
      <c r="Z542" s="13" t="n">
        <v>0.08730300000000001</v>
      </c>
      <c r="AA542" s="13" t="n">
        <v>0.7347</v>
      </c>
    </row>
    <row r="543">
      <c r="A543" s="6" t="inlineStr">
        <is>
          <t>2024-11-13</t>
        </is>
      </c>
      <c r="B543" s="6" t="inlineStr">
        <is>
          <t>中间分位</t>
        </is>
      </c>
      <c r="C543" s="10" t="n">
        <v>0.12</v>
      </c>
      <c r="D543" s="8" t="n">
        <v>0.006073</v>
      </c>
      <c r="E543" s="8" t="n">
        <v>-0.003612</v>
      </c>
      <c r="F543" s="8" t="n">
        <v>0.009684999999999999</v>
      </c>
      <c r="G543" s="8" t="n">
        <v>0.3729</v>
      </c>
      <c r="H543" s="8" t="n">
        <v>0.022267</v>
      </c>
      <c r="I543" s="8" t="n">
        <v>0.030096</v>
      </c>
      <c r="J543" s="8" t="n">
        <v>-0.007828999999999999</v>
      </c>
      <c r="K543" s="8" t="n">
        <v>0.5748</v>
      </c>
      <c r="L543" s="8" t="n">
        <v>0.043858</v>
      </c>
      <c r="M543" s="8" t="n">
        <v>0.032504</v>
      </c>
      <c r="N543" s="8" t="n">
        <v>0.011354</v>
      </c>
      <c r="O543" s="8" t="n">
        <v>0.4257</v>
      </c>
      <c r="P543" s="8" t="n">
        <v>0.031713</v>
      </c>
      <c r="Q543" s="8" t="n">
        <v>0.046549</v>
      </c>
      <c r="R543" s="8" t="n">
        <v>-0.014836</v>
      </c>
      <c r="S543" s="8" t="n">
        <v>0.5948</v>
      </c>
      <c r="T543" s="8" t="n">
        <v>0.05432</v>
      </c>
      <c r="U543" s="8" t="n">
        <v>0.013644</v>
      </c>
      <c r="V543" s="8" t="n">
        <v>0.040676</v>
      </c>
      <c r="W543" s="8" t="n">
        <v>0.2008</v>
      </c>
      <c r="X543" s="8" t="n">
        <v>-0.017713</v>
      </c>
      <c r="Y543" s="8" t="n">
        <v>-0.083467</v>
      </c>
      <c r="Z543" s="8" t="n">
        <v>0.06575400000000001</v>
      </c>
      <c r="AA543" s="8" t="n">
        <v>0.8249</v>
      </c>
    </row>
    <row r="544">
      <c r="A544" s="11" t="inlineStr">
        <is>
          <t>2024-11-14</t>
        </is>
      </c>
      <c r="B544" s="11" t="inlineStr">
        <is>
          <t>中间分位</t>
        </is>
      </c>
      <c r="C544" s="15" t="n">
        <v>0.268</v>
      </c>
      <c r="D544" s="13" t="n">
        <v>-0.004024</v>
      </c>
      <c r="E544" s="13" t="n">
        <v>0.002819</v>
      </c>
      <c r="F544" s="13" t="n">
        <v>-0.006843</v>
      </c>
      <c r="G544" s="13" t="n">
        <v>0.412</v>
      </c>
      <c r="H544" s="13" t="n">
        <v>0.025823</v>
      </c>
      <c r="I544" s="13" t="n">
        <v>0.037052</v>
      </c>
      <c r="J544" s="13" t="n">
        <v>-0.011229</v>
      </c>
      <c r="K544" s="13" t="n">
        <v>0.5893</v>
      </c>
      <c r="L544" s="13" t="n">
        <v>0.025823</v>
      </c>
      <c r="M544" s="13" t="n">
        <v>0.028594</v>
      </c>
      <c r="N544" s="13" t="n">
        <v>-0.002771</v>
      </c>
      <c r="O544" s="13" t="n">
        <v>0.5255</v>
      </c>
      <c r="P544" s="13" t="n">
        <v>0.030181</v>
      </c>
      <c r="Q544" s="13" t="n">
        <v>0.059605</v>
      </c>
      <c r="R544" s="13" t="n">
        <v>-0.029424</v>
      </c>
      <c r="S544" s="13" t="n">
        <v>0.6639</v>
      </c>
      <c r="T544" s="13" t="n">
        <v>0.037557</v>
      </c>
      <c r="U544" s="13" t="n">
        <v>0.028997</v>
      </c>
      <c r="V544" s="13" t="n">
        <v>0.00856</v>
      </c>
      <c r="W544" s="13" t="n">
        <v>0.4357</v>
      </c>
      <c r="X544" s="13" t="n">
        <v>-0.023642</v>
      </c>
      <c r="Y544" s="13" t="n">
        <v>-0.084978</v>
      </c>
      <c r="Z544" s="13" t="n">
        <v>0.061336</v>
      </c>
      <c r="AA544" s="13" t="n">
        <v>0.7823</v>
      </c>
    </row>
    <row r="545">
      <c r="A545" s="6" t="inlineStr">
        <is>
          <t>2024-11-15</t>
        </is>
      </c>
      <c r="B545" s="6" t="inlineStr">
        <is>
          <t>中间分位</t>
        </is>
      </c>
      <c r="C545" s="10" t="n">
        <v>0.152</v>
      </c>
      <c r="D545" s="8" t="n">
        <v>0.010101</v>
      </c>
      <c r="E545" s="8" t="n">
        <v>0.016064</v>
      </c>
      <c r="F545" s="8" t="n">
        <v>-0.005963</v>
      </c>
      <c r="G545" s="8" t="n">
        <v>0.6139</v>
      </c>
      <c r="H545" s="8" t="n">
        <v>0.030303</v>
      </c>
      <c r="I545" s="8" t="n">
        <v>0.048996</v>
      </c>
      <c r="J545" s="8" t="n">
        <v>-0.018693</v>
      </c>
      <c r="K545" s="8" t="n">
        <v>0.6179</v>
      </c>
      <c r="L545" s="8" t="n">
        <v>0.025588</v>
      </c>
      <c r="M545" s="8" t="n">
        <v>0.030522</v>
      </c>
      <c r="N545" s="8" t="n">
        <v>-0.004934</v>
      </c>
      <c r="O545" s="8" t="n">
        <v>0.544</v>
      </c>
      <c r="P545" s="8" t="n">
        <v>0.04882</v>
      </c>
      <c r="Q545" s="8" t="n">
        <v>0.048193</v>
      </c>
      <c r="R545" s="8" t="n">
        <v>0.000627</v>
      </c>
      <c r="S545" s="8" t="n">
        <v>0.4968</v>
      </c>
      <c r="T545" s="8" t="n">
        <v>0.05017</v>
      </c>
      <c r="U545" s="8" t="n">
        <v>0.022088</v>
      </c>
      <c r="V545" s="8" t="n">
        <v>0.028082</v>
      </c>
      <c r="W545" s="8" t="n">
        <v>0.3057</v>
      </c>
      <c r="X545" s="8" t="n">
        <v>-0.045455</v>
      </c>
      <c r="Y545" s="8" t="n">
        <v>-0.093976</v>
      </c>
      <c r="Z545" s="8" t="n">
        <v>0.048521</v>
      </c>
      <c r="AA545" s="8" t="n">
        <v>0.674</v>
      </c>
    </row>
    <row r="546">
      <c r="A546" s="11" t="inlineStr">
        <is>
          <t>2024-11-18</t>
        </is>
      </c>
      <c r="B546" s="11" t="inlineStr">
        <is>
          <t>低分位</t>
        </is>
      </c>
      <c r="C546" s="15" t="n">
        <v>0.07199999999999999</v>
      </c>
      <c r="D546" s="13" t="n">
        <v>0.004</v>
      </c>
      <c r="E546" s="13" t="n">
        <v>0.010277</v>
      </c>
      <c r="F546" s="13" t="n">
        <v>-0.006277</v>
      </c>
      <c r="G546" s="13" t="n">
        <v>0.7198</v>
      </c>
      <c r="H546" s="13" t="n">
        <v>0.032</v>
      </c>
      <c r="I546" s="13" t="n">
        <v>0.020949</v>
      </c>
      <c r="J546" s="13" t="n">
        <v>0.011051</v>
      </c>
      <c r="K546" s="13" t="n">
        <v>0.3956</v>
      </c>
      <c r="L546" s="13" t="n">
        <v>0.017668</v>
      </c>
      <c r="M546" s="13" t="n">
        <v>0.01502</v>
      </c>
      <c r="N546" s="13" t="n">
        <v>0.002648</v>
      </c>
      <c r="O546" s="13" t="n">
        <v>0.4595</v>
      </c>
      <c r="P546" s="13" t="n">
        <v>0.04</v>
      </c>
      <c r="Q546" s="13" t="n">
        <v>0.035178</v>
      </c>
      <c r="R546" s="13" t="n">
        <v>0.004822</v>
      </c>
      <c r="S546" s="13" t="n">
        <v>0.4679</v>
      </c>
      <c r="T546" s="13" t="n">
        <v>0.035668</v>
      </c>
      <c r="U546" s="13" t="n">
        <v>0.001976</v>
      </c>
      <c r="V546" s="13" t="n">
        <v>0.033692</v>
      </c>
      <c r="W546" s="13" t="n">
        <v>0.0525</v>
      </c>
      <c r="X546" s="13" t="n">
        <v>-0.06900000000000001</v>
      </c>
      <c r="Y546" s="13" t="n">
        <v>-0.102767</v>
      </c>
      <c r="Z546" s="13" t="n">
        <v>0.033767</v>
      </c>
      <c r="AA546" s="13" t="n">
        <v>0.5983000000000001</v>
      </c>
    </row>
    <row r="547">
      <c r="A547" s="6" t="inlineStr">
        <is>
          <t>2024-11-19</t>
        </is>
      </c>
      <c r="B547" s="6" t="inlineStr">
        <is>
          <t>低分位</t>
        </is>
      </c>
      <c r="C547" s="10" t="n">
        <v>0.028</v>
      </c>
      <c r="D547" s="8" t="n">
        <v>0.005976</v>
      </c>
      <c r="E547" s="8" t="n">
        <v>0.004304</v>
      </c>
      <c r="F547" s="8" t="n">
        <v>0.001672</v>
      </c>
      <c r="G547" s="8" t="n">
        <v>0.4187</v>
      </c>
      <c r="H547" s="8" t="n">
        <v>0.01992</v>
      </c>
      <c r="I547" s="8" t="n">
        <v>0.017997</v>
      </c>
      <c r="J547" s="8" t="n">
        <v>0.001923</v>
      </c>
      <c r="K547" s="8" t="n">
        <v>0.4746</v>
      </c>
      <c r="L547" s="8" t="n">
        <v>0.011622</v>
      </c>
      <c r="M547" s="8" t="n">
        <v>-0.005086</v>
      </c>
      <c r="N547" s="8" t="n">
        <v>0.016708</v>
      </c>
      <c r="O547" s="8" t="n">
        <v>0.3044</v>
      </c>
      <c r="P547" s="8" t="n">
        <v>0.043825</v>
      </c>
      <c r="Q547" s="8" t="n">
        <v>0.018779</v>
      </c>
      <c r="R547" s="8" t="n">
        <v>0.025046</v>
      </c>
      <c r="S547" s="8" t="n">
        <v>0.3</v>
      </c>
      <c r="T547" s="8" t="n">
        <v>0.027888</v>
      </c>
      <c r="U547" s="8" t="n">
        <v>-0.003521</v>
      </c>
      <c r="V547" s="8" t="n">
        <v>0.031409</v>
      </c>
      <c r="W547" s="8" t="n">
        <v>0.1121</v>
      </c>
      <c r="X547" s="8" t="n">
        <v>-0.075199</v>
      </c>
      <c r="Y547" s="8" t="n">
        <v>-0.123239</v>
      </c>
      <c r="Z547" s="8" t="n">
        <v>0.04804</v>
      </c>
      <c r="AA547" s="8" t="n">
        <v>0.621</v>
      </c>
    </row>
    <row r="548">
      <c r="A548" s="11" t="inlineStr">
        <is>
          <t>2024-11-20</t>
        </is>
      </c>
      <c r="B548" s="11" t="inlineStr">
        <is>
          <t>低分位</t>
        </is>
      </c>
      <c r="C548" s="15" t="n">
        <v>0.04</v>
      </c>
      <c r="D548" s="13" t="n">
        <v>0.009572000000000001</v>
      </c>
      <c r="E548" s="13" t="n">
        <v>0.003116</v>
      </c>
      <c r="F548" s="13" t="n">
        <v>0.006456</v>
      </c>
      <c r="G548" s="13" t="n">
        <v>0.2456</v>
      </c>
      <c r="H548" s="13" t="n">
        <v>0.021121</v>
      </c>
      <c r="I548" s="13" t="n">
        <v>0.002337</v>
      </c>
      <c r="J548" s="13" t="n">
        <v>0.018784</v>
      </c>
      <c r="K548" s="13" t="n">
        <v>0.09959999999999999</v>
      </c>
      <c r="L548" s="13" t="n">
        <v>-0.005612</v>
      </c>
      <c r="M548" s="13" t="n">
        <v>-0.01792</v>
      </c>
      <c r="N548" s="13" t="n">
        <v>0.012308</v>
      </c>
      <c r="O548" s="13" t="n">
        <v>0.7615</v>
      </c>
      <c r="P548" s="13" t="n">
        <v>0.035315</v>
      </c>
      <c r="Q548" s="13" t="n">
        <v>0.011297</v>
      </c>
      <c r="R548" s="13" t="n">
        <v>0.024018</v>
      </c>
      <c r="S548" s="13" t="n">
        <v>0.2424</v>
      </c>
      <c r="T548" s="13" t="n">
        <v>0.027723</v>
      </c>
      <c r="U548" s="13" t="n">
        <v>-0.007791</v>
      </c>
      <c r="V548" s="13" t="n">
        <v>0.035514</v>
      </c>
      <c r="W548" s="13" t="n">
        <v>0.2194</v>
      </c>
      <c r="X548" s="13" t="n">
        <v>-0.084158</v>
      </c>
      <c r="Y548" s="13" t="n">
        <v>-0.134398</v>
      </c>
      <c r="Z548" s="13" t="n">
        <v>0.05024</v>
      </c>
      <c r="AA548" s="13" t="n">
        <v>0.6149</v>
      </c>
    </row>
    <row r="549">
      <c r="A549" s="6" t="inlineStr">
        <is>
          <t>2024-11-21</t>
        </is>
      </c>
      <c r="B549" s="6" t="inlineStr">
        <is>
          <t>中间分位</t>
        </is>
      </c>
      <c r="C549" s="10" t="n">
        <v>0.108</v>
      </c>
      <c r="D549" s="8" t="n">
        <v>0.000326</v>
      </c>
      <c r="E549" s="8" t="n">
        <v>0.014369</v>
      </c>
      <c r="F549" s="8" t="n">
        <v>-0.014043</v>
      </c>
      <c r="G549" s="8" t="n">
        <v>0.9778</v>
      </c>
      <c r="H549" s="8" t="n">
        <v>0</v>
      </c>
      <c r="I549" s="8" t="n">
        <v>-0.008155000000000001</v>
      </c>
      <c r="J549" s="8" t="n">
        <v>0.008155000000000001</v>
      </c>
      <c r="K549" s="8" t="n">
        <v>1</v>
      </c>
      <c r="L549" s="8" t="n">
        <v>-0.015691</v>
      </c>
      <c r="M549" s="8" t="n">
        <v>-0.019029</v>
      </c>
      <c r="N549" s="8" t="n">
        <v>0.003338</v>
      </c>
      <c r="O549" s="8" t="n">
        <v>0.5481</v>
      </c>
      <c r="P549" s="8" t="n">
        <v>0.029747</v>
      </c>
      <c r="Q549" s="8" t="n">
        <v>0.014369</v>
      </c>
      <c r="R549" s="8" t="n">
        <v>0.015378</v>
      </c>
      <c r="S549" s="8" t="n">
        <v>0.3257</v>
      </c>
      <c r="T549" s="8" t="n">
        <v>0.019285</v>
      </c>
      <c r="U549" s="8" t="n">
        <v>-0.002718</v>
      </c>
      <c r="V549" s="8" t="n">
        <v>0.022003</v>
      </c>
      <c r="W549" s="8" t="n">
        <v>0.1235</v>
      </c>
      <c r="X549" s="8" t="n">
        <v>-0.097746</v>
      </c>
      <c r="Y549" s="8" t="n">
        <v>-0.136311</v>
      </c>
      <c r="Z549" s="8" t="n">
        <v>0.038565</v>
      </c>
      <c r="AA549" s="8" t="n">
        <v>0.5824</v>
      </c>
    </row>
    <row r="550">
      <c r="A550" s="11" t="inlineStr">
        <is>
          <t>2024-11-22</t>
        </is>
      </c>
      <c r="B550" s="11" t="inlineStr">
        <is>
          <t>低分位</t>
        </is>
      </c>
      <c r="C550" s="15" t="n">
        <v>0.02</v>
      </c>
      <c r="D550" s="13" t="n">
        <v>0.011765</v>
      </c>
      <c r="E550" s="13" t="n">
        <v>-0.011103</v>
      </c>
      <c r="F550" s="13" t="n">
        <v>0.022868</v>
      </c>
      <c r="G550" s="13" t="n">
        <v>0.4855</v>
      </c>
      <c r="H550" s="13" t="n">
        <v>-0.004576</v>
      </c>
      <c r="I550" s="13" t="n">
        <v>-0.017611</v>
      </c>
      <c r="J550" s="13" t="n">
        <v>0.013035</v>
      </c>
      <c r="K550" s="13" t="n">
        <v>0.7938</v>
      </c>
      <c r="L550" s="13" t="n">
        <v>-0.026471</v>
      </c>
      <c r="M550" s="13" t="n">
        <v>-0.030245</v>
      </c>
      <c r="N550" s="13" t="n">
        <v>0.003774</v>
      </c>
      <c r="O550" s="13" t="n">
        <v>0.5333</v>
      </c>
      <c r="P550" s="13" t="n">
        <v>0.029412</v>
      </c>
      <c r="Q550" s="13" t="n">
        <v>-0.007274</v>
      </c>
      <c r="R550" s="13" t="n">
        <v>0.036686</v>
      </c>
      <c r="S550" s="13" t="n">
        <v>0.1983</v>
      </c>
      <c r="T550" s="13" t="n">
        <v>0.026796</v>
      </c>
      <c r="U550" s="13" t="n">
        <v>-0.027565</v>
      </c>
      <c r="V550" s="13" t="n">
        <v>0.054361</v>
      </c>
      <c r="W550" s="13" t="n">
        <v>0.5071</v>
      </c>
      <c r="X550" s="13" t="n">
        <v>-0.116176</v>
      </c>
      <c r="Y550" s="13" t="n">
        <v>-0.155436</v>
      </c>
      <c r="Z550" s="13" t="n">
        <v>0.03926</v>
      </c>
      <c r="AA550" s="13" t="n">
        <v>0.5723</v>
      </c>
    </row>
    <row r="551">
      <c r="A551" s="6" t="inlineStr">
        <is>
          <t>2024-11-25</t>
        </is>
      </c>
      <c r="B551" s="6" t="inlineStr">
        <is>
          <t>中间分位</t>
        </is>
      </c>
      <c r="C551" s="10" t="n">
        <v>0.24</v>
      </c>
      <c r="D551" s="8" t="n">
        <v>-0.007752</v>
      </c>
      <c r="E551" s="8" t="n">
        <v>0.007356</v>
      </c>
      <c r="F551" s="8" t="n">
        <v>-0.015108</v>
      </c>
      <c r="G551" s="8" t="n">
        <v>0.4869</v>
      </c>
      <c r="H551" s="8" t="n">
        <v>-0.013888</v>
      </c>
      <c r="I551" s="8" t="n">
        <v>-0.005807</v>
      </c>
      <c r="J551" s="8" t="n">
        <v>-0.008081</v>
      </c>
      <c r="K551" s="8" t="n">
        <v>0.2948</v>
      </c>
      <c r="L551" s="8" t="n">
        <v>-0.029391</v>
      </c>
      <c r="M551" s="8" t="n">
        <v>-0.006194</v>
      </c>
      <c r="N551" s="8" t="n">
        <v>-0.023197</v>
      </c>
      <c r="O551" s="8" t="n">
        <v>0.1741</v>
      </c>
      <c r="P551" s="8" t="n">
        <v>0.037143</v>
      </c>
      <c r="Q551" s="8" t="n">
        <v>0.022842</v>
      </c>
      <c r="R551" s="8" t="n">
        <v>0.014301</v>
      </c>
      <c r="S551" s="8" t="n">
        <v>0.3808</v>
      </c>
      <c r="T551" s="8" t="n">
        <v>0.003554</v>
      </c>
      <c r="U551" s="8" t="n">
        <v>-0.01084</v>
      </c>
      <c r="V551" s="8" t="n">
        <v>0.014394</v>
      </c>
      <c r="W551" s="8" t="n">
        <v>0.7531</v>
      </c>
      <c r="X551" s="8" t="n">
        <v>-0.12936</v>
      </c>
      <c r="Y551" s="8" t="n">
        <v>-0.141309</v>
      </c>
      <c r="Z551" s="8" t="n">
        <v>0.011949</v>
      </c>
      <c r="AA551" s="8" t="n">
        <v>0.5221</v>
      </c>
    </row>
    <row r="552">
      <c r="A552" s="11" t="inlineStr">
        <is>
          <t>2024-11-26</t>
        </is>
      </c>
      <c r="B552" s="11" t="inlineStr">
        <is>
          <t>低分位</t>
        </is>
      </c>
      <c r="C552" s="15" t="n">
        <v>0.048</v>
      </c>
      <c r="D552" s="13" t="n">
        <v>0.00716</v>
      </c>
      <c r="E552" s="13" t="n">
        <v>-0.011145</v>
      </c>
      <c r="F552" s="13" t="n">
        <v>0.018305</v>
      </c>
      <c r="G552" s="13" t="n">
        <v>0.6089</v>
      </c>
      <c r="H552" s="13" t="n">
        <v>-0.008137</v>
      </c>
      <c r="I552" s="13" t="n">
        <v>-0.022675</v>
      </c>
      <c r="J552" s="13" t="n">
        <v>0.014538</v>
      </c>
      <c r="K552" s="13" t="n">
        <v>0.7359</v>
      </c>
      <c r="L552" s="13" t="n">
        <v>-0.011719</v>
      </c>
      <c r="M552" s="13" t="n">
        <v>-0.006149</v>
      </c>
      <c r="N552" s="13" t="n">
        <v>-0.00557</v>
      </c>
      <c r="O552" s="13" t="n">
        <v>0.3441</v>
      </c>
      <c r="P552" s="13" t="n">
        <v>0.072918</v>
      </c>
      <c r="Q552" s="13" t="n">
        <v>0.021138</v>
      </c>
      <c r="R552" s="13" t="n">
        <v>0.05178</v>
      </c>
      <c r="S552" s="13" t="n">
        <v>0.2247</v>
      </c>
      <c r="T552" s="13" t="n">
        <v>0.016926</v>
      </c>
      <c r="U552" s="13" t="n">
        <v>-0.004996</v>
      </c>
      <c r="V552" s="13" t="n">
        <v>0.021922</v>
      </c>
      <c r="W552" s="13" t="n">
        <v>0.2279</v>
      </c>
      <c r="X552" s="13" t="n">
        <v>-0.122266</v>
      </c>
      <c r="Y552" s="13" t="n">
        <v>-0.151422</v>
      </c>
      <c r="Z552" s="13" t="n">
        <v>0.029156</v>
      </c>
      <c r="AA552" s="13" t="n">
        <v>0.5533</v>
      </c>
    </row>
    <row r="553">
      <c r="A553" s="6" t="inlineStr">
        <is>
          <t>2024-11-27</t>
        </is>
      </c>
      <c r="B553" s="6" t="inlineStr">
        <is>
          <t>中间分位</t>
        </is>
      </c>
      <c r="C553" s="10" t="n">
        <v>0.304</v>
      </c>
      <c r="D553" s="8" t="n">
        <v>-0.01131</v>
      </c>
      <c r="E553" s="8" t="n">
        <v>-0.007384</v>
      </c>
      <c r="F553" s="8" t="n">
        <v>-0.003926</v>
      </c>
      <c r="G553" s="8" t="n">
        <v>0.395</v>
      </c>
      <c r="H553" s="8" t="n">
        <v>-0.02618</v>
      </c>
      <c r="I553" s="8" t="n">
        <v>-0.02021</v>
      </c>
      <c r="J553" s="8" t="n">
        <v>-0.00597</v>
      </c>
      <c r="K553" s="8" t="n">
        <v>0.4357</v>
      </c>
      <c r="L553" s="8" t="n">
        <v>-0.011635</v>
      </c>
      <c r="M553" s="8" t="n">
        <v>0.013603</v>
      </c>
      <c r="N553" s="8" t="n">
        <v>-0.025238</v>
      </c>
      <c r="O553" s="8" t="n">
        <v>0.539</v>
      </c>
      <c r="P553" s="8" t="n">
        <v>0.069813</v>
      </c>
      <c r="Q553" s="8" t="n">
        <v>0.031092</v>
      </c>
      <c r="R553" s="8" t="n">
        <v>0.038721</v>
      </c>
      <c r="S553" s="8" t="n">
        <v>0.3081</v>
      </c>
      <c r="T553" s="8" t="n">
        <v>0.021657</v>
      </c>
      <c r="U553" s="8" t="n">
        <v>0.005052</v>
      </c>
      <c r="V553" s="8" t="n">
        <v>0.016605</v>
      </c>
      <c r="W553" s="8" t="n">
        <v>0.1891</v>
      </c>
      <c r="X553" s="8" t="n">
        <v>-0.127342</v>
      </c>
      <c r="Y553" s="8" t="n">
        <v>-0.135251</v>
      </c>
      <c r="Z553" s="8" t="n">
        <v>0.007908999999999999</v>
      </c>
      <c r="AA553" s="8" t="n">
        <v>0.5151</v>
      </c>
    </row>
    <row r="554">
      <c r="A554" s="11" t="inlineStr">
        <is>
          <t>2024-11-28</t>
        </is>
      </c>
      <c r="B554" s="11" t="inlineStr">
        <is>
          <t>中间分位</t>
        </is>
      </c>
      <c r="C554" s="15" t="n">
        <v>0.224</v>
      </c>
      <c r="D554" s="13" t="n">
        <v>-0.004252</v>
      </c>
      <c r="E554" s="13" t="n">
        <v>0.004699</v>
      </c>
      <c r="F554" s="13" t="n">
        <v>-0.008951000000000001</v>
      </c>
      <c r="G554" s="13" t="n">
        <v>0.525</v>
      </c>
      <c r="H554" s="13" t="n">
        <v>-0.015691</v>
      </c>
      <c r="I554" s="13" t="n">
        <v>-0.010963</v>
      </c>
      <c r="J554" s="13" t="n">
        <v>-0.004728</v>
      </c>
      <c r="K554" s="13" t="n">
        <v>0.4113</v>
      </c>
      <c r="L554" s="13" t="n">
        <v>0.004248</v>
      </c>
      <c r="M554" s="13" t="n">
        <v>0.030149</v>
      </c>
      <c r="N554" s="13" t="n">
        <v>-0.025901</v>
      </c>
      <c r="O554" s="13" t="n">
        <v>0.8764999999999999</v>
      </c>
      <c r="P554" s="13" t="n">
        <v>0.07486</v>
      </c>
      <c r="Q554" s="13" t="n">
        <v>0.038371</v>
      </c>
      <c r="R554" s="13" t="n">
        <v>0.036489</v>
      </c>
      <c r="S554" s="13" t="n">
        <v>0.3389</v>
      </c>
      <c r="T554" s="13" t="n">
        <v>0.031383</v>
      </c>
      <c r="U554" s="13" t="n">
        <v>0.02036</v>
      </c>
      <c r="V554" s="13" t="n">
        <v>0.011023</v>
      </c>
      <c r="W554" s="13" t="n">
        <v>0.3935</v>
      </c>
      <c r="X554" s="13" t="n">
        <v>-0.100492</v>
      </c>
      <c r="Y554" s="13" t="n">
        <v>-0.111198</v>
      </c>
      <c r="Z554" s="13" t="n">
        <v>0.010706</v>
      </c>
      <c r="AA554" s="13" t="n">
        <v>0.5253</v>
      </c>
    </row>
    <row r="555">
      <c r="A555" s="6" t="inlineStr">
        <is>
          <t>2024-11-29</t>
        </is>
      </c>
      <c r="B555" s="6" t="inlineStr">
        <is>
          <t>中间分位</t>
        </is>
      </c>
      <c r="C555" s="10" t="n">
        <v>0.108</v>
      </c>
      <c r="D555" s="8" t="n">
        <v>0.002301</v>
      </c>
      <c r="E555" s="8" t="n">
        <v>0.000779</v>
      </c>
      <c r="F555" s="8" t="n">
        <v>0.001522</v>
      </c>
      <c r="G555" s="8" t="n">
        <v>0.2529</v>
      </c>
      <c r="H555" s="8" t="n">
        <v>-0.021995</v>
      </c>
      <c r="I555" s="8" t="n">
        <v>-0.01286</v>
      </c>
      <c r="J555" s="8" t="n">
        <v>-0.009135000000000001</v>
      </c>
      <c r="K555" s="8" t="n">
        <v>0.369</v>
      </c>
      <c r="L555" s="8" t="n">
        <v>0.022653</v>
      </c>
      <c r="M555" s="8" t="n">
        <v>0.017147</v>
      </c>
      <c r="N555" s="8" t="n">
        <v>0.005506</v>
      </c>
      <c r="O555" s="8" t="n">
        <v>0.4308</v>
      </c>
      <c r="P555" s="8" t="n">
        <v>0.083389</v>
      </c>
      <c r="Q555" s="8" t="n">
        <v>0.02767</v>
      </c>
      <c r="R555" s="8" t="n">
        <v>0.055719</v>
      </c>
      <c r="S555" s="8" t="n">
        <v>0.2491</v>
      </c>
      <c r="T555" s="8" t="n">
        <v>0.041697</v>
      </c>
      <c r="U555" s="8" t="n">
        <v>0.015978</v>
      </c>
      <c r="V555" s="8" t="n">
        <v>0.025719</v>
      </c>
      <c r="W555" s="8" t="n">
        <v>0.277</v>
      </c>
      <c r="X555" s="8" t="n">
        <v>-0.09665</v>
      </c>
      <c r="Y555" s="8" t="n">
        <v>-0.119641</v>
      </c>
      <c r="Z555" s="8" t="n">
        <v>0.022991</v>
      </c>
      <c r="AA555" s="8" t="n">
        <v>0.5531</v>
      </c>
    </row>
    <row r="556">
      <c r="A556" s="11" t="inlineStr">
        <is>
          <t>2024-12-02</t>
        </is>
      </c>
      <c r="B556" s="11" t="inlineStr">
        <is>
          <t>中间分位</t>
        </is>
      </c>
      <c r="C556" s="15" t="n">
        <v>0.128</v>
      </c>
      <c r="D556" s="13" t="n">
        <v>-0.001965</v>
      </c>
      <c r="E556" s="13" t="n">
        <v>-0.009735000000000001</v>
      </c>
      <c r="F556" s="13" t="n">
        <v>0.00777</v>
      </c>
      <c r="G556" s="13" t="n">
        <v>0.8321</v>
      </c>
      <c r="H556" s="13" t="n">
        <v>-0.015722</v>
      </c>
      <c r="I556" s="13" t="n">
        <v>-0.000389</v>
      </c>
      <c r="J556" s="13" t="n">
        <v>-0.015333</v>
      </c>
      <c r="K556" s="13" t="n">
        <v>0.0241</v>
      </c>
      <c r="L556" s="13" t="n">
        <v>0.021944</v>
      </c>
      <c r="M556" s="13" t="n">
        <v>0.01986</v>
      </c>
      <c r="N556" s="13" t="n">
        <v>0.002084</v>
      </c>
      <c r="O556" s="13" t="n">
        <v>0.4751</v>
      </c>
      <c r="P556" s="13" t="n">
        <v>0.06583700000000001</v>
      </c>
      <c r="Q556" s="13" t="n">
        <v>0.041277</v>
      </c>
      <c r="R556" s="13" t="n">
        <v>0.02456</v>
      </c>
      <c r="S556" s="13" t="n">
        <v>0.3854</v>
      </c>
      <c r="T556" s="13" t="n">
        <v>0.041597</v>
      </c>
      <c r="U556" s="13" t="n">
        <v>0.008956</v>
      </c>
      <c r="V556" s="13" t="n">
        <v>0.032641</v>
      </c>
      <c r="W556" s="13" t="n">
        <v>0.1772</v>
      </c>
      <c r="X556" s="13" t="n">
        <v>-0.09518600000000001</v>
      </c>
      <c r="Y556" s="13" t="n">
        <v>-0.11838</v>
      </c>
      <c r="Z556" s="13" t="n">
        <v>0.023194</v>
      </c>
      <c r="AA556" s="13" t="n">
        <v>0.5543</v>
      </c>
    </row>
    <row r="557">
      <c r="A557" s="6" t="inlineStr">
        <is>
          <t>2024-12-03</t>
        </is>
      </c>
      <c r="B557" s="6" t="inlineStr">
        <is>
          <t>中间分位</t>
        </is>
      </c>
      <c r="C557" s="10" t="n">
        <v>0.244</v>
      </c>
      <c r="D557" s="8" t="n">
        <v>-0.011161</v>
      </c>
      <c r="E557" s="8" t="n">
        <v>-0.008651000000000001</v>
      </c>
      <c r="F557" s="8" t="n">
        <v>-0.00251</v>
      </c>
      <c r="G557" s="8" t="n">
        <v>0.4367</v>
      </c>
      <c r="H557" s="8" t="n">
        <v>-0.003611</v>
      </c>
      <c r="I557" s="8" t="n">
        <v>0.016909</v>
      </c>
      <c r="J557" s="8" t="n">
        <v>-0.02052</v>
      </c>
      <c r="K557" s="8" t="n">
        <v>0.824</v>
      </c>
      <c r="L557" s="8" t="n">
        <v>0.031833</v>
      </c>
      <c r="M557" s="8" t="n">
        <v>0.023987</v>
      </c>
      <c r="N557" s="8" t="n">
        <v>0.007846000000000001</v>
      </c>
      <c r="O557" s="8" t="n">
        <v>0.4297</v>
      </c>
      <c r="P557" s="8" t="n">
        <v>0.081389</v>
      </c>
      <c r="Q557" s="8" t="n">
        <v>0.062918</v>
      </c>
      <c r="R557" s="8" t="n">
        <v>0.018471</v>
      </c>
      <c r="S557" s="8" t="n">
        <v>0.436</v>
      </c>
      <c r="T557" s="8" t="n">
        <v>0.041352</v>
      </c>
      <c r="U557" s="8" t="n">
        <v>0.011011</v>
      </c>
      <c r="V557" s="8" t="n">
        <v>0.030341</v>
      </c>
      <c r="W557" s="8" t="n">
        <v>0.2103</v>
      </c>
      <c r="X557" s="8" t="n">
        <v>-0.089072</v>
      </c>
      <c r="Y557" s="8" t="n">
        <v>-0.104601</v>
      </c>
      <c r="Z557" s="8" t="n">
        <v>0.015529</v>
      </c>
      <c r="AA557" s="8" t="n">
        <v>0.5401</v>
      </c>
    </row>
    <row r="558">
      <c r="A558" s="11" t="inlineStr">
        <is>
          <t>2024-12-04</t>
        </is>
      </c>
      <c r="B558" s="11" t="inlineStr">
        <is>
          <t>中间分位</t>
        </is>
      </c>
      <c r="C558" s="15" t="n">
        <v>0.196</v>
      </c>
      <c r="D558" s="13" t="n">
        <v>-0.000661</v>
      </c>
      <c r="E558" s="13" t="n">
        <v>0.001983</v>
      </c>
      <c r="F558" s="13" t="n">
        <v>-0.002644</v>
      </c>
      <c r="G558" s="13" t="n">
        <v>0.75</v>
      </c>
      <c r="H558" s="13" t="n">
        <v>0.014935</v>
      </c>
      <c r="I558" s="13" t="n">
        <v>0.03451</v>
      </c>
      <c r="J558" s="13" t="n">
        <v>-0.019575</v>
      </c>
      <c r="K558" s="13" t="n">
        <v>0.6979</v>
      </c>
      <c r="L558" s="13" t="n">
        <v>0.041158</v>
      </c>
      <c r="M558" s="13" t="n">
        <v>0.02975</v>
      </c>
      <c r="N558" s="13" t="n">
        <v>0.011408</v>
      </c>
      <c r="O558" s="13" t="n">
        <v>0.4196</v>
      </c>
      <c r="P558" s="13" t="n">
        <v>0.09857299999999999</v>
      </c>
      <c r="Q558" s="13" t="n">
        <v>0.07378</v>
      </c>
      <c r="R558" s="13" t="n">
        <v>0.024793</v>
      </c>
      <c r="S558" s="13" t="n">
        <v>0.4281</v>
      </c>
      <c r="T558" s="13" t="n">
        <v>0.055097</v>
      </c>
      <c r="U558" s="13" t="n">
        <v>0.027767</v>
      </c>
      <c r="V558" s="13" t="n">
        <v>0.02733</v>
      </c>
      <c r="W558" s="13" t="n">
        <v>0.3351</v>
      </c>
      <c r="X558" s="13" t="n">
        <v>-0.07162200000000001</v>
      </c>
      <c r="Y558" s="13" t="n">
        <v>-0.09718400000000001</v>
      </c>
      <c r="Z558" s="13" t="n">
        <v>0.025562</v>
      </c>
      <c r="AA558" s="13" t="n">
        <v>0.5757</v>
      </c>
    </row>
    <row r="559">
      <c r="A559" s="6" t="inlineStr">
        <is>
          <t>2024-12-05</t>
        </is>
      </c>
      <c r="B559" s="6" t="inlineStr">
        <is>
          <t>中间分位</t>
        </is>
      </c>
      <c r="C559" s="10" t="n">
        <v>0.164</v>
      </c>
      <c r="D559" s="8" t="n">
        <v>-0.010629</v>
      </c>
      <c r="E559" s="8" t="n">
        <v>0.002771</v>
      </c>
      <c r="F559" s="8" t="n">
        <v>-0.0134</v>
      </c>
      <c r="G559" s="8" t="n">
        <v>0.2068</v>
      </c>
      <c r="H559" s="8" t="n">
        <v>0.020258</v>
      </c>
      <c r="I559" s="8" t="n">
        <v>0.041568</v>
      </c>
      <c r="J559" s="8" t="n">
        <v>-0.02131</v>
      </c>
      <c r="K559" s="8" t="n">
        <v>0.6723</v>
      </c>
      <c r="L559" s="8" t="n">
        <v>0.046163</v>
      </c>
      <c r="M559" s="8" t="n">
        <v>0.034046</v>
      </c>
      <c r="N559" s="8" t="n">
        <v>0.012117</v>
      </c>
      <c r="O559" s="8" t="n">
        <v>0.4245</v>
      </c>
      <c r="P559" s="8" t="n">
        <v>0.107605</v>
      </c>
      <c r="Q559" s="8" t="n">
        <v>0.052652</v>
      </c>
      <c r="R559" s="8" t="n">
        <v>0.054953</v>
      </c>
      <c r="S559" s="8" t="n">
        <v>0.3285</v>
      </c>
      <c r="T559" s="8" t="n">
        <v>0.063766</v>
      </c>
      <c r="U559" s="8" t="n">
        <v>0.025732</v>
      </c>
      <c r="V559" s="8" t="n">
        <v>0.038034</v>
      </c>
      <c r="W559" s="8" t="n">
        <v>0.2875</v>
      </c>
      <c r="X559" s="8" t="n">
        <v>-0.052276</v>
      </c>
      <c r="Y559" s="8" t="n">
        <v>-0.096595</v>
      </c>
      <c r="Z559" s="8" t="n">
        <v>0.044319</v>
      </c>
      <c r="AA559" s="8" t="n">
        <v>0.6489</v>
      </c>
    </row>
    <row r="560">
      <c r="A560" s="11" t="inlineStr">
        <is>
          <t>2024-12-06</t>
        </is>
      </c>
      <c r="B560" s="11" t="inlineStr">
        <is>
          <t>低分位</t>
        </is>
      </c>
      <c r="C560" s="15" t="n">
        <v>0.032</v>
      </c>
      <c r="D560" s="13" t="n">
        <v>0.008729000000000001</v>
      </c>
      <c r="E560" s="13" t="n">
        <v>0.013423</v>
      </c>
      <c r="F560" s="13" t="n">
        <v>-0.004694</v>
      </c>
      <c r="G560" s="13" t="n">
        <v>0.6059</v>
      </c>
      <c r="H560" s="13" t="n">
        <v>0.045652</v>
      </c>
      <c r="I560" s="13" t="n">
        <v>0.030399</v>
      </c>
      <c r="J560" s="13" t="n">
        <v>0.015253</v>
      </c>
      <c r="K560" s="13" t="n">
        <v>0.3997</v>
      </c>
      <c r="L560" s="13" t="n">
        <v>0.057402</v>
      </c>
      <c r="M560" s="13" t="n">
        <v>0.023687</v>
      </c>
      <c r="N560" s="13" t="n">
        <v>0.033715</v>
      </c>
      <c r="O560" s="13" t="n">
        <v>0.2921</v>
      </c>
      <c r="P560" s="13" t="n">
        <v>0.107754</v>
      </c>
      <c r="Q560" s="13" t="n">
        <v>0.022898</v>
      </c>
      <c r="R560" s="13" t="n">
        <v>0.084856</v>
      </c>
      <c r="S560" s="13" t="n">
        <v>0.1753</v>
      </c>
      <c r="T560" s="13" t="n">
        <v>0.075194</v>
      </c>
      <c r="U560" s="13" t="n">
        <v>0.022108</v>
      </c>
      <c r="V560" s="13" t="n">
        <v>0.053086</v>
      </c>
      <c r="W560" s="13" t="n">
        <v>0.2272</v>
      </c>
      <c r="X560" s="13" t="n">
        <v>-0.048137</v>
      </c>
      <c r="Y560" s="13" t="n">
        <v>-0.09593400000000001</v>
      </c>
      <c r="Z560" s="13" t="n">
        <v>0.047797</v>
      </c>
      <c r="AA560" s="13" t="n">
        <v>0.6659</v>
      </c>
    </row>
    <row r="561">
      <c r="A561" s="6" t="inlineStr">
        <is>
          <t>2024-12-09</t>
        </is>
      </c>
      <c r="B561" s="6" t="inlineStr">
        <is>
          <t>低分位</t>
        </is>
      </c>
      <c r="C561" s="10" t="n">
        <v>0.02</v>
      </c>
      <c r="D561" s="8" t="n">
        <v>0.010315</v>
      </c>
      <c r="E561" s="8" t="n">
        <v>0.007402</v>
      </c>
      <c r="F561" s="8" t="n">
        <v>0.002913</v>
      </c>
      <c r="G561" s="8" t="n">
        <v>0.4178</v>
      </c>
      <c r="H561" s="8" t="n">
        <v>0.038268</v>
      </c>
      <c r="I561" s="8" t="n">
        <v>0.020257</v>
      </c>
      <c r="J561" s="8" t="n">
        <v>0.018011</v>
      </c>
      <c r="K561" s="8" t="n">
        <v>0.3461</v>
      </c>
      <c r="L561" s="8" t="n">
        <v>0.06855</v>
      </c>
      <c r="M561" s="8" t="n">
        <v>0.029217</v>
      </c>
      <c r="N561" s="8" t="n">
        <v>0.039333</v>
      </c>
      <c r="O561" s="8" t="n">
        <v>0.2988</v>
      </c>
      <c r="P561" s="8" t="n">
        <v>0.065555</v>
      </c>
      <c r="Q561" s="8" t="n">
        <v>0.006623</v>
      </c>
      <c r="R561" s="8" t="n">
        <v>0.058932</v>
      </c>
      <c r="S561" s="8" t="n">
        <v>0.09180000000000001</v>
      </c>
      <c r="T561" s="8" t="n">
        <v>0.066222</v>
      </c>
      <c r="U561" s="8" t="n">
        <v>-0.015972</v>
      </c>
      <c r="V561" s="8" t="n">
        <v>0.082194</v>
      </c>
      <c r="W561" s="8" t="n">
        <v>0.1943</v>
      </c>
      <c r="X561" s="8" t="n">
        <v>-0.056773</v>
      </c>
      <c r="Y561" s="8" t="n">
        <v>-0.069342</v>
      </c>
      <c r="Z561" s="8" t="n">
        <v>0.012569</v>
      </c>
      <c r="AA561" s="8" t="n">
        <v>0.5498</v>
      </c>
    </row>
    <row r="562">
      <c r="A562" s="11" t="inlineStr">
        <is>
          <t>2024-12-10</t>
        </is>
      </c>
      <c r="B562" s="11" t="inlineStr">
        <is>
          <t>低分位</t>
        </is>
      </c>
      <c r="C562" s="15" t="n">
        <v>0.032</v>
      </c>
      <c r="D562" s="13" t="n">
        <v>0.007245</v>
      </c>
      <c r="E562" s="13" t="n">
        <v>0.008507000000000001</v>
      </c>
      <c r="F562" s="13" t="n">
        <v>-0.001262</v>
      </c>
      <c r="G562" s="13" t="n">
        <v>0.5401</v>
      </c>
      <c r="H562" s="13" t="n">
        <v>0.035573</v>
      </c>
      <c r="I562" s="13" t="n">
        <v>0.006961</v>
      </c>
      <c r="J562" s="13" t="n">
        <v>0.028612</v>
      </c>
      <c r="K562" s="13" t="n">
        <v>0.1637</v>
      </c>
      <c r="L562" s="13" t="n">
        <v>0.08563999999999999</v>
      </c>
      <c r="M562" s="13" t="n">
        <v>0.027456</v>
      </c>
      <c r="N562" s="13" t="n">
        <v>0.058184</v>
      </c>
      <c r="O562" s="13" t="n">
        <v>0.2428</v>
      </c>
      <c r="P562" s="13" t="n">
        <v>0.056652</v>
      </c>
      <c r="Q562" s="13" t="n">
        <v>0.0058</v>
      </c>
      <c r="R562" s="13" t="n">
        <v>0.050852</v>
      </c>
      <c r="S562" s="13" t="n">
        <v>0.0929</v>
      </c>
      <c r="T562" s="13" t="n">
        <v>0.038209</v>
      </c>
      <c r="U562" s="13" t="n">
        <v>-0.018175</v>
      </c>
      <c r="V562" s="13" t="n">
        <v>0.056384</v>
      </c>
      <c r="W562" s="13" t="n">
        <v>0.3223</v>
      </c>
      <c r="X562" s="13" t="n">
        <v>-0.018182</v>
      </c>
      <c r="Y562" s="13" t="n">
        <v>-0.047177</v>
      </c>
      <c r="Z562" s="13" t="n">
        <v>0.028995</v>
      </c>
      <c r="AA562" s="13" t="n">
        <v>0.7218</v>
      </c>
    </row>
    <row r="563">
      <c r="A563" s="6" t="inlineStr">
        <is>
          <t>2024-12-11</t>
        </is>
      </c>
      <c r="B563" s="6" t="inlineStr">
        <is>
          <t>低分位</t>
        </is>
      </c>
      <c r="C563" s="10" t="n">
        <v>0.032</v>
      </c>
      <c r="D563" s="8" t="n">
        <v>0.004579</v>
      </c>
      <c r="E563" s="8" t="n">
        <v>0.008819</v>
      </c>
      <c r="F563" s="8" t="n">
        <v>-0.00424</v>
      </c>
      <c r="G563" s="8" t="n">
        <v>0.6582</v>
      </c>
      <c r="H563" s="8" t="n">
        <v>0.025837</v>
      </c>
      <c r="I563" s="8" t="n">
        <v>-0.004601</v>
      </c>
      <c r="J563" s="8" t="n">
        <v>0.030438</v>
      </c>
      <c r="K563" s="8" t="n">
        <v>0.1512</v>
      </c>
      <c r="L563" s="8" t="n">
        <v>0.08240699999999999</v>
      </c>
      <c r="M563" s="8" t="n">
        <v>0.017255</v>
      </c>
      <c r="N563" s="8" t="n">
        <v>0.065152</v>
      </c>
      <c r="O563" s="8" t="n">
        <v>0.1731</v>
      </c>
      <c r="P563" s="8" t="n">
        <v>0.054938</v>
      </c>
      <c r="Q563" s="8" t="n">
        <v>-0.007285</v>
      </c>
      <c r="R563" s="8" t="n">
        <v>0.062223</v>
      </c>
      <c r="S563" s="8" t="n">
        <v>0.1171</v>
      </c>
      <c r="T563" s="8" t="n">
        <v>0.031393</v>
      </c>
      <c r="U563" s="8" t="n">
        <v>-0.006518</v>
      </c>
      <c r="V563" s="8" t="n">
        <v>0.037911</v>
      </c>
      <c r="W563" s="8" t="n">
        <v>0.1719</v>
      </c>
      <c r="X563" s="8" t="n">
        <v>0.019099</v>
      </c>
      <c r="Y563" s="8" t="n">
        <v>-0.058666</v>
      </c>
      <c r="Z563" s="8" t="n">
        <v>0.077765</v>
      </c>
      <c r="AA563" s="8" t="n">
        <v>0.7544</v>
      </c>
    </row>
    <row r="564">
      <c r="A564" s="11" t="inlineStr">
        <is>
          <t>2024-12-12</t>
        </is>
      </c>
      <c r="B564" s="11" t="inlineStr">
        <is>
          <t>低分位</t>
        </is>
      </c>
      <c r="C564" s="15" t="n">
        <v>0.008</v>
      </c>
      <c r="D564" s="13" t="n">
        <v>0.013996</v>
      </c>
      <c r="E564" s="13" t="n">
        <v>-0.007982</v>
      </c>
      <c r="F564" s="13" t="n">
        <v>0.021978</v>
      </c>
      <c r="G564" s="13" t="n">
        <v>0.3632</v>
      </c>
      <c r="H564" s="13" t="n">
        <v>0.025391</v>
      </c>
      <c r="I564" s="13" t="n">
        <v>-0.007222</v>
      </c>
      <c r="J564" s="13" t="n">
        <v>0.032613</v>
      </c>
      <c r="K564" s="13" t="n">
        <v>0.2214</v>
      </c>
      <c r="L564" s="13" t="n">
        <v>0.070312</v>
      </c>
      <c r="M564" s="13" t="n">
        <v>0.007982</v>
      </c>
      <c r="N564" s="13" t="n">
        <v>0.06233</v>
      </c>
      <c r="O564" s="13" t="n">
        <v>0.1019</v>
      </c>
      <c r="P564" s="13" t="n">
        <v>0.044598</v>
      </c>
      <c r="Q564" s="13" t="n">
        <v>-0.013303</v>
      </c>
      <c r="R564" s="13" t="n">
        <v>0.057901</v>
      </c>
      <c r="S564" s="13" t="n">
        <v>0.2298</v>
      </c>
      <c r="T564" s="13" t="n">
        <v>0.037762</v>
      </c>
      <c r="U564" s="13" t="n">
        <v>-0.024325</v>
      </c>
      <c r="V564" s="13" t="n">
        <v>0.062087</v>
      </c>
      <c r="W564" s="13" t="n">
        <v>0.3918</v>
      </c>
      <c r="X564" s="13" t="n">
        <v>0.033594</v>
      </c>
      <c r="Y564" s="13" t="n">
        <v>-0.04333</v>
      </c>
      <c r="Z564" s="13" t="n">
        <v>0.07692400000000001</v>
      </c>
      <c r="AA564" s="13" t="n">
        <v>0.5633</v>
      </c>
    </row>
    <row r="565">
      <c r="A565" s="6" t="inlineStr">
        <is>
          <t>2024-12-13</t>
        </is>
      </c>
      <c r="B565" s="6" t="inlineStr">
        <is>
          <t>中间分位</t>
        </is>
      </c>
      <c r="C565" s="10" t="n">
        <v>0.192</v>
      </c>
      <c r="D565" s="8" t="n">
        <v>0.001606</v>
      </c>
      <c r="E565" s="8" t="n">
        <v>0.003448</v>
      </c>
      <c r="F565" s="8" t="n">
        <v>-0.001842</v>
      </c>
      <c r="G565" s="8" t="n">
        <v>0.6822</v>
      </c>
      <c r="H565" s="8" t="n">
        <v>0.011237</v>
      </c>
      <c r="I565" s="8" t="n">
        <v>-0.006513</v>
      </c>
      <c r="J565" s="8" t="n">
        <v>0.01775</v>
      </c>
      <c r="K565" s="8" t="n">
        <v>0.3669</v>
      </c>
      <c r="L565" s="8" t="n">
        <v>0.059391</v>
      </c>
      <c r="M565" s="8" t="n">
        <v>0.010345</v>
      </c>
      <c r="N565" s="8" t="n">
        <v>0.049046</v>
      </c>
      <c r="O565" s="8" t="n">
        <v>0.1483</v>
      </c>
      <c r="P565" s="8" t="n">
        <v>0.038523</v>
      </c>
      <c r="Q565" s="8" t="n">
        <v>0.010728</v>
      </c>
      <c r="R565" s="8" t="n">
        <v>0.027795</v>
      </c>
      <c r="S565" s="8" t="n">
        <v>0.2178</v>
      </c>
      <c r="T565" s="8" t="n">
        <v>0.028573</v>
      </c>
      <c r="U565" s="8" t="n">
        <v>-0.029885</v>
      </c>
      <c r="V565" s="8" t="n">
        <v>0.058458</v>
      </c>
      <c r="W565" s="8" t="n">
        <v>0.5112</v>
      </c>
      <c r="X565" s="8" t="n">
        <v>0.045138</v>
      </c>
      <c r="Y565" s="8" t="n">
        <v>-0.02567</v>
      </c>
      <c r="Z565" s="8" t="n">
        <v>0.070808</v>
      </c>
      <c r="AA565" s="8" t="n">
        <v>0.3625</v>
      </c>
    </row>
    <row r="566">
      <c r="A566" s="11" t="inlineStr">
        <is>
          <t>2024-12-16</t>
        </is>
      </c>
      <c r="B566" s="11" t="inlineStr">
        <is>
          <t>中间分位</t>
        </is>
      </c>
      <c r="C566" s="15" t="n">
        <v>0.168</v>
      </c>
      <c r="D566" s="13" t="n">
        <v>0.007692</v>
      </c>
      <c r="E566" s="13" t="n">
        <v>-0.005727</v>
      </c>
      <c r="F566" s="13" t="n">
        <v>0.013419</v>
      </c>
      <c r="G566" s="13" t="n">
        <v>0.4268</v>
      </c>
      <c r="H566" s="13" t="n">
        <v>0.029165</v>
      </c>
      <c r="I566" s="13" t="n">
        <v>0.008782</v>
      </c>
      <c r="J566" s="13" t="n">
        <v>0.020383</v>
      </c>
      <c r="K566" s="13" t="n">
        <v>0.2314</v>
      </c>
      <c r="L566" s="13" t="n">
        <v>0.04295</v>
      </c>
      <c r="M566" s="13" t="n">
        <v>0.021</v>
      </c>
      <c r="N566" s="13" t="n">
        <v>0.02195</v>
      </c>
      <c r="O566" s="13" t="n">
        <v>0.3284</v>
      </c>
      <c r="P566" s="13" t="n">
        <v>0.036858</v>
      </c>
      <c r="Q566" s="13" t="n">
        <v>0.007255</v>
      </c>
      <c r="R566" s="13" t="n">
        <v>0.029603</v>
      </c>
      <c r="S566" s="13" t="n">
        <v>0.1645</v>
      </c>
      <c r="T566" s="13" t="n">
        <v>0.020835</v>
      </c>
      <c r="U566" s="13" t="n">
        <v>-0.03131</v>
      </c>
      <c r="V566" s="13" t="n">
        <v>0.052145</v>
      </c>
      <c r="W566" s="13" t="n">
        <v>0.6004</v>
      </c>
      <c r="X566" s="13" t="n">
        <v>0.06307699999999999</v>
      </c>
      <c r="Y566" s="13" t="n">
        <v>-0.034364</v>
      </c>
      <c r="Z566" s="13" t="n">
        <v>0.097441</v>
      </c>
      <c r="AA566" s="13" t="n">
        <v>0.3527</v>
      </c>
    </row>
    <row r="567">
      <c r="A567" s="6" t="inlineStr">
        <is>
          <t>2024-12-17</t>
        </is>
      </c>
      <c r="B567" s="6" t="inlineStr">
        <is>
          <t>中间分位</t>
        </is>
      </c>
      <c r="C567" s="10" t="n">
        <v>0.368</v>
      </c>
      <c r="D567" s="8" t="n">
        <v>-0.002225</v>
      </c>
      <c r="E567" s="8" t="n">
        <v>-0.003072</v>
      </c>
      <c r="F567" s="8" t="n">
        <v>0.000847</v>
      </c>
      <c r="G567" s="8" t="n">
        <v>0.58</v>
      </c>
      <c r="H567" s="8" t="n">
        <v>0.048347</v>
      </c>
      <c r="I567" s="8" t="n">
        <v>0.020353</v>
      </c>
      <c r="J567" s="8" t="n">
        <v>0.027994</v>
      </c>
      <c r="K567" s="8" t="n">
        <v>0.2963</v>
      </c>
      <c r="L567" s="8" t="n">
        <v>0.048027</v>
      </c>
      <c r="M567" s="8" t="n">
        <v>0.038018</v>
      </c>
      <c r="N567" s="8" t="n">
        <v>0.010009</v>
      </c>
      <c r="O567" s="8" t="n">
        <v>0.4418</v>
      </c>
      <c r="P567" s="8" t="n">
        <v>0.045164</v>
      </c>
      <c r="Q567" s="8" t="n">
        <v>0.019969</v>
      </c>
      <c r="R567" s="8" t="n">
        <v>0.025195</v>
      </c>
      <c r="S567" s="8" t="n">
        <v>0.3066</v>
      </c>
      <c r="T567" s="8" t="n">
        <v>0.018447</v>
      </c>
      <c r="U567" s="8" t="n">
        <v>-0.017281</v>
      </c>
      <c r="V567" s="8" t="n">
        <v>0.035728</v>
      </c>
      <c r="W567" s="8" t="n">
        <v>0.4837</v>
      </c>
      <c r="X567" s="8" t="n">
        <v>0.048664</v>
      </c>
      <c r="Y567" s="8" t="n">
        <v>-0.038402</v>
      </c>
      <c r="Z567" s="8" t="n">
        <v>0.087066</v>
      </c>
      <c r="AA567" s="8" t="n">
        <v>0.4411</v>
      </c>
    </row>
    <row r="568">
      <c r="A568" s="11" t="inlineStr">
        <is>
          <t>2024-12-18</t>
        </is>
      </c>
      <c r="B568" s="11" t="inlineStr">
        <is>
          <t>中间分位</t>
        </is>
      </c>
      <c r="C568" s="15" t="n">
        <v>0.392</v>
      </c>
      <c r="D568" s="13" t="n">
        <v>0.004143</v>
      </c>
      <c r="E568" s="13" t="n">
        <v>0.006163</v>
      </c>
      <c r="F568" s="13" t="n">
        <v>-0.00202</v>
      </c>
      <c r="G568" s="13" t="n">
        <v>0.598</v>
      </c>
      <c r="H568" s="13" t="n">
        <v>0.055146</v>
      </c>
      <c r="I568" s="13" t="n">
        <v>0.021957</v>
      </c>
      <c r="J568" s="13" t="n">
        <v>0.033189</v>
      </c>
      <c r="K568" s="13" t="n">
        <v>0.2848</v>
      </c>
      <c r="L568" s="13" t="n">
        <v>0.055146</v>
      </c>
      <c r="M568" s="13" t="n">
        <v>0.042758</v>
      </c>
      <c r="N568" s="13" t="n">
        <v>0.012388</v>
      </c>
      <c r="O568" s="13" t="n">
        <v>0.4367</v>
      </c>
      <c r="P568" s="13" t="n">
        <v>0.051642</v>
      </c>
      <c r="Q568" s="13" t="n">
        <v>0.010015</v>
      </c>
      <c r="R568" s="13" t="n">
        <v>0.041627</v>
      </c>
      <c r="S568" s="13" t="n">
        <v>0.1624</v>
      </c>
      <c r="T568" s="13" t="n">
        <v>0.030602</v>
      </c>
      <c r="U568" s="13" t="n">
        <v>-0.016179</v>
      </c>
      <c r="V568" s="13" t="n">
        <v>0.046781</v>
      </c>
      <c r="W568" s="13" t="n">
        <v>0.3458</v>
      </c>
      <c r="X568" s="13" t="n">
        <v>0.040418</v>
      </c>
      <c r="Y568" s="13" t="n">
        <v>-0.08359</v>
      </c>
      <c r="Z568" s="13" t="n">
        <v>0.124008</v>
      </c>
      <c r="AA568" s="13" t="n">
        <v>0.6741</v>
      </c>
    </row>
    <row r="569">
      <c r="A569" s="6" t="inlineStr">
        <is>
          <t>2024-12-19</t>
        </is>
      </c>
      <c r="B569" s="6" t="inlineStr">
        <is>
          <t>中间分位</t>
        </is>
      </c>
      <c r="C569" s="10" t="n">
        <v>0.36</v>
      </c>
      <c r="D569" s="8" t="n">
        <v>0</v>
      </c>
      <c r="E569" s="8" t="n">
        <v>-0.007274</v>
      </c>
      <c r="F569" s="8" t="n">
        <v>0.007274</v>
      </c>
      <c r="G569" s="8" t="n">
        <v>1</v>
      </c>
      <c r="H569" s="8" t="n">
        <v>0.04381</v>
      </c>
      <c r="I569" s="8" t="n">
        <v>0.015314</v>
      </c>
      <c r="J569" s="8" t="n">
        <v>0.028496</v>
      </c>
      <c r="K569" s="8" t="n">
        <v>0.259</v>
      </c>
      <c r="L569" s="8" t="n">
        <v>0.058731</v>
      </c>
      <c r="M569" s="8" t="n">
        <v>0.017994</v>
      </c>
      <c r="N569" s="8" t="n">
        <v>0.040737</v>
      </c>
      <c r="O569" s="8" t="n">
        <v>0.2345</v>
      </c>
      <c r="P569" s="8" t="n">
        <v>0.032381</v>
      </c>
      <c r="Q569" s="8" t="n">
        <v>-0.003063</v>
      </c>
      <c r="R569" s="8" t="n">
        <v>0.035444</v>
      </c>
      <c r="S569" s="8" t="n">
        <v>0.0864</v>
      </c>
      <c r="T569" s="8" t="n">
        <v>0.02635</v>
      </c>
      <c r="U569" s="8" t="n">
        <v>-0.009571</v>
      </c>
      <c r="V569" s="8" t="n">
        <v>0.035921</v>
      </c>
      <c r="W569" s="8" t="n">
        <v>0.2664</v>
      </c>
      <c r="X569" s="8" t="n">
        <v>0.012065</v>
      </c>
      <c r="Y569" s="8" t="n">
        <v>-0.084609</v>
      </c>
      <c r="Z569" s="8" t="n">
        <v>0.096674</v>
      </c>
      <c r="AA569" s="8" t="n">
        <v>0.8752</v>
      </c>
    </row>
    <row r="570">
      <c r="A570" s="11" t="inlineStr">
        <is>
          <t>2024-12-20</t>
        </is>
      </c>
      <c r="B570" s="11" t="inlineStr">
        <is>
          <t>中间分位</t>
        </is>
      </c>
      <c r="C570" s="15" t="n">
        <v>0.472</v>
      </c>
      <c r="D570" s="13" t="n">
        <v>0.019364</v>
      </c>
      <c r="E570" s="13" t="n">
        <v>0.018897</v>
      </c>
      <c r="F570" s="13" t="n">
        <v>0.000467</v>
      </c>
      <c r="G570" s="13" t="n">
        <v>0.4939</v>
      </c>
      <c r="H570" s="13" t="n">
        <v>0.047619</v>
      </c>
      <c r="I570" s="13" t="n">
        <v>0.016969</v>
      </c>
      <c r="J570" s="13" t="n">
        <v>0.03065</v>
      </c>
      <c r="K570" s="13" t="n">
        <v>0.2627</v>
      </c>
      <c r="L570" s="13" t="n">
        <v>0.047619</v>
      </c>
      <c r="M570" s="13" t="n">
        <v>-0.000771</v>
      </c>
      <c r="N570" s="13" t="n">
        <v>0.04839</v>
      </c>
      <c r="O570" s="13" t="n">
        <v>0.0159</v>
      </c>
      <c r="P570" s="13" t="n">
        <v>0.026983</v>
      </c>
      <c r="Q570" s="13" t="n">
        <v>-0.004242</v>
      </c>
      <c r="R570" s="13" t="n">
        <v>0.031225</v>
      </c>
      <c r="S570" s="13" t="n">
        <v>0.1359</v>
      </c>
      <c r="T570" s="13" t="n">
        <v>0.03619</v>
      </c>
      <c r="U570" s="13" t="n">
        <v>-0.016969</v>
      </c>
      <c r="V570" s="13" t="n">
        <v>0.053159</v>
      </c>
      <c r="W570" s="13" t="n">
        <v>0.3192</v>
      </c>
      <c r="X570" s="13" t="n">
        <v>0.008255</v>
      </c>
      <c r="Y570" s="13" t="n">
        <v>-0.067875</v>
      </c>
      <c r="Z570" s="13" t="n">
        <v>0.07613</v>
      </c>
      <c r="AA570" s="13" t="n">
        <v>0.8915999999999999</v>
      </c>
    </row>
    <row r="571">
      <c r="A571" s="6" t="inlineStr">
        <is>
          <t>2024-12-23</t>
        </is>
      </c>
      <c r="B571" s="6" t="inlineStr">
        <is>
          <t>中间分位</t>
        </is>
      </c>
      <c r="C571" s="10" t="n">
        <v>0.476</v>
      </c>
      <c r="D571" s="8" t="n">
        <v>0.026474</v>
      </c>
      <c r="E571" s="8" t="n">
        <v>0.005678</v>
      </c>
      <c r="F571" s="8" t="n">
        <v>0.020796</v>
      </c>
      <c r="G571" s="8" t="n">
        <v>0.1766</v>
      </c>
      <c r="H571" s="8" t="n">
        <v>0.013394</v>
      </c>
      <c r="I571" s="8" t="n">
        <v>0.012112</v>
      </c>
      <c r="J571" s="8" t="n">
        <v>0.001282</v>
      </c>
      <c r="K571" s="8" t="n">
        <v>0.4749</v>
      </c>
      <c r="L571" s="8" t="n">
        <v>-0.002803</v>
      </c>
      <c r="M571" s="8" t="n">
        <v>-0.021953</v>
      </c>
      <c r="N571" s="8" t="n">
        <v>0.01915</v>
      </c>
      <c r="O571" s="8" t="n">
        <v>0.8868</v>
      </c>
      <c r="P571" s="8" t="n">
        <v>-0.006226</v>
      </c>
      <c r="Q571" s="8" t="n">
        <v>-0.019304</v>
      </c>
      <c r="R571" s="8" t="n">
        <v>0.013078</v>
      </c>
      <c r="S571" s="8" t="n">
        <v>0.7561</v>
      </c>
      <c r="T571" s="8" t="n">
        <v>-0.002489</v>
      </c>
      <c r="U571" s="8" t="n">
        <v>-0.034065</v>
      </c>
      <c r="V571" s="8" t="n">
        <v>0.031576</v>
      </c>
      <c r="W571" s="8" t="n">
        <v>0.9319</v>
      </c>
      <c r="X571" s="8" t="n">
        <v>0.028029</v>
      </c>
      <c r="Y571" s="8" t="n">
        <v>-0.094247</v>
      </c>
      <c r="Z571" s="8" t="n">
        <v>0.122276</v>
      </c>
      <c r="AA571" s="8" t="n">
        <v>0.7708</v>
      </c>
    </row>
    <row r="572">
      <c r="A572" s="11" t="inlineStr">
        <is>
          <t>2024-12-24</t>
        </is>
      </c>
      <c r="B572" s="11" t="inlineStr">
        <is>
          <t>中间分位</t>
        </is>
      </c>
      <c r="C572" s="15" t="n">
        <v>0.652</v>
      </c>
      <c r="D572" s="13" t="n">
        <v>0.004245</v>
      </c>
      <c r="E572" s="13" t="n">
        <v>-0.001505</v>
      </c>
      <c r="F572" s="13" t="n">
        <v>0.00575</v>
      </c>
      <c r="G572" s="13" t="n">
        <v>0.2617</v>
      </c>
      <c r="H572" s="13" t="n">
        <v>-0.000306</v>
      </c>
      <c r="I572" s="13" t="n">
        <v>0.017313</v>
      </c>
      <c r="J572" s="13" t="n">
        <v>-0.017619</v>
      </c>
      <c r="K572" s="13" t="n">
        <v>0.9826</v>
      </c>
      <c r="L572" s="13" t="n">
        <v>-0.026701</v>
      </c>
      <c r="M572" s="13" t="n">
        <v>-0.021076</v>
      </c>
      <c r="N572" s="13" t="n">
        <v>-0.005625</v>
      </c>
      <c r="O572" s="13" t="n">
        <v>0.4411</v>
      </c>
      <c r="P572" s="13" t="n">
        <v>-0.031252</v>
      </c>
      <c r="Q572" s="13" t="n">
        <v>-0.031991</v>
      </c>
      <c r="R572" s="13" t="n">
        <v>0.000739</v>
      </c>
      <c r="S572" s="13" t="n">
        <v>0.5058</v>
      </c>
      <c r="T572" s="13" t="n">
        <v>-0.024575</v>
      </c>
      <c r="U572" s="13" t="n">
        <v>-0.035378</v>
      </c>
      <c r="V572" s="13" t="n">
        <v>0.010803</v>
      </c>
      <c r="W572" s="13" t="n">
        <v>0.5901</v>
      </c>
      <c r="X572" s="13" t="n">
        <v>0.014257</v>
      </c>
      <c r="Y572" s="13" t="n">
        <v>-0.103877</v>
      </c>
      <c r="Z572" s="13" t="n">
        <v>0.118134</v>
      </c>
      <c r="AA572" s="13" t="n">
        <v>0.8793</v>
      </c>
    </row>
    <row r="573">
      <c r="A573" s="6" t="inlineStr">
        <is>
          <t>2024-12-25</t>
        </is>
      </c>
      <c r="B573" s="6" t="inlineStr">
        <is>
          <t>中间分位</t>
        </is>
      </c>
      <c r="C573" s="10" t="n">
        <v>0.6879999999999999</v>
      </c>
      <c r="D573" s="8" t="n">
        <v>-0.006645</v>
      </c>
      <c r="E573" s="8" t="n">
        <v>-0.000377</v>
      </c>
      <c r="F573" s="8" t="n">
        <v>-0.006268</v>
      </c>
      <c r="G573" s="8" t="n">
        <v>0.0537</v>
      </c>
      <c r="H573" s="8" t="n">
        <v>0</v>
      </c>
      <c r="I573" s="8" t="n">
        <v>0.020354</v>
      </c>
      <c r="J573" s="8" t="n">
        <v>-0.020354</v>
      </c>
      <c r="K573" s="8" t="n">
        <v>1</v>
      </c>
      <c r="L573" s="8" t="n">
        <v>-0.025378</v>
      </c>
      <c r="M573" s="8" t="n">
        <v>-0.024124</v>
      </c>
      <c r="N573" s="8" t="n">
        <v>-0.001254</v>
      </c>
      <c r="O573" s="8" t="n">
        <v>0.4873</v>
      </c>
      <c r="P573" s="8" t="n">
        <v>-0.041692</v>
      </c>
      <c r="Q573" s="8" t="n">
        <v>-0.040332</v>
      </c>
      <c r="R573" s="8" t="n">
        <v>-0.00136</v>
      </c>
      <c r="S573" s="8" t="n">
        <v>0.4917</v>
      </c>
      <c r="T573" s="8" t="n">
        <v>-0.024772</v>
      </c>
      <c r="U573" s="8" t="n">
        <v>-0.042216</v>
      </c>
      <c r="V573" s="8" t="n">
        <v>0.017444</v>
      </c>
      <c r="W573" s="8" t="n">
        <v>0.6302</v>
      </c>
      <c r="X573" s="8" t="n">
        <v>0.01692</v>
      </c>
      <c r="Y573" s="8" t="n">
        <v>-0.101395</v>
      </c>
      <c r="Z573" s="8" t="n">
        <v>0.118315</v>
      </c>
      <c r="AA573" s="8" t="n">
        <v>0.857</v>
      </c>
    </row>
    <row r="574">
      <c r="A574" s="11" t="inlineStr">
        <is>
          <t>2024-12-26</t>
        </is>
      </c>
      <c r="B574" s="11" t="inlineStr">
        <is>
          <t>中间分位</t>
        </is>
      </c>
      <c r="C574" s="15" t="n">
        <v>0.648</v>
      </c>
      <c r="D574" s="13" t="n">
        <v>0.00365</v>
      </c>
      <c r="E574" s="13" t="n">
        <v>-0.005656</v>
      </c>
      <c r="F574" s="13" t="n">
        <v>0.009306</v>
      </c>
      <c r="G574" s="13" t="n">
        <v>0.6078</v>
      </c>
      <c r="H574" s="13" t="n">
        <v>0.014296</v>
      </c>
      <c r="I574" s="13" t="n">
        <v>0.00264</v>
      </c>
      <c r="J574" s="13" t="n">
        <v>0.011656</v>
      </c>
      <c r="K574" s="13" t="n">
        <v>0.1559</v>
      </c>
      <c r="L574" s="13" t="n">
        <v>-0.024026</v>
      </c>
      <c r="M574" s="13" t="n">
        <v>-0.021116</v>
      </c>
      <c r="N574" s="13" t="n">
        <v>-0.00291</v>
      </c>
      <c r="O574" s="13" t="n">
        <v>0.4678</v>
      </c>
      <c r="P574" s="13" t="n">
        <v>-0.040146</v>
      </c>
      <c r="Q574" s="13" t="n">
        <v>-0.036199</v>
      </c>
      <c r="R574" s="13" t="n">
        <v>-0.003947</v>
      </c>
      <c r="S574" s="13" t="n">
        <v>0.4742</v>
      </c>
      <c r="T574" s="13" t="n">
        <v>-0.031325</v>
      </c>
      <c r="U574" s="13" t="n">
        <v>-0.065234</v>
      </c>
      <c r="V574" s="13" t="n">
        <v>0.033909</v>
      </c>
      <c r="W574" s="13" t="n">
        <v>0.6756</v>
      </c>
      <c r="X574" s="13" t="n">
        <v>-0.076642</v>
      </c>
      <c r="Y574" s="13" t="n">
        <v>-0.093514</v>
      </c>
      <c r="Z574" s="13" t="n">
        <v>0.016872</v>
      </c>
      <c r="AA574" s="13" t="n">
        <v>0.5496</v>
      </c>
    </row>
    <row r="575">
      <c r="A575" s="6" t="inlineStr">
        <is>
          <t>2024-12-27</t>
        </is>
      </c>
      <c r="B575" s="6" t="inlineStr">
        <is>
          <t>中间分位</t>
        </is>
      </c>
      <c r="C575" s="10" t="n">
        <v>0.732</v>
      </c>
      <c r="D575" s="8" t="n">
        <v>-0.013938</v>
      </c>
      <c r="E575" s="8" t="n">
        <v>0.014031</v>
      </c>
      <c r="F575" s="8" t="n">
        <v>-0.027969</v>
      </c>
      <c r="G575" s="8" t="n">
        <v>0.5017</v>
      </c>
      <c r="H575" s="8" t="n">
        <v>0</v>
      </c>
      <c r="I575" s="8" t="n">
        <v>-0.017444</v>
      </c>
      <c r="J575" s="8" t="n">
        <v>0.017444</v>
      </c>
      <c r="K575" s="8" t="n">
        <v>1</v>
      </c>
      <c r="L575" s="8" t="n">
        <v>-0.019698</v>
      </c>
      <c r="M575" s="8" t="n">
        <v>0.000379</v>
      </c>
      <c r="N575" s="8" t="n">
        <v>-0.020077</v>
      </c>
      <c r="O575" s="8" t="n">
        <v>0.0189</v>
      </c>
      <c r="P575" s="8" t="n">
        <v>-0.041516</v>
      </c>
      <c r="Q575" s="8" t="n">
        <v>-0.031475</v>
      </c>
      <c r="R575" s="8" t="n">
        <v>-0.010041</v>
      </c>
      <c r="S575" s="8" t="n">
        <v>0.4312</v>
      </c>
      <c r="T575" s="8" t="n">
        <v>-0.058182</v>
      </c>
      <c r="U575" s="8" t="n">
        <v>-0.057262</v>
      </c>
      <c r="V575" s="8" t="n">
        <v>-0.00092</v>
      </c>
      <c r="W575" s="8" t="n">
        <v>0.496</v>
      </c>
      <c r="X575" s="8" t="n">
        <v>-0.098789</v>
      </c>
      <c r="Y575" s="8" t="n">
        <v>-0.084566</v>
      </c>
      <c r="Z575" s="8" t="n">
        <v>-0.014223</v>
      </c>
      <c r="AA575" s="8" t="n">
        <v>0.4612</v>
      </c>
    </row>
    <row r="576">
      <c r="A576" s="11" t="inlineStr">
        <is>
          <t>2024-12-30</t>
        </is>
      </c>
      <c r="B576" s="11" t="inlineStr">
        <is>
          <t>中间分位</t>
        </is>
      </c>
      <c r="C576" s="15" t="n">
        <v>0.484</v>
      </c>
      <c r="D576" s="13" t="n">
        <v>0.012597</v>
      </c>
      <c r="E576" s="13" t="n">
        <v>0.010845</v>
      </c>
      <c r="F576" s="13" t="n">
        <v>0.001752</v>
      </c>
      <c r="G576" s="13" t="n">
        <v>0.4626</v>
      </c>
      <c r="H576" s="13" t="n">
        <v>-0.015983</v>
      </c>
      <c r="I576" s="13" t="n">
        <v>-0.033657</v>
      </c>
      <c r="J576" s="13" t="n">
        <v>0.017674</v>
      </c>
      <c r="K576" s="13" t="n">
        <v>0.678</v>
      </c>
      <c r="L576" s="13" t="n">
        <v>-0.005841</v>
      </c>
      <c r="M576" s="13" t="n">
        <v>-0.013463</v>
      </c>
      <c r="N576" s="13" t="n">
        <v>0.007622</v>
      </c>
      <c r="O576" s="13" t="n">
        <v>0.6974</v>
      </c>
      <c r="P576" s="13" t="n">
        <v>-0.027968</v>
      </c>
      <c r="Q576" s="13" t="n">
        <v>-0.039267</v>
      </c>
      <c r="R576" s="13" t="n">
        <v>0.011299</v>
      </c>
      <c r="S576" s="13" t="n">
        <v>0.584</v>
      </c>
      <c r="T576" s="13" t="n">
        <v>-0.048557</v>
      </c>
      <c r="U576" s="13" t="n">
        <v>-0.07105499999999999</v>
      </c>
      <c r="V576" s="13" t="n">
        <v>0.022498</v>
      </c>
      <c r="W576" s="13" t="n">
        <v>0.594</v>
      </c>
      <c r="X576" s="13" t="n">
        <v>-0.087584</v>
      </c>
      <c r="Y576" s="13" t="n">
        <v>-0.102842</v>
      </c>
      <c r="Z576" s="13" t="n">
        <v>0.015258</v>
      </c>
      <c r="AA576" s="13" t="n">
        <v>0.5401</v>
      </c>
    </row>
    <row r="577">
      <c r="A577" s="6" t="inlineStr">
        <is>
          <t>2024-12-31</t>
        </is>
      </c>
      <c r="B577" s="6" t="inlineStr">
        <is>
          <t>中间分位</t>
        </is>
      </c>
      <c r="C577" s="10" t="n">
        <v>0.508</v>
      </c>
      <c r="D577" s="8" t="n">
        <v>0.004552</v>
      </c>
      <c r="E577" s="8" t="n">
        <v>0.00148</v>
      </c>
      <c r="F577" s="8" t="n">
        <v>0.003072</v>
      </c>
      <c r="G577" s="8" t="n">
        <v>0.2454</v>
      </c>
      <c r="H577" s="8" t="n">
        <v>-0.026404</v>
      </c>
      <c r="I577" s="8" t="n">
        <v>-0.037736</v>
      </c>
      <c r="J577" s="8" t="n">
        <v>0.011332</v>
      </c>
      <c r="K577" s="8" t="n">
        <v>0.5883</v>
      </c>
      <c r="L577" s="8" t="n">
        <v>-0.002731</v>
      </c>
      <c r="M577" s="8" t="n">
        <v>-0.017388</v>
      </c>
      <c r="N577" s="8" t="n">
        <v>0.014657</v>
      </c>
      <c r="O577" s="8" t="n">
        <v>0.8643</v>
      </c>
      <c r="P577" s="8" t="n">
        <v>-0.033687</v>
      </c>
      <c r="Q577" s="8" t="n">
        <v>-0.045505</v>
      </c>
      <c r="R577" s="8" t="n">
        <v>0.011818</v>
      </c>
      <c r="S577" s="8" t="n">
        <v>0.5746</v>
      </c>
      <c r="T577" s="8" t="n">
        <v>-0.062214</v>
      </c>
      <c r="U577" s="8" t="n">
        <v>-0.09211999999999999</v>
      </c>
      <c r="V577" s="8" t="n">
        <v>0.029906</v>
      </c>
      <c r="W577" s="8" t="n">
        <v>0.5969</v>
      </c>
      <c r="X577" s="8" t="n">
        <v>-0.108648</v>
      </c>
      <c r="Y577" s="8" t="n">
        <v>-0.115057</v>
      </c>
      <c r="Z577" s="8" t="n">
        <v>0.006409</v>
      </c>
      <c r="AA577" s="8" t="n">
        <v>0.5143</v>
      </c>
    </row>
    <row r="578">
      <c r="A578" s="11" t="inlineStr">
        <is>
          <t>2025-01-02</t>
        </is>
      </c>
      <c r="B578" s="11" t="inlineStr">
        <is>
          <t>中间分位</t>
        </is>
      </c>
      <c r="C578" s="15" t="n">
        <v>0.548</v>
      </c>
      <c r="D578" s="13" t="n">
        <v>0.007555</v>
      </c>
      <c r="E578" s="13" t="n">
        <v>-0.017732</v>
      </c>
      <c r="F578" s="13" t="n">
        <v>0.025287</v>
      </c>
      <c r="G578" s="13" t="n">
        <v>0.7012</v>
      </c>
      <c r="H578" s="13" t="n">
        <v>-0.025378</v>
      </c>
      <c r="I578" s="13" t="n">
        <v>-0.043591</v>
      </c>
      <c r="J578" s="13" t="n">
        <v>0.018213</v>
      </c>
      <c r="K578" s="13" t="n">
        <v>0.632</v>
      </c>
      <c r="L578" s="13" t="n">
        <v>-0.003321</v>
      </c>
      <c r="M578" s="13" t="n">
        <v>-0.0314</v>
      </c>
      <c r="N578" s="13" t="n">
        <v>0.028079</v>
      </c>
      <c r="O578" s="13" t="n">
        <v>0.9044</v>
      </c>
      <c r="P578" s="13" t="n">
        <v>-0.039274</v>
      </c>
      <c r="Q578" s="13" t="n">
        <v>-0.04396</v>
      </c>
      <c r="R578" s="13" t="n">
        <v>0.004686</v>
      </c>
      <c r="S578" s="13" t="n">
        <v>0.5281</v>
      </c>
      <c r="T578" s="13" t="n">
        <v>-0.075528</v>
      </c>
      <c r="U578" s="13" t="n">
        <v>-0.122276</v>
      </c>
      <c r="V578" s="13" t="n">
        <v>0.046748</v>
      </c>
      <c r="W578" s="13" t="n">
        <v>0.6182</v>
      </c>
      <c r="X578" s="13" t="n">
        <v>-0.12145</v>
      </c>
      <c r="Y578" s="13" t="n">
        <v>-0.123384</v>
      </c>
      <c r="Z578" s="13" t="n">
        <v>0.001934</v>
      </c>
      <c r="AA578" s="13" t="n">
        <v>0.5039</v>
      </c>
    </row>
    <row r="579">
      <c r="A579" s="6" t="inlineStr">
        <is>
          <t>2025-01-03</t>
        </is>
      </c>
      <c r="B579" s="6" t="inlineStr">
        <is>
          <t>中间分位</t>
        </is>
      </c>
      <c r="C579" s="10" t="n">
        <v>0.752</v>
      </c>
      <c r="D579" s="8" t="n">
        <v>-0.010496</v>
      </c>
      <c r="E579" s="8" t="n">
        <v>-0.025574</v>
      </c>
      <c r="F579" s="8" t="n">
        <v>0.015078</v>
      </c>
      <c r="G579" s="8" t="n">
        <v>0.709</v>
      </c>
      <c r="H579" s="8" t="n">
        <v>-0.037781</v>
      </c>
      <c r="I579" s="8" t="n">
        <v>-0.023693</v>
      </c>
      <c r="J579" s="8" t="n">
        <v>-0.014088</v>
      </c>
      <c r="K579" s="8" t="n">
        <v>0.3854</v>
      </c>
      <c r="L579" s="8" t="n">
        <v>-0.024889</v>
      </c>
      <c r="M579" s="8" t="n">
        <v>-0.020684</v>
      </c>
      <c r="N579" s="8" t="n">
        <v>-0.004205</v>
      </c>
      <c r="O579" s="8" t="n">
        <v>0.4539</v>
      </c>
      <c r="P579" s="8" t="n">
        <v>-0.043178</v>
      </c>
      <c r="Q579" s="8" t="n">
        <v>-0.01918</v>
      </c>
      <c r="R579" s="8" t="n">
        <v>-0.023998</v>
      </c>
      <c r="S579" s="8" t="n">
        <v>0.3076</v>
      </c>
      <c r="T579" s="8" t="n">
        <v>-0.10135</v>
      </c>
      <c r="U579" s="8" t="n">
        <v>-0.115457</v>
      </c>
      <c r="V579" s="8" t="n">
        <v>0.014107</v>
      </c>
      <c r="W579" s="8" t="n">
        <v>0.5325</v>
      </c>
      <c r="X579" s="8" t="n">
        <v>-0.132835</v>
      </c>
      <c r="Y579" s="8" t="n">
        <v>-0.107935</v>
      </c>
      <c r="Z579" s="8" t="n">
        <v>-0.0249</v>
      </c>
      <c r="AA579" s="8" t="n">
        <v>0.4483</v>
      </c>
    </row>
    <row r="580">
      <c r="A580" s="11" t="inlineStr">
        <is>
          <t>2025-01-06</t>
        </is>
      </c>
      <c r="B580" s="11" t="inlineStr">
        <is>
          <t>中间分位</t>
        </is>
      </c>
      <c r="C580" s="15" t="n">
        <v>0.868</v>
      </c>
      <c r="D580" s="13" t="n">
        <v>-0.029698</v>
      </c>
      <c r="E580" s="13" t="n">
        <v>-0.002702</v>
      </c>
      <c r="F580" s="13" t="n">
        <v>-0.026996</v>
      </c>
      <c r="G580" s="13" t="n">
        <v>0.0834</v>
      </c>
      <c r="H580" s="13" t="n">
        <v>-0.019698</v>
      </c>
      <c r="I580" s="13" t="n">
        <v>0.01814</v>
      </c>
      <c r="J580" s="13" t="n">
        <v>-0.037838</v>
      </c>
      <c r="K580" s="13" t="n">
        <v>0.4794</v>
      </c>
      <c r="L580" s="13" t="n">
        <v>-0.019698</v>
      </c>
      <c r="M580" s="13" t="n">
        <v>-0.003474</v>
      </c>
      <c r="N580" s="13" t="n">
        <v>-0.016224</v>
      </c>
      <c r="O580" s="13" t="n">
        <v>0.1499</v>
      </c>
      <c r="P580" s="13" t="n">
        <v>-0.026062</v>
      </c>
      <c r="Q580" s="13" t="n">
        <v>0.00386</v>
      </c>
      <c r="R580" s="13" t="n">
        <v>-0.029922</v>
      </c>
      <c r="S580" s="13" t="n">
        <v>0.129</v>
      </c>
      <c r="T580" s="13" t="n">
        <v>-0.101818</v>
      </c>
      <c r="U580" s="13" t="n">
        <v>-0.105751</v>
      </c>
      <c r="V580" s="13" t="n">
        <v>0.003933</v>
      </c>
      <c r="W580" s="13" t="n">
        <v>0.5095</v>
      </c>
      <c r="X580" s="13" t="n">
        <v>-0.130789</v>
      </c>
      <c r="Y580" s="13" t="n">
        <v>-0.074489</v>
      </c>
      <c r="Z580" s="13" t="n">
        <v>-0.0563</v>
      </c>
      <c r="AA580" s="13" t="n">
        <v>0.3629</v>
      </c>
    </row>
    <row r="581">
      <c r="A581" s="6" t="inlineStr">
        <is>
          <t>2025-01-07</t>
        </is>
      </c>
      <c r="B581" s="6" t="inlineStr">
        <is>
          <t>中间分位</t>
        </is>
      </c>
      <c r="C581" s="10" t="n">
        <v>0.632</v>
      </c>
      <c r="D581" s="8" t="n">
        <v>0.001874</v>
      </c>
      <c r="E581" s="8" t="n">
        <v>0.006579</v>
      </c>
      <c r="F581" s="8" t="n">
        <v>-0.004705</v>
      </c>
      <c r="G581" s="8" t="n">
        <v>0.7783</v>
      </c>
      <c r="H581" s="8" t="n">
        <v>0.010306</v>
      </c>
      <c r="I581" s="8" t="n">
        <v>0.020898</v>
      </c>
      <c r="J581" s="8" t="n">
        <v>-0.010592</v>
      </c>
      <c r="K581" s="8" t="n">
        <v>0.6697</v>
      </c>
      <c r="L581" s="8" t="n">
        <v>-0.003433</v>
      </c>
      <c r="M581" s="8" t="n">
        <v>0.002709</v>
      </c>
      <c r="N581" s="8" t="n">
        <v>-0.006142</v>
      </c>
      <c r="O581" s="8" t="n">
        <v>0.4411</v>
      </c>
      <c r="P581" s="8" t="n">
        <v>-0.006244</v>
      </c>
      <c r="Q581" s="8" t="n">
        <v>-0.001935</v>
      </c>
      <c r="R581" s="8" t="n">
        <v>-0.004309</v>
      </c>
      <c r="S581" s="8" t="n">
        <v>0.2366</v>
      </c>
      <c r="T581" s="8" t="n">
        <v>-0.049031</v>
      </c>
      <c r="U581" s="8" t="n">
        <v>-0.106037</v>
      </c>
      <c r="V581" s="8" t="n">
        <v>0.057006</v>
      </c>
      <c r="W581" s="8" t="n">
        <v>0.6838</v>
      </c>
      <c r="X581" s="8" t="n">
        <v>-0.101498</v>
      </c>
      <c r="Y581" s="8" t="n">
        <v>-0.082817</v>
      </c>
      <c r="Z581" s="8" t="n">
        <v>-0.018681</v>
      </c>
      <c r="AA581" s="8" t="n">
        <v>0.4493</v>
      </c>
    </row>
    <row r="582">
      <c r="A582" s="11" t="inlineStr">
        <is>
          <t>2025-01-08</t>
        </is>
      </c>
      <c r="B582" s="11" t="inlineStr">
        <is>
          <t>中间分位</t>
        </is>
      </c>
      <c r="C582" s="15" t="n">
        <v>0.608</v>
      </c>
      <c r="D582" s="13" t="n">
        <v>0.005611</v>
      </c>
      <c r="E582" s="13" t="n">
        <v>-0.004614</v>
      </c>
      <c r="F582" s="13" t="n">
        <v>0.010225</v>
      </c>
      <c r="G582" s="13" t="n">
        <v>0.4512</v>
      </c>
      <c r="H582" s="13" t="n">
        <v>0.024314</v>
      </c>
      <c r="I582" s="13" t="n">
        <v>0.021146</v>
      </c>
      <c r="J582" s="13" t="n">
        <v>0.003168</v>
      </c>
      <c r="K582" s="13" t="n">
        <v>0.4652</v>
      </c>
      <c r="L582" s="13" t="n">
        <v>-0.004676</v>
      </c>
      <c r="M582" s="13" t="n">
        <v>-0.01115</v>
      </c>
      <c r="N582" s="13" t="n">
        <v>0.006474</v>
      </c>
      <c r="O582" s="13" t="n">
        <v>0.7045</v>
      </c>
      <c r="P582" s="13" t="n">
        <v>-0.012468</v>
      </c>
      <c r="Q582" s="13" t="n">
        <v>-0.022684</v>
      </c>
      <c r="R582" s="13" t="n">
        <v>0.010216</v>
      </c>
      <c r="S582" s="13" t="n">
        <v>0.6453</v>
      </c>
      <c r="T582" s="13" t="n">
        <v>-0.071383</v>
      </c>
      <c r="U582" s="13" t="n">
        <v>-0.121107</v>
      </c>
      <c r="V582" s="13" t="n">
        <v>0.049724</v>
      </c>
      <c r="W582" s="13" t="n">
        <v>0.6292</v>
      </c>
      <c r="X582" s="13" t="n">
        <v>-0.110349</v>
      </c>
      <c r="Y582" s="13" t="n">
        <v>-0.078816</v>
      </c>
      <c r="Z582" s="13" t="n">
        <v>-0.031533</v>
      </c>
      <c r="AA582" s="13" t="n">
        <v>0.4167</v>
      </c>
    </row>
    <row r="583">
      <c r="A583" s="6" t="inlineStr">
        <is>
          <t>2025-01-09</t>
        </is>
      </c>
      <c r="B583" s="6" t="inlineStr">
        <is>
          <t>中间分位</t>
        </is>
      </c>
      <c r="C583" s="10" t="n">
        <v>0.672</v>
      </c>
      <c r="D583" s="8" t="n">
        <v>-0.005267</v>
      </c>
      <c r="E583" s="8" t="n">
        <v>0.002704</v>
      </c>
      <c r="F583" s="8" t="n">
        <v>-0.007971000000000001</v>
      </c>
      <c r="G583" s="8" t="n">
        <v>0.3392</v>
      </c>
      <c r="H583" s="8" t="n">
        <v>0.022631</v>
      </c>
      <c r="I583" s="8" t="n">
        <v>0.012746</v>
      </c>
      <c r="J583" s="8" t="n">
        <v>0.009885</v>
      </c>
      <c r="K583" s="8" t="n">
        <v>0.3603</v>
      </c>
      <c r="L583" s="8" t="n">
        <v>-0.016739</v>
      </c>
      <c r="M583" s="8" t="n">
        <v>-0.016609</v>
      </c>
      <c r="N583" s="8" t="n">
        <v>-0.00013</v>
      </c>
      <c r="O583" s="8" t="n">
        <v>0.4981</v>
      </c>
      <c r="P583" s="8" t="n">
        <v>-0.031306</v>
      </c>
      <c r="Q583" s="8" t="n">
        <v>-0.024334</v>
      </c>
      <c r="R583" s="8" t="n">
        <v>-0.006972</v>
      </c>
      <c r="S583" s="8" t="n">
        <v>0.4373</v>
      </c>
      <c r="T583" s="8" t="n">
        <v>-0.085399</v>
      </c>
      <c r="U583" s="8" t="n">
        <v>-0.12051</v>
      </c>
      <c r="V583" s="8" t="n">
        <v>0.035111</v>
      </c>
      <c r="W583" s="8" t="n">
        <v>0.5853</v>
      </c>
      <c r="X583" s="8" t="n">
        <v>-0.110972</v>
      </c>
      <c r="Y583" s="8" t="n">
        <v>-0.07840900000000001</v>
      </c>
      <c r="Z583" s="8" t="n">
        <v>-0.032563</v>
      </c>
      <c r="AA583" s="8" t="n">
        <v>0.414</v>
      </c>
    </row>
    <row r="584">
      <c r="A584" s="11" t="inlineStr">
        <is>
          <t>2025-01-10</t>
        </is>
      </c>
      <c r="B584" s="11" t="inlineStr">
        <is>
          <t>中间分位</t>
        </is>
      </c>
      <c r="C584" s="15" t="n">
        <v>0.604</v>
      </c>
      <c r="D584" s="13" t="n">
        <v>0.0081</v>
      </c>
      <c r="E584" s="13" t="n">
        <v>0.016179</v>
      </c>
      <c r="F584" s="13" t="n">
        <v>-0.008078999999999999</v>
      </c>
      <c r="G584" s="13" t="n">
        <v>0.6664</v>
      </c>
      <c r="H584" s="13" t="n">
        <v>0.013399</v>
      </c>
      <c r="I584" s="13" t="n">
        <v>0.003082</v>
      </c>
      <c r="J584" s="13" t="n">
        <v>0.010317</v>
      </c>
      <c r="K584" s="13" t="n">
        <v>0.187</v>
      </c>
      <c r="L584" s="13" t="n">
        <v>-0.016517</v>
      </c>
      <c r="M584" s="13" t="n">
        <v>-0.015408</v>
      </c>
      <c r="N584" s="13" t="n">
        <v>-0.001109</v>
      </c>
      <c r="O584" s="13" t="n">
        <v>0.4826</v>
      </c>
      <c r="P584" s="13" t="n">
        <v>-0.035839</v>
      </c>
      <c r="Q584" s="13" t="n">
        <v>-0.015794</v>
      </c>
      <c r="R584" s="13" t="n">
        <v>-0.020045</v>
      </c>
      <c r="S584" s="13" t="n">
        <v>0.3059</v>
      </c>
      <c r="T584" s="13" t="n">
        <v>-0.08616500000000001</v>
      </c>
      <c r="U584" s="13" t="n">
        <v>-0.128659</v>
      </c>
      <c r="V584" s="13" t="n">
        <v>0.042494</v>
      </c>
      <c r="W584" s="13" t="n">
        <v>0.5989</v>
      </c>
      <c r="X584" s="13" t="n">
        <v>-0.106265</v>
      </c>
      <c r="Y584" s="13" t="n">
        <v>-0.088213</v>
      </c>
      <c r="Z584" s="13" t="n">
        <v>-0.018052</v>
      </c>
      <c r="AA584" s="13" t="n">
        <v>0.4536</v>
      </c>
    </row>
    <row r="585">
      <c r="A585" s="6" t="inlineStr">
        <is>
          <t>2025-01-13</t>
        </is>
      </c>
      <c r="B585" s="6" t="inlineStr">
        <is>
          <t>中间分位</t>
        </is>
      </c>
      <c r="C585" s="10" t="n">
        <v>0.5600000000000001</v>
      </c>
      <c r="D585" s="8" t="n">
        <v>0</v>
      </c>
      <c r="E585" s="8" t="n">
        <v>0</v>
      </c>
      <c r="F585" s="8" t="n">
        <v>0</v>
      </c>
      <c r="G585" s="8" t="n"/>
      <c r="H585" s="8" t="n">
        <v>0</v>
      </c>
      <c r="I585" s="8" t="n">
        <v>-0.021228</v>
      </c>
      <c r="J585" s="8" t="n">
        <v>0.021228</v>
      </c>
      <c r="K585" s="8" t="n">
        <v>1</v>
      </c>
      <c r="L585" s="8" t="n">
        <v>-0.022257</v>
      </c>
      <c r="M585" s="8" t="n">
        <v>-0.031842</v>
      </c>
      <c r="N585" s="8" t="n">
        <v>0.009585</v>
      </c>
      <c r="O585" s="8" t="n">
        <v>0.5886</v>
      </c>
      <c r="P585" s="8" t="n">
        <v>-0.035855</v>
      </c>
      <c r="Q585" s="8" t="n">
        <v>-0.035254</v>
      </c>
      <c r="R585" s="8" t="n">
        <v>-0.000601</v>
      </c>
      <c r="S585" s="8" t="n">
        <v>0.4958</v>
      </c>
      <c r="T585" s="8" t="n">
        <v>-0.09118900000000001</v>
      </c>
      <c r="U585" s="8" t="n">
        <v>-0.15163</v>
      </c>
      <c r="V585" s="8" t="n">
        <v>0.060441</v>
      </c>
      <c r="W585" s="8" t="n">
        <v>0.6245000000000001</v>
      </c>
      <c r="X585" s="8" t="n">
        <v>-0.116536</v>
      </c>
      <c r="Y585" s="8" t="n">
        <v>-0.100455</v>
      </c>
      <c r="Z585" s="8" t="n">
        <v>-0.016081</v>
      </c>
      <c r="AA585" s="8" t="n">
        <v>0.4629</v>
      </c>
    </row>
    <row r="586">
      <c r="A586" s="11" t="inlineStr">
        <is>
          <t>2025-01-14</t>
        </is>
      </c>
      <c r="B586" s="11" t="inlineStr">
        <is>
          <t>中间分位</t>
        </is>
      </c>
      <c r="C586" s="15" t="n">
        <v>0.5580000000000001</v>
      </c>
      <c r="D586" s="13" t="n">
        <v>0.015765</v>
      </c>
      <c r="E586" s="13" t="n">
        <v>0.006823</v>
      </c>
      <c r="F586" s="13" t="n">
        <v>0.008942</v>
      </c>
      <c r="G586" s="13" t="n">
        <v>0.3021</v>
      </c>
      <c r="H586" s="13" t="n">
        <v>-0.013599</v>
      </c>
      <c r="I586" s="13" t="n">
        <v>-0.017817</v>
      </c>
      <c r="J586" s="13" t="n">
        <v>0.004218</v>
      </c>
      <c r="K586" s="13" t="n">
        <v>0.5671</v>
      </c>
      <c r="L586" s="13" t="n">
        <v>-0.022257</v>
      </c>
      <c r="M586" s="13" t="n">
        <v>-0.026156</v>
      </c>
      <c r="N586" s="13" t="n">
        <v>0.003899</v>
      </c>
      <c r="O586" s="13" t="n">
        <v>0.5403</v>
      </c>
      <c r="P586" s="13" t="n">
        <v>-0.039565</v>
      </c>
      <c r="Q586" s="13" t="n">
        <v>-0.039045</v>
      </c>
      <c r="R586" s="13" t="n">
        <v>-0.00052</v>
      </c>
      <c r="S586" s="13" t="n">
        <v>0.4967</v>
      </c>
      <c r="T586" s="13" t="n">
        <v>-0.108345</v>
      </c>
      <c r="U586" s="13" t="n">
        <v>-0.141016</v>
      </c>
      <c r="V586" s="13" t="n">
        <v>0.032671</v>
      </c>
      <c r="W586" s="13" t="n">
        <v>0.5655</v>
      </c>
      <c r="X586" s="13" t="n">
        <v>-0.112826</v>
      </c>
      <c r="Y586" s="13" t="n">
        <v>-0.103487</v>
      </c>
      <c r="Z586" s="13" t="n">
        <v>-0.009339</v>
      </c>
      <c r="AA586" s="13" t="n">
        <v>0.4784</v>
      </c>
    </row>
    <row r="587">
      <c r="A587" s="6" t="inlineStr">
        <is>
          <t>2025-01-15</t>
        </is>
      </c>
      <c r="B587" s="6" t="inlineStr">
        <is>
          <t>中间分位</t>
        </is>
      </c>
      <c r="C587" s="10" t="n">
        <v>0.612</v>
      </c>
      <c r="D587" s="8" t="n">
        <v>0.003959</v>
      </c>
      <c r="E587" s="8" t="n">
        <v>-0.012801</v>
      </c>
      <c r="F587" s="8" t="n">
        <v>0.01676</v>
      </c>
      <c r="G587" s="8" t="n">
        <v>0.7638</v>
      </c>
      <c r="H587" s="8" t="n">
        <v>-0.028302</v>
      </c>
      <c r="I587" s="8" t="n">
        <v>-0.031627</v>
      </c>
      <c r="J587" s="8" t="n">
        <v>0.003325</v>
      </c>
      <c r="K587" s="8" t="n">
        <v>0.5276999999999999</v>
      </c>
      <c r="L587" s="8" t="n">
        <v>-0.031041</v>
      </c>
      <c r="M587" s="8" t="n">
        <v>-0.028614</v>
      </c>
      <c r="N587" s="8" t="n">
        <v>-0.002427</v>
      </c>
      <c r="O587" s="8" t="n">
        <v>0.4797</v>
      </c>
      <c r="P587" s="8" t="n">
        <v>-0.05782</v>
      </c>
      <c r="Q587" s="8" t="n">
        <v>-0.041039</v>
      </c>
      <c r="R587" s="8" t="n">
        <v>-0.016781</v>
      </c>
      <c r="S587" s="8" t="n">
        <v>0.4151</v>
      </c>
      <c r="T587" s="8" t="n">
        <v>-0.118532</v>
      </c>
      <c r="U587" s="8" t="n">
        <v>-0.143449</v>
      </c>
      <c r="V587" s="8" t="n">
        <v>0.024917</v>
      </c>
      <c r="W587" s="8" t="n">
        <v>0.5476</v>
      </c>
      <c r="X587" s="8" t="n">
        <v>-0.129641</v>
      </c>
      <c r="Y587" s="8" t="n">
        <v>-0.09224400000000001</v>
      </c>
      <c r="Z587" s="8" t="n">
        <v>-0.037397</v>
      </c>
      <c r="AA587" s="8" t="n">
        <v>0.4157</v>
      </c>
    </row>
    <row r="588">
      <c r="A588" s="11" t="inlineStr">
        <is>
          <t>2025-01-16</t>
        </is>
      </c>
      <c r="B588" s="11" t="inlineStr">
        <is>
          <t>中间分位</t>
        </is>
      </c>
      <c r="C588" s="15" t="n">
        <v>0.788</v>
      </c>
      <c r="D588" s="13" t="n">
        <v>-0.014248</v>
      </c>
      <c r="E588" s="13" t="n">
        <v>-0.006865</v>
      </c>
      <c r="F588" s="13" t="n">
        <v>-0.007383</v>
      </c>
      <c r="G588" s="13" t="n">
        <v>0.3252</v>
      </c>
      <c r="H588" s="13" t="n">
        <v>-0.038499</v>
      </c>
      <c r="I588" s="13" t="n">
        <v>-0.028986</v>
      </c>
      <c r="J588" s="13" t="n">
        <v>-0.009513000000000001</v>
      </c>
      <c r="K588" s="13" t="n">
        <v>0.4295</v>
      </c>
      <c r="L588" s="13" t="n">
        <v>-0.036073</v>
      </c>
      <c r="M588" s="13" t="n">
        <v>-0.012967</v>
      </c>
      <c r="N588" s="13" t="n">
        <v>-0.023106</v>
      </c>
      <c r="O588" s="13" t="n">
        <v>0.2644</v>
      </c>
      <c r="P588" s="13" t="n">
        <v>-0.056079</v>
      </c>
      <c r="Q588" s="13" t="n">
        <v>-0.028604</v>
      </c>
      <c r="R588" s="13" t="n">
        <v>-0.027475</v>
      </c>
      <c r="S588" s="13" t="n">
        <v>0.3378</v>
      </c>
      <c r="T588" s="13" t="n">
        <v>-0.121098</v>
      </c>
      <c r="U588" s="13" t="n">
        <v>-0.138063</v>
      </c>
      <c r="V588" s="13" t="n">
        <v>0.016965</v>
      </c>
      <c r="W588" s="13" t="n">
        <v>0.5327</v>
      </c>
      <c r="X588" s="13" t="n">
        <v>-0.125191</v>
      </c>
      <c r="Y588" s="13" t="n">
        <v>-0.062929</v>
      </c>
      <c r="Z588" s="13" t="n">
        <v>-0.062262</v>
      </c>
      <c r="AA588" s="13" t="n">
        <v>0.3345</v>
      </c>
    </row>
    <row r="589">
      <c r="A589" s="6" t="inlineStr">
        <is>
          <t>2025-01-17</t>
        </is>
      </c>
      <c r="B589" s="6" t="inlineStr">
        <is>
          <t>中间分位</t>
        </is>
      </c>
      <c r="C589" s="10" t="n">
        <v>0.68</v>
      </c>
      <c r="D589" s="8" t="n">
        <v>-0.005229</v>
      </c>
      <c r="E589" s="8" t="n">
        <v>-0.008449</v>
      </c>
      <c r="F589" s="8" t="n">
        <v>0.00322</v>
      </c>
      <c r="G589" s="8" t="n">
        <v>0.6177</v>
      </c>
      <c r="H589" s="8" t="n">
        <v>-0.02952</v>
      </c>
      <c r="I589" s="8" t="n">
        <v>-0.018433</v>
      </c>
      <c r="J589" s="8" t="n">
        <v>-0.011087</v>
      </c>
      <c r="K589" s="8" t="n">
        <v>0.3844</v>
      </c>
      <c r="L589" s="8" t="n">
        <v>-0.018756</v>
      </c>
      <c r="M589" s="8" t="n">
        <v>0.001536</v>
      </c>
      <c r="N589" s="8" t="n">
        <v>-0.020292</v>
      </c>
      <c r="O589" s="8" t="n">
        <v>0.0757</v>
      </c>
      <c r="P589" s="8" t="n">
        <v>-0.041207</v>
      </c>
      <c r="Q589" s="8" t="n">
        <v>-0.013825</v>
      </c>
      <c r="R589" s="8" t="n">
        <v>-0.027382</v>
      </c>
      <c r="S589" s="8" t="n">
        <v>0.2512</v>
      </c>
      <c r="T589" s="8" t="n">
        <v>-0.118081</v>
      </c>
      <c r="U589" s="8" t="n">
        <v>-0.116743</v>
      </c>
      <c r="V589" s="8" t="n">
        <v>-0.001338</v>
      </c>
      <c r="W589" s="8" t="n">
        <v>0.4972</v>
      </c>
      <c r="X589" s="8" t="n">
        <v>-0.102092</v>
      </c>
      <c r="Y589" s="8" t="n">
        <v>-0.074117</v>
      </c>
      <c r="Z589" s="8" t="n">
        <v>-0.027975</v>
      </c>
      <c r="AA589" s="8" t="n">
        <v>0.4206</v>
      </c>
    </row>
    <row r="590">
      <c r="A590" s="11" t="inlineStr">
        <is>
          <t>2025-01-20</t>
        </is>
      </c>
      <c r="B590" s="11" t="inlineStr">
        <is>
          <t>中间分位</t>
        </is>
      </c>
      <c r="C590" s="15" t="n">
        <v>0.728</v>
      </c>
      <c r="D590" s="13" t="n">
        <v>-0.013599</v>
      </c>
      <c r="E590" s="13" t="n">
        <v>0.003486</v>
      </c>
      <c r="F590" s="13" t="n">
        <v>-0.017085</v>
      </c>
      <c r="G590" s="13" t="n">
        <v>0.204</v>
      </c>
      <c r="H590" s="13" t="n">
        <v>-0.022257</v>
      </c>
      <c r="I590" s="13" t="n">
        <v>-0.010844</v>
      </c>
      <c r="J590" s="13" t="n">
        <v>-0.011413</v>
      </c>
      <c r="K590" s="13" t="n">
        <v>0.3276</v>
      </c>
      <c r="L590" s="13" t="n">
        <v>-0.006492</v>
      </c>
      <c r="M590" s="13" t="n">
        <v>0.007359</v>
      </c>
      <c r="N590" s="13" t="n">
        <v>-0.013851</v>
      </c>
      <c r="O590" s="13" t="n">
        <v>0.5313</v>
      </c>
      <c r="P590" s="13" t="n">
        <v>-0.028748</v>
      </c>
      <c r="Q590" s="13" t="n">
        <v>-0.016266</v>
      </c>
      <c r="R590" s="13" t="n">
        <v>-0.012482</v>
      </c>
      <c r="S590" s="13" t="n">
        <v>0.3614</v>
      </c>
      <c r="T590" s="13" t="n">
        <v>-0.098608</v>
      </c>
      <c r="U590" s="13" t="n">
        <v>-0.113478</v>
      </c>
      <c r="V590" s="13" t="n">
        <v>0.01487</v>
      </c>
      <c r="W590" s="13" t="n">
        <v>0.5351</v>
      </c>
      <c r="X590" s="13" t="n">
        <v>-0.108189</v>
      </c>
      <c r="Y590" s="13" t="n">
        <v>-0.039504</v>
      </c>
      <c r="Z590" s="13" t="n">
        <v>-0.068685</v>
      </c>
      <c r="AA590" s="13" t="n">
        <v>0.2675</v>
      </c>
    </row>
    <row r="591">
      <c r="A591" s="6" t="inlineStr">
        <is>
          <t>2025-01-21</t>
        </is>
      </c>
      <c r="B591" s="6" t="inlineStr">
        <is>
          <t>中间分位</t>
        </is>
      </c>
      <c r="C591" s="10" t="n">
        <v>0.5679999999999999</v>
      </c>
      <c r="D591" s="8" t="n">
        <v>0.000624</v>
      </c>
      <c r="E591" s="8" t="n">
        <v>-0.007333</v>
      </c>
      <c r="F591" s="8" t="n">
        <v>0.007957000000000001</v>
      </c>
      <c r="G591" s="8" t="n">
        <v>0.9216</v>
      </c>
      <c r="H591" s="8" t="n">
        <v>-0.008777</v>
      </c>
      <c r="I591" s="8" t="n">
        <v>-0.008491</v>
      </c>
      <c r="J591" s="8" t="n">
        <v>-0.000286</v>
      </c>
      <c r="K591" s="8" t="n">
        <v>0.4917</v>
      </c>
      <c r="L591" s="8" t="n">
        <v>-0.00282</v>
      </c>
      <c r="M591" s="8" t="n">
        <v>-0.004631</v>
      </c>
      <c r="N591" s="8" t="n">
        <v>0.001811</v>
      </c>
      <c r="O591" s="8" t="n">
        <v>0.6215000000000001</v>
      </c>
      <c r="P591" s="8" t="n">
        <v>-0.026324</v>
      </c>
      <c r="Q591" s="8" t="n">
        <v>-0.013894</v>
      </c>
      <c r="R591" s="8" t="n">
        <v>-0.01243</v>
      </c>
      <c r="S591" s="8" t="n">
        <v>0.3455</v>
      </c>
      <c r="T591" s="8" t="n">
        <v>-0.08994199999999999</v>
      </c>
      <c r="U591" s="8" t="n">
        <v>-0.116943</v>
      </c>
      <c r="V591" s="8" t="n">
        <v>0.027001</v>
      </c>
      <c r="W591" s="8" t="n">
        <v>0.5653</v>
      </c>
      <c r="X591" s="8" t="n">
        <v>-0.075211</v>
      </c>
      <c r="Y591" s="8" t="n">
        <v>-0.027788</v>
      </c>
      <c r="Z591" s="8" t="n">
        <v>-0.047423</v>
      </c>
      <c r="AA591" s="8" t="n">
        <v>0.2698</v>
      </c>
    </row>
    <row r="592">
      <c r="A592" s="11" t="inlineStr">
        <is>
          <t>2025-01-22</t>
        </is>
      </c>
      <c r="B592" s="11" t="inlineStr">
        <is>
          <t>中间分位</t>
        </is>
      </c>
      <c r="C592" s="15" t="n">
        <v>0.628</v>
      </c>
      <c r="D592" s="13" t="n">
        <v>-0.006577</v>
      </c>
      <c r="E592" s="13" t="n">
        <v>-0.010109</v>
      </c>
      <c r="F592" s="13" t="n">
        <v>0.003532</v>
      </c>
      <c r="G592" s="13" t="n">
        <v>0.6058</v>
      </c>
      <c r="H592" s="13" t="n">
        <v>-0.002819</v>
      </c>
      <c r="I592" s="13" t="n">
        <v>0.00311</v>
      </c>
      <c r="J592" s="13" t="n">
        <v>-0.005929</v>
      </c>
      <c r="K592" s="13" t="n">
        <v>0.5245</v>
      </c>
      <c r="L592" s="13" t="n">
        <v>-0.007828</v>
      </c>
      <c r="M592" s="13" t="n">
        <v>-0.011664</v>
      </c>
      <c r="N592" s="13" t="n">
        <v>0.003836</v>
      </c>
      <c r="O592" s="13" t="n">
        <v>0.5984</v>
      </c>
      <c r="P592" s="13" t="n">
        <v>-0.02161</v>
      </c>
      <c r="Q592" s="13" t="n">
        <v>0.00661</v>
      </c>
      <c r="R592" s="13" t="n">
        <v>-0.02822</v>
      </c>
      <c r="S592" s="13" t="n">
        <v>0.2342</v>
      </c>
      <c r="T592" s="13" t="n">
        <v>-0.08722100000000001</v>
      </c>
      <c r="U592" s="13" t="n">
        <v>-0.101866</v>
      </c>
      <c r="V592" s="13" t="n">
        <v>0.014645</v>
      </c>
      <c r="W592" s="13" t="n">
        <v>0.5387</v>
      </c>
      <c r="X592" s="13" t="n">
        <v>-0.067332</v>
      </c>
      <c r="Y592" s="13" t="n">
        <v>-0.065319</v>
      </c>
      <c r="Z592" s="13" t="n">
        <v>-0.002013</v>
      </c>
      <c r="AA592" s="13" t="n">
        <v>0.4924</v>
      </c>
    </row>
    <row r="593">
      <c r="A593" s="6" t="inlineStr">
        <is>
          <t>2025-01-23</t>
        </is>
      </c>
      <c r="B593" s="6" t="inlineStr">
        <is>
          <t>中间分位</t>
        </is>
      </c>
      <c r="C593" s="10" t="n">
        <v>0.66</v>
      </c>
      <c r="D593" s="8" t="n">
        <v>-0.005043</v>
      </c>
      <c r="E593" s="8" t="n">
        <v>0.003928</v>
      </c>
      <c r="F593" s="8" t="n">
        <v>-0.008971</v>
      </c>
      <c r="G593" s="8" t="n">
        <v>0.4379</v>
      </c>
      <c r="H593" s="8" t="n">
        <v>0.002523</v>
      </c>
      <c r="I593" s="8" t="n">
        <v>0.016496</v>
      </c>
      <c r="J593" s="8" t="n">
        <v>-0.013973</v>
      </c>
      <c r="K593" s="8" t="n">
        <v>0.8673</v>
      </c>
      <c r="L593" s="8" t="n">
        <v>-0.014815</v>
      </c>
      <c r="M593" s="8" t="n">
        <v>-0.007854999999999999</v>
      </c>
      <c r="N593" s="8" t="n">
        <v>-0.00696</v>
      </c>
      <c r="O593" s="8" t="n">
        <v>0.3465</v>
      </c>
      <c r="P593" s="8" t="n">
        <v>-0.003465</v>
      </c>
      <c r="Q593" s="8" t="n">
        <v>0.015711</v>
      </c>
      <c r="R593" s="8" t="n">
        <v>-0.019176</v>
      </c>
      <c r="S593" s="8" t="n">
        <v>0.8193</v>
      </c>
      <c r="T593" s="8" t="n">
        <v>-0.07266599999999999</v>
      </c>
      <c r="U593" s="8" t="n">
        <v>-0.105263</v>
      </c>
      <c r="V593" s="8" t="n">
        <v>0.032597</v>
      </c>
      <c r="W593" s="8" t="n">
        <v>0.5916</v>
      </c>
      <c r="X593" s="8" t="n">
        <v>-0.094892</v>
      </c>
      <c r="Y593" s="8" t="n">
        <v>-0.043991</v>
      </c>
      <c r="Z593" s="8" t="n">
        <v>-0.050901</v>
      </c>
      <c r="AA593" s="8" t="n">
        <v>0.3167</v>
      </c>
    </row>
    <row r="594">
      <c r="A594" s="11" t="inlineStr">
        <is>
          <t>2025-01-24</t>
        </is>
      </c>
      <c r="B594" s="11" t="inlineStr">
        <is>
          <t>中间分位</t>
        </is>
      </c>
      <c r="C594" s="15" t="n">
        <v>0.58</v>
      </c>
      <c r="D594" s="13" t="n">
        <v>0.002217</v>
      </c>
      <c r="E594" s="13" t="n">
        <v>-0.000782</v>
      </c>
      <c r="F594" s="13" t="n">
        <v>0.002999</v>
      </c>
      <c r="G594" s="13" t="n">
        <v>0.2608</v>
      </c>
      <c r="H594" s="13" t="n">
        <v>0.011091</v>
      </c>
      <c r="I594" s="13" t="n">
        <v>0.020344</v>
      </c>
      <c r="J594" s="13" t="n">
        <v>-0.009253000000000001</v>
      </c>
      <c r="K594" s="13" t="n">
        <v>0.6472</v>
      </c>
      <c r="L594" s="13" t="n">
        <v>-0.019646</v>
      </c>
      <c r="M594" s="13" t="n">
        <v>-0.000391</v>
      </c>
      <c r="N594" s="13" t="n">
        <v>-0.019255</v>
      </c>
      <c r="O594" s="13" t="n">
        <v>0.0195</v>
      </c>
      <c r="P594" s="13" t="n">
        <v>-0.000316</v>
      </c>
      <c r="Q594" s="13" t="n">
        <v>0.019562</v>
      </c>
      <c r="R594" s="13" t="n">
        <v>-0.019878</v>
      </c>
      <c r="S594" s="13" t="n">
        <v>0.9841</v>
      </c>
      <c r="T594" s="13" t="n">
        <v>-0.073194</v>
      </c>
      <c r="U594" s="13" t="n">
        <v>-0.119327</v>
      </c>
      <c r="V594" s="13" t="n">
        <v>0.046133</v>
      </c>
      <c r="W594" s="13" t="n">
        <v>0.6198</v>
      </c>
      <c r="X594" s="13" t="n">
        <v>-0.085551</v>
      </c>
      <c r="Y594" s="13" t="n">
        <v>-0.053599</v>
      </c>
      <c r="Z594" s="13" t="n">
        <v>-0.031952</v>
      </c>
      <c r="AA594" s="13" t="n">
        <v>0.3852</v>
      </c>
    </row>
    <row r="595">
      <c r="A595" s="6" t="inlineStr">
        <is>
          <t>2025-01-27</t>
        </is>
      </c>
      <c r="B595" s="6" t="inlineStr">
        <is>
          <t>中间分位</t>
        </is>
      </c>
      <c r="C595" s="10" t="n">
        <v>0.604</v>
      </c>
      <c r="D595" s="8" t="n">
        <v>0</v>
      </c>
      <c r="E595" s="8" t="n">
        <v>0.005873</v>
      </c>
      <c r="F595" s="8" t="n">
        <v>-0.005873</v>
      </c>
      <c r="G595" s="8" t="n">
        <v>1</v>
      </c>
      <c r="H595" s="8" t="n">
        <v>0.016124</v>
      </c>
      <c r="I595" s="8" t="n">
        <v>0.018403</v>
      </c>
      <c r="J595" s="8" t="n">
        <v>-0.002279</v>
      </c>
      <c r="K595" s="8" t="n">
        <v>0.533</v>
      </c>
      <c r="L595" s="8" t="n">
        <v>-0.013908</v>
      </c>
      <c r="M595" s="8" t="n">
        <v>-0.003524</v>
      </c>
      <c r="N595" s="8" t="n">
        <v>-0.010384</v>
      </c>
      <c r="O595" s="8" t="n">
        <v>0.2022</v>
      </c>
      <c r="P595" s="8" t="n">
        <v>0.003164</v>
      </c>
      <c r="Q595" s="8" t="n">
        <v>0.020752</v>
      </c>
      <c r="R595" s="8" t="n">
        <v>-0.017588</v>
      </c>
      <c r="S595" s="8" t="n">
        <v>0.8677</v>
      </c>
      <c r="T595" s="8" t="n">
        <v>-0.074295</v>
      </c>
      <c r="U595" s="8" t="n">
        <v>-0.131167</v>
      </c>
      <c r="V595" s="8" t="n">
        <v>0.056872</v>
      </c>
      <c r="W595" s="8" t="n">
        <v>0.6384</v>
      </c>
      <c r="X595" s="8" t="n">
        <v>-0.083146</v>
      </c>
      <c r="Y595" s="8" t="n">
        <v>-0.05834</v>
      </c>
      <c r="Z595" s="8" t="n">
        <v>-0.024806</v>
      </c>
      <c r="AA595" s="8" t="n">
        <v>0.4123</v>
      </c>
    </row>
    <row r="596">
      <c r="A596" s="11" t="inlineStr">
        <is>
          <t>2025-02-05</t>
        </is>
      </c>
      <c r="B596" s="11" t="inlineStr">
        <is>
          <t>中间分位</t>
        </is>
      </c>
      <c r="C596" s="15" t="n">
        <v>0.556</v>
      </c>
      <c r="D596" s="13" t="n">
        <v>0.006639</v>
      </c>
      <c r="E596" s="13" t="n">
        <v>0.004282</v>
      </c>
      <c r="F596" s="13" t="n">
        <v>0.002357</v>
      </c>
      <c r="G596" s="13" t="n">
        <v>0.3921</v>
      </c>
      <c r="H596" s="13" t="n">
        <v>0.006009</v>
      </c>
      <c r="I596" s="13" t="n">
        <v>0.003893</v>
      </c>
      <c r="J596" s="13" t="n">
        <v>0.002116</v>
      </c>
      <c r="K596" s="13" t="n">
        <v>0.3932</v>
      </c>
      <c r="L596" s="13" t="n">
        <v>-0.017702</v>
      </c>
      <c r="M596" s="13" t="n">
        <v>-0.013235</v>
      </c>
      <c r="N596" s="13" t="n">
        <v>-0.004467</v>
      </c>
      <c r="O596" s="13" t="n">
        <v>0.4278</v>
      </c>
      <c r="P596" s="13" t="n">
        <v>0.005376</v>
      </c>
      <c r="Q596" s="13" t="n">
        <v>0.008564</v>
      </c>
      <c r="R596" s="13" t="n">
        <v>-0.003188</v>
      </c>
      <c r="S596" s="13" t="n">
        <v>0.6143</v>
      </c>
      <c r="T596" s="13" t="n">
        <v>-0.07856299999999999</v>
      </c>
      <c r="U596" s="13" t="n">
        <v>-0.128455</v>
      </c>
      <c r="V596" s="13" t="n">
        <v>0.049892</v>
      </c>
      <c r="W596" s="13" t="n">
        <v>0.6205000000000001</v>
      </c>
      <c r="X596" s="13" t="n">
        <v>-0.092001</v>
      </c>
      <c r="Y596" s="13" t="n">
        <v>-0.068509</v>
      </c>
      <c r="Z596" s="13" t="n">
        <v>-0.023492</v>
      </c>
      <c r="AA596" s="13" t="n">
        <v>0.4268</v>
      </c>
    </row>
    <row r="597">
      <c r="A597" s="6" t="inlineStr">
        <is>
          <t>2025-02-06</t>
        </is>
      </c>
      <c r="B597" s="6" t="inlineStr">
        <is>
          <t>中间分位</t>
        </is>
      </c>
      <c r="C597" s="10" t="n">
        <v>0.58</v>
      </c>
      <c r="D597" s="8" t="n">
        <v>-0.001255</v>
      </c>
      <c r="E597" s="8" t="n">
        <v>0.003101</v>
      </c>
      <c r="F597" s="8" t="n">
        <v>-0.004356</v>
      </c>
      <c r="G597" s="8" t="n">
        <v>0.7119</v>
      </c>
      <c r="H597" s="8" t="n">
        <v>-0.005024</v>
      </c>
      <c r="I597" s="8" t="n">
        <v>-0.014729</v>
      </c>
      <c r="J597" s="8" t="n">
        <v>0.009705</v>
      </c>
      <c r="K597" s="8" t="n">
        <v>0.7457</v>
      </c>
      <c r="L597" s="8" t="n">
        <v>-0.027637</v>
      </c>
      <c r="M597" s="8" t="n">
        <v>-0.012791</v>
      </c>
      <c r="N597" s="8" t="n">
        <v>-0.014846</v>
      </c>
      <c r="O597" s="8" t="n">
        <v>0.3164</v>
      </c>
      <c r="P597" s="8" t="n">
        <v>-0.003452</v>
      </c>
      <c r="Q597" s="8" t="n">
        <v>-0.003488</v>
      </c>
      <c r="R597" s="8" t="n">
        <v>3.6e-05</v>
      </c>
      <c r="S597" s="8" t="n">
        <v>0.5026</v>
      </c>
      <c r="T597" s="8" t="n">
        <v>-0.091707</v>
      </c>
      <c r="U597" s="8" t="n">
        <v>-0.141085</v>
      </c>
      <c r="V597" s="8" t="n">
        <v>0.049378</v>
      </c>
      <c r="W597" s="8" t="n">
        <v>0.6061</v>
      </c>
      <c r="X597" s="8" t="n">
        <v>-0.09955799999999999</v>
      </c>
      <c r="Y597" s="8" t="n">
        <v>-0.073643</v>
      </c>
      <c r="Z597" s="8" t="n">
        <v>-0.025915</v>
      </c>
      <c r="AA597" s="8" t="n">
        <v>0.4252</v>
      </c>
    </row>
    <row r="598">
      <c r="A598" s="11" t="inlineStr">
        <is>
          <t>2025-02-07</t>
        </is>
      </c>
      <c r="B598" s="11" t="inlineStr">
        <is>
          <t>中间分位</t>
        </is>
      </c>
      <c r="C598" s="15" t="n">
        <v>0.548</v>
      </c>
      <c r="D598" s="13" t="n">
        <v>0.00346</v>
      </c>
      <c r="E598" s="13" t="n">
        <v>0.007728</v>
      </c>
      <c r="F598" s="13" t="n">
        <v>-0.004268</v>
      </c>
      <c r="G598" s="13" t="n">
        <v>0.6907</v>
      </c>
      <c r="H598" s="13" t="n">
        <v>-0.017294</v>
      </c>
      <c r="I598" s="13" t="n">
        <v>-0.023957</v>
      </c>
      <c r="J598" s="13" t="n">
        <v>0.006663</v>
      </c>
      <c r="K598" s="13" t="n">
        <v>0.5808</v>
      </c>
      <c r="L598" s="13" t="n">
        <v>-0.020755</v>
      </c>
      <c r="M598" s="13" t="n">
        <v>-0.015842</v>
      </c>
      <c r="N598" s="13" t="n">
        <v>-0.004913</v>
      </c>
      <c r="O598" s="13" t="n">
        <v>0.4329</v>
      </c>
      <c r="P598" s="13" t="n">
        <v>-0.000313</v>
      </c>
      <c r="Q598" s="13" t="n">
        <v>0.001159</v>
      </c>
      <c r="R598" s="13" t="n">
        <v>-0.001472</v>
      </c>
      <c r="S598" s="13" t="n">
        <v>0.7874</v>
      </c>
      <c r="T598" s="13" t="n">
        <v>-0.09811300000000001</v>
      </c>
      <c r="U598" s="13" t="n">
        <v>-0.13949</v>
      </c>
      <c r="V598" s="13" t="n">
        <v>0.041377</v>
      </c>
      <c r="W598" s="13" t="n">
        <v>0.5871</v>
      </c>
      <c r="X598" s="13" t="n">
        <v>-0.10346</v>
      </c>
      <c r="Y598" s="13" t="n">
        <v>-0.07380200000000001</v>
      </c>
      <c r="Z598" s="13" t="n">
        <v>-0.029658</v>
      </c>
      <c r="AA598" s="13" t="n">
        <v>0.4163</v>
      </c>
    </row>
    <row r="599">
      <c r="A599" s="6" t="inlineStr">
        <is>
          <t>2025-02-10</t>
        </is>
      </c>
      <c r="B599" s="6" t="inlineStr">
        <is>
          <t>中间分位</t>
        </is>
      </c>
      <c r="C599" s="10" t="n">
        <v>0.512</v>
      </c>
      <c r="D599" s="8" t="n">
        <v>0.007205</v>
      </c>
      <c r="E599" s="8" t="n">
        <v>-0.002684</v>
      </c>
      <c r="F599" s="8" t="n">
        <v>0.009889</v>
      </c>
      <c r="G599" s="8" t="n">
        <v>0.2714</v>
      </c>
      <c r="H599" s="8" t="n">
        <v>-0.0304</v>
      </c>
      <c r="I599" s="8" t="n">
        <v>-0.020322</v>
      </c>
      <c r="J599" s="8" t="n">
        <v>-0.010078</v>
      </c>
      <c r="K599" s="8" t="n">
        <v>0.4007</v>
      </c>
      <c r="L599" s="8" t="n">
        <v>-0.022879</v>
      </c>
      <c r="M599" s="8" t="n">
        <v>-0.015337</v>
      </c>
      <c r="N599" s="8" t="n">
        <v>-0.007542</v>
      </c>
      <c r="O599" s="8" t="n">
        <v>0.4013</v>
      </c>
      <c r="P599" s="8" t="n">
        <v>0.003761</v>
      </c>
      <c r="Q599" s="8" t="n">
        <v>-0.006518</v>
      </c>
      <c r="R599" s="8" t="n">
        <v>0.010279</v>
      </c>
      <c r="S599" s="8" t="n">
        <v>0.6341</v>
      </c>
      <c r="T599" s="8" t="n">
        <v>-0.096523</v>
      </c>
      <c r="U599" s="8" t="n">
        <v>-0.129601</v>
      </c>
      <c r="V599" s="8" t="n">
        <v>0.033078</v>
      </c>
      <c r="W599" s="8" t="n">
        <v>0.5731000000000001</v>
      </c>
      <c r="X599" s="8" t="n">
        <v>-0.104984</v>
      </c>
      <c r="Y599" s="8" t="n">
        <v>-0.081288</v>
      </c>
      <c r="Z599" s="8" t="n">
        <v>-0.023696</v>
      </c>
      <c r="AA599" s="8" t="n">
        <v>0.4364</v>
      </c>
    </row>
    <row r="600">
      <c r="A600" s="11" t="inlineStr">
        <is>
          <t>2025-02-11</t>
        </is>
      </c>
      <c r="B600" s="11" t="inlineStr">
        <is>
          <t>中间分位</t>
        </is>
      </c>
      <c r="C600" s="15" t="n">
        <v>0.592</v>
      </c>
      <c r="D600" s="13" t="n">
        <v>-0.009953999999999999</v>
      </c>
      <c r="E600" s="13" t="n">
        <v>-0.008458</v>
      </c>
      <c r="F600" s="13" t="n">
        <v>-0.001496</v>
      </c>
      <c r="G600" s="13" t="n">
        <v>0.4594</v>
      </c>
      <c r="H600" s="13" t="n">
        <v>-0.029556</v>
      </c>
      <c r="I600" s="13" t="n">
        <v>-0.02153</v>
      </c>
      <c r="J600" s="13" t="n">
        <v>-0.008026</v>
      </c>
      <c r="K600" s="13" t="n">
        <v>0.4214</v>
      </c>
      <c r="L600" s="13" t="n">
        <v>-0.022402</v>
      </c>
      <c r="M600" s="13" t="n">
        <v>-0.023453</v>
      </c>
      <c r="N600" s="13" t="n">
        <v>0.001051</v>
      </c>
      <c r="O600" s="13" t="n">
        <v>0.5115</v>
      </c>
      <c r="P600" s="13" t="n">
        <v>-0.00342</v>
      </c>
      <c r="Q600" s="13" t="n">
        <v>-0.004614</v>
      </c>
      <c r="R600" s="13" t="n">
        <v>0.001194</v>
      </c>
      <c r="S600" s="13" t="n">
        <v>0.5743</v>
      </c>
      <c r="T600" s="13" t="n">
        <v>-0.102986</v>
      </c>
      <c r="U600" s="13" t="n">
        <v>-0.119185</v>
      </c>
      <c r="V600" s="13" t="n">
        <v>0.016199</v>
      </c>
      <c r="W600" s="13" t="n">
        <v>0.5365</v>
      </c>
      <c r="X600" s="13" t="n">
        <v>-0.110143</v>
      </c>
      <c r="Y600" s="13" t="n">
        <v>-0.08189200000000001</v>
      </c>
      <c r="Z600" s="13" t="n">
        <v>-0.028251</v>
      </c>
      <c r="AA600" s="13" t="n">
        <v>0.4264</v>
      </c>
    </row>
    <row r="601">
      <c r="A601" s="6" t="inlineStr">
        <is>
          <t>2025-02-12</t>
        </is>
      </c>
      <c r="B601" s="6" t="inlineStr">
        <is>
          <t>中间分位</t>
        </is>
      </c>
      <c r="C601" s="10" t="n">
        <v>0.58</v>
      </c>
      <c r="D601" s="8" t="n">
        <v>-0.004401</v>
      </c>
      <c r="E601" s="8" t="n">
        <v>-0.014347</v>
      </c>
      <c r="F601" s="8" t="n">
        <v>0.009946</v>
      </c>
      <c r="G601" s="8" t="n">
        <v>0.7653</v>
      </c>
      <c r="H601" s="8" t="n">
        <v>-0.02357</v>
      </c>
      <c r="I601" s="8" t="n">
        <v>-0.017061</v>
      </c>
      <c r="J601" s="8" t="n">
        <v>-0.006509</v>
      </c>
      <c r="K601" s="8" t="n">
        <v>0.4199</v>
      </c>
      <c r="L601" s="8" t="n">
        <v>-0.02357</v>
      </c>
      <c r="M601" s="8" t="n">
        <v>-0.009306</v>
      </c>
      <c r="N601" s="8" t="n">
        <v>-0.014264</v>
      </c>
      <c r="O601" s="8" t="n">
        <v>0.2831</v>
      </c>
      <c r="P601" s="8" t="n">
        <v>0.006913</v>
      </c>
      <c r="Q601" s="8" t="n">
        <v>-0.020551</v>
      </c>
      <c r="R601" s="8" t="n">
        <v>0.027464</v>
      </c>
      <c r="S601" s="8" t="n">
        <v>0.7483</v>
      </c>
      <c r="T601" s="8" t="n">
        <v>-0.07464</v>
      </c>
      <c r="U601" s="8" t="n">
        <v>-0.082978</v>
      </c>
      <c r="V601" s="8" t="n">
        <v>0.008338</v>
      </c>
      <c r="W601" s="8" t="n">
        <v>0.5265</v>
      </c>
      <c r="X601" s="8" t="n">
        <v>-0.102139</v>
      </c>
      <c r="Y601" s="8" t="n">
        <v>-0.075998</v>
      </c>
      <c r="Z601" s="8" t="n">
        <v>-0.026141</v>
      </c>
      <c r="AA601" s="8" t="n">
        <v>0.4266</v>
      </c>
    </row>
    <row r="602">
      <c r="A602" s="11" t="inlineStr">
        <is>
          <t>2025-02-13</t>
        </is>
      </c>
      <c r="B602" s="11" t="inlineStr">
        <is>
          <t>中间分位</t>
        </is>
      </c>
      <c r="C602" s="15" t="n">
        <v>0.68</v>
      </c>
      <c r="D602" s="13" t="n">
        <v>-0.013572</v>
      </c>
      <c r="E602" s="13" t="n">
        <v>-0.006294</v>
      </c>
      <c r="F602" s="13" t="n">
        <v>-0.007278</v>
      </c>
      <c r="G602" s="13" t="n">
        <v>0.3168</v>
      </c>
      <c r="H602" s="13" t="n">
        <v>-0.022727</v>
      </c>
      <c r="I602" s="13" t="n">
        <v>0.001967</v>
      </c>
      <c r="J602" s="13" t="n">
        <v>-0.024694</v>
      </c>
      <c r="K602" s="13" t="n">
        <v>0.07969999999999999</v>
      </c>
      <c r="L602" s="13" t="n">
        <v>-0.01389</v>
      </c>
      <c r="M602" s="13" t="n">
        <v>0.018489</v>
      </c>
      <c r="N602" s="13" t="n">
        <v>-0.032379</v>
      </c>
      <c r="O602" s="13" t="n">
        <v>0.571</v>
      </c>
      <c r="P602" s="13" t="n">
        <v>-0.005049</v>
      </c>
      <c r="Q602" s="13" t="n">
        <v>-0.00118</v>
      </c>
      <c r="R602" s="13" t="n">
        <v>-0.003869</v>
      </c>
      <c r="S602" s="13" t="n">
        <v>0.1894</v>
      </c>
      <c r="T602" s="13" t="n">
        <v>-0.044981</v>
      </c>
      <c r="U602" s="13" t="n">
        <v>-0.08733299999999999</v>
      </c>
      <c r="V602" s="13" t="n">
        <v>0.042352</v>
      </c>
      <c r="W602" s="13" t="n">
        <v>0.66</v>
      </c>
      <c r="X602" s="13" t="n">
        <v>-0.099117</v>
      </c>
      <c r="Y602" s="13" t="n">
        <v>-0.022423</v>
      </c>
      <c r="Z602" s="13" t="n">
        <v>-0.076694</v>
      </c>
      <c r="AA602" s="13" t="n">
        <v>0.1845</v>
      </c>
    </row>
    <row r="603">
      <c r="A603" s="6" t="inlineStr">
        <is>
          <t>2025-02-14</t>
        </is>
      </c>
      <c r="B603" s="6" t="inlineStr">
        <is>
          <t>中间分位</t>
        </is>
      </c>
      <c r="C603" s="10" t="n">
        <v>0.608</v>
      </c>
      <c r="D603" s="8" t="n">
        <v>-0.009923</v>
      </c>
      <c r="E603" s="8" t="n">
        <v>0.011481</v>
      </c>
      <c r="F603" s="8" t="n">
        <v>-0.021404</v>
      </c>
      <c r="G603" s="8" t="n">
        <v>0.5364</v>
      </c>
      <c r="H603" s="8" t="n">
        <v>-0.003521</v>
      </c>
      <c r="I603" s="8" t="n">
        <v>0.008314</v>
      </c>
      <c r="J603" s="8" t="n">
        <v>-0.011835</v>
      </c>
      <c r="K603" s="8" t="n">
        <v>0.7025</v>
      </c>
      <c r="L603" s="8" t="n">
        <v>0.01152</v>
      </c>
      <c r="M603" s="8" t="n">
        <v>0.023753</v>
      </c>
      <c r="N603" s="8" t="n">
        <v>-0.012233</v>
      </c>
      <c r="O603" s="8" t="n">
        <v>0.6734</v>
      </c>
      <c r="P603" s="8" t="n">
        <v>0.009277000000000001</v>
      </c>
      <c r="Q603" s="8" t="n">
        <v>0.025732</v>
      </c>
      <c r="R603" s="8" t="n">
        <v>-0.016455</v>
      </c>
      <c r="S603" s="8" t="n">
        <v>0.735</v>
      </c>
      <c r="T603" s="8" t="n">
        <v>-0.06832100000000001</v>
      </c>
      <c r="U603" s="8" t="n">
        <v>-0.095804</v>
      </c>
      <c r="V603" s="8" t="n">
        <v>0.027483</v>
      </c>
      <c r="W603" s="8" t="n">
        <v>0.5837</v>
      </c>
      <c r="X603" s="8" t="n">
        <v>-0.085121</v>
      </c>
      <c r="Y603" s="8" t="n">
        <v>-0.011876</v>
      </c>
      <c r="Z603" s="8" t="n">
        <v>-0.073245</v>
      </c>
      <c r="AA603" s="8" t="n">
        <v>0.1224</v>
      </c>
    </row>
    <row r="604">
      <c r="A604" s="11" t="inlineStr">
        <is>
          <t>2025-02-17</t>
        </is>
      </c>
      <c r="B604" s="11" t="inlineStr">
        <is>
          <t>中间分位</t>
        </is>
      </c>
      <c r="C604" s="15" t="n">
        <v>0.396</v>
      </c>
      <c r="D604" s="13" t="n">
        <v>0.008083</v>
      </c>
      <c r="E604" s="13" t="n">
        <v>-0.003914</v>
      </c>
      <c r="F604" s="13" t="n">
        <v>0.011997</v>
      </c>
      <c r="G604" s="13" t="n">
        <v>0.3262</v>
      </c>
      <c r="H604" s="13" t="n">
        <v>0.007757</v>
      </c>
      <c r="I604" s="13" t="n">
        <v>0.005088</v>
      </c>
      <c r="J604" s="13" t="n">
        <v>0.002669</v>
      </c>
      <c r="K604" s="13" t="n">
        <v>0.3961</v>
      </c>
      <c r="L604" s="13" t="n">
        <v>0.019718</v>
      </c>
      <c r="M604" s="13" t="n">
        <v>0.019961</v>
      </c>
      <c r="N604" s="13" t="n">
        <v>-0.000243</v>
      </c>
      <c r="O604" s="13" t="n">
        <v>0.5031</v>
      </c>
      <c r="P604" s="13" t="n">
        <v>0.030384</v>
      </c>
      <c r="Q604" s="13" t="n">
        <v>0.004697</v>
      </c>
      <c r="R604" s="13" t="n">
        <v>0.025687</v>
      </c>
      <c r="S604" s="13" t="n">
        <v>0.1339</v>
      </c>
      <c r="T604" s="13" t="n">
        <v>-0.058984</v>
      </c>
      <c r="U604" s="13" t="n">
        <v>-0.110763</v>
      </c>
      <c r="V604" s="13" t="n">
        <v>0.051779</v>
      </c>
      <c r="W604" s="13" t="n">
        <v>0.6525</v>
      </c>
      <c r="X604" s="13" t="n">
        <v>-0.075305</v>
      </c>
      <c r="Y604" s="13" t="n">
        <v>-0.029746</v>
      </c>
      <c r="Z604" s="13" t="n">
        <v>-0.045559</v>
      </c>
      <c r="AA604" s="13" t="n">
        <v>0.2832</v>
      </c>
    </row>
    <row r="605">
      <c r="A605" s="6" t="inlineStr">
        <is>
          <t>2025-02-18</t>
        </is>
      </c>
      <c r="B605" s="6" t="inlineStr">
        <is>
          <t>中间分位</t>
        </is>
      </c>
      <c r="C605" s="10" t="n">
        <v>0.524</v>
      </c>
      <c r="D605" s="8" t="n">
        <v>-0.003847</v>
      </c>
      <c r="E605" s="8" t="n">
        <v>-0.003929</v>
      </c>
      <c r="F605" s="8" t="n">
        <v>8.2e-05</v>
      </c>
      <c r="G605" s="8" t="n">
        <v>0.5053</v>
      </c>
      <c r="H605" s="8" t="n">
        <v>0.007372</v>
      </c>
      <c r="I605" s="8" t="n">
        <v>-0.001965</v>
      </c>
      <c r="J605" s="8" t="n">
        <v>0.009337</v>
      </c>
      <c r="K605" s="8" t="n">
        <v>0.2105</v>
      </c>
      <c r="L605" s="8" t="n">
        <v>0.017313</v>
      </c>
      <c r="M605" s="8" t="n">
        <v>0.024361</v>
      </c>
      <c r="N605" s="8" t="n">
        <v>-0.007048</v>
      </c>
      <c r="O605" s="8" t="n">
        <v>0.5846</v>
      </c>
      <c r="P605" s="8" t="n">
        <v>0.027251</v>
      </c>
      <c r="Q605" s="8" t="n">
        <v>-0.005108</v>
      </c>
      <c r="R605" s="8" t="n">
        <v>0.032359</v>
      </c>
      <c r="S605" s="8" t="n">
        <v>0.1579</v>
      </c>
      <c r="T605" s="8" t="n">
        <v>-0.091056</v>
      </c>
      <c r="U605" s="8" t="n">
        <v>-0.113556</v>
      </c>
      <c r="V605" s="8" t="n">
        <v>0.0225</v>
      </c>
      <c r="W605" s="8" t="n">
        <v>0.555</v>
      </c>
      <c r="X605" s="8" t="n">
        <v>-0.08688899999999999</v>
      </c>
      <c r="Y605" s="8" t="n">
        <v>-0.043222</v>
      </c>
      <c r="Z605" s="8" t="n">
        <v>-0.043667</v>
      </c>
      <c r="AA605" s="8" t="n">
        <v>0.3322</v>
      </c>
    </row>
    <row r="606">
      <c r="A606" s="11" t="inlineStr">
        <is>
          <t>2025-02-19</t>
        </is>
      </c>
      <c r="B606" s="11" t="inlineStr">
        <is>
          <t>中间分位</t>
        </is>
      </c>
      <c r="C606" s="15" t="n">
        <v>0.528</v>
      </c>
      <c r="D606" s="13" t="n">
        <v>-0.003542</v>
      </c>
      <c r="E606" s="13" t="n">
        <v>0.004734</v>
      </c>
      <c r="F606" s="13" t="n">
        <v>-0.008276</v>
      </c>
      <c r="G606" s="13" t="n">
        <v>0.572</v>
      </c>
      <c r="H606" s="13" t="n">
        <v>0</v>
      </c>
      <c r="I606" s="13" t="n">
        <v>0.007889999999999999</v>
      </c>
      <c r="J606" s="13" t="n">
        <v>-0.007889999999999999</v>
      </c>
      <c r="K606" s="13" t="n">
        <v>1</v>
      </c>
      <c r="L606" s="13" t="n">
        <v>0.023494</v>
      </c>
      <c r="M606" s="13" t="n">
        <v>0.022091</v>
      </c>
      <c r="N606" s="13" t="n">
        <v>0.001403</v>
      </c>
      <c r="O606" s="13" t="n">
        <v>0.4846</v>
      </c>
      <c r="P606" s="13" t="n">
        <v>0.025105</v>
      </c>
      <c r="Q606" s="13" t="n">
        <v>0.000789</v>
      </c>
      <c r="R606" s="13" t="n">
        <v>0.024316</v>
      </c>
      <c r="S606" s="13" t="n">
        <v>0.0305</v>
      </c>
      <c r="T606" s="13" t="n">
        <v>-0.101063</v>
      </c>
      <c r="U606" s="13" t="n">
        <v>-0.104536</v>
      </c>
      <c r="V606" s="13" t="n">
        <v>0.003473</v>
      </c>
      <c r="W606" s="13" t="n">
        <v>0.5084</v>
      </c>
      <c r="X606" s="13" t="n">
        <v>-0.09365900000000001</v>
      </c>
      <c r="Y606" s="13" t="n">
        <v>-0.048521</v>
      </c>
      <c r="Z606" s="13" t="n">
        <v>-0.045138</v>
      </c>
      <c r="AA606" s="13" t="n">
        <v>0.3413</v>
      </c>
    </row>
    <row r="607">
      <c r="A607" s="6" t="inlineStr">
        <is>
          <t>2025-02-20</t>
        </is>
      </c>
      <c r="B607" s="6" t="inlineStr">
        <is>
          <t>中间分位</t>
        </is>
      </c>
      <c r="C607" s="10" t="n">
        <v>0.452</v>
      </c>
      <c r="D607" s="8" t="n">
        <v>0.005814</v>
      </c>
      <c r="E607" s="8" t="n">
        <v>0</v>
      </c>
      <c r="F607" s="8" t="n">
        <v>0.005814</v>
      </c>
      <c r="G607" s="8" t="n">
        <v>0</v>
      </c>
      <c r="H607" s="8" t="n">
        <v>0.009043000000000001</v>
      </c>
      <c r="I607" s="8" t="n">
        <v>0.01649</v>
      </c>
      <c r="J607" s="8" t="n">
        <v>-0.007447</v>
      </c>
      <c r="K607" s="8" t="n">
        <v>0.6458</v>
      </c>
      <c r="L607" s="8" t="n">
        <v>0.024872</v>
      </c>
      <c r="M607" s="8" t="n">
        <v>0.009423000000000001</v>
      </c>
      <c r="N607" s="8" t="n">
        <v>0.015449</v>
      </c>
      <c r="O607" s="8" t="n">
        <v>0.2748</v>
      </c>
      <c r="P607" s="8" t="n">
        <v>0.034236</v>
      </c>
      <c r="Q607" s="8" t="n">
        <v>0.004711</v>
      </c>
      <c r="R607" s="8" t="n">
        <v>0.029525</v>
      </c>
      <c r="S607" s="8" t="n">
        <v>0.121</v>
      </c>
      <c r="T607" s="8" t="n">
        <v>-0.100291</v>
      </c>
      <c r="U607" s="8" t="n">
        <v>-0.120141</v>
      </c>
      <c r="V607" s="8" t="n">
        <v>0.01985</v>
      </c>
      <c r="W607" s="8" t="n">
        <v>0.545</v>
      </c>
      <c r="X607" s="8" t="n">
        <v>-0.093671</v>
      </c>
      <c r="Y607" s="8" t="n">
        <v>-0.059285</v>
      </c>
      <c r="Z607" s="8" t="n">
        <v>-0.034386</v>
      </c>
      <c r="AA607" s="8" t="n">
        <v>0.3876</v>
      </c>
    </row>
    <row r="608">
      <c r="A608" s="11" t="inlineStr">
        <is>
          <t>2025-02-21</t>
        </is>
      </c>
      <c r="B608" s="11" t="inlineStr">
        <is>
          <t>中间分位</t>
        </is>
      </c>
      <c r="C608" s="15" t="n">
        <v>0.504</v>
      </c>
      <c r="D608" s="13" t="n">
        <v>0.001283</v>
      </c>
      <c r="E608" s="13" t="n">
        <v>0.008245000000000001</v>
      </c>
      <c r="F608" s="13" t="n">
        <v>-0.006962</v>
      </c>
      <c r="G608" s="13" t="n">
        <v>0.8653</v>
      </c>
      <c r="H608" s="13" t="n">
        <v>0.015094</v>
      </c>
      <c r="I608" s="13" t="n">
        <v>0.015312</v>
      </c>
      <c r="J608" s="13" t="n">
        <v>-0.000218</v>
      </c>
      <c r="K608" s="13" t="n">
        <v>0.5036</v>
      </c>
      <c r="L608" s="13" t="n">
        <v>0.020875</v>
      </c>
      <c r="M608" s="13" t="n">
        <v>0.017275</v>
      </c>
      <c r="N608" s="13" t="n">
        <v>0.0036</v>
      </c>
      <c r="O608" s="13" t="n">
        <v>0.4528</v>
      </c>
      <c r="P608" s="13" t="n">
        <v>0.038216</v>
      </c>
      <c r="Q608" s="13" t="n">
        <v>0.002748</v>
      </c>
      <c r="R608" s="13" t="n">
        <v>0.035468</v>
      </c>
      <c r="S608" s="13" t="n">
        <v>0.06710000000000001</v>
      </c>
      <c r="T608" s="13" t="n">
        <v>-0.108863</v>
      </c>
      <c r="U608" s="13" t="n">
        <v>-0.127601</v>
      </c>
      <c r="V608" s="13" t="n">
        <v>0.018738</v>
      </c>
      <c r="W608" s="13" t="n">
        <v>0.5396</v>
      </c>
      <c r="X608" s="13" t="n">
        <v>-0.106486</v>
      </c>
      <c r="Y608" s="13" t="n">
        <v>-0.061249</v>
      </c>
      <c r="Z608" s="13" t="n">
        <v>-0.045237</v>
      </c>
      <c r="AA608" s="13" t="n">
        <v>0.3652</v>
      </c>
    </row>
    <row r="609">
      <c r="A609" s="6" t="inlineStr">
        <is>
          <t>2025-02-24</t>
        </is>
      </c>
      <c r="B609" s="6" t="inlineStr">
        <is>
          <t>中间分位</t>
        </is>
      </c>
      <c r="C609" s="10" t="n">
        <v>0.436</v>
      </c>
      <c r="D609" s="8" t="n">
        <v>0.007697</v>
      </c>
      <c r="E609" s="8" t="n">
        <v>-0.010903</v>
      </c>
      <c r="F609" s="8" t="n">
        <v>0.0186</v>
      </c>
      <c r="G609" s="8" t="n">
        <v>0.5862000000000001</v>
      </c>
      <c r="H609" s="8" t="n">
        <v>0.011869</v>
      </c>
      <c r="I609" s="8" t="n">
        <v>0.014798</v>
      </c>
      <c r="J609" s="8" t="n">
        <v>-0.002929</v>
      </c>
      <c r="K609" s="8" t="n">
        <v>0.5548999999999999</v>
      </c>
      <c r="L609" s="8" t="n">
        <v>0.027264</v>
      </c>
      <c r="M609" s="8" t="n">
        <v>0.008956</v>
      </c>
      <c r="N609" s="8" t="n">
        <v>0.018308</v>
      </c>
      <c r="O609" s="8" t="n">
        <v>0.2473</v>
      </c>
      <c r="P609" s="8" t="n">
        <v>0.036885</v>
      </c>
      <c r="Q609" s="8" t="n">
        <v>0.007399</v>
      </c>
      <c r="R609" s="8" t="n">
        <v>0.029486</v>
      </c>
      <c r="S609" s="8" t="n">
        <v>0.1671</v>
      </c>
      <c r="T609" s="8" t="n">
        <v>-0.114816</v>
      </c>
      <c r="U609" s="8" t="n">
        <v>-0.133956</v>
      </c>
      <c r="V609" s="8" t="n">
        <v>0.01914</v>
      </c>
      <c r="W609" s="8" t="n">
        <v>0.5385</v>
      </c>
      <c r="X609" s="8" t="n">
        <v>-0.114173</v>
      </c>
      <c r="Y609" s="8" t="n">
        <v>-0.056075</v>
      </c>
      <c r="Z609" s="8" t="n">
        <v>-0.058098</v>
      </c>
      <c r="AA609" s="8" t="n">
        <v>0.3294</v>
      </c>
    </row>
    <row r="610">
      <c r="A610" s="11" t="inlineStr">
        <is>
          <t>2025-02-25</t>
        </is>
      </c>
      <c r="B610" s="11" t="inlineStr">
        <is>
          <t>中间分位</t>
        </is>
      </c>
      <c r="C610" s="15" t="n">
        <v>0.628</v>
      </c>
      <c r="D610" s="13" t="n">
        <v>-0.011137</v>
      </c>
      <c r="E610" s="13" t="n">
        <v>0.005906</v>
      </c>
      <c r="F610" s="13" t="n">
        <v>-0.017043</v>
      </c>
      <c r="G610" s="13" t="n">
        <v>0.3465</v>
      </c>
      <c r="H610" s="13" t="n">
        <v>0.009868999999999999</v>
      </c>
      <c r="I610" s="13" t="n">
        <v>0.026378</v>
      </c>
      <c r="J610" s="13" t="n">
        <v>-0.016509</v>
      </c>
      <c r="K610" s="13" t="n">
        <v>0.7277</v>
      </c>
      <c r="L610" s="13" t="n">
        <v>0.019417</v>
      </c>
      <c r="M610" s="13" t="n">
        <v>0.019291</v>
      </c>
      <c r="N610" s="13" t="n">
        <v>0.000126</v>
      </c>
      <c r="O610" s="13" t="n">
        <v>0.4984</v>
      </c>
      <c r="P610" s="13" t="n">
        <v>0.03883</v>
      </c>
      <c r="Q610" s="13" t="n">
        <v>0.003543</v>
      </c>
      <c r="R610" s="13" t="n">
        <v>0.035287</v>
      </c>
      <c r="S610" s="13" t="n">
        <v>0.08359999999999999</v>
      </c>
      <c r="T610" s="13" t="n">
        <v>-0.139241</v>
      </c>
      <c r="U610" s="13" t="n">
        <v>-0.131496</v>
      </c>
      <c r="V610" s="13" t="n">
        <v>-0.007745</v>
      </c>
      <c r="W610" s="13" t="n">
        <v>0.4857</v>
      </c>
      <c r="X610" s="13" t="n">
        <v>-0.117758</v>
      </c>
      <c r="Y610" s="13" t="n">
        <v>-0.045276</v>
      </c>
      <c r="Z610" s="13" t="n">
        <v>-0.072482</v>
      </c>
      <c r="AA610" s="13" t="n">
        <v>0.2777</v>
      </c>
    </row>
    <row r="611">
      <c r="A611" s="6" t="inlineStr">
        <is>
          <t>2025-02-26</t>
        </is>
      </c>
      <c r="B611" s="6" t="inlineStr">
        <is>
          <t>中间分位</t>
        </is>
      </c>
      <c r="C611" s="10" t="n">
        <v>0.464</v>
      </c>
      <c r="D611" s="8" t="n">
        <v>0.005469</v>
      </c>
      <c r="E611" s="8" t="n">
        <v>0.013307</v>
      </c>
      <c r="F611" s="8" t="n">
        <v>-0.007837999999999999</v>
      </c>
      <c r="G611" s="8" t="n">
        <v>0.7087</v>
      </c>
      <c r="H611" s="8" t="n">
        <v>0.023494</v>
      </c>
      <c r="I611" s="8" t="n">
        <v>0.01409</v>
      </c>
      <c r="J611" s="8" t="n">
        <v>0.009403999999999999</v>
      </c>
      <c r="K611" s="8" t="n">
        <v>0.3749</v>
      </c>
      <c r="L611" s="8" t="n">
        <v>0.031218</v>
      </c>
      <c r="M611" s="8" t="n">
        <v>-0.01135</v>
      </c>
      <c r="N611" s="8" t="n">
        <v>0.042568</v>
      </c>
      <c r="O611" s="8" t="n">
        <v>0.2666</v>
      </c>
      <c r="P611" s="8" t="n">
        <v>0.030898</v>
      </c>
      <c r="Q611" s="8" t="n">
        <v>-0.001174</v>
      </c>
      <c r="R611" s="8" t="n">
        <v>0.032072</v>
      </c>
      <c r="S611" s="8" t="n">
        <v>0.0366</v>
      </c>
      <c r="T611" s="8" t="n">
        <v>-0.132444</v>
      </c>
      <c r="U611" s="8" t="n">
        <v>-0.131898</v>
      </c>
      <c r="V611" s="8" t="n">
        <v>-0.000546</v>
      </c>
      <c r="W611" s="8" t="n">
        <v>0.499</v>
      </c>
      <c r="X611" s="8" t="n">
        <v>-0.108274</v>
      </c>
      <c r="Y611" s="8" t="n">
        <v>-0.058708</v>
      </c>
      <c r="Z611" s="8" t="n">
        <v>-0.049566</v>
      </c>
      <c r="AA611" s="8" t="n">
        <v>0.3516</v>
      </c>
    </row>
    <row r="612">
      <c r="A612" s="11" t="inlineStr">
        <is>
          <t>2025-02-27</t>
        </is>
      </c>
      <c r="B612" s="11" t="inlineStr">
        <is>
          <t>中间分位</t>
        </is>
      </c>
      <c r="C612" s="15" t="n">
        <v>0.352</v>
      </c>
      <c r="D612" s="13" t="n">
        <v>0.011846</v>
      </c>
      <c r="E612" s="13" t="n">
        <v>-0.001159</v>
      </c>
      <c r="F612" s="13" t="n">
        <v>0.013005</v>
      </c>
      <c r="G612" s="13" t="n">
        <v>0.0891</v>
      </c>
      <c r="H612" s="13" t="n">
        <v>0.015688</v>
      </c>
      <c r="I612" s="13" t="n">
        <v>-0.006952</v>
      </c>
      <c r="J612" s="13" t="n">
        <v>0.02264</v>
      </c>
      <c r="K612" s="13" t="n">
        <v>0.3071</v>
      </c>
      <c r="L612" s="13" t="n">
        <v>0.008965000000000001</v>
      </c>
      <c r="M612" s="13" t="n">
        <v>-0.019312</v>
      </c>
      <c r="N612" s="13" t="n">
        <v>0.028277</v>
      </c>
      <c r="O612" s="13" t="n">
        <v>0.6830000000000001</v>
      </c>
      <c r="P612" s="13" t="n">
        <v>0.029132</v>
      </c>
      <c r="Q612" s="13" t="n">
        <v>-0.010042</v>
      </c>
      <c r="R612" s="13" t="n">
        <v>0.039174</v>
      </c>
      <c r="S612" s="13" t="n">
        <v>0.2563</v>
      </c>
      <c r="T612" s="13" t="n">
        <v>-0.136875</v>
      </c>
      <c r="U612" s="13" t="n">
        <v>-0.147161</v>
      </c>
      <c r="V612" s="13" t="n">
        <v>0.010286</v>
      </c>
      <c r="W612" s="13" t="n">
        <v>0.5181</v>
      </c>
      <c r="X612" s="13" t="n">
        <v>-0.114596</v>
      </c>
      <c r="Y612" s="13" t="n">
        <v>-0.063731</v>
      </c>
      <c r="Z612" s="13" t="n">
        <v>-0.050865</v>
      </c>
      <c r="AA612" s="13" t="n">
        <v>0.3574</v>
      </c>
    </row>
    <row r="613">
      <c r="A613" s="6" t="inlineStr">
        <is>
          <t>2025-02-28</t>
        </is>
      </c>
      <c r="B613" s="6" t="inlineStr">
        <is>
          <t>中间分位</t>
        </is>
      </c>
      <c r="C613" s="10" t="n">
        <v>0.516</v>
      </c>
      <c r="D613" s="8" t="n">
        <v>-0.001898</v>
      </c>
      <c r="E613" s="8" t="n">
        <v>0.007734</v>
      </c>
      <c r="F613" s="8" t="n">
        <v>-0.009632</v>
      </c>
      <c r="G613" s="8" t="n">
        <v>0.8028999999999999</v>
      </c>
      <c r="H613" s="8" t="n">
        <v>0.005694</v>
      </c>
      <c r="I613" s="8" t="n">
        <v>0.001933</v>
      </c>
      <c r="J613" s="8" t="n">
        <v>0.003761</v>
      </c>
      <c r="K613" s="8" t="n">
        <v>0.2534</v>
      </c>
      <c r="L613" s="8" t="n">
        <v>-0.002217</v>
      </c>
      <c r="M613" s="8" t="n">
        <v>0.001933</v>
      </c>
      <c r="N613" s="8" t="n">
        <v>-0.00415</v>
      </c>
      <c r="O613" s="8" t="n">
        <v>0.4658</v>
      </c>
      <c r="P613" s="8" t="n">
        <v>0.021195</v>
      </c>
      <c r="Q613" s="8" t="n">
        <v>-0.017401</v>
      </c>
      <c r="R613" s="8" t="n">
        <v>0.038596</v>
      </c>
      <c r="S613" s="8" t="n">
        <v>0.4508</v>
      </c>
      <c r="T613" s="8" t="n">
        <v>-0.145841</v>
      </c>
      <c r="U613" s="8" t="n">
        <v>-0.139598</v>
      </c>
      <c r="V613" s="8" t="n">
        <v>-0.006243</v>
      </c>
      <c r="W613" s="8" t="n">
        <v>0.4891</v>
      </c>
      <c r="X613" s="8" t="n">
        <v>-0.124328</v>
      </c>
      <c r="Y613" s="8" t="n">
        <v>-0.07385899999999999</v>
      </c>
      <c r="Z613" s="8" t="n">
        <v>-0.050469</v>
      </c>
      <c r="AA613" s="8" t="n">
        <v>0.3727</v>
      </c>
    </row>
    <row r="614">
      <c r="A614" s="11" t="inlineStr">
        <is>
          <t>2025-03-03</t>
        </is>
      </c>
      <c r="B614" s="11" t="inlineStr">
        <is>
          <t>中间分位</t>
        </is>
      </c>
      <c r="C614" s="15" t="n">
        <v>0.4</v>
      </c>
      <c r="D614" s="13" t="n">
        <v>0.005705</v>
      </c>
      <c r="E614" s="13" t="n">
        <v>0.000384</v>
      </c>
      <c r="F614" s="13" t="n">
        <v>0.005321</v>
      </c>
      <c r="G614" s="13" t="n">
        <v>0.0631</v>
      </c>
      <c r="H614" s="13" t="n">
        <v>0.015214</v>
      </c>
      <c r="I614" s="13" t="n">
        <v>-0.005756</v>
      </c>
      <c r="J614" s="13" t="n">
        <v>0.02097</v>
      </c>
      <c r="K614" s="13" t="n">
        <v>0.2745</v>
      </c>
      <c r="L614" s="13" t="n">
        <v>0.01046</v>
      </c>
      <c r="M614" s="13" t="n">
        <v>-0.014965</v>
      </c>
      <c r="N614" s="13" t="n">
        <v>0.025425</v>
      </c>
      <c r="O614" s="13" t="n">
        <v>0.5886</v>
      </c>
      <c r="P614" s="13" t="n">
        <v>0.009509</v>
      </c>
      <c r="Q614" s="13" t="n">
        <v>-0.048734</v>
      </c>
      <c r="R614" s="13" t="n">
        <v>0.058243</v>
      </c>
      <c r="S614" s="13" t="n">
        <v>0.8367</v>
      </c>
      <c r="T614" s="13" t="n">
        <v>-0.127862</v>
      </c>
      <c r="U614" s="13" t="n">
        <v>-0.128933</v>
      </c>
      <c r="V614" s="13" t="n">
        <v>0.001071</v>
      </c>
      <c r="W614" s="13" t="n">
        <v>0.5021</v>
      </c>
      <c r="X614" s="13" t="n">
        <v>-0.126466</v>
      </c>
      <c r="Y614" s="13" t="n">
        <v>-0.089793</v>
      </c>
      <c r="Z614" s="13" t="n">
        <v>-0.036673</v>
      </c>
      <c r="AA614" s="13" t="n">
        <v>0.4152</v>
      </c>
    </row>
    <row r="615">
      <c r="A615" s="6" t="inlineStr">
        <is>
          <t>2025-03-04</t>
        </is>
      </c>
      <c r="B615" s="6" t="inlineStr">
        <is>
          <t>中间分位</t>
        </is>
      </c>
      <c r="C615" s="10" t="n">
        <v>0.484</v>
      </c>
      <c r="D615" s="8" t="n">
        <v>0.002205</v>
      </c>
      <c r="E615" s="8" t="n">
        <v>-0.006137</v>
      </c>
      <c r="F615" s="8" t="n">
        <v>0.008342</v>
      </c>
      <c r="G615" s="8" t="n">
        <v>0.7357</v>
      </c>
      <c r="H615" s="8" t="n">
        <v>0.009455</v>
      </c>
      <c r="I615" s="8" t="n">
        <v>-0.006904</v>
      </c>
      <c r="J615" s="8" t="n">
        <v>0.016359</v>
      </c>
      <c r="K615" s="8" t="n">
        <v>0.422</v>
      </c>
      <c r="L615" s="8" t="n">
        <v>0.009769</v>
      </c>
      <c r="M615" s="8" t="n">
        <v>-0.028769</v>
      </c>
      <c r="N615" s="8" t="n">
        <v>0.038538</v>
      </c>
      <c r="O615" s="8" t="n">
        <v>0.7465000000000001</v>
      </c>
      <c r="P615" s="8" t="n">
        <v>-0.020487</v>
      </c>
      <c r="Q615" s="8" t="n">
        <v>-0.046414</v>
      </c>
      <c r="R615" s="8" t="n">
        <v>0.025927</v>
      </c>
      <c r="S615" s="8" t="n">
        <v>0.6938</v>
      </c>
      <c r="T615" s="8" t="n">
        <v>-0.132809</v>
      </c>
      <c r="U615" s="8" t="n">
        <v>-0.133487</v>
      </c>
      <c r="V615" s="8" t="n">
        <v>0.000678</v>
      </c>
      <c r="W615" s="8" t="n">
        <v>0.5013</v>
      </c>
      <c r="X615" s="8" t="n">
        <v>-0.14844</v>
      </c>
      <c r="Y615" s="8" t="n">
        <v>-0.089758</v>
      </c>
      <c r="Z615" s="8" t="n">
        <v>-0.058682</v>
      </c>
      <c r="AA615" s="8" t="n">
        <v>0.3768</v>
      </c>
    </row>
    <row r="616">
      <c r="A616" s="11" t="inlineStr">
        <is>
          <t>2025-03-05</t>
        </is>
      </c>
      <c r="B616" s="11" t="inlineStr">
        <is>
          <t>中间分位</t>
        </is>
      </c>
      <c r="C616" s="15" t="n">
        <v>0.58</v>
      </c>
      <c r="D616" s="13" t="n">
        <v>-0.0022</v>
      </c>
      <c r="E616" s="13" t="n">
        <v>-0.007719</v>
      </c>
      <c r="F616" s="13" t="n">
        <v>0.005519</v>
      </c>
      <c r="G616" s="13" t="n">
        <v>0.7782</v>
      </c>
      <c r="H616" s="13" t="n">
        <v>0.007547</v>
      </c>
      <c r="I616" s="13" t="n">
        <v>-0.025087</v>
      </c>
      <c r="J616" s="13" t="n">
        <v>0.032634</v>
      </c>
      <c r="K616" s="13" t="n">
        <v>0.7687</v>
      </c>
      <c r="L616" s="13" t="n">
        <v>0.001574</v>
      </c>
      <c r="M616" s="13" t="n">
        <v>-0.020841</v>
      </c>
      <c r="N616" s="13" t="n">
        <v>0.022415</v>
      </c>
      <c r="O616" s="13" t="n">
        <v>0.9298</v>
      </c>
      <c r="P616" s="13" t="n">
        <v>-0.026415</v>
      </c>
      <c r="Q616" s="13" t="n">
        <v>-0.041297</v>
      </c>
      <c r="R616" s="13" t="n">
        <v>0.014882</v>
      </c>
      <c r="S616" s="13" t="n">
        <v>0.6099</v>
      </c>
      <c r="T616" s="13" t="n">
        <v>-0.131321</v>
      </c>
      <c r="U616" s="13" t="n">
        <v>-0.126206</v>
      </c>
      <c r="V616" s="13" t="n">
        <v>-0.005115</v>
      </c>
      <c r="W616" s="13" t="n">
        <v>0.4901</v>
      </c>
      <c r="X616" s="13" t="n">
        <v>-0.152517</v>
      </c>
      <c r="Y616" s="13" t="n">
        <v>-0.088769</v>
      </c>
      <c r="Z616" s="13" t="n">
        <v>-0.063748</v>
      </c>
      <c r="AA616" s="13" t="n">
        <v>0.3679</v>
      </c>
    </row>
    <row r="617">
      <c r="A617" s="6" t="inlineStr">
        <is>
          <t>2025-03-06</t>
        </is>
      </c>
      <c r="B617" s="6" t="inlineStr">
        <is>
          <t>中间分位</t>
        </is>
      </c>
      <c r="C617" s="10" t="n">
        <v>0.636</v>
      </c>
      <c r="D617" s="8" t="n">
        <v>0.001891</v>
      </c>
      <c r="E617" s="8" t="n">
        <v>0.007779</v>
      </c>
      <c r="F617" s="8" t="n">
        <v>-0.005888</v>
      </c>
      <c r="G617" s="8" t="n">
        <v>0.8044</v>
      </c>
      <c r="H617" s="8" t="n">
        <v>-0.006618</v>
      </c>
      <c r="I617" s="8" t="n">
        <v>-0.012447</v>
      </c>
      <c r="J617" s="8" t="n">
        <v>0.005829</v>
      </c>
      <c r="K617" s="8" t="n">
        <v>0.6529</v>
      </c>
      <c r="L617" s="8" t="n">
        <v>0.009136999999999999</v>
      </c>
      <c r="M617" s="8" t="n">
        <v>-0.004667</v>
      </c>
      <c r="N617" s="8" t="n">
        <v>0.013804</v>
      </c>
      <c r="O617" s="8" t="n">
        <v>0.3381</v>
      </c>
      <c r="P617" s="8" t="n">
        <v>-0.026159</v>
      </c>
      <c r="Q617" s="8" t="n">
        <v>-0.045508</v>
      </c>
      <c r="R617" s="8" t="n">
        <v>0.019349</v>
      </c>
      <c r="S617" s="8" t="n">
        <v>0.635</v>
      </c>
      <c r="T617" s="8" t="n">
        <v>-0.125245</v>
      </c>
      <c r="U617" s="8" t="n">
        <v>-0.114352</v>
      </c>
      <c r="V617" s="8" t="n">
        <v>-0.010893</v>
      </c>
      <c r="W617" s="8" t="n">
        <v>0.4773</v>
      </c>
      <c r="X617" s="8" t="n">
        <v>-0.155376</v>
      </c>
      <c r="Y617" s="8" t="n">
        <v>-0.07234500000000001</v>
      </c>
      <c r="Z617" s="8" t="n">
        <v>-0.08303099999999999</v>
      </c>
      <c r="AA617" s="8" t="n">
        <v>0.3177</v>
      </c>
    </row>
    <row r="618">
      <c r="A618" s="11" t="inlineStr">
        <is>
          <t>2025-03-07</t>
        </is>
      </c>
      <c r="B618" s="11" t="inlineStr">
        <is>
          <t>中间分位</t>
        </is>
      </c>
      <c r="C618" s="15" t="n">
        <v>0.58</v>
      </c>
      <c r="D618" s="13" t="n">
        <v>0.00755</v>
      </c>
      <c r="E618" s="13" t="n">
        <v>0</v>
      </c>
      <c r="F618" s="13" t="n">
        <v>0.00755</v>
      </c>
      <c r="G618" s="13" t="n">
        <v>0</v>
      </c>
      <c r="H618" s="13" t="n">
        <v>-0.007867000000000001</v>
      </c>
      <c r="I618" s="13" t="n">
        <v>0</v>
      </c>
      <c r="J618" s="13" t="n">
        <v>-0.007867000000000001</v>
      </c>
      <c r="K618" s="13" t="n">
        <v>0</v>
      </c>
      <c r="L618" s="13" t="n">
        <v>0.016986</v>
      </c>
      <c r="M618" s="13" t="n">
        <v>-0.01428</v>
      </c>
      <c r="N618" s="13" t="n">
        <v>0.031266</v>
      </c>
      <c r="O618" s="13" t="n">
        <v>0.4567</v>
      </c>
      <c r="P618" s="13" t="n">
        <v>-0.037434</v>
      </c>
      <c r="Q618" s="13" t="n">
        <v>-0.08298</v>
      </c>
      <c r="R618" s="13" t="n">
        <v>0.045546</v>
      </c>
      <c r="S618" s="13" t="n">
        <v>0.6891</v>
      </c>
      <c r="T618" s="13" t="n">
        <v>-0.120102</v>
      </c>
      <c r="U618" s="13" t="n">
        <v>-0.121575</v>
      </c>
      <c r="V618" s="13" t="n">
        <v>0.001473</v>
      </c>
      <c r="W618" s="13" t="n">
        <v>0.503</v>
      </c>
      <c r="X618" s="13" t="n">
        <v>-0.14942</v>
      </c>
      <c r="Y618" s="13" t="n">
        <v>-0.084523</v>
      </c>
      <c r="Z618" s="13" t="n">
        <v>-0.064897</v>
      </c>
      <c r="AA618" s="13" t="n">
        <v>0.3613</v>
      </c>
    </row>
    <row r="619">
      <c r="A619" s="6" t="inlineStr">
        <is>
          <t>2025-03-10</t>
        </is>
      </c>
      <c r="B619" s="6" t="inlineStr">
        <is>
          <t>中间分位</t>
        </is>
      </c>
      <c r="C619" s="10" t="n">
        <v>0.656</v>
      </c>
      <c r="D619" s="8" t="n">
        <v>0</v>
      </c>
      <c r="E619" s="8" t="n">
        <v>-0.000772</v>
      </c>
      <c r="F619" s="8" t="n">
        <v>0.000772</v>
      </c>
      <c r="G619" s="8" t="n">
        <v>1</v>
      </c>
      <c r="H619" s="8" t="n">
        <v>-0.004683</v>
      </c>
      <c r="I619" s="8" t="n">
        <v>-0.009263</v>
      </c>
      <c r="J619" s="8" t="n">
        <v>0.00458</v>
      </c>
      <c r="K619" s="8" t="n">
        <v>0.6642</v>
      </c>
      <c r="L619" s="8" t="n">
        <v>0.009365999999999999</v>
      </c>
      <c r="M619" s="8" t="n">
        <v>-0.001544</v>
      </c>
      <c r="N619" s="8" t="n">
        <v>0.01091</v>
      </c>
      <c r="O619" s="8" t="n">
        <v>0.1415</v>
      </c>
      <c r="P619" s="8" t="n">
        <v>-0.064316</v>
      </c>
      <c r="Q619" s="8" t="n">
        <v>-0.092242</v>
      </c>
      <c r="R619" s="8" t="n">
        <v>0.027926</v>
      </c>
      <c r="S619" s="8" t="n">
        <v>0.5891999999999999</v>
      </c>
      <c r="T619" s="8" t="n">
        <v>-0.109086</v>
      </c>
      <c r="U619" s="8" t="n">
        <v>-0.119259</v>
      </c>
      <c r="V619" s="8" t="n">
        <v>0.010173</v>
      </c>
      <c r="W619" s="8" t="n">
        <v>0.5223</v>
      </c>
      <c r="X619" s="8" t="n">
        <v>-0.161099</v>
      </c>
      <c r="Y619" s="8" t="n">
        <v>-0.080664</v>
      </c>
      <c r="Z619" s="8" t="n">
        <v>-0.08043500000000001</v>
      </c>
      <c r="AA619" s="8" t="n">
        <v>0.3336</v>
      </c>
    </row>
    <row r="620">
      <c r="A620" s="11" t="inlineStr">
        <is>
          <t>2025-03-11</t>
        </is>
      </c>
      <c r="B620" s="11" t="inlineStr">
        <is>
          <t>中间分位</t>
        </is>
      </c>
      <c r="C620" s="15" t="n">
        <v>0.672</v>
      </c>
      <c r="D620" s="13" t="n">
        <v>0.000311</v>
      </c>
      <c r="E620" s="13" t="n">
        <v>-0.024334</v>
      </c>
      <c r="F620" s="13" t="n">
        <v>0.024645</v>
      </c>
      <c r="G620" s="13" t="n">
        <v>0.9874000000000001</v>
      </c>
      <c r="H620" s="13" t="n">
        <v>0.000311</v>
      </c>
      <c r="I620" s="13" t="n">
        <v>-0.022016</v>
      </c>
      <c r="J620" s="13" t="n">
        <v>0.022327</v>
      </c>
      <c r="K620" s="13" t="n">
        <v>0.9861</v>
      </c>
      <c r="L620" s="13" t="n">
        <v>0.019043</v>
      </c>
      <c r="M620" s="13" t="n">
        <v>-0.01545</v>
      </c>
      <c r="N620" s="13" t="n">
        <v>0.034493</v>
      </c>
      <c r="O620" s="13" t="n">
        <v>0.4479</v>
      </c>
      <c r="P620" s="13" t="n">
        <v>-0.074619</v>
      </c>
      <c r="Q620" s="13" t="n">
        <v>-0.10506</v>
      </c>
      <c r="R620" s="13" t="n">
        <v>0.030441</v>
      </c>
      <c r="S620" s="13" t="n">
        <v>0.5847</v>
      </c>
      <c r="T620" s="13" t="n">
        <v>-0.114706</v>
      </c>
      <c r="U620" s="13" t="n">
        <v>-0.115489</v>
      </c>
      <c r="V620" s="13" t="n">
        <v>0.000783</v>
      </c>
      <c r="W620" s="13" t="n">
        <v>0.5017</v>
      </c>
      <c r="X620" s="13" t="n">
        <v>-0.15954</v>
      </c>
      <c r="Y620" s="13" t="n">
        <v>-0.081499</v>
      </c>
      <c r="Z620" s="13" t="n">
        <v>-0.078041</v>
      </c>
      <c r="AA620" s="13" t="n">
        <v>0.3381</v>
      </c>
    </row>
    <row r="621">
      <c r="A621" s="6" t="inlineStr">
        <is>
          <t>2025-03-12</t>
        </is>
      </c>
      <c r="B621" s="6" t="inlineStr">
        <is>
          <t>中间分位</t>
        </is>
      </c>
      <c r="C621" s="10" t="n">
        <v>0.856</v>
      </c>
      <c r="D621" s="8" t="n">
        <v>-0.016228</v>
      </c>
      <c r="E621" s="8" t="n">
        <v>0.005146</v>
      </c>
      <c r="F621" s="8" t="n">
        <v>-0.021374</v>
      </c>
      <c r="G621" s="8" t="n">
        <v>0.2408</v>
      </c>
      <c r="H621" s="8" t="n">
        <v>-0.005929</v>
      </c>
      <c r="I621" s="8" t="n">
        <v>0.004355</v>
      </c>
      <c r="J621" s="8" t="n">
        <v>-0.010284</v>
      </c>
      <c r="K621" s="8" t="n">
        <v>0.4235</v>
      </c>
      <c r="L621" s="8" t="n">
        <v>-0.000311</v>
      </c>
      <c r="M621" s="8" t="n">
        <v>0.010293</v>
      </c>
      <c r="N621" s="8" t="n">
        <v>-0.010604</v>
      </c>
      <c r="O621" s="8" t="n">
        <v>0.9707</v>
      </c>
      <c r="P621" s="8" t="n">
        <v>-0.049625</v>
      </c>
      <c r="Q621" s="8" t="n">
        <v>-0.085511</v>
      </c>
      <c r="R621" s="8" t="n">
        <v>0.035886</v>
      </c>
      <c r="S621" s="8" t="n">
        <v>0.6328</v>
      </c>
      <c r="T621" s="8" t="n">
        <v>-0.115356</v>
      </c>
      <c r="U621" s="8" t="n">
        <v>-0.054236</v>
      </c>
      <c r="V621" s="8" t="n">
        <v>-0.06112</v>
      </c>
      <c r="W621" s="8" t="n">
        <v>0.3198</v>
      </c>
      <c r="X621" s="8" t="n">
        <v>-0.158865</v>
      </c>
      <c r="Y621" s="8" t="n">
        <v>-0.043943</v>
      </c>
      <c r="Z621" s="8" t="n">
        <v>-0.114922</v>
      </c>
      <c r="AA621" s="8" t="n">
        <v>0.2167</v>
      </c>
    </row>
    <row r="622">
      <c r="A622" s="11" t="inlineStr">
        <is>
          <t>2025-03-13</t>
        </is>
      </c>
      <c r="B622" s="11" t="inlineStr">
        <is>
          <t>中间分位</t>
        </is>
      </c>
      <c r="C622" s="15" t="n">
        <v>0.708</v>
      </c>
      <c r="D622" s="13" t="n">
        <v>0.000632</v>
      </c>
      <c r="E622" s="13" t="n">
        <v>0.020481</v>
      </c>
      <c r="F622" s="13" t="n">
        <v>-0.019849</v>
      </c>
      <c r="G622" s="13" t="n">
        <v>0.9701</v>
      </c>
      <c r="H622" s="13" t="n">
        <v>0.01586</v>
      </c>
      <c r="I622" s="13" t="n">
        <v>0.007877</v>
      </c>
      <c r="J622" s="13" t="n">
        <v>0.007983000000000001</v>
      </c>
      <c r="K622" s="13" t="n">
        <v>0.3318</v>
      </c>
      <c r="L622" s="13" t="n">
        <v>0.019987</v>
      </c>
      <c r="M622" s="13" t="n">
        <v>0.009453</v>
      </c>
      <c r="N622" s="13" t="n">
        <v>0.010534</v>
      </c>
      <c r="O622" s="13" t="n">
        <v>0.3211</v>
      </c>
      <c r="P622" s="13" t="n">
        <v>-0.054887</v>
      </c>
      <c r="Q622" s="13" t="n">
        <v>-0.099646</v>
      </c>
      <c r="R622" s="13" t="n">
        <v>0.044759</v>
      </c>
      <c r="S622" s="13" t="n">
        <v>0.6448</v>
      </c>
      <c r="T622" s="13" t="n">
        <v>-0.054316</v>
      </c>
      <c r="U622" s="13" t="n">
        <v>-0.029539</v>
      </c>
      <c r="V622" s="13" t="n">
        <v>-0.024777</v>
      </c>
      <c r="W622" s="13" t="n">
        <v>0.3523</v>
      </c>
      <c r="X622" s="13" t="n">
        <v>-0.135152</v>
      </c>
      <c r="Y622" s="13" t="n">
        <v>-0.051595</v>
      </c>
      <c r="Z622" s="13" t="n">
        <v>-0.08355700000000001</v>
      </c>
      <c r="AA622" s="13" t="n">
        <v>0.2763</v>
      </c>
    </row>
    <row r="623">
      <c r="A623" s="6" t="inlineStr">
        <is>
          <t>2025-03-14</t>
        </is>
      </c>
      <c r="B623" s="6" t="inlineStr">
        <is>
          <t>中间分位</t>
        </is>
      </c>
      <c r="C623" s="10" t="n">
        <v>0.488</v>
      </c>
      <c r="D623" s="8" t="n">
        <v>0.010783</v>
      </c>
      <c r="E623" s="8" t="n">
        <v>-0.009263</v>
      </c>
      <c r="F623" s="8" t="n">
        <v>0.020046</v>
      </c>
      <c r="G623" s="8" t="n">
        <v>0.4621</v>
      </c>
      <c r="H623" s="8" t="n">
        <v>0.02505</v>
      </c>
      <c r="I623" s="8" t="n">
        <v>-0.01428</v>
      </c>
      <c r="J623" s="8" t="n">
        <v>0.03933</v>
      </c>
      <c r="K623" s="8" t="n">
        <v>0.3631</v>
      </c>
      <c r="L623" s="8" t="n">
        <v>0.023464</v>
      </c>
      <c r="M623" s="8" t="n">
        <v>-0.019298</v>
      </c>
      <c r="N623" s="8" t="n">
        <v>0.042762</v>
      </c>
      <c r="O623" s="8" t="n">
        <v>0.4513</v>
      </c>
      <c r="P623" s="8" t="n">
        <v>-0.06451999999999999</v>
      </c>
      <c r="Q623" s="8" t="n">
        <v>-0.121189</v>
      </c>
      <c r="R623" s="8" t="n">
        <v>0.056669</v>
      </c>
      <c r="S623" s="8" t="n">
        <v>0.6526</v>
      </c>
      <c r="T623" s="8" t="n">
        <v>-0.01192</v>
      </c>
      <c r="U623" s="8" t="n">
        <v>-0.052489</v>
      </c>
      <c r="V623" s="8" t="n">
        <v>0.040569</v>
      </c>
      <c r="W623" s="8" t="n">
        <v>0.8149</v>
      </c>
      <c r="X623" s="8" t="n">
        <v>-0.135698</v>
      </c>
      <c r="Y623" s="8" t="n">
        <v>-0.074489</v>
      </c>
      <c r="Z623" s="8" t="n">
        <v>-0.061209</v>
      </c>
      <c r="AA623" s="8" t="n">
        <v>0.3544</v>
      </c>
    </row>
    <row r="624">
      <c r="A624" s="11" t="inlineStr">
        <is>
          <t>2025-03-17</t>
        </is>
      </c>
      <c r="B624" s="11" t="inlineStr">
        <is>
          <t>中间分位</t>
        </is>
      </c>
      <c r="C624" s="15" t="n">
        <v>0.72</v>
      </c>
      <c r="D624" s="13" t="n">
        <v>0.005018</v>
      </c>
      <c r="E624" s="13" t="n">
        <v>-0.013635</v>
      </c>
      <c r="F624" s="13" t="n">
        <v>0.018653</v>
      </c>
      <c r="G624" s="13" t="n">
        <v>0.731</v>
      </c>
      <c r="H624" s="13" t="n">
        <v>0.014115</v>
      </c>
      <c r="I624" s="13" t="n">
        <v>0.007791</v>
      </c>
      <c r="J624" s="13" t="n">
        <v>0.006324</v>
      </c>
      <c r="K624" s="13" t="n">
        <v>0.3557</v>
      </c>
      <c r="L624" s="13" t="n">
        <v>-0.000941</v>
      </c>
      <c r="M624" s="13" t="n">
        <v>-0.034281</v>
      </c>
      <c r="N624" s="13" t="n">
        <v>0.03334</v>
      </c>
      <c r="O624" s="13" t="n">
        <v>0.9733000000000001</v>
      </c>
      <c r="P624" s="13" t="n">
        <v>-0.08014499999999999</v>
      </c>
      <c r="Q624" s="13" t="n">
        <v>-0.118816</v>
      </c>
      <c r="R624" s="13" t="n">
        <v>0.038671</v>
      </c>
      <c r="S624" s="13" t="n">
        <v>0.5972</v>
      </c>
      <c r="T624" s="13" t="n">
        <v>-0.004016</v>
      </c>
      <c r="U624" s="13" t="n">
        <v>-0.019478</v>
      </c>
      <c r="V624" s="13" t="n">
        <v>0.015462</v>
      </c>
      <c r="W624" s="13" t="n">
        <v>0.8290999999999999</v>
      </c>
      <c r="X624" s="13" t="n">
        <v>-0.1426</v>
      </c>
      <c r="Y624" s="13" t="n">
        <v>-0.06233</v>
      </c>
      <c r="Z624" s="13" t="n">
        <v>-0.08026999999999999</v>
      </c>
      <c r="AA624" s="13" t="n">
        <v>0.3042</v>
      </c>
    </row>
    <row r="625">
      <c r="A625" s="6" t="inlineStr">
        <is>
          <t>2025-03-18</t>
        </is>
      </c>
      <c r="B625" s="6" t="inlineStr">
        <is>
          <t>中间分位</t>
        </is>
      </c>
      <c r="C625" s="10" t="n">
        <v>0.86</v>
      </c>
      <c r="D625" s="8" t="n">
        <v>-0.005929</v>
      </c>
      <c r="E625" s="8" t="n">
        <v>0.001975</v>
      </c>
      <c r="F625" s="8" t="n">
        <v>-0.007904</v>
      </c>
      <c r="G625" s="8" t="n">
        <v>0.2499</v>
      </c>
      <c r="H625" s="8" t="n">
        <v>0.018727</v>
      </c>
      <c r="I625" s="8" t="n">
        <v>0.006714</v>
      </c>
      <c r="J625" s="8" t="n">
        <v>0.012013</v>
      </c>
      <c r="K625" s="8" t="n">
        <v>0.2639</v>
      </c>
      <c r="L625" s="8" t="n">
        <v>-0.029963</v>
      </c>
      <c r="M625" s="8" t="n">
        <v>-0.018167</v>
      </c>
      <c r="N625" s="8" t="n">
        <v>-0.011796</v>
      </c>
      <c r="O625" s="8" t="n">
        <v>0.3775</v>
      </c>
      <c r="P625" s="8" t="n">
        <v>-0.082397</v>
      </c>
      <c r="Q625" s="8" t="n">
        <v>-0.116114</v>
      </c>
      <c r="R625" s="8" t="n">
        <v>0.033717</v>
      </c>
      <c r="S625" s="8" t="n">
        <v>0.5849</v>
      </c>
      <c r="T625" s="8" t="n">
        <v>0.016105</v>
      </c>
      <c r="U625" s="8" t="n">
        <v>0.004344</v>
      </c>
      <c r="V625" s="8" t="n">
        <v>0.011761</v>
      </c>
      <c r="W625" s="8" t="n">
        <v>0.2124</v>
      </c>
      <c r="X625" s="8" t="n">
        <v>-0.139824</v>
      </c>
      <c r="Y625" s="8" t="n">
        <v>-0.057267</v>
      </c>
      <c r="Z625" s="8" t="n">
        <v>-0.08255700000000001</v>
      </c>
      <c r="AA625" s="8" t="n">
        <v>0.2906</v>
      </c>
    </row>
    <row r="626">
      <c r="A626" s="11" t="inlineStr">
        <is>
          <t>2025-03-19</t>
        </is>
      </c>
      <c r="B626" s="11" t="inlineStr">
        <is>
          <t>中间分位</t>
        </is>
      </c>
      <c r="C626" s="15" t="n">
        <v>0.824</v>
      </c>
      <c r="D626" s="13" t="n">
        <v>0.005335</v>
      </c>
      <c r="E626" s="13" t="n">
        <v>0.008671999999999999</v>
      </c>
      <c r="F626" s="13" t="n">
        <v>-0.003337</v>
      </c>
      <c r="G626" s="13" t="n">
        <v>0.6191</v>
      </c>
      <c r="H626" s="13" t="n">
        <v>0.005651</v>
      </c>
      <c r="I626" s="13" t="n">
        <v>0.005912</v>
      </c>
      <c r="J626" s="13" t="n">
        <v>-0.000261</v>
      </c>
      <c r="K626" s="13" t="n">
        <v>0.5113</v>
      </c>
      <c r="L626" s="13" t="n">
        <v>-0.027945</v>
      </c>
      <c r="M626" s="13" t="n">
        <v>-0.020891</v>
      </c>
      <c r="N626" s="13" t="n">
        <v>-0.007054</v>
      </c>
      <c r="O626" s="13" t="n">
        <v>0.4278</v>
      </c>
      <c r="P626" s="13" t="n">
        <v>-0.09435</v>
      </c>
      <c r="Q626" s="13" t="n">
        <v>-0.106819</v>
      </c>
      <c r="R626" s="13" t="n">
        <v>0.012469</v>
      </c>
      <c r="S626" s="13" t="n">
        <v>0.531</v>
      </c>
      <c r="T626" s="13" t="n">
        <v>0.04138</v>
      </c>
      <c r="U626" s="13" t="n">
        <v>-0.003153</v>
      </c>
      <c r="V626" s="13" t="n">
        <v>0.044533</v>
      </c>
      <c r="W626" s="13" t="n">
        <v>0.0708</v>
      </c>
      <c r="X626" s="13" t="n">
        <v>-0.137207</v>
      </c>
      <c r="Y626" s="13" t="n">
        <v>-0.062278</v>
      </c>
      <c r="Z626" s="13" t="n">
        <v>-0.074929</v>
      </c>
      <c r="AA626" s="13" t="n">
        <v>0.3122</v>
      </c>
    </row>
    <row r="627">
      <c r="A627" s="6" t="inlineStr">
        <is>
          <t>2025-03-20</t>
        </is>
      </c>
      <c r="B627" s="6" t="inlineStr">
        <is>
          <t>中间分位</t>
        </is>
      </c>
      <c r="C627" s="10" t="n">
        <v>0.792</v>
      </c>
      <c r="D627" s="8" t="n">
        <v>0.009684</v>
      </c>
      <c r="E627" s="8" t="n">
        <v>-0.001954</v>
      </c>
      <c r="F627" s="8" t="n">
        <v>0.011638</v>
      </c>
      <c r="G627" s="8" t="n">
        <v>0.1679</v>
      </c>
      <c r="H627" s="8" t="n">
        <v>0.004062</v>
      </c>
      <c r="I627" s="8" t="n">
        <v>0.001563</v>
      </c>
      <c r="J627" s="8" t="n">
        <v>0.002499</v>
      </c>
      <c r="K627" s="8" t="n">
        <v>0.2779</v>
      </c>
      <c r="L627" s="8" t="n">
        <v>-0.034977</v>
      </c>
      <c r="M627" s="8" t="n">
        <v>-0.041032</v>
      </c>
      <c r="N627" s="8" t="n">
        <v>0.006055</v>
      </c>
      <c r="O627" s="8" t="n">
        <v>0.5397999999999999</v>
      </c>
      <c r="P627" s="8" t="n">
        <v>-0.09540800000000001</v>
      </c>
      <c r="Q627" s="8" t="n">
        <v>-0.110981</v>
      </c>
      <c r="R627" s="8" t="n">
        <v>0.015573</v>
      </c>
      <c r="S627" s="8" t="n">
        <v>0.5377</v>
      </c>
      <c r="T627" s="8" t="n">
        <v>0.02967</v>
      </c>
      <c r="U627" s="8" t="n">
        <v>-0.021493</v>
      </c>
      <c r="V627" s="8" t="n">
        <v>0.051163</v>
      </c>
      <c r="W627" s="8" t="n">
        <v>0.4201</v>
      </c>
      <c r="X627" s="8" t="n">
        <v>-0.142411</v>
      </c>
      <c r="Y627" s="8" t="n">
        <v>-0.063697</v>
      </c>
      <c r="Z627" s="8" t="n">
        <v>-0.07871400000000001</v>
      </c>
      <c r="AA627" s="8" t="n">
        <v>0.309</v>
      </c>
    </row>
    <row r="628">
      <c r="A628" s="11" t="inlineStr">
        <is>
          <t>2025-03-21</t>
        </is>
      </c>
      <c r="B628" s="11" t="inlineStr">
        <is>
          <t>中间分位</t>
        </is>
      </c>
      <c r="C628" s="15" t="n">
        <v>0.872</v>
      </c>
      <c r="D628" s="13" t="n">
        <v>0</v>
      </c>
      <c r="E628" s="13" t="n">
        <v>0.012921</v>
      </c>
      <c r="F628" s="13" t="n">
        <v>-0.012921</v>
      </c>
      <c r="G628" s="13" t="n">
        <v>1</v>
      </c>
      <c r="H628" s="13" t="n">
        <v>-0.001548</v>
      </c>
      <c r="I628" s="13" t="n">
        <v>-0.00509</v>
      </c>
      <c r="J628" s="13" t="n">
        <v>0.003542</v>
      </c>
      <c r="K628" s="13" t="n">
        <v>0.7668</v>
      </c>
      <c r="L628" s="13" t="n">
        <v>-0.053512</v>
      </c>
      <c r="M628" s="13" t="n">
        <v>-0.06969499999999999</v>
      </c>
      <c r="N628" s="13" t="n">
        <v>0.016183</v>
      </c>
      <c r="O628" s="13" t="n">
        <v>0.5657</v>
      </c>
      <c r="P628" s="13" t="n">
        <v>-0.103156</v>
      </c>
      <c r="Q628" s="13" t="n">
        <v>-0.115114</v>
      </c>
      <c r="R628" s="13" t="n">
        <v>0.011958</v>
      </c>
      <c r="S628" s="13" t="n">
        <v>0.5274</v>
      </c>
      <c r="T628" s="13" t="n">
        <v>0.009523999999999999</v>
      </c>
      <c r="U628" s="13" t="n">
        <v>-0.06852</v>
      </c>
      <c r="V628" s="13" t="n">
        <v>0.078044</v>
      </c>
      <c r="W628" s="13" t="n">
        <v>0.878</v>
      </c>
      <c r="X628" s="13" t="n">
        <v>-0.148161</v>
      </c>
      <c r="Y628" s="13" t="n">
        <v>-0.070086</v>
      </c>
      <c r="Z628" s="13" t="n">
        <v>-0.07807500000000001</v>
      </c>
      <c r="AA628" s="13" t="n">
        <v>0.3211</v>
      </c>
    </row>
    <row r="629">
      <c r="A629" s="6" t="inlineStr">
        <is>
          <t>2025-03-24</t>
        </is>
      </c>
      <c r="B629" s="6" t="inlineStr">
        <is>
          <t>中间分位</t>
        </is>
      </c>
      <c r="C629" s="10" t="n">
        <v>0.784</v>
      </c>
      <c r="D629" s="8" t="n">
        <v>0.009587</v>
      </c>
      <c r="E629" s="8" t="n">
        <v>-0.014689</v>
      </c>
      <c r="F629" s="8" t="n">
        <v>0.024276</v>
      </c>
      <c r="G629" s="8" t="n">
        <v>0.6051</v>
      </c>
      <c r="H629" s="8" t="n">
        <v>-0.014847</v>
      </c>
      <c r="I629" s="8" t="n">
        <v>-0.041747</v>
      </c>
      <c r="J629" s="8" t="n">
        <v>0.0269</v>
      </c>
      <c r="K629" s="8" t="n">
        <v>0.7377</v>
      </c>
      <c r="L629" s="8" t="n">
        <v>-0.07299799999999999</v>
      </c>
      <c r="M629" s="8" t="n">
        <v>-0.090839</v>
      </c>
      <c r="N629" s="8" t="n">
        <v>0.017841</v>
      </c>
      <c r="O629" s="8" t="n">
        <v>0.5544</v>
      </c>
      <c r="P629" s="8" t="n">
        <v>-0.112899</v>
      </c>
      <c r="Q629" s="8" t="n">
        <v>-0.110939</v>
      </c>
      <c r="R629" s="8" t="n">
        <v>-0.00196</v>
      </c>
      <c r="S629" s="8" t="n">
        <v>0.4956</v>
      </c>
      <c r="T629" s="8" t="n">
        <v>-0.013919</v>
      </c>
      <c r="U629" s="8" t="n">
        <v>-0.075763</v>
      </c>
      <c r="V629" s="8" t="n">
        <v>0.061844</v>
      </c>
      <c r="W629" s="8" t="n">
        <v>0.8448</v>
      </c>
      <c r="X629" s="8" t="n">
        <v>-0.151253</v>
      </c>
      <c r="Y629" s="8" t="n">
        <v>-0.081562</v>
      </c>
      <c r="Z629" s="8" t="n">
        <v>-0.069691</v>
      </c>
      <c r="AA629" s="8" t="n">
        <v>0.3503</v>
      </c>
    </row>
    <row r="630">
      <c r="A630" s="11" t="inlineStr">
        <is>
          <t>2025-03-25</t>
        </is>
      </c>
      <c r="B630" s="11" t="inlineStr">
        <is>
          <t>高分位</t>
        </is>
      </c>
      <c r="C630" s="15" t="n">
        <v>0.9399999999999999</v>
      </c>
      <c r="D630" s="13" t="n">
        <v>-0.018687</v>
      </c>
      <c r="E630" s="13" t="n">
        <v>0.001177</v>
      </c>
      <c r="F630" s="13" t="n">
        <v>-0.019864</v>
      </c>
      <c r="G630" s="13" t="n">
        <v>0.0593</v>
      </c>
      <c r="H630" s="13" t="n">
        <v>-0.047794</v>
      </c>
      <c r="I630" s="13" t="n">
        <v>-0.024716</v>
      </c>
      <c r="J630" s="13" t="n">
        <v>-0.023078</v>
      </c>
      <c r="K630" s="13" t="n">
        <v>0.3409</v>
      </c>
      <c r="L630" s="13" t="n">
        <v>-0.09191199999999999</v>
      </c>
      <c r="M630" s="13" t="n">
        <v>-0.091016</v>
      </c>
      <c r="N630" s="13" t="n">
        <v>-0.000896</v>
      </c>
      <c r="O630" s="13" t="n">
        <v>0.4976</v>
      </c>
      <c r="P630" s="13" t="n">
        <v>-0.106618</v>
      </c>
      <c r="Q630" s="13" t="n">
        <v>-0.102001</v>
      </c>
      <c r="R630" s="13" t="n">
        <v>-0.004617</v>
      </c>
      <c r="S630" s="13" t="n">
        <v>0.4889</v>
      </c>
      <c r="T630" s="13" t="n">
        <v>-0.02696</v>
      </c>
      <c r="U630" s="13" t="n">
        <v>-0.051785</v>
      </c>
      <c r="V630" s="13" t="n">
        <v>0.024825</v>
      </c>
      <c r="W630" s="13" t="n">
        <v>0.6576</v>
      </c>
      <c r="X630" s="13" t="n">
        <v>-0.160846</v>
      </c>
      <c r="Y630" s="13" t="n">
        <v>-0.079639</v>
      </c>
      <c r="Z630" s="13" t="n">
        <v>-0.081207</v>
      </c>
      <c r="AA630" s="13" t="n">
        <v>0.3312</v>
      </c>
    </row>
    <row r="631">
      <c r="A631" s="6" t="inlineStr">
        <is>
          <t>2025-03-26</t>
        </is>
      </c>
      <c r="B631" s="6" t="inlineStr">
        <is>
          <t>中间分位</t>
        </is>
      </c>
      <c r="C631" s="10" t="n">
        <v>0.832</v>
      </c>
      <c r="D631" s="8" t="n">
        <v>0.003746</v>
      </c>
      <c r="E631" s="8" t="n">
        <v>0.00431</v>
      </c>
      <c r="F631" s="8" t="n">
        <v>-0.000564</v>
      </c>
      <c r="G631" s="8" t="n">
        <v>0.535</v>
      </c>
      <c r="H631" s="8" t="n">
        <v>-0.033407</v>
      </c>
      <c r="I631" s="8" t="n">
        <v>-0.026646</v>
      </c>
      <c r="J631" s="8" t="n">
        <v>-0.006761</v>
      </c>
      <c r="K631" s="8" t="n">
        <v>0.4437</v>
      </c>
      <c r="L631" s="8" t="n">
        <v>-0.04933</v>
      </c>
      <c r="M631" s="8" t="n">
        <v>-0.094828</v>
      </c>
      <c r="N631" s="8" t="n">
        <v>0.045498</v>
      </c>
      <c r="O631" s="8" t="n">
        <v>0.6578000000000001</v>
      </c>
      <c r="P631" s="8" t="n">
        <v>-0.093351</v>
      </c>
      <c r="Q631" s="8" t="n">
        <v>-0.103448</v>
      </c>
      <c r="R631" s="8" t="n">
        <v>0.010097</v>
      </c>
      <c r="S631" s="8" t="n">
        <v>0.5256999999999999</v>
      </c>
      <c r="T631" s="8" t="n">
        <v>0.030594</v>
      </c>
      <c r="U631" s="8" t="n">
        <v>-0.062304</v>
      </c>
      <c r="V631" s="8" t="n">
        <v>0.09289799999999999</v>
      </c>
      <c r="W631" s="8" t="n">
        <v>0.6707</v>
      </c>
      <c r="X631" s="8" t="n">
        <v>-0.152669</v>
      </c>
      <c r="Y631" s="8" t="n">
        <v>-0.07484300000000001</v>
      </c>
      <c r="Z631" s="8" t="n">
        <v>-0.07782600000000001</v>
      </c>
      <c r="AA631" s="8" t="n">
        <v>0.329</v>
      </c>
    </row>
    <row r="632">
      <c r="A632" s="11" t="inlineStr">
        <is>
          <t>2025-03-27</t>
        </is>
      </c>
      <c r="B632" s="11" t="inlineStr">
        <is>
          <t>中间分位</t>
        </is>
      </c>
      <c r="C632" s="15" t="n">
        <v>0.832</v>
      </c>
      <c r="D632" s="13" t="n">
        <v>0.004042</v>
      </c>
      <c r="E632" s="13" t="n">
        <v>-0.008584</v>
      </c>
      <c r="F632" s="13" t="n">
        <v>0.012626</v>
      </c>
      <c r="G632" s="13" t="n">
        <v>0.6798999999999999</v>
      </c>
      <c r="H632" s="13" t="n">
        <v>-0.038881</v>
      </c>
      <c r="I632" s="13" t="n">
        <v>-0.042528</v>
      </c>
      <c r="J632" s="13" t="n">
        <v>0.003647</v>
      </c>
      <c r="K632" s="13" t="n">
        <v>0.5224</v>
      </c>
      <c r="L632" s="13" t="n">
        <v>-0.073407</v>
      </c>
      <c r="M632" s="13" t="n">
        <v>-0.108076</v>
      </c>
      <c r="N632" s="13" t="n">
        <v>0.034669</v>
      </c>
      <c r="O632" s="13" t="n">
        <v>0.5955</v>
      </c>
      <c r="P632" s="13" t="n">
        <v>-0.093469</v>
      </c>
      <c r="Q632" s="13" t="n">
        <v>-0.09871199999999999</v>
      </c>
      <c r="R632" s="13" t="n">
        <v>0.005243</v>
      </c>
      <c r="S632" s="13" t="n">
        <v>0.5135999999999999</v>
      </c>
      <c r="T632" s="13" t="n">
        <v>0.039811</v>
      </c>
      <c r="U632" s="13" t="n">
        <v>-0.071011</v>
      </c>
      <c r="V632" s="13" t="n">
        <v>0.110822</v>
      </c>
      <c r="W632" s="13" t="n">
        <v>0.6408</v>
      </c>
      <c r="X632" s="13" t="n">
        <v>-0.155709</v>
      </c>
      <c r="Y632" s="13" t="n">
        <v>-0.083886</v>
      </c>
      <c r="Z632" s="13" t="n">
        <v>-0.071823</v>
      </c>
      <c r="AA632" s="13" t="n">
        <v>0.3501</v>
      </c>
    </row>
    <row r="633">
      <c r="A633" s="6" t="inlineStr">
        <is>
          <t>2025-03-28</t>
        </is>
      </c>
      <c r="B633" s="6" t="inlineStr">
        <is>
          <t>高分位</t>
        </is>
      </c>
      <c r="C633" s="10" t="n">
        <v>0.904</v>
      </c>
      <c r="D633" s="8" t="n">
        <v>-0.01332</v>
      </c>
      <c r="E633" s="8" t="n">
        <v>-0.0244</v>
      </c>
      <c r="F633" s="8" t="n">
        <v>0.01108</v>
      </c>
      <c r="G633" s="8" t="n">
        <v>0.6469</v>
      </c>
      <c r="H633" s="8" t="n">
        <v>-0.052045</v>
      </c>
      <c r="I633" s="8" t="n">
        <v>-0.06493500000000001</v>
      </c>
      <c r="J633" s="8" t="n">
        <v>0.01289</v>
      </c>
      <c r="K633" s="8" t="n">
        <v>0.5551</v>
      </c>
      <c r="L633" s="8" t="n">
        <v>-0.085967</v>
      </c>
      <c r="M633" s="8" t="n">
        <v>-0.103896</v>
      </c>
      <c r="N633" s="8" t="n">
        <v>0.017929</v>
      </c>
      <c r="O633" s="8" t="n">
        <v>0.5472</v>
      </c>
      <c r="P633" s="8" t="n">
        <v>-0.088755</v>
      </c>
      <c r="Q633" s="8" t="n">
        <v>-0.103503</v>
      </c>
      <c r="R633" s="8" t="n">
        <v>0.014748</v>
      </c>
      <c r="S633" s="8" t="n">
        <v>0.5384</v>
      </c>
      <c r="T633" s="8" t="n">
        <v>0.042751</v>
      </c>
      <c r="U633" s="8" t="n">
        <v>-0.061787</v>
      </c>
      <c r="V633" s="8" t="n">
        <v>0.104538</v>
      </c>
      <c r="W633" s="8" t="n">
        <v>0.591</v>
      </c>
      <c r="X633" s="8" t="n">
        <v>-0.16171</v>
      </c>
      <c r="Y633" s="8" t="n">
        <v>-0.07792200000000001</v>
      </c>
      <c r="Z633" s="8" t="n">
        <v>-0.083788</v>
      </c>
      <c r="AA633" s="8" t="n">
        <v>0.3252</v>
      </c>
    </row>
    <row r="634">
      <c r="A634" s="11" t="inlineStr">
        <is>
          <t>2025-03-31</t>
        </is>
      </c>
      <c r="B634" s="11" t="inlineStr">
        <is>
          <t>高分位</t>
        </is>
      </c>
      <c r="C634" s="15" t="n">
        <v>0.952</v>
      </c>
      <c r="D634" s="13" t="n">
        <v>-0.024177</v>
      </c>
      <c r="E634" s="13" t="n">
        <v>0.002824</v>
      </c>
      <c r="F634" s="13" t="n">
        <v>-0.027001</v>
      </c>
      <c r="G634" s="13" t="n">
        <v>0.1046</v>
      </c>
      <c r="H634" s="13" t="n">
        <v>-0.059028</v>
      </c>
      <c r="I634" s="13" t="n">
        <v>-0.05123</v>
      </c>
      <c r="J634" s="13" t="n">
        <v>-0.007798</v>
      </c>
      <c r="K634" s="13" t="n">
        <v>0.4646</v>
      </c>
      <c r="L634" s="13" t="n">
        <v>-0.079279</v>
      </c>
      <c r="M634" s="13" t="n">
        <v>-0.087535</v>
      </c>
      <c r="N634" s="13" t="n">
        <v>0.008255999999999999</v>
      </c>
      <c r="O634" s="13" t="n">
        <v>0.5247000000000001</v>
      </c>
      <c r="P634" s="13" t="n">
        <v>-0.081634</v>
      </c>
      <c r="Q634" s="13" t="n">
        <v>-0.091973</v>
      </c>
      <c r="R634" s="13" t="n">
        <v>0.010339</v>
      </c>
      <c r="S634" s="13" t="n">
        <v>0.5298</v>
      </c>
      <c r="T634" s="13" t="n">
        <v>-0.046783</v>
      </c>
      <c r="U634" s="13" t="n">
        <v>-0.030254</v>
      </c>
      <c r="V634" s="13" t="n">
        <v>-0.016529</v>
      </c>
      <c r="W634" s="13" t="n">
        <v>0.3927</v>
      </c>
      <c r="X634" s="13" t="n">
        <v>-0.150394</v>
      </c>
      <c r="Y634" s="13" t="n">
        <v>-0.051634</v>
      </c>
      <c r="Z634" s="13" t="n">
        <v>-0.09876</v>
      </c>
      <c r="AA634" s="13" t="n">
        <v>0.2556</v>
      </c>
    </row>
    <row r="635">
      <c r="A635" s="6" t="inlineStr">
        <is>
          <t>2025-04-01</t>
        </is>
      </c>
      <c r="B635" s="6" t="inlineStr">
        <is>
          <t>中间分位</t>
        </is>
      </c>
      <c r="C635" s="10" t="n">
        <v>0.788</v>
      </c>
      <c r="D635" s="8" t="n">
        <v>-0.003861</v>
      </c>
      <c r="E635" s="8" t="n">
        <v>-0.0008050000000000001</v>
      </c>
      <c r="F635" s="8" t="n">
        <v>-0.003056</v>
      </c>
      <c r="G635" s="8" t="n">
        <v>0.1725</v>
      </c>
      <c r="H635" s="8" t="n">
        <v>-0.046332</v>
      </c>
      <c r="I635" s="8" t="n">
        <v>-0.067981</v>
      </c>
      <c r="J635" s="8" t="n">
        <v>0.021649</v>
      </c>
      <c r="K635" s="8" t="n">
        <v>0.5947</v>
      </c>
      <c r="L635" s="8" t="n">
        <v>-0.054054</v>
      </c>
      <c r="M635" s="8" t="n">
        <v>-0.099759</v>
      </c>
      <c r="N635" s="8" t="n">
        <v>0.045705</v>
      </c>
      <c r="O635" s="8" t="n">
        <v>0.6486</v>
      </c>
      <c r="P635" s="8" t="n">
        <v>-0.057915</v>
      </c>
      <c r="Q635" s="8" t="n">
        <v>-0.107401</v>
      </c>
      <c r="R635" s="8" t="n">
        <v>0.049486</v>
      </c>
      <c r="S635" s="8" t="n">
        <v>0.6497000000000001</v>
      </c>
      <c r="T635" s="8" t="n">
        <v>-0.043116</v>
      </c>
      <c r="U635" s="8" t="n">
        <v>-0.028962</v>
      </c>
      <c r="V635" s="8" t="n">
        <v>-0.014154</v>
      </c>
      <c r="W635" s="8" t="n">
        <v>0.4018</v>
      </c>
      <c r="X635" s="8" t="n">
        <v>-0.127027</v>
      </c>
      <c r="Y635" s="8" t="n">
        <v>-0.052293</v>
      </c>
      <c r="Z635" s="8" t="n">
        <v>-0.07473399999999999</v>
      </c>
      <c r="AA635" s="8" t="n">
        <v>0.2916</v>
      </c>
    </row>
    <row r="636">
      <c r="A636" s="11" t="inlineStr">
        <is>
          <t>2025-04-02</t>
        </is>
      </c>
      <c r="B636" s="11" t="inlineStr">
        <is>
          <t>中间分位</t>
        </is>
      </c>
      <c r="C636" s="15" t="n">
        <v>0.756</v>
      </c>
      <c r="D636" s="13" t="n">
        <v>-0.001938</v>
      </c>
      <c r="E636" s="13" t="n">
        <v>-0.012077</v>
      </c>
      <c r="F636" s="13" t="n">
        <v>0.010139</v>
      </c>
      <c r="G636" s="13" t="n">
        <v>0.8617</v>
      </c>
      <c r="H636" s="13" t="n">
        <v>-0.016473</v>
      </c>
      <c r="I636" s="13" t="n">
        <v>-0.070048</v>
      </c>
      <c r="J636" s="13" t="n">
        <v>0.053575</v>
      </c>
      <c r="K636" s="13" t="n">
        <v>0.8096</v>
      </c>
      <c r="L636" s="13" t="n">
        <v>-0.068314</v>
      </c>
      <c r="M636" s="13" t="n">
        <v>-0.08776200000000001</v>
      </c>
      <c r="N636" s="13" t="n">
        <v>0.019448</v>
      </c>
      <c r="O636" s="13" t="n">
        <v>0.5623</v>
      </c>
      <c r="P636" s="13" t="n">
        <v>-0.058624</v>
      </c>
      <c r="Q636" s="13" t="n">
        <v>-0.098631</v>
      </c>
      <c r="R636" s="13" t="n">
        <v>0.040007</v>
      </c>
      <c r="S636" s="13" t="n">
        <v>0.6272</v>
      </c>
      <c r="T636" s="13" t="n">
        <v>-0.041019</v>
      </c>
      <c r="U636" s="13" t="n">
        <v>-0.034219</v>
      </c>
      <c r="V636" s="13" t="n">
        <v>-0.0068</v>
      </c>
      <c r="W636" s="13" t="n">
        <v>0.4548</v>
      </c>
      <c r="X636" s="13" t="n">
        <v>-0.126453</v>
      </c>
      <c r="Y636" s="13" t="n">
        <v>-0.051932</v>
      </c>
      <c r="Z636" s="13" t="n">
        <v>-0.074521</v>
      </c>
      <c r="AA636" s="13" t="n">
        <v>0.2911</v>
      </c>
    </row>
    <row r="637">
      <c r="A637" s="6" t="inlineStr">
        <is>
          <t>2025-04-03</t>
        </is>
      </c>
      <c r="B637" s="6" t="inlineStr">
        <is>
          <t>中间分位</t>
        </is>
      </c>
      <c r="C637" s="10" t="n">
        <v>0.876</v>
      </c>
      <c r="D637" s="8" t="n">
        <v>-0.009709000000000001</v>
      </c>
      <c r="E637" s="8" t="n">
        <v>-0.031785</v>
      </c>
      <c r="F637" s="8" t="n">
        <v>0.022076</v>
      </c>
      <c r="G637" s="8" t="n">
        <v>0.766</v>
      </c>
      <c r="H637" s="8" t="n">
        <v>-0.035922</v>
      </c>
      <c r="I637" s="8" t="n">
        <v>-0.06845999999999999</v>
      </c>
      <c r="J637" s="8" t="n">
        <v>0.032538</v>
      </c>
      <c r="K637" s="8" t="n">
        <v>0.6559</v>
      </c>
      <c r="L637" s="8" t="n">
        <v>-0.062621</v>
      </c>
      <c r="M637" s="8" t="n">
        <v>-0.07294200000000001</v>
      </c>
      <c r="N637" s="8" t="n">
        <v>0.010321</v>
      </c>
      <c r="O637" s="8" t="n">
        <v>0.5381</v>
      </c>
      <c r="P637" s="8" t="n">
        <v>-0.064078</v>
      </c>
      <c r="Q637" s="8" t="n">
        <v>-0.096985</v>
      </c>
      <c r="R637" s="8" t="n">
        <v>0.032907</v>
      </c>
      <c r="S637" s="8" t="n">
        <v>0.6022</v>
      </c>
      <c r="T637" s="8" t="n">
        <v>-0.049515</v>
      </c>
      <c r="U637" s="8" t="n">
        <v>-0.025265</v>
      </c>
      <c r="V637" s="8" t="n">
        <v>-0.02425</v>
      </c>
      <c r="W637" s="8" t="n">
        <v>0.3379</v>
      </c>
      <c r="X637" s="8" t="n">
        <v>-0.120874</v>
      </c>
      <c r="Y637" s="8" t="n">
        <v>-0.038712</v>
      </c>
      <c r="Z637" s="8" t="n">
        <v>-0.082162</v>
      </c>
      <c r="AA637" s="8" t="n">
        <v>0.2426</v>
      </c>
    </row>
    <row r="638">
      <c r="A638" s="11" t="inlineStr">
        <is>
          <t>2025-04-07</t>
        </is>
      </c>
      <c r="B638" s="11" t="inlineStr">
        <is>
          <t>高分位</t>
        </is>
      </c>
      <c r="C638" s="15" t="n">
        <v>0.96</v>
      </c>
      <c r="D638" s="13" t="n">
        <v>-0.020588</v>
      </c>
      <c r="E638" s="13" t="n">
        <v>-0.010101</v>
      </c>
      <c r="F638" s="13" t="n">
        <v>-0.010487</v>
      </c>
      <c r="G638" s="13" t="n">
        <v>0.3291</v>
      </c>
      <c r="H638" s="13" t="n">
        <v>-0.035784</v>
      </c>
      <c r="I638" s="13" t="n">
        <v>-0.041667</v>
      </c>
      <c r="J638" s="13" t="n">
        <v>0.005883</v>
      </c>
      <c r="K638" s="13" t="n">
        <v>0.538</v>
      </c>
      <c r="L638" s="13" t="n">
        <v>-0.052451</v>
      </c>
      <c r="M638" s="13" t="n">
        <v>-0.048822</v>
      </c>
      <c r="N638" s="13" t="n">
        <v>-0.003629</v>
      </c>
      <c r="O638" s="13" t="n">
        <v>0.4821</v>
      </c>
      <c r="P638" s="13" t="n">
        <v>-0.062745</v>
      </c>
      <c r="Q638" s="13" t="n">
        <v>-0.06271</v>
      </c>
      <c r="R638" s="13" t="n">
        <v>-3.5e-05</v>
      </c>
      <c r="S638" s="13" t="n">
        <v>0.4999</v>
      </c>
      <c r="T638" s="13" t="n">
        <v>-0.049675</v>
      </c>
      <c r="U638" s="13" t="n">
        <v>-0.001263</v>
      </c>
      <c r="V638" s="13" t="n">
        <v>-0.048412</v>
      </c>
      <c r="W638" s="13" t="n">
        <v>0.0248</v>
      </c>
      <c r="X638" s="13" t="n">
        <v>-0.113725</v>
      </c>
      <c r="Y638" s="13" t="n">
        <v>-0.020202</v>
      </c>
      <c r="Z638" s="13" t="n">
        <v>-0.093523</v>
      </c>
      <c r="AA638" s="13" t="n">
        <v>0.1508</v>
      </c>
    </row>
    <row r="639">
      <c r="A639" s="6" t="inlineStr">
        <is>
          <t>2025-04-09</t>
        </is>
      </c>
      <c r="B639" s="6" t="inlineStr">
        <is>
          <t>高分位</t>
        </is>
      </c>
      <c r="C639" s="10" t="n">
        <v>0.924</v>
      </c>
      <c r="D639" s="8" t="n">
        <v>-0.011011</v>
      </c>
      <c r="E639" s="8" t="n">
        <v>-0.014881</v>
      </c>
      <c r="F639" s="8" t="n">
        <v>0.00387</v>
      </c>
      <c r="G639" s="8" t="n">
        <v>0.5747</v>
      </c>
      <c r="H639" s="8" t="n">
        <v>-0.021522</v>
      </c>
      <c r="I639" s="8" t="n">
        <v>-0.038265</v>
      </c>
      <c r="J639" s="8" t="n">
        <v>0.016743</v>
      </c>
      <c r="K639" s="8" t="n">
        <v>0.64</v>
      </c>
      <c r="L639" s="8" t="n">
        <v>-0.043043</v>
      </c>
      <c r="M639" s="8" t="n">
        <v>-0.022109</v>
      </c>
      <c r="N639" s="8" t="n">
        <v>-0.020934</v>
      </c>
      <c r="O639" s="8" t="n">
        <v>0.3393</v>
      </c>
      <c r="P639" s="8" t="n">
        <v>-0.038038</v>
      </c>
      <c r="Q639" s="8" t="n">
        <v>-0.034864</v>
      </c>
      <c r="R639" s="8" t="n">
        <v>-0.003174</v>
      </c>
      <c r="S639" s="8" t="n">
        <v>0.4782</v>
      </c>
      <c r="T639" s="8" t="n">
        <v>-0.035035</v>
      </c>
      <c r="U639" s="8" t="n">
        <v>0.008503</v>
      </c>
      <c r="V639" s="8" t="n">
        <v>-0.043538</v>
      </c>
      <c r="W639" s="8" t="n">
        <v>0.1953</v>
      </c>
      <c r="X639" s="8" t="n">
        <v>-0.104104</v>
      </c>
      <c r="Y639" s="8" t="n">
        <v>-0.026361</v>
      </c>
      <c r="Z639" s="8" t="n">
        <v>-0.07774300000000001</v>
      </c>
      <c r="AA639" s="8" t="n">
        <v>0.2021</v>
      </c>
    </row>
    <row r="640">
      <c r="A640" s="11" t="inlineStr">
        <is>
          <t>2025-04-10</t>
        </is>
      </c>
      <c r="B640" s="11" t="inlineStr">
        <is>
          <t>高分位</t>
        </is>
      </c>
      <c r="C640" s="15" t="n">
        <v>0.9360000000000001</v>
      </c>
      <c r="D640" s="13" t="n">
        <v>0.027328</v>
      </c>
      <c r="E640" s="13" t="n">
        <v>-0.003021</v>
      </c>
      <c r="F640" s="13" t="n">
        <v>0.030349</v>
      </c>
      <c r="G640" s="13" t="n">
        <v>0.09950000000000001</v>
      </c>
      <c r="H640" s="13" t="n">
        <v>-0.008097</v>
      </c>
      <c r="I640" s="13" t="n">
        <v>-0.034096</v>
      </c>
      <c r="J640" s="13" t="n">
        <v>0.025999</v>
      </c>
      <c r="K640" s="13" t="n">
        <v>0.8081</v>
      </c>
      <c r="L640" s="13" t="n">
        <v>-0.016194</v>
      </c>
      <c r="M640" s="13" t="n">
        <v>-0.012085</v>
      </c>
      <c r="N640" s="13" t="n">
        <v>-0.004109</v>
      </c>
      <c r="O640" s="13" t="n">
        <v>0.4273</v>
      </c>
      <c r="P640" s="13" t="n">
        <v>-0.027328</v>
      </c>
      <c r="Q640" s="13" t="n">
        <v>-0.011221</v>
      </c>
      <c r="R640" s="13" t="n">
        <v>-0.016107</v>
      </c>
      <c r="S640" s="13" t="n">
        <v>0.2911</v>
      </c>
      <c r="T640" s="13" t="n">
        <v>-0.032255</v>
      </c>
      <c r="U640" s="13" t="n">
        <v>0.034959</v>
      </c>
      <c r="V640" s="13" t="n">
        <v>-0.067214</v>
      </c>
      <c r="W640" s="13" t="n">
        <v>0.5201</v>
      </c>
      <c r="X640" s="13" t="n">
        <v>-0.102733</v>
      </c>
      <c r="Y640" s="13" t="n">
        <v>-0.004316</v>
      </c>
      <c r="Z640" s="13" t="n">
        <v>-0.098417</v>
      </c>
      <c r="AA640" s="13" t="n">
        <v>0.0403</v>
      </c>
    </row>
    <row r="641">
      <c r="A641" s="6" t="inlineStr">
        <is>
          <t>2025-04-11</t>
        </is>
      </c>
      <c r="B641" s="6" t="inlineStr">
        <is>
          <t>高分位</t>
        </is>
      </c>
      <c r="C641" s="10" t="n">
        <v>0.988</v>
      </c>
      <c r="D641" s="8" t="n">
        <v>-0.021675</v>
      </c>
      <c r="E641" s="8" t="n">
        <v>-0.01039</v>
      </c>
      <c r="F641" s="8" t="n">
        <v>-0.011285</v>
      </c>
      <c r="G641" s="8" t="n">
        <v>0.324</v>
      </c>
      <c r="H641" s="8" t="n">
        <v>-0.052709</v>
      </c>
      <c r="I641" s="8" t="n">
        <v>-0.019048</v>
      </c>
      <c r="J641" s="8" t="n">
        <v>-0.033661</v>
      </c>
      <c r="K641" s="8" t="n">
        <v>0.2655</v>
      </c>
      <c r="L641" s="8" t="n">
        <v>-0.046305</v>
      </c>
      <c r="M641" s="8" t="n">
        <v>-0.009523999999999999</v>
      </c>
      <c r="N641" s="8" t="n">
        <v>-0.036781</v>
      </c>
      <c r="O641" s="8" t="n">
        <v>0.1706</v>
      </c>
      <c r="P641" s="8" t="n">
        <v>-0.033005</v>
      </c>
      <c r="Q641" s="8" t="n">
        <v>0.02381</v>
      </c>
      <c r="R641" s="8" t="n">
        <v>-0.056815</v>
      </c>
      <c r="S641" s="8" t="n">
        <v>0.4191</v>
      </c>
      <c r="T641" s="8" t="n">
        <v>-0.055172</v>
      </c>
      <c r="U641" s="8" t="n">
        <v>0.025974</v>
      </c>
      <c r="V641" s="8" t="n">
        <v>-0.081146</v>
      </c>
      <c r="W641" s="8" t="n">
        <v>0.3201</v>
      </c>
      <c r="X641" s="8" t="n">
        <v>-0.116256</v>
      </c>
      <c r="Y641" s="8" t="n">
        <v>0.013853</v>
      </c>
      <c r="Z641" s="8" t="n">
        <v>-0.130109</v>
      </c>
      <c r="AA641" s="8" t="n">
        <v>0.1065</v>
      </c>
    </row>
    <row r="642">
      <c r="A642" s="11" t="inlineStr">
        <is>
          <t>2025-04-14</t>
        </is>
      </c>
      <c r="B642" s="11" t="inlineStr">
        <is>
          <t>高分位</t>
        </is>
      </c>
      <c r="C642" s="15" t="n">
        <v>0.984</v>
      </c>
      <c r="D642" s="13" t="n">
        <v>-0.009567000000000001</v>
      </c>
      <c r="E642" s="13" t="n">
        <v>-0.003937</v>
      </c>
      <c r="F642" s="13" t="n">
        <v>-0.00563</v>
      </c>
      <c r="G642" s="13" t="n">
        <v>0.2915</v>
      </c>
      <c r="H642" s="13" t="n">
        <v>-0.027694</v>
      </c>
      <c r="I642" s="13" t="n">
        <v>-0.004812</v>
      </c>
      <c r="J642" s="13" t="n">
        <v>-0.022882</v>
      </c>
      <c r="K642" s="13" t="n">
        <v>0.148</v>
      </c>
      <c r="L642" s="13" t="n">
        <v>-0.021652</v>
      </c>
      <c r="M642" s="13" t="n">
        <v>0.010499</v>
      </c>
      <c r="N642" s="13" t="n">
        <v>-0.032151</v>
      </c>
      <c r="O642" s="13" t="n">
        <v>0.3266</v>
      </c>
      <c r="P642" s="13" t="n">
        <v>0.015609</v>
      </c>
      <c r="Q642" s="13" t="n">
        <v>0.014873</v>
      </c>
      <c r="R642" s="13" t="n">
        <v>0.000736</v>
      </c>
      <c r="S642" s="13" t="n">
        <v>0.4879</v>
      </c>
      <c r="T642" s="13" t="n">
        <v>-0.041962</v>
      </c>
      <c r="U642" s="13" t="n">
        <v>0.048119</v>
      </c>
      <c r="V642" s="13" t="n">
        <v>-0.09008099999999999</v>
      </c>
      <c r="W642" s="13" t="n">
        <v>0.5342</v>
      </c>
      <c r="X642" s="13" t="n">
        <v>-0.078046</v>
      </c>
      <c r="Y642" s="13" t="n">
        <v>-0.005249</v>
      </c>
      <c r="Z642" s="13" t="n">
        <v>-0.072797</v>
      </c>
      <c r="AA642" s="13" t="n">
        <v>0.063</v>
      </c>
    </row>
    <row r="643">
      <c r="A643" s="6" t="inlineStr">
        <is>
          <t>2025-04-15</t>
        </is>
      </c>
      <c r="B643" s="6" t="inlineStr">
        <is>
          <t>高分位</t>
        </is>
      </c>
      <c r="C643" s="10" t="n">
        <v>0.964</v>
      </c>
      <c r="D643" s="8" t="n">
        <v>-0.006101</v>
      </c>
      <c r="E643" s="8" t="n">
        <v>-0.006588</v>
      </c>
      <c r="F643" s="8" t="n">
        <v>0.000487</v>
      </c>
      <c r="G643" s="8" t="n">
        <v>0.5192</v>
      </c>
      <c r="H643" s="8" t="n">
        <v>-0.017285</v>
      </c>
      <c r="I643" s="8" t="n">
        <v>-0.007466</v>
      </c>
      <c r="J643" s="8" t="n">
        <v>-0.009819</v>
      </c>
      <c r="K643" s="8" t="n">
        <v>0.3016</v>
      </c>
      <c r="L643" s="8" t="n">
        <v>-0.00305</v>
      </c>
      <c r="M643" s="8" t="n">
        <v>0.000439</v>
      </c>
      <c r="N643" s="8" t="n">
        <v>-0.003489</v>
      </c>
      <c r="O643" s="8" t="n">
        <v>0.1258</v>
      </c>
      <c r="P643" s="8" t="n">
        <v>-0.013218</v>
      </c>
      <c r="Q643" s="8" t="n">
        <v>0.003074</v>
      </c>
      <c r="R643" s="8" t="n">
        <v>-0.016292</v>
      </c>
      <c r="S643" s="8" t="n">
        <v>0.1887</v>
      </c>
      <c r="T643" s="8" t="n">
        <v>-0.027961</v>
      </c>
      <c r="U643" s="8" t="n">
        <v>0.04787</v>
      </c>
      <c r="V643" s="8" t="n">
        <v>-0.075831</v>
      </c>
      <c r="W643" s="8" t="n">
        <v>0.6313</v>
      </c>
      <c r="X643" s="8" t="n">
        <v>-0.080834</v>
      </c>
      <c r="Y643" s="8" t="n">
        <v>0.009223</v>
      </c>
      <c r="Z643" s="8" t="n">
        <v>-0.090057</v>
      </c>
      <c r="AA643" s="8" t="n">
        <v>0.1024</v>
      </c>
    </row>
    <row r="644">
      <c r="A644" s="11" t="inlineStr">
        <is>
          <t>2025-04-16</t>
        </is>
      </c>
      <c r="B644" s="11" t="inlineStr">
        <is>
          <t>高分位</t>
        </is>
      </c>
      <c r="C644" s="15" t="n">
        <v>0.964</v>
      </c>
      <c r="D644" s="13" t="n">
        <v>0.002558</v>
      </c>
      <c r="E644" s="13" t="n">
        <v>-0.01061</v>
      </c>
      <c r="F644" s="13" t="n">
        <v>0.013168</v>
      </c>
      <c r="G644" s="13" t="n">
        <v>0.8057</v>
      </c>
      <c r="H644" s="13" t="n">
        <v>-0.021995</v>
      </c>
      <c r="I644" s="13" t="n">
        <v>0.016799</v>
      </c>
      <c r="J644" s="13" t="n">
        <v>-0.038794</v>
      </c>
      <c r="K644" s="13" t="n">
        <v>0.433</v>
      </c>
      <c r="L644" s="13" t="n">
        <v>-0.002558</v>
      </c>
      <c r="M644" s="13" t="n">
        <v>-0.004863</v>
      </c>
      <c r="N644" s="13" t="n">
        <v>0.002305</v>
      </c>
      <c r="O644" s="13" t="n">
        <v>0.6553</v>
      </c>
      <c r="P644" s="13" t="n">
        <v>-0.007161</v>
      </c>
      <c r="Q644" s="13" t="n">
        <v>0.004421</v>
      </c>
      <c r="R644" s="13" t="n">
        <v>-0.011582</v>
      </c>
      <c r="S644" s="13" t="n">
        <v>0.3817</v>
      </c>
      <c r="T644" s="13" t="n">
        <v>-0.021995</v>
      </c>
      <c r="U644" s="13" t="n">
        <v>0.046419</v>
      </c>
      <c r="V644" s="13" t="n">
        <v>-0.068414</v>
      </c>
      <c r="W644" s="13" t="n">
        <v>0.6785</v>
      </c>
      <c r="X644" s="13" t="n">
        <v>-0.050639</v>
      </c>
      <c r="Y644" s="13" t="n">
        <v>0.025199</v>
      </c>
      <c r="Z644" s="13" t="n">
        <v>-0.075838</v>
      </c>
      <c r="AA644" s="13" t="n">
        <v>0.3323</v>
      </c>
    </row>
    <row r="645">
      <c r="A645" s="6" t="inlineStr">
        <is>
          <t>2025-04-17</t>
        </is>
      </c>
      <c r="B645" s="6" t="inlineStr">
        <is>
          <t>高分位</t>
        </is>
      </c>
      <c r="C645" s="10" t="n">
        <v>0.984</v>
      </c>
      <c r="D645" s="8" t="n">
        <v>-0.018878</v>
      </c>
      <c r="E645" s="8" t="n">
        <v>0.012511</v>
      </c>
      <c r="F645" s="8" t="n">
        <v>-0.031389</v>
      </c>
      <c r="G645" s="8" t="n">
        <v>0.3986</v>
      </c>
      <c r="H645" s="8" t="n">
        <v>-0.008163</v>
      </c>
      <c r="I645" s="8" t="n">
        <v>0.022788</v>
      </c>
      <c r="J645" s="8" t="n">
        <v>-0.030951</v>
      </c>
      <c r="K645" s="8" t="n">
        <v>0.7363</v>
      </c>
      <c r="L645" s="8" t="n">
        <v>-0.004082</v>
      </c>
      <c r="M645" s="8" t="n">
        <v>-0.008489999999999999</v>
      </c>
      <c r="N645" s="8" t="n">
        <v>0.004408</v>
      </c>
      <c r="O645" s="8" t="n">
        <v>0.6753</v>
      </c>
      <c r="P645" s="8" t="n">
        <v>-0.035714</v>
      </c>
      <c r="Q645" s="8" t="n">
        <v>0.008043</v>
      </c>
      <c r="R645" s="8" t="n">
        <v>-0.043757</v>
      </c>
      <c r="S645" s="8" t="n">
        <v>0.1838</v>
      </c>
      <c r="T645" s="8" t="n">
        <v>-0.02789</v>
      </c>
      <c r="U645" s="8" t="n">
        <v>0.060322</v>
      </c>
      <c r="V645" s="8" t="n">
        <v>-0.088212</v>
      </c>
      <c r="W645" s="8" t="n">
        <v>0.6838</v>
      </c>
      <c r="X645" s="8" t="n">
        <v>-0.051429</v>
      </c>
      <c r="Y645" s="8" t="n">
        <v>0.015192</v>
      </c>
      <c r="Z645" s="8" t="n">
        <v>-0.066621</v>
      </c>
      <c r="AA645" s="8" t="n">
        <v>0.228</v>
      </c>
    </row>
    <row r="646">
      <c r="A646" s="11" t="inlineStr">
        <is>
          <t>2025-04-18</t>
        </is>
      </c>
      <c r="B646" s="11" t="inlineStr">
        <is>
          <t>高分位</t>
        </is>
      </c>
      <c r="C646" s="15" t="n">
        <v>0.9</v>
      </c>
      <c r="D646" s="13" t="n">
        <v>0.00416</v>
      </c>
      <c r="E646" s="13" t="n">
        <v>0.003972</v>
      </c>
      <c r="F646" s="13" t="n">
        <v>0.000188</v>
      </c>
      <c r="G646" s="13" t="n">
        <v>0.4884</v>
      </c>
      <c r="H646" s="13" t="n">
        <v>0.00676</v>
      </c>
      <c r="I646" s="13" t="n">
        <v>0.009709000000000001</v>
      </c>
      <c r="J646" s="13" t="n">
        <v>-0.002949</v>
      </c>
      <c r="K646" s="13" t="n">
        <v>0.5895</v>
      </c>
      <c r="L646" s="13" t="n">
        <v>0.0104</v>
      </c>
      <c r="M646" s="13" t="n">
        <v>-0.011915</v>
      </c>
      <c r="N646" s="13" t="n">
        <v>0.022315</v>
      </c>
      <c r="O646" s="13" t="n">
        <v>0.5339</v>
      </c>
      <c r="P646" s="13" t="n">
        <v>-0.031721</v>
      </c>
      <c r="Q646" s="13" t="n">
        <v>0.001765</v>
      </c>
      <c r="R646" s="13" t="n">
        <v>-0.033486</v>
      </c>
      <c r="S646" s="13" t="n">
        <v>0.0527</v>
      </c>
      <c r="T646" s="13" t="n">
        <v>-0.005025</v>
      </c>
      <c r="U646" s="13" t="n">
        <v>0.043689</v>
      </c>
      <c r="V646" s="13" t="n">
        <v>-0.048714</v>
      </c>
      <c r="W646" s="13" t="n">
        <v>0.8968</v>
      </c>
      <c r="X646" s="13" t="n">
        <v>-0.059386</v>
      </c>
      <c r="Y646" s="13" t="n">
        <v>0</v>
      </c>
      <c r="Z646" s="13" t="n">
        <v>-0.059386</v>
      </c>
      <c r="AA646" s="13" t="n">
        <v>0</v>
      </c>
    </row>
    <row r="647">
      <c r="A647" s="6" t="inlineStr">
        <is>
          <t>2025-04-21</t>
        </is>
      </c>
      <c r="B647" s="6" t="inlineStr">
        <is>
          <t>高分位</t>
        </is>
      </c>
      <c r="C647" s="10" t="n">
        <v>0.904</v>
      </c>
      <c r="D647" s="8" t="n">
        <v>0.001036</v>
      </c>
      <c r="E647" s="8" t="n">
        <v>-0.006593</v>
      </c>
      <c r="F647" s="8" t="n">
        <v>0.007629</v>
      </c>
      <c r="G647" s="8" t="n">
        <v>0.8642</v>
      </c>
      <c r="H647" s="8" t="n">
        <v>0.006214</v>
      </c>
      <c r="I647" s="8" t="n">
        <v>0.015385</v>
      </c>
      <c r="J647" s="8" t="n">
        <v>-0.009171</v>
      </c>
      <c r="K647" s="8" t="n">
        <v>0.7123</v>
      </c>
      <c r="L647" s="8" t="n">
        <v>-0.001554</v>
      </c>
      <c r="M647" s="8" t="n">
        <v>-0.025934</v>
      </c>
      <c r="N647" s="8" t="n">
        <v>0.02438</v>
      </c>
      <c r="O647" s="8" t="n">
        <v>0.9435</v>
      </c>
      <c r="P647" s="8" t="n">
        <v>-0.038322</v>
      </c>
      <c r="Q647" s="8" t="n">
        <v>-0.014945</v>
      </c>
      <c r="R647" s="8" t="n">
        <v>-0.023377</v>
      </c>
      <c r="S647" s="8" t="n">
        <v>0.2806</v>
      </c>
      <c r="T647" s="8" t="n">
        <v>-0.012603</v>
      </c>
      <c r="U647" s="8" t="n">
        <v>0.05978</v>
      </c>
      <c r="V647" s="8" t="n">
        <v>-0.072383</v>
      </c>
      <c r="W647" s="8" t="n">
        <v>0.8259</v>
      </c>
      <c r="X647" s="8" t="n">
        <v>-0.051269</v>
      </c>
      <c r="Y647" s="8" t="n">
        <v>-0.003077</v>
      </c>
      <c r="Z647" s="8" t="n">
        <v>-0.048192</v>
      </c>
      <c r="AA647" s="8" t="n">
        <v>0.0566</v>
      </c>
    </row>
    <row r="648">
      <c r="A648" s="11" t="inlineStr">
        <is>
          <t>2025-04-22</t>
        </is>
      </c>
      <c r="B648" s="11" t="inlineStr">
        <is>
          <t>高分位</t>
        </is>
      </c>
      <c r="C648" s="15" t="n">
        <v>0.9320000000000001</v>
      </c>
      <c r="D648" s="13" t="n">
        <v>-0.010864</v>
      </c>
      <c r="E648" s="13" t="n">
        <v>0.017699</v>
      </c>
      <c r="F648" s="13" t="n">
        <v>-0.028563</v>
      </c>
      <c r="G648" s="13" t="n">
        <v>0.6196</v>
      </c>
      <c r="H648" s="13" t="n">
        <v>0.014485</v>
      </c>
      <c r="I648" s="13" t="n">
        <v>0.007965</v>
      </c>
      <c r="J648" s="13" t="n">
        <v>0.00652</v>
      </c>
      <c r="K648" s="13" t="n">
        <v>0.3548</v>
      </c>
      <c r="L648" s="13" t="n">
        <v>-0.010864</v>
      </c>
      <c r="M648" s="13" t="n">
        <v>-0.014602</v>
      </c>
      <c r="N648" s="13" t="n">
        <v>0.003738</v>
      </c>
      <c r="O648" s="13" t="n">
        <v>0.5734</v>
      </c>
      <c r="P648" s="13" t="n">
        <v>-0.042938</v>
      </c>
      <c r="Q648" s="13" t="n">
        <v>-0.016814</v>
      </c>
      <c r="R648" s="13" t="n">
        <v>-0.026124</v>
      </c>
      <c r="S648" s="13" t="n">
        <v>0.2814</v>
      </c>
      <c r="T648" s="13" t="n">
        <v>-0.004656</v>
      </c>
      <c r="U648" s="13" t="n">
        <v>0.087168</v>
      </c>
      <c r="V648" s="13" t="n">
        <v>-0.091824</v>
      </c>
      <c r="W648" s="13" t="n">
        <v>0.9493</v>
      </c>
      <c r="X648" s="13" t="n">
        <v>-0.062597</v>
      </c>
      <c r="Y648" s="13" t="n">
        <v>0.000442</v>
      </c>
      <c r="Z648" s="13" t="n">
        <v>-0.063039</v>
      </c>
      <c r="AA648" s="13" t="n">
        <v>0.007</v>
      </c>
    </row>
    <row r="649">
      <c r="A649" s="6" t="inlineStr">
        <is>
          <t>2025-04-23</t>
        </is>
      </c>
      <c r="B649" s="6" t="inlineStr">
        <is>
          <t>中间分位</t>
        </is>
      </c>
      <c r="C649" s="10" t="n">
        <v>0.752</v>
      </c>
      <c r="D649" s="8" t="n">
        <v>0.016736</v>
      </c>
      <c r="E649" s="8" t="n">
        <v>-0.004783</v>
      </c>
      <c r="F649" s="8" t="n">
        <v>0.021519</v>
      </c>
      <c r="G649" s="8" t="n">
        <v>0.2223</v>
      </c>
      <c r="H649" s="8" t="n">
        <v>0.019874</v>
      </c>
      <c r="I649" s="8" t="n">
        <v>-0.021304</v>
      </c>
      <c r="J649" s="8" t="n">
        <v>0.041178</v>
      </c>
      <c r="K649" s="8" t="n">
        <v>0.5174</v>
      </c>
      <c r="L649" s="8" t="n">
        <v>0.00523</v>
      </c>
      <c r="M649" s="8" t="n">
        <v>-0.013043</v>
      </c>
      <c r="N649" s="8" t="n">
        <v>0.018273</v>
      </c>
      <c r="O649" s="8" t="n">
        <v>0.7138</v>
      </c>
      <c r="P649" s="8" t="n">
        <v>-0.037657</v>
      </c>
      <c r="Q649" s="8" t="n">
        <v>-0.033043</v>
      </c>
      <c r="R649" s="8" t="n">
        <v>-0.004614</v>
      </c>
      <c r="S649" s="8" t="n">
        <v>0.4674</v>
      </c>
      <c r="T649" s="8" t="n">
        <v>0.01813</v>
      </c>
      <c r="U649" s="8" t="n">
        <v>0.048261</v>
      </c>
      <c r="V649" s="8" t="n">
        <v>-0.030131</v>
      </c>
      <c r="W649" s="8" t="n">
        <v>0.7269</v>
      </c>
      <c r="X649" s="8" t="n">
        <v>-0.06443500000000001</v>
      </c>
      <c r="Y649" s="8" t="n">
        <v>-0.003478</v>
      </c>
      <c r="Z649" s="8" t="n">
        <v>-0.060957</v>
      </c>
      <c r="AA649" s="8" t="n">
        <v>0.0512</v>
      </c>
    </row>
    <row r="650">
      <c r="A650" s="11" t="inlineStr">
        <is>
          <t>2025-04-24</t>
        </is>
      </c>
      <c r="B650" s="11" t="inlineStr">
        <is>
          <t>高分位</t>
        </is>
      </c>
      <c r="C650" s="15" t="n">
        <v>0.904</v>
      </c>
      <c r="D650" s="13" t="n">
        <v>-0.004115</v>
      </c>
      <c r="E650" s="13" t="n">
        <v>-0.000437</v>
      </c>
      <c r="F650" s="13" t="n">
        <v>-0.003678</v>
      </c>
      <c r="G650" s="13" t="n">
        <v>0.096</v>
      </c>
      <c r="H650" s="13" t="n">
        <v>0.004115</v>
      </c>
      <c r="I650" s="13" t="n">
        <v>-0.030581</v>
      </c>
      <c r="J650" s="13" t="n">
        <v>0.034696</v>
      </c>
      <c r="K650" s="13" t="n">
        <v>0.8814</v>
      </c>
      <c r="L650" s="13" t="n">
        <v>-0.011317</v>
      </c>
      <c r="M650" s="13" t="n">
        <v>0.000874</v>
      </c>
      <c r="N650" s="13" t="n">
        <v>-0.012191</v>
      </c>
      <c r="O650" s="13" t="n">
        <v>0.0717</v>
      </c>
      <c r="P650" s="13" t="n">
        <v>-0.072531</v>
      </c>
      <c r="Q650" s="13" t="n">
        <v>-0.03626</v>
      </c>
      <c r="R650" s="13" t="n">
        <v>-0.036271</v>
      </c>
      <c r="S650" s="13" t="n">
        <v>0.3333</v>
      </c>
      <c r="T650" s="13" t="n">
        <v>-0.01063</v>
      </c>
      <c r="U650" s="13" t="n">
        <v>0.083443</v>
      </c>
      <c r="V650" s="13" t="n">
        <v>-0.094073</v>
      </c>
      <c r="W650" s="13" t="n">
        <v>0.887</v>
      </c>
      <c r="X650" s="13" t="n">
        <v>-0.071605</v>
      </c>
      <c r="Y650" s="13" t="n">
        <v>-0.007427</v>
      </c>
      <c r="Z650" s="13" t="n">
        <v>-0.064178</v>
      </c>
      <c r="AA650" s="13" t="n">
        <v>0.094</v>
      </c>
    </row>
    <row r="651">
      <c r="A651" s="6" t="inlineStr">
        <is>
          <t>2025-04-25</t>
        </is>
      </c>
      <c r="B651" s="6" t="inlineStr">
        <is>
          <t>中间分位</t>
        </is>
      </c>
      <c r="C651" s="10" t="n">
        <v>0.872</v>
      </c>
      <c r="D651" s="8" t="n">
        <v>0.003616</v>
      </c>
      <c r="E651" s="8" t="n">
        <v>0.009615</v>
      </c>
      <c r="F651" s="8" t="n">
        <v>-0.005999</v>
      </c>
      <c r="G651" s="8" t="n">
        <v>0.7267</v>
      </c>
      <c r="H651" s="8" t="n">
        <v>0.003616</v>
      </c>
      <c r="I651" s="8" t="n">
        <v>-0.021416</v>
      </c>
      <c r="J651" s="8" t="n">
        <v>0.025032</v>
      </c>
      <c r="K651" s="8" t="n">
        <v>0.8555</v>
      </c>
      <c r="L651" s="8" t="n">
        <v>0.013946</v>
      </c>
      <c r="M651" s="8" t="n">
        <v>0.033654</v>
      </c>
      <c r="N651" s="8" t="n">
        <v>-0.019708</v>
      </c>
      <c r="O651" s="8" t="n">
        <v>0.707</v>
      </c>
      <c r="P651" s="8" t="n">
        <v>-0.071798</v>
      </c>
      <c r="Q651" s="8" t="n">
        <v>-0.030594</v>
      </c>
      <c r="R651" s="8" t="n">
        <v>-0.041204</v>
      </c>
      <c r="S651" s="8" t="n">
        <v>0.2988</v>
      </c>
      <c r="T651" s="8" t="n">
        <v>0.016186</v>
      </c>
      <c r="U651" s="8" t="n">
        <v>0.100962</v>
      </c>
      <c r="V651" s="8" t="n">
        <v>-0.084776</v>
      </c>
      <c r="W651" s="8" t="n">
        <v>0.8618</v>
      </c>
      <c r="X651" s="8" t="n">
        <v>-0.075207</v>
      </c>
      <c r="Y651" s="8" t="n">
        <v>-0.008741000000000001</v>
      </c>
      <c r="Z651" s="8" t="n">
        <v>-0.066466</v>
      </c>
      <c r="AA651" s="8" t="n">
        <v>0.1041</v>
      </c>
    </row>
    <row r="652">
      <c r="A652" s="11" t="inlineStr">
        <is>
          <t>2025-04-28</t>
        </is>
      </c>
      <c r="B652" s="11" t="inlineStr">
        <is>
          <t>中间分位</t>
        </is>
      </c>
      <c r="C652" s="15" t="n">
        <v>0.852</v>
      </c>
      <c r="D652" s="13" t="n">
        <v>0.009264</v>
      </c>
      <c r="E652" s="13" t="n">
        <v>-0.013853</v>
      </c>
      <c r="F652" s="13" t="n">
        <v>0.023117</v>
      </c>
      <c r="G652" s="13" t="n">
        <v>0.5993000000000001</v>
      </c>
      <c r="H652" s="13" t="n">
        <v>-0.00772</v>
      </c>
      <c r="I652" s="13" t="n">
        <v>-0.040693</v>
      </c>
      <c r="J652" s="13" t="n">
        <v>0.032973</v>
      </c>
      <c r="K652" s="13" t="n">
        <v>0.8405</v>
      </c>
      <c r="L652" s="13" t="n">
        <v>0.038085</v>
      </c>
      <c r="M652" s="13" t="n">
        <v>0.004329</v>
      </c>
      <c r="N652" s="13" t="n">
        <v>0.033756</v>
      </c>
      <c r="O652" s="13" t="n">
        <v>0.1021</v>
      </c>
      <c r="P652" s="13" t="n">
        <v>-0.074833</v>
      </c>
      <c r="Q652" s="13" t="n">
        <v>-0.044156</v>
      </c>
      <c r="R652" s="13" t="n">
        <v>-0.030677</v>
      </c>
      <c r="S652" s="13" t="n">
        <v>0.3711</v>
      </c>
      <c r="T652" s="13" t="n">
        <v>0.021789</v>
      </c>
      <c r="U652" s="13" t="n">
        <v>0.040693</v>
      </c>
      <c r="V652" s="13" t="n">
        <v>-0.018904</v>
      </c>
      <c r="W652" s="13" t="n">
        <v>0.6513</v>
      </c>
      <c r="X652" s="13" t="n">
        <v>-0.083479</v>
      </c>
      <c r="Y652" s="13" t="n">
        <v>-0.02987</v>
      </c>
      <c r="Z652" s="13" t="n">
        <v>-0.053609</v>
      </c>
      <c r="AA652" s="13" t="n">
        <v>0.2635</v>
      </c>
    </row>
    <row r="653">
      <c r="A653" s="6" t="inlineStr">
        <is>
          <t>2025-04-29</t>
        </is>
      </c>
      <c r="B653" s="6" t="inlineStr">
        <is>
          <t>高分位</t>
        </is>
      </c>
      <c r="C653" s="10" t="n">
        <v>0.948</v>
      </c>
      <c r="D653" s="8" t="n">
        <v>-0.005609</v>
      </c>
      <c r="E653" s="8" t="n">
        <v>-0.011853</v>
      </c>
      <c r="F653" s="8" t="n">
        <v>0.006244</v>
      </c>
      <c r="G653" s="8" t="n">
        <v>0.6788</v>
      </c>
      <c r="H653" s="8" t="n">
        <v>-0.024987</v>
      </c>
      <c r="I653" s="8" t="n">
        <v>-0.022388</v>
      </c>
      <c r="J653" s="8" t="n">
        <v>-0.002599</v>
      </c>
      <c r="K653" s="8" t="n">
        <v>0.4726</v>
      </c>
      <c r="L653" s="8" t="n">
        <v>-0.010199</v>
      </c>
      <c r="M653" s="8" t="n">
        <v>0.002634</v>
      </c>
      <c r="N653" s="8" t="n">
        <v>-0.012833</v>
      </c>
      <c r="O653" s="8" t="n">
        <v>0.2053</v>
      </c>
      <c r="P653" s="8" t="n">
        <v>-0.08210099999999999</v>
      </c>
      <c r="Q653" s="8" t="n">
        <v>-0.023266</v>
      </c>
      <c r="R653" s="8" t="n">
        <v>-0.058835</v>
      </c>
      <c r="S653" s="8" t="n">
        <v>0.2208</v>
      </c>
      <c r="T653" s="8" t="n">
        <v>-0.023967</v>
      </c>
      <c r="U653" s="8" t="n">
        <v>0.068481</v>
      </c>
      <c r="V653" s="8" t="n">
        <v>-0.092448</v>
      </c>
      <c r="W653" s="8" t="n">
        <v>0.7408</v>
      </c>
      <c r="X653" s="8" t="n">
        <v>-0.100459</v>
      </c>
      <c r="Y653" s="8" t="n">
        <v>-0.009219</v>
      </c>
      <c r="Z653" s="8" t="n">
        <v>-0.09124</v>
      </c>
      <c r="AA653" s="8" t="n">
        <v>0.08409999999999999</v>
      </c>
    </row>
    <row r="654">
      <c r="A654" s="11" t="inlineStr">
        <is>
          <t>2025-04-30</t>
        </is>
      </c>
      <c r="B654" s="11" t="inlineStr">
        <is>
          <t>高分位</t>
        </is>
      </c>
      <c r="C654" s="15" t="n">
        <v>0.96</v>
      </c>
      <c r="D654" s="13" t="n">
        <v>0.001026</v>
      </c>
      <c r="E654" s="13" t="n">
        <v>-0.014216</v>
      </c>
      <c r="F654" s="13" t="n">
        <v>0.015242</v>
      </c>
      <c r="G654" s="13" t="n">
        <v>0.9327</v>
      </c>
      <c r="H654" s="13" t="n">
        <v>-0.014359</v>
      </c>
      <c r="I654" s="13" t="n">
        <v>0.008441000000000001</v>
      </c>
      <c r="J654" s="13" t="n">
        <v>-0.0228</v>
      </c>
      <c r="K654" s="13" t="n">
        <v>0.3702</v>
      </c>
      <c r="L654" s="13" t="n">
        <v>-0.004615</v>
      </c>
      <c r="M654" s="13" t="n">
        <v>0.009329</v>
      </c>
      <c r="N654" s="13" t="n">
        <v>-0.013944</v>
      </c>
      <c r="O654" s="13" t="n">
        <v>0.669</v>
      </c>
      <c r="P654" s="13" t="n">
        <v>-0.059282</v>
      </c>
      <c r="Q654" s="13" t="n">
        <v>0.008441000000000001</v>
      </c>
      <c r="R654" s="13" t="n">
        <v>-0.06772300000000001</v>
      </c>
      <c r="S654" s="13" t="n">
        <v>0.1246</v>
      </c>
      <c r="T654" s="13" t="n">
        <v>-0.013333</v>
      </c>
      <c r="U654" s="13" t="n">
        <v>0.074633</v>
      </c>
      <c r="V654" s="13" t="n">
        <v>-0.087966</v>
      </c>
      <c r="W654" s="13" t="n">
        <v>0.8484</v>
      </c>
      <c r="X654" s="13" t="n">
        <v>-0.092513</v>
      </c>
      <c r="Y654" s="13" t="n">
        <v>-0.019103</v>
      </c>
      <c r="Z654" s="13" t="n">
        <v>-0.07341</v>
      </c>
      <c r="AA654" s="13" t="n">
        <v>0.1711</v>
      </c>
    </row>
    <row r="655">
      <c r="A655" s="6" t="inlineStr">
        <is>
          <t>2025-05-06</t>
        </is>
      </c>
      <c r="B655" s="6" t="inlineStr">
        <is>
          <t>高分位</t>
        </is>
      </c>
      <c r="C655" s="10" t="n">
        <v>0.988</v>
      </c>
      <c r="D655" s="8" t="n">
        <v>-0.004611</v>
      </c>
      <c r="E655" s="8" t="n">
        <v>0.009013</v>
      </c>
      <c r="F655" s="8" t="n">
        <v>-0.013624</v>
      </c>
      <c r="G655" s="8" t="n">
        <v>0.6616</v>
      </c>
      <c r="H655" s="8" t="n">
        <v>-0.015369</v>
      </c>
      <c r="I655" s="8" t="n">
        <v>0.032447</v>
      </c>
      <c r="J655" s="8" t="n">
        <v>-0.047816</v>
      </c>
      <c r="K655" s="8" t="n">
        <v>0.6786</v>
      </c>
      <c r="L655" s="8" t="n">
        <v>-0.031762</v>
      </c>
      <c r="M655" s="8" t="n">
        <v>0.016674</v>
      </c>
      <c r="N655" s="8" t="n">
        <v>-0.048436</v>
      </c>
      <c r="O655" s="8" t="n">
        <v>0.3442</v>
      </c>
      <c r="P655" s="8" t="n">
        <v>-0.060246</v>
      </c>
      <c r="Q655" s="8" t="n">
        <v>0.018026</v>
      </c>
      <c r="R655" s="8" t="n">
        <v>-0.07827199999999999</v>
      </c>
      <c r="S655" s="8" t="n">
        <v>0.2303</v>
      </c>
      <c r="T655" s="8" t="n">
        <v>-0.009561</v>
      </c>
      <c r="U655" s="8" t="n">
        <v>0.08382199999999999</v>
      </c>
      <c r="V655" s="8" t="n">
        <v>-0.09338299999999999</v>
      </c>
      <c r="W655" s="8" t="n">
        <v>0.8976</v>
      </c>
      <c r="X655" s="8" t="n">
        <v>-0.108197</v>
      </c>
      <c r="Y655" s="8" t="n">
        <v>-0.017575</v>
      </c>
      <c r="Z655" s="8" t="n">
        <v>-0.09062199999999999</v>
      </c>
      <c r="AA655" s="8" t="n">
        <v>0.1397</v>
      </c>
    </row>
    <row r="656">
      <c r="A656" s="11" t="inlineStr">
        <is>
          <t>2025-05-07</t>
        </is>
      </c>
      <c r="B656" s="11" t="inlineStr">
        <is>
          <t>高分位</t>
        </is>
      </c>
      <c r="C656" s="15" t="n">
        <v>0.964</v>
      </c>
      <c r="D656" s="13" t="n">
        <v>-0.00772</v>
      </c>
      <c r="E656" s="13" t="n">
        <v>-0.010272</v>
      </c>
      <c r="F656" s="13" t="n">
        <v>0.002552</v>
      </c>
      <c r="G656" s="13" t="n">
        <v>0.5709</v>
      </c>
      <c r="H656" s="13" t="n">
        <v>0.010293</v>
      </c>
      <c r="I656" s="13" t="n">
        <v>0.056275</v>
      </c>
      <c r="J656" s="13" t="n">
        <v>-0.045982</v>
      </c>
      <c r="K656" s="13" t="n">
        <v>0.8454</v>
      </c>
      <c r="L656" s="13" t="n">
        <v>-0.041688</v>
      </c>
      <c r="M656" s="13" t="n">
        <v>0.013845</v>
      </c>
      <c r="N656" s="13" t="n">
        <v>-0.055533</v>
      </c>
      <c r="O656" s="13" t="n">
        <v>0.2493</v>
      </c>
      <c r="P656" s="13" t="n">
        <v>-0.052187</v>
      </c>
      <c r="Q656" s="13" t="n">
        <v>0.011166</v>
      </c>
      <c r="R656" s="13" t="n">
        <v>-0.06335300000000001</v>
      </c>
      <c r="S656" s="13" t="n">
        <v>0.1763</v>
      </c>
      <c r="T656" s="13" t="n">
        <v>-0.014584</v>
      </c>
      <c r="U656" s="13" t="n">
        <v>0.06878099999999999</v>
      </c>
      <c r="V656" s="13" t="n">
        <v>-0.08336499999999999</v>
      </c>
      <c r="W656" s="13" t="n">
        <v>0.8250999999999999</v>
      </c>
      <c r="X656" s="13" t="n">
        <v>-0.112712</v>
      </c>
      <c r="Y656" s="13" t="n">
        <v>-0.042876</v>
      </c>
      <c r="Z656" s="13" t="n">
        <v>-0.069836</v>
      </c>
      <c r="AA656" s="13" t="n">
        <v>0.2756</v>
      </c>
    </row>
    <row r="657">
      <c r="A657" s="6" t="inlineStr">
        <is>
          <t>2025-05-08</t>
        </is>
      </c>
      <c r="B657" s="6" t="inlineStr">
        <is>
          <t>高分位</t>
        </is>
      </c>
      <c r="C657" s="10" t="n">
        <v>0.976</v>
      </c>
      <c r="D657" s="8" t="n">
        <v>-0.008299000000000001</v>
      </c>
      <c r="E657" s="8" t="n">
        <v>0.004964</v>
      </c>
      <c r="F657" s="8" t="n">
        <v>-0.013263</v>
      </c>
      <c r="G657" s="8" t="n">
        <v>0.3743</v>
      </c>
      <c r="H657" s="8" t="n">
        <v>0.046162</v>
      </c>
      <c r="I657" s="8" t="n">
        <v>0.046931</v>
      </c>
      <c r="J657" s="8" t="n">
        <v>-0.000769</v>
      </c>
      <c r="K657" s="8" t="n">
        <v>0.5041</v>
      </c>
      <c r="L657" s="8" t="n">
        <v>-0.036826</v>
      </c>
      <c r="M657" s="8" t="n">
        <v>0.011282</v>
      </c>
      <c r="N657" s="8" t="n">
        <v>-0.048108</v>
      </c>
      <c r="O657" s="8" t="n">
        <v>0.2345</v>
      </c>
      <c r="P657" s="8" t="n">
        <v>-0.040249</v>
      </c>
      <c r="Q657" s="8" t="n">
        <v>0.027527</v>
      </c>
      <c r="R657" s="8" t="n">
        <v>-0.067776</v>
      </c>
      <c r="S657" s="8" t="n">
        <v>0.4061</v>
      </c>
      <c r="T657" s="8" t="n">
        <v>-0.008643</v>
      </c>
      <c r="U657" s="8" t="n">
        <v>0.07852000000000001</v>
      </c>
      <c r="V657" s="8" t="n">
        <v>-0.087163</v>
      </c>
      <c r="W657" s="8" t="n">
        <v>0.9008</v>
      </c>
      <c r="X657" s="8" t="n">
        <v>-0.127801</v>
      </c>
      <c r="Y657" s="8" t="n">
        <v>-0.045578</v>
      </c>
      <c r="Z657" s="8" t="n">
        <v>-0.082223</v>
      </c>
      <c r="AA657" s="8" t="n">
        <v>0.2629</v>
      </c>
    </row>
    <row r="658">
      <c r="A658" s="11" t="inlineStr">
        <is>
          <t>2025-05-09</t>
        </is>
      </c>
      <c r="B658" s="11" t="inlineStr">
        <is>
          <t>高分位</t>
        </is>
      </c>
      <c r="C658" s="15" t="n">
        <v>0.916</v>
      </c>
      <c r="D658" s="13" t="n">
        <v>0.00523</v>
      </c>
      <c r="E658" s="13" t="n">
        <v>0.019308</v>
      </c>
      <c r="F658" s="13" t="n">
        <v>-0.014078</v>
      </c>
      <c r="G658" s="13" t="n">
        <v>0.7869</v>
      </c>
      <c r="H658" s="13" t="n">
        <v>0.015167</v>
      </c>
      <c r="I658" s="13" t="n">
        <v>0.025595</v>
      </c>
      <c r="J658" s="13" t="n">
        <v>-0.010428</v>
      </c>
      <c r="K658" s="13" t="n">
        <v>0.6279</v>
      </c>
      <c r="L658" s="13" t="n">
        <v>-0.032427</v>
      </c>
      <c r="M658" s="13" t="n">
        <v>-0.002245</v>
      </c>
      <c r="N658" s="13" t="n">
        <v>-0.030182</v>
      </c>
      <c r="O658" s="13" t="n">
        <v>0.06469999999999999</v>
      </c>
      <c r="P658" s="13" t="n">
        <v>-0.024686</v>
      </c>
      <c r="Q658" s="13" t="n">
        <v>0.022003</v>
      </c>
      <c r="R658" s="13" t="n">
        <v>-0.046689</v>
      </c>
      <c r="S658" s="13" t="n">
        <v>0.4713</v>
      </c>
      <c r="T658" s="13" t="n">
        <v>-0.005929</v>
      </c>
      <c r="U658" s="13" t="n">
        <v>0.076336</v>
      </c>
      <c r="V658" s="13" t="n">
        <v>-0.082265</v>
      </c>
      <c r="W658" s="13" t="n">
        <v>0.9278999999999999</v>
      </c>
      <c r="X658" s="13" t="n">
        <v>-0.130962</v>
      </c>
      <c r="Y658" s="13" t="n">
        <v>-0.038617</v>
      </c>
      <c r="Z658" s="13" t="n">
        <v>-0.092345</v>
      </c>
      <c r="AA658" s="13" t="n">
        <v>0.2277</v>
      </c>
    </row>
    <row r="659">
      <c r="A659" s="6" t="inlineStr">
        <is>
          <t>2025-05-12</t>
        </is>
      </c>
      <c r="B659" s="6" t="inlineStr">
        <is>
          <t>中间分位</t>
        </is>
      </c>
      <c r="C659" s="10" t="n">
        <v>0.86</v>
      </c>
      <c r="D659" s="8" t="n">
        <v>0</v>
      </c>
      <c r="E659" s="8" t="n">
        <v>0.009251000000000001</v>
      </c>
      <c r="F659" s="8" t="n">
        <v>-0.009251000000000001</v>
      </c>
      <c r="G659" s="8" t="n">
        <v>1</v>
      </c>
      <c r="H659" s="8" t="n">
        <v>0.009886000000000001</v>
      </c>
      <c r="I659" s="8" t="n">
        <v>0.0008809999999999999</v>
      </c>
      <c r="J659" s="8" t="n">
        <v>0.009005000000000001</v>
      </c>
      <c r="K659" s="8" t="n">
        <v>0.0818</v>
      </c>
      <c r="L659" s="8" t="n">
        <v>-0.042664</v>
      </c>
      <c r="M659" s="8" t="n">
        <v>-0.020264</v>
      </c>
      <c r="N659" s="8" t="n">
        <v>-0.0224</v>
      </c>
      <c r="O659" s="8" t="n">
        <v>0.322</v>
      </c>
      <c r="P659" s="8" t="n">
        <v>-0.010198</v>
      </c>
      <c r="Q659" s="8" t="n">
        <v>0.005286</v>
      </c>
      <c r="R659" s="8" t="n">
        <v>-0.015484</v>
      </c>
      <c r="S659" s="8" t="n">
        <v>0.3414</v>
      </c>
      <c r="T659" s="8" t="n">
        <v>-0.009365</v>
      </c>
      <c r="U659" s="8" t="n">
        <v>0.055507</v>
      </c>
      <c r="V659" s="8" t="n">
        <v>-0.064872</v>
      </c>
      <c r="W659" s="8" t="n">
        <v>0.8556</v>
      </c>
      <c r="X659" s="8" t="n">
        <v>-0.137149</v>
      </c>
      <c r="Y659" s="8" t="n">
        <v>-0.063877</v>
      </c>
      <c r="Z659" s="8" t="n">
        <v>-0.073272</v>
      </c>
      <c r="AA659" s="8" t="n">
        <v>0.3178</v>
      </c>
    </row>
    <row r="660">
      <c r="A660" s="11" t="inlineStr">
        <is>
          <t>2025-05-13</t>
        </is>
      </c>
      <c r="B660" s="11" t="inlineStr">
        <is>
          <t>中间分位</t>
        </is>
      </c>
      <c r="C660" s="15" t="n">
        <v>0.828</v>
      </c>
      <c r="D660" s="13" t="n">
        <v>0.021332</v>
      </c>
      <c r="E660" s="13" t="n">
        <v>0.0323</v>
      </c>
      <c r="F660" s="13" t="n">
        <v>-0.010968</v>
      </c>
      <c r="G660" s="13" t="n">
        <v>0.6022999999999999</v>
      </c>
      <c r="H660" s="13" t="n">
        <v>-0.016649</v>
      </c>
      <c r="I660" s="13" t="n">
        <v>-0.015277</v>
      </c>
      <c r="J660" s="13" t="n">
        <v>-0.001372</v>
      </c>
      <c r="K660" s="13" t="n">
        <v>0.4785</v>
      </c>
      <c r="L660" s="13" t="n">
        <v>-0.061915</v>
      </c>
      <c r="M660" s="13" t="n">
        <v>-0.037102</v>
      </c>
      <c r="N660" s="13" t="n">
        <v>-0.024813</v>
      </c>
      <c r="O660" s="13" t="n">
        <v>0.3747</v>
      </c>
      <c r="P660" s="13" t="n">
        <v>-0.016441</v>
      </c>
      <c r="Q660" s="13" t="n">
        <v>-0.000436</v>
      </c>
      <c r="R660" s="13" t="n">
        <v>-0.016005</v>
      </c>
      <c r="S660" s="13" t="n">
        <v>0.0258</v>
      </c>
      <c r="T660" s="13" t="n">
        <v>-0.007979</v>
      </c>
      <c r="U660" s="13" t="n">
        <v>0.04234</v>
      </c>
      <c r="V660" s="13" t="n">
        <v>-0.050319</v>
      </c>
      <c r="W660" s="13" t="n">
        <v>0.8414</v>
      </c>
      <c r="X660" s="13" t="n">
        <v>-0.127575</v>
      </c>
      <c r="Y660" s="13" t="n">
        <v>-0.07813199999999999</v>
      </c>
      <c r="Z660" s="13" t="n">
        <v>-0.049443</v>
      </c>
      <c r="AA660" s="13" t="n">
        <v>0.3798</v>
      </c>
    </row>
    <row r="661">
      <c r="A661" s="6" t="inlineStr">
        <is>
          <t>2025-05-14</t>
        </is>
      </c>
      <c r="B661" s="6" t="inlineStr">
        <is>
          <t>中间分位</t>
        </is>
      </c>
      <c r="C661" s="10" t="n">
        <v>0.728</v>
      </c>
      <c r="D661" s="8" t="n">
        <v>0.027509</v>
      </c>
      <c r="E661" s="8" t="n">
        <v>-0.019027</v>
      </c>
      <c r="F661" s="8" t="n">
        <v>0.046536</v>
      </c>
      <c r="G661" s="8" t="n">
        <v>0.4089</v>
      </c>
      <c r="H661" s="8" t="n">
        <v>-0.051452</v>
      </c>
      <c r="I661" s="8" t="n">
        <v>-0.040169</v>
      </c>
      <c r="J661" s="8" t="n">
        <v>-0.011283</v>
      </c>
      <c r="K661" s="8" t="n">
        <v>0.4384</v>
      </c>
      <c r="L661" s="8" t="n">
        <v>-0.084564</v>
      </c>
      <c r="M661" s="8" t="n">
        <v>-0.062156</v>
      </c>
      <c r="N661" s="8" t="n">
        <v>-0.022408</v>
      </c>
      <c r="O661" s="8" t="n">
        <v>0.4236</v>
      </c>
      <c r="P661" s="8" t="n">
        <v>-0.037392</v>
      </c>
      <c r="Q661" s="8" t="n">
        <v>0.010148</v>
      </c>
      <c r="R661" s="8" t="n">
        <v>-0.04754</v>
      </c>
      <c r="S661" s="8" t="n">
        <v>0.2135</v>
      </c>
      <c r="T661" s="8" t="n">
        <v>-0.029718</v>
      </c>
      <c r="U661" s="8" t="n">
        <v>0.007611</v>
      </c>
      <c r="V661" s="8" t="n">
        <v>-0.037329</v>
      </c>
      <c r="W661" s="8" t="n">
        <v>0.2039</v>
      </c>
      <c r="X661" s="8" t="n">
        <v>-0.149465</v>
      </c>
      <c r="Y661" s="8" t="n">
        <v>-0.111628</v>
      </c>
      <c r="Z661" s="8" t="n">
        <v>-0.037837</v>
      </c>
      <c r="AA661" s="8" t="n">
        <v>0.4275</v>
      </c>
    </row>
    <row r="662">
      <c r="A662" s="11" t="inlineStr">
        <is>
          <t>2025-05-15</t>
        </is>
      </c>
      <c r="B662" s="11" t="inlineStr">
        <is>
          <t>高分位</t>
        </is>
      </c>
      <c r="C662" s="15" t="n">
        <v>0.972</v>
      </c>
      <c r="D662" s="13" t="n">
        <v>-0.03768</v>
      </c>
      <c r="E662" s="13" t="n">
        <v>-0.015517</v>
      </c>
      <c r="F662" s="13" t="n">
        <v>-0.022163</v>
      </c>
      <c r="G662" s="13" t="n">
        <v>0.2917</v>
      </c>
      <c r="H662" s="13" t="n">
        <v>-0.07932599999999999</v>
      </c>
      <c r="I662" s="13" t="n">
        <v>-0.034052</v>
      </c>
      <c r="J662" s="13" t="n">
        <v>-0.045274</v>
      </c>
      <c r="K662" s="13" t="n">
        <v>0.3003</v>
      </c>
      <c r="L662" s="13" t="n">
        <v>-0.108775</v>
      </c>
      <c r="M662" s="13" t="n">
        <v>-0.048276</v>
      </c>
      <c r="N662" s="13" t="n">
        <v>-0.060499</v>
      </c>
      <c r="O662" s="13" t="n">
        <v>0.3074</v>
      </c>
      <c r="P662" s="13" t="n">
        <v>-0.014774</v>
      </c>
      <c r="Q662" s="13" t="n">
        <v>0.062069</v>
      </c>
      <c r="R662" s="13" t="n">
        <v>-0.07684299999999999</v>
      </c>
      <c r="S662" s="13" t="n">
        <v>0.8077</v>
      </c>
      <c r="T662" s="13" t="n">
        <v>-0.056686</v>
      </c>
      <c r="U662" s="13" t="n">
        <v>0.071121</v>
      </c>
      <c r="V662" s="13" t="n">
        <v>-0.127807</v>
      </c>
      <c r="W662" s="13" t="n">
        <v>0.5565</v>
      </c>
      <c r="X662" s="13" t="n">
        <v>-0.180169</v>
      </c>
      <c r="Y662" s="13" t="n">
        <v>-0.102586</v>
      </c>
      <c r="Z662" s="13" t="n">
        <v>-0.077583</v>
      </c>
      <c r="AA662" s="13" t="n">
        <v>0.3628</v>
      </c>
    </row>
    <row r="663">
      <c r="A663" s="6" t="inlineStr">
        <is>
          <t>2025-05-16</t>
        </is>
      </c>
      <c r="B663" s="6" t="inlineStr">
        <is>
          <t>中间分位</t>
        </is>
      </c>
      <c r="C663" s="10" t="n">
        <v>0.892</v>
      </c>
      <c r="D663" s="8" t="n">
        <v>0</v>
      </c>
      <c r="E663" s="8" t="n">
        <v>-0.005254</v>
      </c>
      <c r="F663" s="8" t="n">
        <v>0.005254</v>
      </c>
      <c r="G663" s="8" t="n">
        <v>1</v>
      </c>
      <c r="H663" s="8" t="n">
        <v>-0.046883</v>
      </c>
      <c r="I663" s="8" t="n">
        <v>-0.027145</v>
      </c>
      <c r="J663" s="8" t="n">
        <v>-0.019738</v>
      </c>
      <c r="K663" s="8" t="n">
        <v>0.3667</v>
      </c>
      <c r="L663" s="8" t="n">
        <v>-0.072643</v>
      </c>
      <c r="M663" s="8" t="n">
        <v>-0.025832</v>
      </c>
      <c r="N663" s="8" t="n">
        <v>-0.046811</v>
      </c>
      <c r="O663" s="8" t="n">
        <v>0.2623</v>
      </c>
      <c r="P663" s="8" t="n">
        <v>0.07037599999999999</v>
      </c>
      <c r="Q663" s="8" t="n">
        <v>0.074869</v>
      </c>
      <c r="R663" s="8" t="n">
        <v>-0.004493</v>
      </c>
      <c r="S663" s="8" t="n">
        <v>0.5155</v>
      </c>
      <c r="T663" s="8" t="n">
        <v>-0.018032</v>
      </c>
      <c r="U663" s="8" t="n">
        <v>0.09282</v>
      </c>
      <c r="V663" s="8" t="n">
        <v>-0.110852</v>
      </c>
      <c r="W663" s="8" t="n">
        <v>0.8373</v>
      </c>
      <c r="X663" s="8" t="n">
        <v>-0.146832</v>
      </c>
      <c r="Y663" s="8" t="n">
        <v>-0.077058</v>
      </c>
      <c r="Z663" s="8" t="n">
        <v>-0.069774</v>
      </c>
      <c r="AA663" s="8" t="n">
        <v>0.3442</v>
      </c>
    </row>
    <row r="664">
      <c r="A664" s="11" t="inlineStr">
        <is>
          <t>2025-05-19</t>
        </is>
      </c>
      <c r="B664" s="11" t="inlineStr">
        <is>
          <t>高分位</t>
        </is>
      </c>
      <c r="C664" s="15" t="n">
        <v>0.908</v>
      </c>
      <c r="D664" s="13" t="n">
        <v>-0.026275</v>
      </c>
      <c r="E664" s="13" t="n">
        <v>-0.007042</v>
      </c>
      <c r="F664" s="13" t="n">
        <v>-0.019233</v>
      </c>
      <c r="G664" s="13" t="n">
        <v>0.2114</v>
      </c>
      <c r="H664" s="13" t="n">
        <v>-0.052035</v>
      </c>
      <c r="I664" s="13" t="n">
        <v>-0.021127</v>
      </c>
      <c r="J664" s="13" t="n">
        <v>-0.030908</v>
      </c>
      <c r="K664" s="13" t="n">
        <v>0.2888</v>
      </c>
      <c r="L664" s="13" t="n">
        <v>-0.05492</v>
      </c>
      <c r="M664" s="13" t="n">
        <v>-0.00088</v>
      </c>
      <c r="N664" s="13" t="n">
        <v>-0.05404</v>
      </c>
      <c r="O664" s="13" t="n">
        <v>0.0158</v>
      </c>
      <c r="P664" s="13" t="n">
        <v>0.090572</v>
      </c>
      <c r="Q664" s="13" t="n">
        <v>0.107835</v>
      </c>
      <c r="R664" s="13" t="n">
        <v>-0.017263</v>
      </c>
      <c r="S664" s="13" t="n">
        <v>0.5435</v>
      </c>
      <c r="T664" s="13" t="n">
        <v>-0.017344</v>
      </c>
      <c r="U664" s="13" t="n">
        <v>0.091109</v>
      </c>
      <c r="V664" s="13" t="n">
        <v>-0.108453</v>
      </c>
      <c r="W664" s="13" t="n">
        <v>0.8401</v>
      </c>
      <c r="X664" s="13" t="n">
        <v>-0.143534</v>
      </c>
      <c r="Y664" s="13" t="n">
        <v>-0.07438400000000001</v>
      </c>
      <c r="Z664" s="13" t="n">
        <v>-0.06915</v>
      </c>
      <c r="AA664" s="13" t="n">
        <v>0.3413</v>
      </c>
    </row>
    <row r="665">
      <c r="A665" s="6" t="inlineStr">
        <is>
          <t>2025-05-20</t>
        </is>
      </c>
      <c r="B665" s="6" t="inlineStr">
        <is>
          <t>中间分位</t>
        </is>
      </c>
      <c r="C665" s="10" t="n">
        <v>0.8</v>
      </c>
      <c r="D665" s="8" t="n">
        <v>-0.014815</v>
      </c>
      <c r="E665" s="8" t="n">
        <v>0.006206</v>
      </c>
      <c r="F665" s="8" t="n">
        <v>-0.021021</v>
      </c>
      <c r="G665" s="8" t="n">
        <v>0.2952</v>
      </c>
      <c r="H665" s="8" t="n">
        <v>-0.046032</v>
      </c>
      <c r="I665" s="8" t="n">
        <v>-0.022163</v>
      </c>
      <c r="J665" s="8" t="n">
        <v>-0.023869</v>
      </c>
      <c r="K665" s="8" t="n">
        <v>0.325</v>
      </c>
      <c r="L665" s="8" t="n">
        <v>-0.029418</v>
      </c>
      <c r="M665" s="8" t="n">
        <v>0.00133</v>
      </c>
      <c r="N665" s="8" t="n">
        <v>-0.030748</v>
      </c>
      <c r="O665" s="8" t="n">
        <v>0.0433</v>
      </c>
      <c r="P665" s="8" t="n">
        <v>0.14836</v>
      </c>
      <c r="Q665" s="8" t="n">
        <v>0.127216</v>
      </c>
      <c r="R665" s="8" t="n">
        <v>0.021144</v>
      </c>
      <c r="S665" s="8" t="n">
        <v>0.4616</v>
      </c>
      <c r="T665" s="8" t="n">
        <v>0.004584</v>
      </c>
      <c r="U665" s="8" t="n">
        <v>0.079344</v>
      </c>
      <c r="V665" s="8" t="n">
        <v>-0.07475999999999999</v>
      </c>
      <c r="W665" s="8" t="n">
        <v>0.9454</v>
      </c>
      <c r="X665" s="8" t="n">
        <v>-0.120423</v>
      </c>
      <c r="Y665" s="8" t="n">
        <v>-0.08909599999999999</v>
      </c>
      <c r="Z665" s="8" t="n">
        <v>-0.031327</v>
      </c>
      <c r="AA665" s="8" t="n">
        <v>0.4252</v>
      </c>
    </row>
    <row r="666">
      <c r="A666" s="11" t="inlineStr">
        <is>
          <t>2025-05-21</t>
        </is>
      </c>
      <c r="B666" s="11" t="inlineStr">
        <is>
          <t>中间分位</t>
        </is>
      </c>
      <c r="C666" s="15" t="n">
        <v>0.6</v>
      </c>
      <c r="D666" s="13" t="n">
        <v>-0.002685</v>
      </c>
      <c r="E666" s="13" t="n">
        <v>-0.012775</v>
      </c>
      <c r="F666" s="13" t="n">
        <v>0.01009</v>
      </c>
      <c r="G666" s="13" t="n">
        <v>0.8263</v>
      </c>
      <c r="H666" s="13" t="n">
        <v>-0.034909</v>
      </c>
      <c r="I666" s="13" t="n">
        <v>-0.022907</v>
      </c>
      <c r="J666" s="13" t="n">
        <v>-0.012002</v>
      </c>
      <c r="K666" s="13" t="n">
        <v>0.3962</v>
      </c>
      <c r="L666" s="13" t="n">
        <v>-0.010956</v>
      </c>
      <c r="M666" s="13" t="n">
        <v>-0.002643</v>
      </c>
      <c r="N666" s="13" t="n">
        <v>-0.008312999999999999</v>
      </c>
      <c r="O666" s="13" t="n">
        <v>0.1944</v>
      </c>
      <c r="P666" s="13" t="n">
        <v>0.18754</v>
      </c>
      <c r="Q666" s="13" t="n">
        <v>0.114097</v>
      </c>
      <c r="R666" s="13" t="n">
        <v>0.07344299999999999</v>
      </c>
      <c r="S666" s="13" t="n">
        <v>0.3783</v>
      </c>
      <c r="T666" s="13" t="n">
        <v>0.008236</v>
      </c>
      <c r="U666" s="13" t="n">
        <v>0.062555</v>
      </c>
      <c r="V666" s="13" t="n">
        <v>-0.054319</v>
      </c>
      <c r="W666" s="13" t="n">
        <v>0.8837</v>
      </c>
      <c r="X666" s="13" t="n">
        <v>-0.110634</v>
      </c>
      <c r="Y666" s="13" t="n">
        <v>-0.106167</v>
      </c>
      <c r="Z666" s="13" t="n">
        <v>-0.004467</v>
      </c>
      <c r="AA666" s="13" t="n">
        <v>0.4897</v>
      </c>
    </row>
    <row r="667">
      <c r="A667" s="6" t="inlineStr">
        <is>
          <t>2025-05-22</t>
        </is>
      </c>
      <c r="B667" s="6" t="inlineStr">
        <is>
          <t>中间分位</t>
        </is>
      </c>
      <c r="C667" s="10" t="n">
        <v>0.712</v>
      </c>
      <c r="D667" s="8" t="n">
        <v>-0.00377</v>
      </c>
      <c r="E667" s="8" t="n">
        <v>-0.008477999999999999</v>
      </c>
      <c r="F667" s="8" t="n">
        <v>0.004708</v>
      </c>
      <c r="G667" s="8" t="n">
        <v>0.6922</v>
      </c>
      <c r="H667" s="8" t="n">
        <v>-0.031987</v>
      </c>
      <c r="I667" s="8" t="n">
        <v>-0.014726</v>
      </c>
      <c r="J667" s="8" t="n">
        <v>-0.017261</v>
      </c>
      <c r="K667" s="8" t="n">
        <v>0.3152</v>
      </c>
      <c r="L667" s="8" t="n">
        <v>-0.003554</v>
      </c>
      <c r="M667" s="8" t="n">
        <v>0.016064</v>
      </c>
      <c r="N667" s="8" t="n">
        <v>-0.019618</v>
      </c>
      <c r="O667" s="8" t="n">
        <v>0.8188</v>
      </c>
      <c r="P667" s="8" t="n">
        <v>0.18363</v>
      </c>
      <c r="Q667" s="8" t="n">
        <v>0.117358</v>
      </c>
      <c r="R667" s="8" t="n">
        <v>0.066272</v>
      </c>
      <c r="S667" s="8" t="n">
        <v>0.3899</v>
      </c>
      <c r="T667" s="8" t="n">
        <v>0.007358</v>
      </c>
      <c r="U667" s="8" t="n">
        <v>0.06916600000000001</v>
      </c>
      <c r="V667" s="8" t="n">
        <v>-0.061808</v>
      </c>
      <c r="W667" s="8" t="n">
        <v>0.9038</v>
      </c>
      <c r="X667" s="8" t="n">
        <v>-0.129779</v>
      </c>
      <c r="Y667" s="8" t="n">
        <v>-0.094154</v>
      </c>
      <c r="Z667" s="8" t="n">
        <v>-0.035625</v>
      </c>
      <c r="AA667" s="8" t="n">
        <v>0.4205</v>
      </c>
    </row>
    <row r="668">
      <c r="A668" s="11" t="inlineStr">
        <is>
          <t>2025-05-23</t>
        </is>
      </c>
      <c r="B668" s="11" t="inlineStr">
        <is>
          <t>中间分位</t>
        </is>
      </c>
      <c r="C668" s="15" t="n">
        <v>0.752</v>
      </c>
      <c r="D668" s="13" t="n">
        <v>-0.005405</v>
      </c>
      <c r="E668" s="13" t="n">
        <v>0.0009</v>
      </c>
      <c r="F668" s="13" t="n">
        <v>-0.006305</v>
      </c>
      <c r="G668" s="13" t="n">
        <v>0.1427</v>
      </c>
      <c r="H668" s="13" t="n">
        <v>-0.027027</v>
      </c>
      <c r="I668" s="13" t="n">
        <v>0.00135</v>
      </c>
      <c r="J668" s="13" t="n">
        <v>-0.028377</v>
      </c>
      <c r="K668" s="13" t="n">
        <v>0.0476</v>
      </c>
      <c r="L668" s="13" t="n">
        <v>0.008</v>
      </c>
      <c r="M668" s="13" t="n">
        <v>0.024302</v>
      </c>
      <c r="N668" s="13" t="n">
        <v>-0.016302</v>
      </c>
      <c r="O668" s="13" t="n">
        <v>0.7523</v>
      </c>
      <c r="P668" s="13" t="n">
        <v>0.176143</v>
      </c>
      <c r="Q668" s="13" t="n">
        <v>0.070657</v>
      </c>
      <c r="R668" s="13" t="n">
        <v>0.105486</v>
      </c>
      <c r="S668" s="13" t="n">
        <v>0.2863</v>
      </c>
      <c r="T668" s="13" t="n">
        <v>0.002668</v>
      </c>
      <c r="U668" s="13" t="n">
        <v>0.076058</v>
      </c>
      <c r="V668" s="13" t="n">
        <v>-0.07339</v>
      </c>
      <c r="W668" s="13" t="n">
        <v>0.9661</v>
      </c>
      <c r="X668" s="13" t="n">
        <v>-0.132541</v>
      </c>
      <c r="Y668" s="13" t="n">
        <v>-0.094059</v>
      </c>
      <c r="Z668" s="13" t="n">
        <v>-0.038482</v>
      </c>
      <c r="AA668" s="13" t="n">
        <v>0.4151</v>
      </c>
    </row>
    <row r="669">
      <c r="A669" s="6" t="inlineStr">
        <is>
          <t>2025-05-26</t>
        </is>
      </c>
      <c r="B669" s="6" t="inlineStr">
        <is>
          <t>中间分位</t>
        </is>
      </c>
      <c r="C669" s="10" t="n">
        <v>0.696</v>
      </c>
      <c r="D669" s="8" t="n">
        <v>-0.020109</v>
      </c>
      <c r="E669" s="8" t="n">
        <v>-0.008094</v>
      </c>
      <c r="F669" s="8" t="n">
        <v>-0.012015</v>
      </c>
      <c r="G669" s="8" t="n">
        <v>0.287</v>
      </c>
      <c r="H669" s="8" t="n">
        <v>-0.003043</v>
      </c>
      <c r="I669" s="8" t="n">
        <v>0.020683</v>
      </c>
      <c r="J669" s="8" t="n">
        <v>-0.023726</v>
      </c>
      <c r="K669" s="8" t="n">
        <v>0.8717</v>
      </c>
      <c r="L669" s="8" t="n">
        <v>0.033913</v>
      </c>
      <c r="M669" s="8" t="n">
        <v>0.026079</v>
      </c>
      <c r="N669" s="8" t="n">
        <v>0.007834000000000001</v>
      </c>
      <c r="O669" s="8" t="n">
        <v>0.4347</v>
      </c>
      <c r="P669" s="8" t="n">
        <v>0.155074</v>
      </c>
      <c r="Q669" s="8" t="n">
        <v>0.07509</v>
      </c>
      <c r="R669" s="8" t="n">
        <v>0.079984</v>
      </c>
      <c r="S669" s="8" t="n">
        <v>0.3262</v>
      </c>
      <c r="T669" s="8" t="n">
        <v>0.000726</v>
      </c>
      <c r="U669" s="8" t="n">
        <v>0.08992799999999999</v>
      </c>
      <c r="V669" s="8" t="n">
        <v>-0.089202</v>
      </c>
      <c r="W669" s="8" t="n">
        <v>0.992</v>
      </c>
      <c r="X669" s="8" t="n">
        <v>-0.13087</v>
      </c>
      <c r="Y669" s="8" t="n">
        <v>-0.093525</v>
      </c>
      <c r="Z669" s="8" t="n">
        <v>-0.037345</v>
      </c>
      <c r="AA669" s="8" t="n">
        <v>0.4168</v>
      </c>
    </row>
    <row r="670">
      <c r="A670" s="11" t="inlineStr">
        <is>
          <t>2025-05-28</t>
        </is>
      </c>
      <c r="B670" s="11" t="inlineStr">
        <is>
          <t>中间分位</t>
        </is>
      </c>
      <c r="C670" s="15" t="n">
        <v>0.5679999999999999</v>
      </c>
      <c r="D670" s="13" t="n">
        <v>-0.003328</v>
      </c>
      <c r="E670" s="13" t="n">
        <v>0.00544</v>
      </c>
      <c r="F670" s="13" t="n">
        <v>-0.008768</v>
      </c>
      <c r="G670" s="13" t="n">
        <v>0.6204</v>
      </c>
      <c r="H670" s="13" t="n">
        <v>0.017415</v>
      </c>
      <c r="I670" s="13" t="n">
        <v>0.024025</v>
      </c>
      <c r="J670" s="13" t="n">
        <v>-0.00661</v>
      </c>
      <c r="K670" s="13" t="n">
        <v>0.5798</v>
      </c>
      <c r="L670" s="13" t="n">
        <v>0.048475</v>
      </c>
      <c r="M670" s="13" t="n">
        <v>0.038078</v>
      </c>
      <c r="N670" s="13" t="n">
        <v>0.010397</v>
      </c>
      <c r="O670" s="13" t="n">
        <v>0.4399</v>
      </c>
      <c r="P670" s="13" t="n">
        <v>0.174341</v>
      </c>
      <c r="Q670" s="13" t="n">
        <v>0.095648</v>
      </c>
      <c r="R670" s="13" t="n">
        <v>0.078693</v>
      </c>
      <c r="S670" s="13" t="n">
        <v>0.3543</v>
      </c>
      <c r="T670" s="13" t="n">
        <v>0.024958</v>
      </c>
      <c r="U670" s="13" t="n">
        <v>0.099275</v>
      </c>
      <c r="V670" s="13" t="n">
        <v>-0.07431699999999999</v>
      </c>
      <c r="W670" s="13" t="n">
        <v>0.7991</v>
      </c>
      <c r="X670" s="13" t="n">
        <v>-0.111703</v>
      </c>
      <c r="Y670" s="13" t="n">
        <v>-0.091568</v>
      </c>
      <c r="Z670" s="13" t="n">
        <v>-0.020135</v>
      </c>
      <c r="AA670" s="13" t="n">
        <v>0.4505</v>
      </c>
    </row>
    <row r="671">
      <c r="A671" s="6" t="inlineStr">
        <is>
          <t>2025-05-29</t>
        </is>
      </c>
      <c r="B671" s="6" t="inlineStr">
        <is>
          <t>中间分位</t>
        </is>
      </c>
      <c r="C671" s="10" t="n">
        <v>0.456</v>
      </c>
      <c r="D671" s="8" t="n">
        <v>0.000334</v>
      </c>
      <c r="E671" s="8" t="n">
        <v>-0.004509</v>
      </c>
      <c r="F671" s="8" t="n">
        <v>0.004843</v>
      </c>
      <c r="G671" s="8" t="n">
        <v>0.931</v>
      </c>
      <c r="H671" s="8" t="n">
        <v>0.024819</v>
      </c>
      <c r="I671" s="8" t="n">
        <v>0.020739</v>
      </c>
      <c r="J671" s="8" t="n">
        <v>0.00408</v>
      </c>
      <c r="K671" s="8" t="n">
        <v>0.4552</v>
      </c>
      <c r="L671" s="8" t="n">
        <v>0.05153</v>
      </c>
      <c r="M671" s="8" t="n">
        <v>0.077096</v>
      </c>
      <c r="N671" s="8" t="n">
        <v>-0.025566</v>
      </c>
      <c r="O671" s="8" t="n">
        <v>0.5994</v>
      </c>
      <c r="P671" s="8" t="n">
        <v>0.224632</v>
      </c>
      <c r="Q671" s="8" t="n">
        <v>0.0789</v>
      </c>
      <c r="R671" s="8" t="n">
        <v>0.145732</v>
      </c>
      <c r="S671" s="8" t="n">
        <v>0.2599</v>
      </c>
      <c r="T671" s="8" t="n">
        <v>0.02786</v>
      </c>
      <c r="U671" s="8" t="n">
        <v>0.08431</v>
      </c>
      <c r="V671" s="8" t="n">
        <v>-0.05645</v>
      </c>
      <c r="W671" s="8" t="n">
        <v>0.7516</v>
      </c>
      <c r="X671" s="8" t="n">
        <v>-0.111853</v>
      </c>
      <c r="Y671" s="8" t="n">
        <v>-0.063571</v>
      </c>
      <c r="Z671" s="8" t="n">
        <v>-0.048282</v>
      </c>
      <c r="AA671" s="8" t="n">
        <v>0.3624</v>
      </c>
    </row>
    <row r="672">
      <c r="A672" s="11" t="inlineStr">
        <is>
          <t>2025-05-30</t>
        </is>
      </c>
      <c r="B672" s="11" t="inlineStr">
        <is>
          <t>中间分位</t>
        </is>
      </c>
      <c r="C672" s="15" t="n">
        <v>0.516</v>
      </c>
      <c r="D672" s="13" t="n">
        <v>0.001335</v>
      </c>
      <c r="E672" s="13" t="n">
        <v>0.007699</v>
      </c>
      <c r="F672" s="13" t="n">
        <v>-0.006364</v>
      </c>
      <c r="G672" s="13" t="n">
        <v>0.8522</v>
      </c>
      <c r="H672" s="13" t="n">
        <v>0.029372</v>
      </c>
      <c r="I672" s="13" t="n">
        <v>0.03125</v>
      </c>
      <c r="J672" s="13" t="n">
        <v>-0.001878</v>
      </c>
      <c r="K672" s="13" t="n">
        <v>0.5155</v>
      </c>
      <c r="L672" s="13" t="n">
        <v>0.105474</v>
      </c>
      <c r="M672" s="13" t="n">
        <v>0.115942</v>
      </c>
      <c r="N672" s="13" t="n">
        <v>-0.010468</v>
      </c>
      <c r="O672" s="13" t="n">
        <v>0.5236</v>
      </c>
      <c r="P672" s="13" t="n">
        <v>0.2398</v>
      </c>
      <c r="Q672" s="13" t="n">
        <v>0.078351</v>
      </c>
      <c r="R672" s="13" t="n">
        <v>0.161449</v>
      </c>
      <c r="S672" s="13" t="n">
        <v>0.2463</v>
      </c>
      <c r="T672" s="13" t="n">
        <v>0.025812</v>
      </c>
      <c r="U672" s="13" t="n">
        <v>0.097826</v>
      </c>
      <c r="V672" s="13" t="n">
        <v>-0.07201399999999999</v>
      </c>
      <c r="W672" s="13" t="n">
        <v>0.7912</v>
      </c>
      <c r="X672" s="13" t="n">
        <v>-0.080552</v>
      </c>
      <c r="Y672" s="13" t="n">
        <v>-0.063859</v>
      </c>
      <c r="Z672" s="13" t="n">
        <v>-0.016693</v>
      </c>
      <c r="AA672" s="13" t="n">
        <v>0.4422</v>
      </c>
    </row>
    <row r="673">
      <c r="A673" s="6" t="inlineStr">
        <is>
          <t>2025-06-03</t>
        </is>
      </c>
      <c r="B673" s="6" t="inlineStr">
        <is>
          <t>中间分位</t>
        </is>
      </c>
      <c r="C673" s="10" t="n">
        <v>0.428</v>
      </c>
      <c r="D673" s="8" t="n">
        <v>0.019111</v>
      </c>
      <c r="E673" s="8" t="n">
        <v>0.020225</v>
      </c>
      <c r="F673" s="8" t="n">
        <v>-0.001114</v>
      </c>
      <c r="G673" s="8" t="n">
        <v>0.5142</v>
      </c>
      <c r="H673" s="8" t="n">
        <v>0.036</v>
      </c>
      <c r="I673" s="8" t="n">
        <v>0.022921</v>
      </c>
      <c r="J673" s="8" t="n">
        <v>0.013079</v>
      </c>
      <c r="K673" s="8" t="n">
        <v>0.389</v>
      </c>
      <c r="L673" s="8" t="n">
        <v>0.154222</v>
      </c>
      <c r="M673" s="8" t="n">
        <v>0.103371</v>
      </c>
      <c r="N673" s="8" t="n">
        <v>0.050851</v>
      </c>
      <c r="O673" s="8" t="n">
        <v>0.4013</v>
      </c>
      <c r="P673" s="8" t="n">
        <v>0.246667</v>
      </c>
      <c r="Q673" s="8" t="n">
        <v>0.071461</v>
      </c>
      <c r="R673" s="8" t="n">
        <v>0.175206</v>
      </c>
      <c r="S673" s="8" t="n">
        <v>0.2246</v>
      </c>
      <c r="T673" s="8" t="n">
        <v>0.025187</v>
      </c>
      <c r="U673" s="8" t="n">
        <v>0.076404</v>
      </c>
      <c r="V673" s="8" t="n">
        <v>-0.051217</v>
      </c>
      <c r="W673" s="8" t="n">
        <v>0.7521</v>
      </c>
      <c r="X673" s="8" t="n">
        <v>-0.08666699999999999</v>
      </c>
      <c r="Y673" s="8" t="n">
        <v>-0.058876</v>
      </c>
      <c r="Z673" s="8" t="n">
        <v>-0.027791</v>
      </c>
      <c r="AA673" s="8" t="n">
        <v>0.4045</v>
      </c>
    </row>
    <row r="674">
      <c r="A674" s="11" t="inlineStr">
        <is>
          <t>2025-06-04</t>
        </is>
      </c>
      <c r="B674" s="11" t="inlineStr">
        <is>
          <t>中间分位</t>
        </is>
      </c>
      <c r="C674" s="15" t="n">
        <v>0.42</v>
      </c>
      <c r="D674" s="13" t="n">
        <v>0</v>
      </c>
      <c r="E674" s="13" t="n">
        <v>-0.004846</v>
      </c>
      <c r="F674" s="13" t="n">
        <v>0.004846</v>
      </c>
      <c r="G674" s="13" t="n">
        <v>1</v>
      </c>
      <c r="H674" s="13" t="n">
        <v>0.037069</v>
      </c>
      <c r="I674" s="13" t="n">
        <v>0.005286</v>
      </c>
      <c r="J674" s="13" t="n">
        <v>0.031783</v>
      </c>
      <c r="K674" s="13" t="n">
        <v>0.1248</v>
      </c>
      <c r="L674" s="13" t="n">
        <v>0.153947</v>
      </c>
      <c r="M674" s="13" t="n">
        <v>0.108811</v>
      </c>
      <c r="N674" s="13" t="n">
        <v>0.045136</v>
      </c>
      <c r="O674" s="13" t="n">
        <v>0.4141</v>
      </c>
      <c r="P674" s="13" t="n">
        <v>0.103358</v>
      </c>
      <c r="Q674" s="13" t="n">
        <v>0.059031</v>
      </c>
      <c r="R674" s="13" t="n">
        <v>0.044327</v>
      </c>
      <c r="S674" s="13" t="n">
        <v>0.3635</v>
      </c>
      <c r="T674" s="13" t="n">
        <v>0.001601</v>
      </c>
      <c r="U674" s="13" t="n">
        <v>0.044934</v>
      </c>
      <c r="V674" s="13" t="n">
        <v>-0.043333</v>
      </c>
      <c r="W674" s="13" t="n">
        <v>0.9656</v>
      </c>
      <c r="X674" s="13" t="n">
        <v>-0.093253</v>
      </c>
      <c r="Y674" s="13" t="n">
        <v>-0.06872200000000001</v>
      </c>
      <c r="Z674" s="13" t="n">
        <v>-0.024531</v>
      </c>
      <c r="AA674" s="13" t="n">
        <v>0.4243</v>
      </c>
    </row>
    <row r="675">
      <c r="A675" s="6" t="inlineStr">
        <is>
          <t>2025-06-05</t>
        </is>
      </c>
      <c r="B675" s="6" t="inlineStr">
        <is>
          <t>中间分位</t>
        </is>
      </c>
      <c r="C675" s="10" t="n">
        <v>0.504</v>
      </c>
      <c r="D675" s="8" t="n">
        <v>0.003925</v>
      </c>
      <c r="E675" s="8" t="n">
        <v>0.002213</v>
      </c>
      <c r="F675" s="8" t="n">
        <v>0.001712</v>
      </c>
      <c r="G675" s="8" t="n">
        <v>0.3605</v>
      </c>
      <c r="H675" s="8" t="n">
        <v>0.030528</v>
      </c>
      <c r="I675" s="8" t="n">
        <v>0.013723</v>
      </c>
      <c r="J675" s="8" t="n">
        <v>0.016805</v>
      </c>
      <c r="K675" s="8" t="n">
        <v>0.3101</v>
      </c>
      <c r="L675" s="8" t="n">
        <v>0.183166</v>
      </c>
      <c r="M675" s="8" t="n">
        <v>0.125719</v>
      </c>
      <c r="N675" s="8" t="n">
        <v>0.057447</v>
      </c>
      <c r="O675" s="8" t="n">
        <v>0.407</v>
      </c>
      <c r="P675" s="8" t="n">
        <v>0.08082399999999999</v>
      </c>
      <c r="Q675" s="8" t="n">
        <v>0.06861399999999999</v>
      </c>
      <c r="R675" s="8" t="n">
        <v>0.01221</v>
      </c>
      <c r="S675" s="8" t="n">
        <v>0.4591</v>
      </c>
      <c r="T675" s="8" t="n">
        <v>-0.018024</v>
      </c>
      <c r="U675" s="8" t="n">
        <v>0.050465</v>
      </c>
      <c r="V675" s="8" t="n">
        <v>-0.06848899999999999</v>
      </c>
      <c r="W675" s="8" t="n">
        <v>0.7368</v>
      </c>
      <c r="X675" s="8" t="n">
        <v>-0.082717</v>
      </c>
      <c r="Y675" s="8" t="n">
        <v>-0.054892</v>
      </c>
      <c r="Z675" s="8" t="n">
        <v>-0.027825</v>
      </c>
      <c r="AA675" s="8" t="n">
        <v>0.3989</v>
      </c>
    </row>
    <row r="676">
      <c r="A676" s="11" t="inlineStr">
        <is>
          <t>2025-06-06</t>
        </is>
      </c>
      <c r="B676" s="11" t="inlineStr">
        <is>
          <t>中间分位</t>
        </is>
      </c>
      <c r="C676" s="15" t="n">
        <v>0.52</v>
      </c>
      <c r="D676" s="13" t="n">
        <v>0.004778</v>
      </c>
      <c r="E676" s="13" t="n">
        <v>0.005742</v>
      </c>
      <c r="F676" s="13" t="n">
        <v>-0.000964</v>
      </c>
      <c r="G676" s="13" t="n">
        <v>0.5458</v>
      </c>
      <c r="H676" s="13" t="n">
        <v>0.026064</v>
      </c>
      <c r="I676" s="13" t="n">
        <v>0.055212</v>
      </c>
      <c r="J676" s="13" t="n">
        <v>-0.029148</v>
      </c>
      <c r="K676" s="13" t="n">
        <v>0.6793</v>
      </c>
      <c r="L676" s="13" t="n">
        <v>0.200695</v>
      </c>
      <c r="M676" s="13" t="n">
        <v>0.117049</v>
      </c>
      <c r="N676" s="13" t="n">
        <v>0.083646</v>
      </c>
      <c r="O676" s="13" t="n">
        <v>0.3684</v>
      </c>
      <c r="P676" s="13" t="n">
        <v>0.074791</v>
      </c>
      <c r="Q676" s="13" t="n">
        <v>0.059629</v>
      </c>
      <c r="R676" s="13" t="n">
        <v>0.015162</v>
      </c>
      <c r="S676" s="13" t="n">
        <v>0.4436</v>
      </c>
      <c r="T676" s="13" t="n">
        <v>-0.024401</v>
      </c>
      <c r="U676" s="13" t="n">
        <v>0.042845</v>
      </c>
      <c r="V676" s="13" t="n">
        <v>-0.067246</v>
      </c>
      <c r="W676" s="13" t="n">
        <v>0.6371</v>
      </c>
      <c r="X676" s="13" t="n">
        <v>-0.07906199999999999</v>
      </c>
      <c r="Y676" s="13" t="n">
        <v>-0.056537</v>
      </c>
      <c r="Z676" s="13" t="n">
        <v>-0.022525</v>
      </c>
      <c r="AA676" s="13" t="n">
        <v>0.4169</v>
      </c>
    </row>
    <row r="677">
      <c r="A677" s="6" t="inlineStr">
        <is>
          <t>2025-06-09</t>
        </is>
      </c>
      <c r="B677" s="6" t="inlineStr">
        <is>
          <t>中间分位</t>
        </is>
      </c>
      <c r="C677" s="10" t="n">
        <v>0.516</v>
      </c>
      <c r="D677" s="8" t="n">
        <v>0.007782</v>
      </c>
      <c r="E677" s="8" t="n">
        <v>-0.000439</v>
      </c>
      <c r="F677" s="8" t="n">
        <v>0.008220999999999999</v>
      </c>
      <c r="G677" s="8" t="n">
        <v>0.0534</v>
      </c>
      <c r="H677" s="8" t="n">
        <v>0.07393</v>
      </c>
      <c r="I677" s="8" t="n">
        <v>0.082126</v>
      </c>
      <c r="J677" s="8" t="n">
        <v>-0.008196</v>
      </c>
      <c r="K677" s="8" t="n">
        <v>0.5263</v>
      </c>
      <c r="L677" s="8" t="n">
        <v>0.187851</v>
      </c>
      <c r="M677" s="8" t="n">
        <v>0.099693</v>
      </c>
      <c r="N677" s="8" t="n">
        <v>0.088158</v>
      </c>
      <c r="O677" s="8" t="n">
        <v>0.3467</v>
      </c>
      <c r="P677" s="8" t="n">
        <v>0.05815</v>
      </c>
      <c r="Q677" s="8" t="n">
        <v>0.050505</v>
      </c>
      <c r="R677" s="8" t="n">
        <v>0.007645</v>
      </c>
      <c r="S677" s="8" t="n">
        <v>0.4648</v>
      </c>
      <c r="T677" s="8" t="n">
        <v>-0.034444</v>
      </c>
      <c r="U677" s="8" t="n">
        <v>0.047431</v>
      </c>
      <c r="V677" s="8" t="n">
        <v>-0.081875</v>
      </c>
      <c r="W677" s="8" t="n">
        <v>0.5793</v>
      </c>
      <c r="X677" s="8" t="n">
        <v>-0.08128000000000001</v>
      </c>
      <c r="Y677" s="8" t="n">
        <v>-0.06368</v>
      </c>
      <c r="Z677" s="8" t="n">
        <v>-0.0176</v>
      </c>
      <c r="AA677" s="8" t="n">
        <v>0.4393</v>
      </c>
    </row>
    <row r="678">
      <c r="A678" s="11" t="inlineStr">
        <is>
          <t>2025-06-10</t>
        </is>
      </c>
      <c r="B678" s="11" t="inlineStr">
        <is>
          <t>中间分位</t>
        </is>
      </c>
      <c r="C678" s="15" t="n">
        <v>0.628</v>
      </c>
      <c r="D678" s="13" t="n">
        <v>0.020163</v>
      </c>
      <c r="E678" s="13" t="n">
        <v>0.002636</v>
      </c>
      <c r="F678" s="13" t="n">
        <v>0.017527</v>
      </c>
      <c r="G678" s="13" t="n">
        <v>0.1156</v>
      </c>
      <c r="H678" s="13" t="n">
        <v>0.114114</v>
      </c>
      <c r="I678" s="13" t="n">
        <v>0.07864699999999999</v>
      </c>
      <c r="J678" s="13" t="n">
        <v>0.035467</v>
      </c>
      <c r="K678" s="13" t="n">
        <v>0.408</v>
      </c>
      <c r="L678" s="13" t="n">
        <v>0.166808</v>
      </c>
      <c r="M678" s="13" t="n">
        <v>0.045255</v>
      </c>
      <c r="N678" s="13" t="n">
        <v>0.121553</v>
      </c>
      <c r="O678" s="13" t="n">
        <v>0.2134</v>
      </c>
      <c r="P678" s="13" t="n">
        <v>0.03961</v>
      </c>
      <c r="Q678" s="13" t="n">
        <v>0.042619</v>
      </c>
      <c r="R678" s="13" t="n">
        <v>-0.003009</v>
      </c>
      <c r="S678" s="13" t="n">
        <v>0.5183</v>
      </c>
      <c r="T678" s="13" t="n">
        <v>-0.03332</v>
      </c>
      <c r="U678" s="13" t="n">
        <v>0.042179</v>
      </c>
      <c r="V678" s="13" t="n">
        <v>-0.075499</v>
      </c>
      <c r="W678" s="13" t="n">
        <v>0.5587</v>
      </c>
      <c r="X678" s="13" t="n">
        <v>-0.087302</v>
      </c>
      <c r="Y678" s="13" t="n">
        <v>-0.065026</v>
      </c>
      <c r="Z678" s="13" t="n">
        <v>-0.022276</v>
      </c>
      <c r="AA678" s="13" t="n">
        <v>0.4269</v>
      </c>
    </row>
    <row r="679">
      <c r="A679" s="6" t="inlineStr">
        <is>
          <t>2025-06-11</t>
        </is>
      </c>
      <c r="B679" s="6" t="inlineStr">
        <is>
          <t>中间分位</t>
        </is>
      </c>
      <c r="C679" s="10" t="n">
        <v>0.804</v>
      </c>
      <c r="D679" s="8" t="n">
        <v>-0.006308</v>
      </c>
      <c r="E679" s="8" t="n">
        <v>0.003506</v>
      </c>
      <c r="F679" s="8" t="n">
        <v>-0.009814</v>
      </c>
      <c r="G679" s="8" t="n">
        <v>0.3572</v>
      </c>
      <c r="H679" s="8" t="n">
        <v>0.1127</v>
      </c>
      <c r="I679" s="8" t="n">
        <v>0.10298</v>
      </c>
      <c r="J679" s="8" t="n">
        <v>0.009719999999999999</v>
      </c>
      <c r="K679" s="8" t="n">
        <v>0.4775</v>
      </c>
      <c r="L679" s="8" t="n">
        <v>0.117187</v>
      </c>
      <c r="M679" s="8" t="n">
        <v>0.047765</v>
      </c>
      <c r="N679" s="8" t="n">
        <v>0.069422</v>
      </c>
      <c r="O679" s="8" t="n">
        <v>0.2896</v>
      </c>
      <c r="P679" s="8" t="n">
        <v>0.013457</v>
      </c>
      <c r="Q679" s="8" t="n">
        <v>0.039439</v>
      </c>
      <c r="R679" s="8" t="n">
        <v>-0.025982</v>
      </c>
      <c r="S679" s="8" t="n">
        <v>0.7456</v>
      </c>
      <c r="T679" s="8" t="n">
        <v>-0.058381</v>
      </c>
      <c r="U679" s="8" t="n">
        <v>0.043821</v>
      </c>
      <c r="V679" s="8" t="n">
        <v>-0.102202</v>
      </c>
      <c r="W679" s="8" t="n">
        <v>0.4288</v>
      </c>
      <c r="X679" s="8" t="n">
        <v>-0.110597</v>
      </c>
      <c r="Y679" s="8" t="n">
        <v>-0.074058</v>
      </c>
      <c r="Z679" s="8" t="n">
        <v>-0.036539</v>
      </c>
      <c r="AA679" s="8" t="n">
        <v>0.4011</v>
      </c>
    </row>
    <row r="680">
      <c r="A680" s="11" t="inlineStr">
        <is>
          <t>2025-06-12</t>
        </is>
      </c>
      <c r="B680" s="11" t="inlineStr">
        <is>
          <t>中间分位</t>
        </is>
      </c>
      <c r="C680" s="15" t="n">
        <v>0.708</v>
      </c>
      <c r="D680" s="13" t="n">
        <v>-0.000423</v>
      </c>
      <c r="E680" s="13" t="n">
        <v>0.043231</v>
      </c>
      <c r="F680" s="13" t="n">
        <v>-0.043654</v>
      </c>
      <c r="G680" s="13" t="n">
        <v>0.9903</v>
      </c>
      <c r="H680" s="13" t="n">
        <v>0.148117</v>
      </c>
      <c r="I680" s="13" t="n">
        <v>0.11048</v>
      </c>
      <c r="J680" s="13" t="n">
        <v>0.037637</v>
      </c>
      <c r="K680" s="13" t="n">
        <v>0.4272</v>
      </c>
      <c r="L680" s="13" t="n">
        <v>0.120047</v>
      </c>
      <c r="M680" s="13" t="n">
        <v>0.055459</v>
      </c>
      <c r="N680" s="13" t="n">
        <v>0.06458800000000001</v>
      </c>
      <c r="O680" s="13" t="n">
        <v>0.316</v>
      </c>
      <c r="P680" s="13" t="n">
        <v>0.011566</v>
      </c>
      <c r="Q680" s="13" t="n">
        <v>0.047162</v>
      </c>
      <c r="R680" s="13" t="n">
        <v>-0.035596</v>
      </c>
      <c r="S680" s="13" t="n">
        <v>0.8031</v>
      </c>
      <c r="T680" s="13" t="n">
        <v>-0.050643</v>
      </c>
      <c r="U680" s="13" t="n">
        <v>0.038428</v>
      </c>
      <c r="V680" s="13" t="n">
        <v>-0.089071</v>
      </c>
      <c r="W680" s="13" t="n">
        <v>0.4314</v>
      </c>
      <c r="X680" s="13" t="n">
        <v>-0.111299</v>
      </c>
      <c r="Y680" s="13" t="n">
        <v>-0.093013</v>
      </c>
      <c r="Z680" s="13" t="n">
        <v>-0.018286</v>
      </c>
      <c r="AA680" s="13" t="n">
        <v>0.4552</v>
      </c>
    </row>
    <row r="681">
      <c r="A681" s="6" t="inlineStr">
        <is>
          <t>2025-06-13</t>
        </is>
      </c>
      <c r="B681" s="6" t="inlineStr">
        <is>
          <t>中间分位</t>
        </is>
      </c>
      <c r="C681" s="10" t="n">
        <v>0.112</v>
      </c>
      <c r="D681" s="8" t="n">
        <v>0.051651</v>
      </c>
      <c r="E681" s="8" t="n">
        <v>0.031394</v>
      </c>
      <c r="F681" s="8" t="n">
        <v>0.020257</v>
      </c>
      <c r="G681" s="8" t="n">
        <v>0.378</v>
      </c>
      <c r="H681" s="8" t="n">
        <v>0.170195</v>
      </c>
      <c r="I681" s="8" t="n">
        <v>0.058602</v>
      </c>
      <c r="J681" s="8" t="n">
        <v>0.111593</v>
      </c>
      <c r="K681" s="8" t="n">
        <v>0.2561</v>
      </c>
      <c r="L681" s="8" t="n">
        <v>0.164619</v>
      </c>
      <c r="M681" s="8" t="n">
        <v>0.001674</v>
      </c>
      <c r="N681" s="8" t="n">
        <v>0.162945</v>
      </c>
      <c r="O681" s="8" t="n">
        <v>0.0101</v>
      </c>
      <c r="P681" s="8" t="n">
        <v>0.01503</v>
      </c>
      <c r="Q681" s="8" t="n">
        <v>-0.007953</v>
      </c>
      <c r="R681" s="8" t="n">
        <v>0.022983</v>
      </c>
      <c r="S681" s="8" t="n">
        <v>0.346</v>
      </c>
      <c r="T681" s="8" t="n">
        <v>-0.049183</v>
      </c>
      <c r="U681" s="8" t="n">
        <v>0.010883</v>
      </c>
      <c r="V681" s="8" t="n">
        <v>-0.060066</v>
      </c>
      <c r="W681" s="8" t="n">
        <v>0.1812</v>
      </c>
      <c r="X681" s="8" t="n">
        <v>-0.120097</v>
      </c>
      <c r="Y681" s="8" t="n">
        <v>-0.125576</v>
      </c>
      <c r="Z681" s="8" t="n">
        <v>0.005479</v>
      </c>
      <c r="AA681" s="8" t="n">
        <v>0.5112</v>
      </c>
    </row>
    <row r="682">
      <c r="A682" s="11" t="inlineStr">
        <is>
          <t>2025-06-16</t>
        </is>
      </c>
      <c r="B682" s="11" t="inlineStr">
        <is>
          <t>中间分位</t>
        </is>
      </c>
      <c r="C682" s="15" t="n">
        <v>0.396</v>
      </c>
      <c r="D682" s="13" t="n">
        <v>0.045491</v>
      </c>
      <c r="E682" s="13" t="n">
        <v>-0.003653</v>
      </c>
      <c r="F682" s="13" t="n">
        <v>0.049144</v>
      </c>
      <c r="G682" s="13" t="n">
        <v>0.0743</v>
      </c>
      <c r="H682" s="13" t="n">
        <v>0.106079</v>
      </c>
      <c r="I682" s="13" t="n">
        <v>0.016234</v>
      </c>
      <c r="J682" s="13" t="n">
        <v>0.08984499999999999</v>
      </c>
      <c r="K682" s="13" t="n">
        <v>0.1327</v>
      </c>
      <c r="L682" s="13" t="n">
        <v>0.12151</v>
      </c>
      <c r="M682" s="13" t="n">
        <v>-0.033685</v>
      </c>
      <c r="N682" s="13" t="n">
        <v>0.155195</v>
      </c>
      <c r="O682" s="13" t="n">
        <v>0.217</v>
      </c>
      <c r="P682" s="13" t="n">
        <v>-0.04254</v>
      </c>
      <c r="Q682" s="13" t="n">
        <v>-0.027597</v>
      </c>
      <c r="R682" s="13" t="n">
        <v>-0.014943</v>
      </c>
      <c r="S682" s="13" t="n">
        <v>0.3935</v>
      </c>
      <c r="T682" s="13" t="n">
        <v>-0.085479</v>
      </c>
      <c r="U682" s="13" t="n">
        <v>-0.022727</v>
      </c>
      <c r="V682" s="13" t="n">
        <v>-0.062752</v>
      </c>
      <c r="W682" s="13" t="n">
        <v>0.21</v>
      </c>
      <c r="X682" s="13" t="n">
        <v>-0.158615</v>
      </c>
      <c r="Y682" s="13" t="n">
        <v>-0.161526</v>
      </c>
      <c r="Z682" s="13" t="n">
        <v>0.002911</v>
      </c>
      <c r="AA682" s="13" t="n">
        <v>0.5044999999999999</v>
      </c>
    </row>
    <row r="683">
      <c r="A683" s="6" t="inlineStr">
        <is>
          <t>2025-06-17</t>
        </is>
      </c>
      <c r="B683" s="6" t="inlineStr">
        <is>
          <t>中间分位</t>
        </is>
      </c>
      <c r="C683" s="10" t="n">
        <v>0.888</v>
      </c>
      <c r="D683" s="8" t="n">
        <v>0.018868</v>
      </c>
      <c r="E683" s="8" t="n">
        <v>0.025255</v>
      </c>
      <c r="F683" s="8" t="n">
        <v>-0.006387</v>
      </c>
      <c r="G683" s="8" t="n">
        <v>0.5724</v>
      </c>
      <c r="H683" s="8" t="n">
        <v>0.047297</v>
      </c>
      <c r="I683" s="8" t="n">
        <v>-0.030957</v>
      </c>
      <c r="J683" s="8" t="n">
        <v>0.078254</v>
      </c>
      <c r="K683" s="8" t="n">
        <v>0.3956</v>
      </c>
      <c r="L683" s="8" t="n">
        <v>0.080092</v>
      </c>
      <c r="M683" s="8" t="n">
        <v>-0.028921</v>
      </c>
      <c r="N683" s="8" t="n">
        <v>0.109013</v>
      </c>
      <c r="O683" s="8" t="n">
        <v>0.2653</v>
      </c>
      <c r="P683" s="8" t="n">
        <v>-0.079707</v>
      </c>
      <c r="Q683" s="8" t="n">
        <v>-0.028106</v>
      </c>
      <c r="R683" s="8" t="n">
        <v>-0.051601</v>
      </c>
      <c r="S683" s="8" t="n">
        <v>0.2607</v>
      </c>
      <c r="T683" s="8" t="n">
        <v>-0.125271</v>
      </c>
      <c r="U683" s="8" t="n">
        <v>-0.023218</v>
      </c>
      <c r="V683" s="8" t="n">
        <v>-0.102053</v>
      </c>
      <c r="W683" s="8" t="n">
        <v>0.1564</v>
      </c>
      <c r="X683" s="8" t="n">
        <v>-0.199076</v>
      </c>
      <c r="Y683" s="8" t="n">
        <v>-0.13279</v>
      </c>
      <c r="Z683" s="8" t="n">
        <v>-0.066286</v>
      </c>
      <c r="AA683" s="8" t="n">
        <v>0.4001</v>
      </c>
    </row>
    <row r="684">
      <c r="A684" s="11" t="inlineStr">
        <is>
          <t>2025-06-18</t>
        </is>
      </c>
      <c r="B684" s="11" t="inlineStr">
        <is>
          <t>中间分位</t>
        </is>
      </c>
      <c r="C684" s="15" t="n">
        <v>0.868</v>
      </c>
      <c r="D684" s="13" t="n">
        <v>0.025321</v>
      </c>
      <c r="E684" s="13" t="n">
        <v>0.01033</v>
      </c>
      <c r="F684" s="13" t="n">
        <v>0.014991</v>
      </c>
      <c r="G684" s="13" t="n">
        <v>0.2898</v>
      </c>
      <c r="H684" s="13" t="n">
        <v>0.004033</v>
      </c>
      <c r="I684" s="13" t="n">
        <v>-0.05006</v>
      </c>
      <c r="J684" s="13" t="n">
        <v>0.054093</v>
      </c>
      <c r="K684" s="13" t="n">
        <v>0.9254</v>
      </c>
      <c r="L684" s="13" t="n">
        <v>-0.04384</v>
      </c>
      <c r="M684" s="13" t="n">
        <v>-0.044895</v>
      </c>
      <c r="N684" s="13" t="n">
        <v>0.001055</v>
      </c>
      <c r="O684" s="13" t="n">
        <v>0.5059</v>
      </c>
      <c r="P684" s="13" t="n">
        <v>-0.09675</v>
      </c>
      <c r="Q684" s="13" t="n">
        <v>-0.059595</v>
      </c>
      <c r="R684" s="13" t="n">
        <v>-0.037155</v>
      </c>
      <c r="S684" s="13" t="n">
        <v>0.3812</v>
      </c>
      <c r="T684" s="13" t="n">
        <v>-0.139142</v>
      </c>
      <c r="U684" s="13" t="n">
        <v>-0.043703</v>
      </c>
      <c r="V684" s="13" t="n">
        <v>-0.095439</v>
      </c>
      <c r="W684" s="13" t="n">
        <v>0.239</v>
      </c>
      <c r="X684" s="13" t="n">
        <v>-0.213908</v>
      </c>
      <c r="Y684" s="13" t="n">
        <v>-0.157727</v>
      </c>
      <c r="Z684" s="13" t="n">
        <v>-0.056181</v>
      </c>
      <c r="AA684" s="13" t="n">
        <v>0.4244</v>
      </c>
    </row>
    <row r="685">
      <c r="A685" s="6" t="inlineStr">
        <is>
          <t>2025-06-19</t>
        </is>
      </c>
      <c r="B685" s="6" t="inlineStr">
        <is>
          <t>高分位</t>
        </is>
      </c>
      <c r="C685" s="10" t="n">
        <v>0.9320000000000001</v>
      </c>
      <c r="D685" s="8" t="n">
        <v>0.018798</v>
      </c>
      <c r="E685" s="8" t="n">
        <v>-0.005505</v>
      </c>
      <c r="F685" s="8" t="n">
        <v>0.024303</v>
      </c>
      <c r="G685" s="8" t="n">
        <v>0.2265</v>
      </c>
      <c r="H685" s="8" t="n">
        <v>-0.024449</v>
      </c>
      <c r="I685" s="8" t="n">
        <v>-0.049548</v>
      </c>
      <c r="J685" s="8" t="n">
        <v>0.025099</v>
      </c>
      <c r="K685" s="8" t="n">
        <v>0.6696</v>
      </c>
      <c r="L685" s="8" t="n">
        <v>-0.08649800000000001</v>
      </c>
      <c r="M685" s="8" t="n">
        <v>-0.050727</v>
      </c>
      <c r="N685" s="8" t="n">
        <v>-0.035771</v>
      </c>
      <c r="O685" s="8" t="n">
        <v>0.3697</v>
      </c>
      <c r="P685" s="8" t="n">
        <v>-0.122127</v>
      </c>
      <c r="Q685" s="8" t="n">
        <v>-0.06685000000000001</v>
      </c>
      <c r="R685" s="8" t="n">
        <v>-0.055277</v>
      </c>
      <c r="S685" s="8" t="n">
        <v>0.3537</v>
      </c>
      <c r="T685" s="8" t="n">
        <v>-0.153457</v>
      </c>
      <c r="U685" s="8" t="n">
        <v>-0.061345</v>
      </c>
      <c r="V685" s="8" t="n">
        <v>-0.092112</v>
      </c>
      <c r="W685" s="8" t="n">
        <v>0.2856</v>
      </c>
      <c r="X685" s="8" t="n">
        <v>-0.224412</v>
      </c>
      <c r="Y685" s="8" t="n">
        <v>-0.174597</v>
      </c>
      <c r="Z685" s="8" t="n">
        <v>-0.049815</v>
      </c>
      <c r="AA685" s="8" t="n">
        <v>0.4376</v>
      </c>
    </row>
    <row r="686">
      <c r="A686" s="11" t="inlineStr">
        <is>
          <t>2025-06-20</t>
        </is>
      </c>
      <c r="B686" s="11" t="inlineStr">
        <is>
          <t>高分位</t>
        </is>
      </c>
      <c r="C686" s="15" t="n">
        <v>0.988</v>
      </c>
      <c r="D686" s="13" t="n">
        <v>-0.00597</v>
      </c>
      <c r="E686" s="13" t="n">
        <v>-0.009885</v>
      </c>
      <c r="F686" s="13" t="n">
        <v>0.003915</v>
      </c>
      <c r="G686" s="13" t="n">
        <v>0.6235000000000001</v>
      </c>
      <c r="H686" s="13" t="n">
        <v>-0.004765</v>
      </c>
      <c r="I686" s="13" t="n">
        <v>-0.053776</v>
      </c>
      <c r="J686" s="13" t="n">
        <v>0.049011</v>
      </c>
      <c r="K686" s="13" t="n">
        <v>0.9186</v>
      </c>
      <c r="L686" s="13" t="n">
        <v>-0.104859</v>
      </c>
      <c r="M686" s="13" t="n">
        <v>-0.051404</v>
      </c>
      <c r="N686" s="13" t="n">
        <v>-0.053455</v>
      </c>
      <c r="O686" s="13" t="n">
        <v>0.329</v>
      </c>
      <c r="P686" s="13" t="n">
        <v>-0.134707</v>
      </c>
      <c r="Q686" s="13" t="n">
        <v>-0.064848</v>
      </c>
      <c r="R686" s="13" t="n">
        <v>-0.069859</v>
      </c>
      <c r="S686" s="13" t="n">
        <v>0.325</v>
      </c>
      <c r="T686" s="13" t="n">
        <v>-0.171491</v>
      </c>
      <c r="U686" s="13" t="n">
        <v>-0.059312</v>
      </c>
      <c r="V686" s="13" t="n">
        <v>-0.112179</v>
      </c>
      <c r="W686" s="13" t="n">
        <v>0.257</v>
      </c>
      <c r="X686" s="13" t="n">
        <v>-0.238122</v>
      </c>
      <c r="Y686" s="13" t="n">
        <v>-0.160142</v>
      </c>
      <c r="Z686" s="13" t="n">
        <v>-0.07797999999999999</v>
      </c>
      <c r="AA686" s="13" t="n">
        <v>0.4021</v>
      </c>
    </row>
    <row r="687">
      <c r="A687" s="6" t="inlineStr">
        <is>
          <t>2025-06-23</t>
        </is>
      </c>
      <c r="B687" s="6" t="inlineStr">
        <is>
          <t>高分位</t>
        </is>
      </c>
      <c r="C687" s="10" t="n">
        <v>0.992</v>
      </c>
      <c r="D687" s="8" t="n">
        <v>-0.010071</v>
      </c>
      <c r="E687" s="8" t="n">
        <v>-0.04992</v>
      </c>
      <c r="F687" s="8" t="n">
        <v>0.039849</v>
      </c>
      <c r="G687" s="8" t="n">
        <v>0.8321</v>
      </c>
      <c r="H687" s="8" t="n">
        <v>0.013951</v>
      </c>
      <c r="I687" s="8" t="n">
        <v>-0.049121</v>
      </c>
      <c r="J687" s="8" t="n">
        <v>0.063072</v>
      </c>
      <c r="K687" s="8" t="n">
        <v>0.7788</v>
      </c>
      <c r="L687" s="8" t="n">
        <v>-0.10919</v>
      </c>
      <c r="M687" s="8" t="n">
        <v>-0.044728</v>
      </c>
      <c r="N687" s="8" t="n">
        <v>-0.06446200000000001</v>
      </c>
      <c r="O687" s="8" t="n">
        <v>0.2906</v>
      </c>
      <c r="P687" s="8" t="n">
        <v>-0.132546</v>
      </c>
      <c r="Q687" s="8" t="n">
        <v>-0.037141</v>
      </c>
      <c r="R687" s="8" t="n">
        <v>-0.095405</v>
      </c>
      <c r="S687" s="8" t="n">
        <v>0.2189</v>
      </c>
      <c r="T687" s="8" t="n">
        <v>-0.167123</v>
      </c>
      <c r="U687" s="8" t="n">
        <v>-0.043131</v>
      </c>
      <c r="V687" s="8" t="n">
        <v>-0.123992</v>
      </c>
      <c r="W687" s="8" t="n">
        <v>0.2051</v>
      </c>
      <c r="X687" s="8" t="n">
        <v>-0.234759</v>
      </c>
      <c r="Y687" s="8" t="n">
        <v>-0.14976</v>
      </c>
      <c r="Z687" s="8" t="n">
        <v>-0.08499900000000001</v>
      </c>
      <c r="AA687" s="8" t="n">
        <v>0.3895</v>
      </c>
    </row>
    <row r="688">
      <c r="A688" s="11" t="inlineStr">
        <is>
          <t>2025-06-24</t>
        </is>
      </c>
      <c r="B688" s="11" t="inlineStr">
        <is>
          <t>高分位</t>
        </is>
      </c>
      <c r="C688" s="15" t="n">
        <v>0.998</v>
      </c>
      <c r="D688" s="13" t="n">
        <v>-0.023222</v>
      </c>
      <c r="E688" s="13" t="n">
        <v>0.005044</v>
      </c>
      <c r="F688" s="13" t="n">
        <v>-0.028266</v>
      </c>
      <c r="G688" s="13" t="n">
        <v>0.1784</v>
      </c>
      <c r="H688" s="13" t="n">
        <v>0.031314</v>
      </c>
      <c r="I688" s="13" t="n">
        <v>0.002102</v>
      </c>
      <c r="J688" s="13" t="n">
        <v>0.029212</v>
      </c>
      <c r="K688" s="13" t="n">
        <v>0.0629</v>
      </c>
      <c r="L688" s="13" t="n">
        <v>-0.109014</v>
      </c>
      <c r="M688" s="13" t="n">
        <v>-0.002522</v>
      </c>
      <c r="N688" s="13" t="n">
        <v>-0.106492</v>
      </c>
      <c r="O688" s="13" t="n">
        <v>0.0226</v>
      </c>
      <c r="P688" s="13" t="n">
        <v>-0.115754</v>
      </c>
      <c r="Q688" s="13" t="n">
        <v>0.032787</v>
      </c>
      <c r="R688" s="13" t="n">
        <v>-0.148541</v>
      </c>
      <c r="S688" s="13" t="n">
        <v>0.2207</v>
      </c>
      <c r="T688" s="13" t="n">
        <v>-0.156197</v>
      </c>
      <c r="U688" s="13" t="n">
        <v>-0.001681</v>
      </c>
      <c r="V688" s="13" t="n">
        <v>-0.154516</v>
      </c>
      <c r="W688" s="13" t="n">
        <v>0.0106</v>
      </c>
      <c r="X688" s="13" t="n">
        <v>-0.222992</v>
      </c>
      <c r="Y688" s="13" t="n">
        <v>-0.093737</v>
      </c>
      <c r="Z688" s="13" t="n">
        <v>-0.129255</v>
      </c>
      <c r="AA688" s="13" t="n">
        <v>0.296</v>
      </c>
    </row>
    <row r="689">
      <c r="A689" s="6" t="inlineStr">
        <is>
          <t>2025-06-25</t>
        </is>
      </c>
      <c r="B689" s="6" t="inlineStr">
        <is>
          <t>高分位</t>
        </is>
      </c>
      <c r="C689" s="10" t="n">
        <v>0.996</v>
      </c>
      <c r="D689" s="8" t="n">
        <v>-0.003764</v>
      </c>
      <c r="E689" s="8" t="n">
        <v>0.010874</v>
      </c>
      <c r="F689" s="8" t="n">
        <v>-0.014638</v>
      </c>
      <c r="G689" s="8" t="n">
        <v>0.7429</v>
      </c>
      <c r="H689" s="8" t="n">
        <v>-0.04768</v>
      </c>
      <c r="I689" s="8" t="n">
        <v>0.005437</v>
      </c>
      <c r="J689" s="8" t="n">
        <v>-0.053117</v>
      </c>
      <c r="K689" s="8" t="n">
        <v>0.1024</v>
      </c>
      <c r="L689" s="8" t="n">
        <v>-0.092849</v>
      </c>
      <c r="M689" s="8" t="n">
        <v>-0.007946</v>
      </c>
      <c r="N689" s="8" t="n">
        <v>-0.08490300000000001</v>
      </c>
      <c r="O689" s="8" t="n">
        <v>0.0788</v>
      </c>
      <c r="P689" s="8" t="n">
        <v>-0.084068</v>
      </c>
      <c r="Q689" s="8" t="n">
        <v>0.008364999999999999</v>
      </c>
      <c r="R689" s="8" t="n">
        <v>-0.092433</v>
      </c>
      <c r="S689" s="8" t="n">
        <v>0.0905</v>
      </c>
      <c r="T689" s="8" t="n">
        <v>-0.139272</v>
      </c>
      <c r="U689" s="8" t="n">
        <v>-0.006274</v>
      </c>
      <c r="V689" s="8" t="n">
        <v>-0.132998</v>
      </c>
      <c r="W689" s="8" t="n">
        <v>0.0431</v>
      </c>
      <c r="X689" s="8" t="n">
        <v>-0.199498</v>
      </c>
      <c r="Y689" s="8" t="n">
        <v>-0.090757</v>
      </c>
      <c r="Z689" s="8" t="n">
        <v>-0.108741</v>
      </c>
      <c r="AA689" s="8" t="n">
        <v>0.3127</v>
      </c>
    </row>
    <row r="690">
      <c r="A690" s="11" t="inlineStr">
        <is>
          <t>2025-06-26</t>
        </is>
      </c>
      <c r="B690" s="11" t="inlineStr">
        <is>
          <t>高分位</t>
        </is>
      </c>
      <c r="C690" s="15" t="n">
        <v>0.98</v>
      </c>
      <c r="D690" s="13" t="n">
        <v>0.039355</v>
      </c>
      <c r="E690" s="13" t="n">
        <v>-0.00993</v>
      </c>
      <c r="F690" s="13" t="n">
        <v>0.049285</v>
      </c>
      <c r="G690" s="13" t="n">
        <v>0.2015</v>
      </c>
      <c r="H690" s="13" t="n">
        <v>-0.06360399999999999</v>
      </c>
      <c r="I690" s="13" t="n">
        <v>-0.001241</v>
      </c>
      <c r="J690" s="13" t="n">
        <v>-0.062363</v>
      </c>
      <c r="K690" s="13" t="n">
        <v>0.0191</v>
      </c>
      <c r="L690" s="13" t="n">
        <v>-0.096854</v>
      </c>
      <c r="M690" s="13" t="n">
        <v>-0.007861</v>
      </c>
      <c r="N690" s="13" t="n">
        <v>-0.088993</v>
      </c>
      <c r="O690" s="13" t="n">
        <v>0.0751</v>
      </c>
      <c r="P690" s="13" t="n">
        <v>-0.091625</v>
      </c>
      <c r="Q690" s="13" t="n">
        <v>0.026065</v>
      </c>
      <c r="R690" s="13" t="n">
        <v>-0.11769</v>
      </c>
      <c r="S690" s="13" t="n">
        <v>0.2215</v>
      </c>
      <c r="T690" s="13" t="n">
        <v>-0.137596</v>
      </c>
      <c r="U690" s="13" t="n">
        <v>-0.029375</v>
      </c>
      <c r="V690" s="13" t="n">
        <v>-0.108221</v>
      </c>
      <c r="W690" s="13" t="n">
        <v>0.1759</v>
      </c>
      <c r="X690" s="13" t="n">
        <v>-0.184825</v>
      </c>
      <c r="Y690" s="13" t="n">
        <v>-0.111295</v>
      </c>
      <c r="Z690" s="13" t="n">
        <v>-0.07353</v>
      </c>
      <c r="AA690" s="13" t="n">
        <v>0.3758</v>
      </c>
    </row>
    <row r="691">
      <c r="A691" s="6" t="inlineStr">
        <is>
          <t>2025-06-27</t>
        </is>
      </c>
      <c r="B691" s="6" t="inlineStr">
        <is>
          <t>高分位</t>
        </is>
      </c>
      <c r="C691" s="10" t="n">
        <v>0.998</v>
      </c>
      <c r="D691" s="8" t="n">
        <v>0.012723</v>
      </c>
      <c r="E691" s="8" t="n">
        <v>-0.005015</v>
      </c>
      <c r="F691" s="8" t="n">
        <v>0.017738</v>
      </c>
      <c r="G691" s="8" t="n">
        <v>0.2827</v>
      </c>
      <c r="H691" s="8" t="n">
        <v>-0.100573</v>
      </c>
      <c r="I691" s="8" t="n">
        <v>0.002507</v>
      </c>
      <c r="J691" s="8" t="n">
        <v>-0.10308</v>
      </c>
      <c r="K691" s="8" t="n">
        <v>0.0243</v>
      </c>
      <c r="L691" s="8" t="n">
        <v>-0.128445</v>
      </c>
      <c r="M691" s="8" t="n">
        <v>-0.009611</v>
      </c>
      <c r="N691" s="8" t="n">
        <v>-0.118834</v>
      </c>
      <c r="O691" s="8" t="n">
        <v>0.0696</v>
      </c>
      <c r="P691" s="8" t="n">
        <v>-0.106026</v>
      </c>
      <c r="Q691" s="8" t="n">
        <v>0.052654</v>
      </c>
      <c r="R691" s="8" t="n">
        <v>-0.15868</v>
      </c>
      <c r="S691" s="8" t="n">
        <v>0.3318</v>
      </c>
      <c r="T691" s="8" t="n">
        <v>-0.177823</v>
      </c>
      <c r="U691" s="8" t="n">
        <v>-0.013372</v>
      </c>
      <c r="V691" s="8" t="n">
        <v>-0.164451</v>
      </c>
      <c r="W691" s="8" t="n">
        <v>0.0699</v>
      </c>
      <c r="X691" s="8" t="n">
        <v>-0.222053</v>
      </c>
      <c r="Y691" s="8" t="n">
        <v>-0.099457</v>
      </c>
      <c r="Z691" s="8" t="n">
        <v>-0.122596</v>
      </c>
      <c r="AA691" s="8" t="n">
        <v>0.3093</v>
      </c>
    </row>
    <row r="692">
      <c r="A692" s="11" t="inlineStr">
        <is>
          <t>2025-06-30</t>
        </is>
      </c>
      <c r="B692" s="11" t="inlineStr">
        <is>
          <t>高分位</t>
        </is>
      </c>
      <c r="C692" s="15" t="n">
        <v>0.998</v>
      </c>
      <c r="D692" s="13" t="n">
        <v>0.006881</v>
      </c>
      <c r="E692" s="13" t="n">
        <v>0.00126</v>
      </c>
      <c r="F692" s="13" t="n">
        <v>0.005621</v>
      </c>
      <c r="G692" s="13" t="n">
        <v>0.1548</v>
      </c>
      <c r="H692" s="13" t="n">
        <v>-0.121447</v>
      </c>
      <c r="I692" s="13" t="n">
        <v>0.00462</v>
      </c>
      <c r="J692" s="13" t="n">
        <v>-0.126067</v>
      </c>
      <c r="K692" s="13" t="n">
        <v>0.0366</v>
      </c>
      <c r="L692" s="13" t="n">
        <v>-0.146276</v>
      </c>
      <c r="M692" s="13" t="n">
        <v>0.0063</v>
      </c>
      <c r="N692" s="13" t="n">
        <v>-0.152576</v>
      </c>
      <c r="O692" s="13" t="n">
        <v>0.0413</v>
      </c>
      <c r="P692" s="13" t="n">
        <v>-0.109181</v>
      </c>
      <c r="Q692" s="13" t="n">
        <v>0.00966</v>
      </c>
      <c r="R692" s="13" t="n">
        <v>-0.118841</v>
      </c>
      <c r="S692" s="13" t="n">
        <v>0.0813</v>
      </c>
      <c r="T692" s="13" t="n">
        <v>-0.188034</v>
      </c>
      <c r="U692" s="13" t="n">
        <v>-0.01386</v>
      </c>
      <c r="V692" s="13" t="n">
        <v>-0.174174</v>
      </c>
      <c r="W692" s="13" t="n">
        <v>0.06859999999999999</v>
      </c>
      <c r="X692" s="13" t="n">
        <v>-0.231827</v>
      </c>
      <c r="Y692" s="13" t="n">
        <v>-0.094498</v>
      </c>
      <c r="Z692" s="13" t="n">
        <v>-0.137329</v>
      </c>
      <c r="AA692" s="13" t="n">
        <v>0.2896</v>
      </c>
    </row>
    <row r="693">
      <c r="A693" s="6" t="inlineStr">
        <is>
          <t>2025-07-01</t>
        </is>
      </c>
      <c r="B693" s="6" t="inlineStr">
        <is>
          <t>高分位</t>
        </is>
      </c>
      <c r="C693" s="10" t="n">
        <v>0.998</v>
      </c>
      <c r="D693" s="8" t="n">
        <v>-0.098039</v>
      </c>
      <c r="E693" s="8" t="n">
        <v>0.008389000000000001</v>
      </c>
      <c r="F693" s="8" t="n">
        <v>-0.106428</v>
      </c>
      <c r="G693" s="8" t="n">
        <v>0.0788</v>
      </c>
      <c r="H693" s="8" t="n">
        <v>-0.136068</v>
      </c>
      <c r="I693" s="8" t="n">
        <v>-0.004614</v>
      </c>
      <c r="J693" s="8" t="n">
        <v>-0.131454</v>
      </c>
      <c r="K693" s="8" t="n">
        <v>0.0328</v>
      </c>
      <c r="L693" s="8" t="n">
        <v>-0.14795</v>
      </c>
      <c r="M693" s="8" t="n">
        <v>0.000839</v>
      </c>
      <c r="N693" s="8" t="n">
        <v>-0.148789</v>
      </c>
      <c r="O693" s="8" t="n">
        <v>0.0056</v>
      </c>
      <c r="P693" s="8" t="n">
        <v>-0.147059</v>
      </c>
      <c r="Q693" s="8" t="n">
        <v>0.020973</v>
      </c>
      <c r="R693" s="8" t="n">
        <v>-0.168032</v>
      </c>
      <c r="S693" s="8" t="n">
        <v>0.1248</v>
      </c>
      <c r="T693" s="8" t="n">
        <v>-0.196078</v>
      </c>
      <c r="U693" s="8" t="n">
        <v>-0.017198</v>
      </c>
      <c r="V693" s="8" t="n">
        <v>-0.17888</v>
      </c>
      <c r="W693" s="8" t="n">
        <v>0.0806</v>
      </c>
      <c r="X693" s="8" t="n">
        <v>-0.233216</v>
      </c>
      <c r="Y693" s="8" t="n">
        <v>-0.08892600000000001</v>
      </c>
      <c r="Z693" s="8" t="n">
        <v>-0.14429</v>
      </c>
      <c r="AA693" s="8" t="n">
        <v>0.276</v>
      </c>
    </row>
    <row r="694">
      <c r="A694" s="11" t="inlineStr">
        <is>
          <t>2025-07-02</t>
        </is>
      </c>
      <c r="B694" s="11" t="inlineStr">
        <is>
          <t>中间分位</t>
        </is>
      </c>
      <c r="C694" s="15" t="n">
        <v>0.84</v>
      </c>
      <c r="D694" s="13" t="n">
        <v>-0.020423</v>
      </c>
      <c r="E694" s="13" t="n">
        <v>0.00416</v>
      </c>
      <c r="F694" s="13" t="n">
        <v>-0.024583</v>
      </c>
      <c r="G694" s="13" t="n">
        <v>0.1692</v>
      </c>
      <c r="H694" s="13" t="n">
        <v>-0.047431</v>
      </c>
      <c r="I694" s="13" t="n">
        <v>-0.013311</v>
      </c>
      <c r="J694" s="13" t="n">
        <v>-0.03412</v>
      </c>
      <c r="K694" s="13" t="n">
        <v>0.2191</v>
      </c>
      <c r="L694" s="13" t="n">
        <v>-0.055336</v>
      </c>
      <c r="M694" s="13" t="n">
        <v>-0.015391</v>
      </c>
      <c r="N694" s="13" t="n">
        <v>-0.039945</v>
      </c>
      <c r="O694" s="13" t="n">
        <v>0.2176</v>
      </c>
      <c r="P694" s="13" t="n">
        <v>-0.049407</v>
      </c>
      <c r="Q694" s="13" t="n">
        <v>0.00624</v>
      </c>
      <c r="R694" s="13" t="n">
        <v>-0.055647</v>
      </c>
      <c r="S694" s="13" t="n">
        <v>0.1121</v>
      </c>
      <c r="T694" s="13" t="n">
        <v>-0.108696</v>
      </c>
      <c r="U694" s="13" t="n">
        <v>-0.022047</v>
      </c>
      <c r="V694" s="13" t="n">
        <v>-0.086649</v>
      </c>
      <c r="W694" s="13" t="n">
        <v>0.1686</v>
      </c>
      <c r="X694" s="13" t="n">
        <v>-0.146245</v>
      </c>
      <c r="Y694" s="13" t="n">
        <v>-0.100666</v>
      </c>
      <c r="Z694" s="13" t="n">
        <v>-0.045579</v>
      </c>
      <c r="AA694" s="13" t="n">
        <v>0.4077</v>
      </c>
    </row>
    <row r="695">
      <c r="A695" s="6" t="inlineStr">
        <is>
          <t>2025-07-03</t>
        </is>
      </c>
      <c r="B695" s="6" t="inlineStr">
        <is>
          <t>中间分位</t>
        </is>
      </c>
      <c r="C695" s="10" t="n">
        <v>0.636</v>
      </c>
      <c r="D695" s="8" t="n">
        <v>-0.001679</v>
      </c>
      <c r="E695" s="8" t="n">
        <v>-0.006214</v>
      </c>
      <c r="F695" s="8" t="n">
        <v>0.004535</v>
      </c>
      <c r="G695" s="8" t="n">
        <v>0.7873</v>
      </c>
      <c r="H695" s="8" t="n">
        <v>-0.035508</v>
      </c>
      <c r="I695" s="8" t="n">
        <v>-0.006628</v>
      </c>
      <c r="J695" s="8" t="n">
        <v>-0.02888</v>
      </c>
      <c r="K695" s="8" t="n">
        <v>0.1573</v>
      </c>
      <c r="L695" s="8" t="n">
        <v>-0.039002</v>
      </c>
      <c r="M695" s="8" t="n">
        <v>-0.016984</v>
      </c>
      <c r="N695" s="8" t="n">
        <v>-0.022018</v>
      </c>
      <c r="O695" s="8" t="n">
        <v>0.3034</v>
      </c>
      <c r="P695" s="8" t="n">
        <v>-0.02488</v>
      </c>
      <c r="Q695" s="8" t="n">
        <v>-0.003728</v>
      </c>
      <c r="R695" s="8" t="n">
        <v>-0.021152</v>
      </c>
      <c r="S695" s="8" t="n">
        <v>0.1303</v>
      </c>
      <c r="T695" s="8" t="n">
        <v>-0.08769200000000001</v>
      </c>
      <c r="U695" s="8" t="n">
        <v>-0.024027</v>
      </c>
      <c r="V695" s="8" t="n">
        <v>-0.063665</v>
      </c>
      <c r="W695" s="8" t="n">
        <v>0.2151</v>
      </c>
      <c r="X695" s="8" t="n">
        <v>-0.13248</v>
      </c>
      <c r="Y695" s="8" t="n">
        <v>-0.104805</v>
      </c>
      <c r="Z695" s="8" t="n">
        <v>-0.027675</v>
      </c>
      <c r="AA695" s="8" t="n">
        <v>0.4417</v>
      </c>
    </row>
    <row r="696">
      <c r="A696" s="11" t="inlineStr">
        <is>
          <t>2025-07-04</t>
        </is>
      </c>
      <c r="B696" s="11" t="inlineStr">
        <is>
          <t>中间分位</t>
        </is>
      </c>
      <c r="C696" s="15" t="n">
        <v>0.6879999999999999</v>
      </c>
      <c r="D696" s="13" t="n">
        <v>-0.010779</v>
      </c>
      <c r="E696" s="13" t="n">
        <v>-0.002918</v>
      </c>
      <c r="F696" s="13" t="n">
        <v>-0.007861</v>
      </c>
      <c r="G696" s="13" t="n">
        <v>0.213</v>
      </c>
      <c r="H696" s="13" t="n">
        <v>-0.030988</v>
      </c>
      <c r="I696" s="13" t="n">
        <v>-0.012088</v>
      </c>
      <c r="J696" s="13" t="n">
        <v>-0.0189</v>
      </c>
      <c r="K696" s="13" t="n">
        <v>0.2806</v>
      </c>
      <c r="L696" s="13" t="n">
        <v>-0.033345</v>
      </c>
      <c r="M696" s="13" t="n">
        <v>-0.014173</v>
      </c>
      <c r="N696" s="13" t="n">
        <v>-0.019172</v>
      </c>
      <c r="O696" s="13" t="n">
        <v>0.2983</v>
      </c>
      <c r="P696" s="13" t="n">
        <v>-0.032674</v>
      </c>
      <c r="Q696" s="13" t="n">
        <v>-0.002501</v>
      </c>
      <c r="R696" s="13" t="n">
        <v>-0.030173</v>
      </c>
      <c r="S696" s="13" t="n">
        <v>0.0711</v>
      </c>
      <c r="T696" s="13" t="n">
        <v>-0.089088</v>
      </c>
      <c r="U696" s="13" t="n">
        <v>-0.018341</v>
      </c>
      <c r="V696" s="13" t="n">
        <v>-0.070747</v>
      </c>
      <c r="W696" s="13" t="n">
        <v>0.1707</v>
      </c>
      <c r="X696" s="13" t="n">
        <v>-0.131357</v>
      </c>
      <c r="Y696" s="13" t="n">
        <v>-0.099208</v>
      </c>
      <c r="Z696" s="13" t="n">
        <v>-0.032149</v>
      </c>
      <c r="AA696" s="13" t="n">
        <v>0.4303</v>
      </c>
    </row>
    <row r="697">
      <c r="A697" s="6" t="inlineStr">
        <is>
          <t>2025-07-07</t>
        </is>
      </c>
      <c r="B697" s="6" t="inlineStr">
        <is>
          <t>中间分位</t>
        </is>
      </c>
      <c r="C697" s="10" t="n">
        <v>0.6</v>
      </c>
      <c r="D697" s="8" t="n">
        <v>-0.009875</v>
      </c>
      <c r="E697" s="8" t="n">
        <v>-0.007943</v>
      </c>
      <c r="F697" s="8" t="n">
        <v>-0.001932</v>
      </c>
      <c r="G697" s="8" t="n">
        <v>0.4458</v>
      </c>
      <c r="H697" s="8" t="n">
        <v>-0.028261</v>
      </c>
      <c r="I697" s="8" t="n">
        <v>0.001672</v>
      </c>
      <c r="J697" s="8" t="n">
        <v>-0.029933</v>
      </c>
      <c r="K697" s="8" t="n">
        <v>0.0559</v>
      </c>
      <c r="L697" s="8" t="n">
        <v>-0.026219</v>
      </c>
      <c r="M697" s="8" t="n">
        <v>0.007943</v>
      </c>
      <c r="N697" s="8" t="n">
        <v>-0.034162</v>
      </c>
      <c r="O697" s="8" t="n">
        <v>0.2325</v>
      </c>
      <c r="P697" s="8" t="n">
        <v>-0.023832</v>
      </c>
      <c r="Q697" s="8" t="n">
        <v>-0.000836</v>
      </c>
      <c r="R697" s="8" t="n">
        <v>-0.022996</v>
      </c>
      <c r="S697" s="8" t="n">
        <v>0.0339</v>
      </c>
      <c r="T697" s="8" t="n">
        <v>-0.075077</v>
      </c>
      <c r="U697" s="8" t="n">
        <v>-0.013796</v>
      </c>
      <c r="V697" s="8" t="n">
        <v>-0.061281</v>
      </c>
      <c r="W697" s="8" t="n">
        <v>0.1552</v>
      </c>
      <c r="X697" s="8" t="n">
        <v>-0.119849</v>
      </c>
      <c r="Y697" s="8" t="n">
        <v>-0.072324</v>
      </c>
      <c r="Z697" s="8" t="n">
        <v>-0.047525</v>
      </c>
      <c r="AA697" s="8" t="n">
        <v>0.3763</v>
      </c>
    </row>
    <row r="698">
      <c r="A698" s="11" t="inlineStr">
        <is>
          <t>2025-07-08</t>
        </is>
      </c>
      <c r="B698" s="11" t="inlineStr">
        <is>
          <t>中间分位</t>
        </is>
      </c>
      <c r="C698" s="15" t="n">
        <v>0.556</v>
      </c>
      <c r="D698" s="13" t="n">
        <v>-0.005501</v>
      </c>
      <c r="E698" s="13" t="n">
        <v>-0.000421</v>
      </c>
      <c r="F698" s="13" t="n">
        <v>-0.00508</v>
      </c>
      <c r="G698" s="13" t="n">
        <v>0.0711</v>
      </c>
      <c r="H698" s="13" t="n">
        <v>-0.013754</v>
      </c>
      <c r="I698" s="13" t="n">
        <v>0.005478</v>
      </c>
      <c r="J698" s="13" t="n">
        <v>-0.019232</v>
      </c>
      <c r="K698" s="13" t="n">
        <v>0.2848</v>
      </c>
      <c r="L698" s="13" t="n">
        <v>-0.007564</v>
      </c>
      <c r="M698" s="13" t="n">
        <v>0.035398</v>
      </c>
      <c r="N698" s="13" t="n">
        <v>-0.042962</v>
      </c>
      <c r="O698" s="13" t="n">
        <v>0.8239</v>
      </c>
      <c r="P698" s="13" t="n">
        <v>-0.019601</v>
      </c>
      <c r="Q698" s="13" t="n">
        <v>0.010114</v>
      </c>
      <c r="R698" s="13" t="n">
        <v>-0.029715</v>
      </c>
      <c r="S698" s="13" t="n">
        <v>0.3404</v>
      </c>
      <c r="T698" s="13" t="n">
        <v>-0.067399</v>
      </c>
      <c r="U698" s="13" t="n">
        <v>-0.018963</v>
      </c>
      <c r="V698" s="13" t="n">
        <v>-0.048436</v>
      </c>
      <c r="W698" s="13" t="n">
        <v>0.2196</v>
      </c>
      <c r="X698" s="13" t="n">
        <v>-0.092158</v>
      </c>
      <c r="Y698" s="13" t="n">
        <v>-0.066161</v>
      </c>
      <c r="Z698" s="13" t="n">
        <v>-0.025997</v>
      </c>
      <c r="AA698" s="13" t="n">
        <v>0.4179</v>
      </c>
    </row>
    <row r="699">
      <c r="A699" s="6" t="inlineStr">
        <is>
          <t>2025-07-09</t>
        </is>
      </c>
      <c r="B699" s="6" t="inlineStr">
        <is>
          <t>中间分位</t>
        </is>
      </c>
      <c r="C699" s="10" t="n">
        <v>0.5</v>
      </c>
      <c r="D699" s="8" t="n">
        <v>-0.008162000000000001</v>
      </c>
      <c r="E699" s="8" t="n">
        <v>0.010961</v>
      </c>
      <c r="F699" s="8" t="n">
        <v>-0.019123</v>
      </c>
      <c r="G699" s="8" t="n">
        <v>0.5732</v>
      </c>
      <c r="H699" s="8" t="n">
        <v>-0.008299000000000001</v>
      </c>
      <c r="I699" s="8" t="n">
        <v>-0.002108</v>
      </c>
      <c r="J699" s="8" t="n">
        <v>-0.006191</v>
      </c>
      <c r="K699" s="8" t="n">
        <v>0.2026</v>
      </c>
      <c r="L699" s="8" t="n">
        <v>0.009679999999999999</v>
      </c>
      <c r="M699" s="8" t="n">
        <v>0.016442</v>
      </c>
      <c r="N699" s="8" t="n">
        <v>-0.006762</v>
      </c>
      <c r="O699" s="8" t="n">
        <v>0.6294</v>
      </c>
      <c r="P699" s="8" t="n">
        <v>-0.012448</v>
      </c>
      <c r="Q699" s="8" t="n">
        <v>0.010118</v>
      </c>
      <c r="R699" s="8" t="n">
        <v>-0.022566</v>
      </c>
      <c r="S699" s="8" t="n">
        <v>0.4484</v>
      </c>
      <c r="T699" s="8" t="n">
        <v>-0.071577</v>
      </c>
      <c r="U699" s="8" t="n">
        <v>-0.03457</v>
      </c>
      <c r="V699" s="8" t="n">
        <v>-0.037007</v>
      </c>
      <c r="W699" s="8" t="n">
        <v>0.3257</v>
      </c>
      <c r="X699" s="8" t="n">
        <v>-0.068465</v>
      </c>
      <c r="Y699" s="8" t="n">
        <v>-0.066189</v>
      </c>
      <c r="Z699" s="8" t="n">
        <v>-0.002276</v>
      </c>
      <c r="AA699" s="8" t="n">
        <v>0.4915</v>
      </c>
    </row>
    <row r="700">
      <c r="A700" s="11" t="inlineStr">
        <is>
          <t>2025-07-10</t>
        </is>
      </c>
      <c r="B700" s="11" t="inlineStr">
        <is>
          <t>中间分位</t>
        </is>
      </c>
      <c r="C700" s="15" t="n">
        <v>0.224</v>
      </c>
      <c r="D700" s="13" t="n">
        <v>0.003</v>
      </c>
      <c r="E700" s="13" t="n">
        <v>-0.011676</v>
      </c>
      <c r="F700" s="13" t="n">
        <v>0.014676</v>
      </c>
      <c r="G700" s="13" t="n">
        <v>0.7956</v>
      </c>
      <c r="H700" s="13" t="n">
        <v>-0.003623</v>
      </c>
      <c r="I700" s="13" t="n">
        <v>-0.010425</v>
      </c>
      <c r="J700" s="13" t="n">
        <v>0.006802</v>
      </c>
      <c r="K700" s="13" t="n">
        <v>0.7421</v>
      </c>
      <c r="L700" s="13" t="n">
        <v>0.00579</v>
      </c>
      <c r="M700" s="13" t="n">
        <v>0.034195</v>
      </c>
      <c r="N700" s="13" t="n">
        <v>-0.028405</v>
      </c>
      <c r="O700" s="13" t="n">
        <v>0.8552</v>
      </c>
      <c r="P700" s="13" t="n">
        <v>-0.002928</v>
      </c>
      <c r="Q700" s="13" t="n">
        <v>-0.00417</v>
      </c>
      <c r="R700" s="13" t="n">
        <v>0.001242</v>
      </c>
      <c r="S700" s="13" t="n">
        <v>0.5875</v>
      </c>
      <c r="T700" s="13" t="n">
        <v>-0.072827</v>
      </c>
      <c r="U700" s="13" t="n">
        <v>-0.037948</v>
      </c>
      <c r="V700" s="13" t="n">
        <v>-0.034879</v>
      </c>
      <c r="W700" s="13" t="n">
        <v>0.3426</v>
      </c>
      <c r="X700" s="13" t="n">
        <v>-0.06951300000000001</v>
      </c>
      <c r="Y700" s="13" t="n">
        <v>-0.043786</v>
      </c>
      <c r="Z700" s="13" t="n">
        <v>-0.025727</v>
      </c>
      <c r="AA700" s="13" t="n">
        <v>0.3865</v>
      </c>
    </row>
    <row r="701">
      <c r="A701" s="6" t="inlineStr">
        <is>
          <t>2025-07-11</t>
        </is>
      </c>
      <c r="B701" s="6" t="inlineStr">
        <is>
          <t>中间分位</t>
        </is>
      </c>
      <c r="C701" s="10" t="n">
        <v>0.428</v>
      </c>
      <c r="D701" s="8" t="n">
        <v>-0.007996</v>
      </c>
      <c r="E701" s="8" t="n">
        <v>0.01097</v>
      </c>
      <c r="F701" s="8" t="n">
        <v>-0.018966</v>
      </c>
      <c r="G701" s="8" t="n">
        <v>0.5784</v>
      </c>
      <c r="H701" s="8" t="n">
        <v>-0.002432</v>
      </c>
      <c r="I701" s="8" t="n">
        <v>-0.00211</v>
      </c>
      <c r="J701" s="8" t="n">
        <v>-0.000322</v>
      </c>
      <c r="K701" s="8" t="n">
        <v>0.4646</v>
      </c>
      <c r="L701" s="8" t="n">
        <v>0.025723</v>
      </c>
      <c r="M701" s="8" t="n">
        <v>0.06286899999999999</v>
      </c>
      <c r="N701" s="8" t="n">
        <v>-0.037146</v>
      </c>
      <c r="O701" s="8" t="n">
        <v>0.7096</v>
      </c>
      <c r="P701" s="8" t="n">
        <v>-0.006953</v>
      </c>
      <c r="Q701" s="8" t="n">
        <v>0.005485</v>
      </c>
      <c r="R701" s="8" t="n">
        <v>-0.012438</v>
      </c>
      <c r="S701" s="8" t="n">
        <v>0.441</v>
      </c>
      <c r="T701" s="8" t="n">
        <v>-0.064651</v>
      </c>
      <c r="U701" s="8" t="n">
        <v>-0.011814</v>
      </c>
      <c r="V701" s="8" t="n">
        <v>-0.052837</v>
      </c>
      <c r="W701" s="8" t="n">
        <v>0.1545</v>
      </c>
      <c r="X701" s="8" t="n">
        <v>-0.050052</v>
      </c>
      <c r="Y701" s="8" t="n">
        <v>-0.04346</v>
      </c>
      <c r="Z701" s="8" t="n">
        <v>-0.006592</v>
      </c>
      <c r="AA701" s="8" t="n">
        <v>0.4648</v>
      </c>
    </row>
    <row r="702">
      <c r="A702" s="11" t="inlineStr">
        <is>
          <t>2025-07-14</t>
        </is>
      </c>
      <c r="B702" s="11" t="inlineStr">
        <is>
          <t>中间分位</t>
        </is>
      </c>
      <c r="C702" s="15" t="n">
        <v>0.164</v>
      </c>
      <c r="D702" s="13" t="n">
        <v>0.004907</v>
      </c>
      <c r="E702" s="13" t="n">
        <v>-0.004174</v>
      </c>
      <c r="F702" s="13" t="n">
        <v>0.009081000000000001</v>
      </c>
      <c r="G702" s="13" t="n">
        <v>0.4596</v>
      </c>
      <c r="H702" s="13" t="n">
        <v>0.002102</v>
      </c>
      <c r="I702" s="13" t="n">
        <v>0.00626</v>
      </c>
      <c r="J702" s="13" t="n">
        <v>-0.004158</v>
      </c>
      <c r="K702" s="13" t="n">
        <v>0.7486</v>
      </c>
      <c r="L702" s="13" t="n">
        <v>0.043451</v>
      </c>
      <c r="M702" s="13" t="n">
        <v>0.003339</v>
      </c>
      <c r="N702" s="13" t="n">
        <v>0.040112</v>
      </c>
      <c r="O702" s="13" t="n">
        <v>0.07140000000000001</v>
      </c>
      <c r="P702" s="13" t="n">
        <v>0</v>
      </c>
      <c r="Q702" s="13" t="n">
        <v>0.037145</v>
      </c>
      <c r="R702" s="13" t="n">
        <v>-0.037145</v>
      </c>
      <c r="S702" s="13" t="n">
        <v>1</v>
      </c>
      <c r="T702" s="13" t="n">
        <v>-0.037665</v>
      </c>
      <c r="U702" s="13" t="n">
        <v>-0.050918</v>
      </c>
      <c r="V702" s="13" t="n">
        <v>0.013253</v>
      </c>
      <c r="W702" s="13" t="n">
        <v>0.5748</v>
      </c>
      <c r="X702" s="13" t="n">
        <v>-0.042395</v>
      </c>
      <c r="Y702" s="13" t="n">
        <v>-0.068865</v>
      </c>
      <c r="Z702" s="13" t="n">
        <v>0.02647</v>
      </c>
      <c r="AA702" s="13" t="n">
        <v>0.619</v>
      </c>
    </row>
    <row r="703">
      <c r="A703" s="6" t="inlineStr">
        <is>
          <t>2025-07-15</t>
        </is>
      </c>
      <c r="B703" s="6" t="inlineStr">
        <is>
          <t>中间分位</t>
        </is>
      </c>
      <c r="C703" s="10" t="n">
        <v>0.308</v>
      </c>
      <c r="D703" s="8" t="n">
        <v>0</v>
      </c>
      <c r="E703" s="8" t="n">
        <v>-0.007963</v>
      </c>
      <c r="F703" s="8" t="n">
        <v>0.007963</v>
      </c>
      <c r="G703" s="8" t="n">
        <v>1</v>
      </c>
      <c r="H703" s="8" t="n">
        <v>0.006276</v>
      </c>
      <c r="I703" s="8" t="n">
        <v>0.029757</v>
      </c>
      <c r="J703" s="8" t="n">
        <v>-0.023481</v>
      </c>
      <c r="K703" s="8" t="n">
        <v>0.8258</v>
      </c>
      <c r="L703" s="8" t="n">
        <v>0.001046</v>
      </c>
      <c r="M703" s="8" t="n">
        <v>0.020117</v>
      </c>
      <c r="N703" s="8" t="n">
        <v>-0.019071</v>
      </c>
      <c r="O703" s="8" t="n">
        <v>0.9506</v>
      </c>
      <c r="P703" s="8" t="n">
        <v>-0.003138</v>
      </c>
      <c r="Q703" s="8" t="n">
        <v>0.046102</v>
      </c>
      <c r="R703" s="8" t="n">
        <v>-0.04924</v>
      </c>
      <c r="S703" s="8" t="n">
        <v>0.9363</v>
      </c>
      <c r="T703" s="8" t="n">
        <v>-0.054393</v>
      </c>
      <c r="U703" s="8" t="n">
        <v>-0.036882</v>
      </c>
      <c r="V703" s="8" t="n">
        <v>-0.017511</v>
      </c>
      <c r="W703" s="8" t="n">
        <v>0.4041</v>
      </c>
      <c r="X703" s="8" t="n">
        <v>-0.062414</v>
      </c>
      <c r="Y703" s="8" t="n">
        <v>-0.04736</v>
      </c>
      <c r="Z703" s="8" t="n">
        <v>-0.015054</v>
      </c>
      <c r="AA703" s="8" t="n">
        <v>0.4314</v>
      </c>
    </row>
    <row r="704">
      <c r="A704" s="11" t="inlineStr">
        <is>
          <t>2025-07-16</t>
        </is>
      </c>
      <c r="B704" s="11" t="inlineStr">
        <is>
          <t>中间分位</t>
        </is>
      </c>
      <c r="C704" s="15" t="n">
        <v>0.4</v>
      </c>
      <c r="D704" s="13" t="n">
        <v>-0.003485</v>
      </c>
      <c r="E704" s="13" t="n">
        <v>0.002535</v>
      </c>
      <c r="F704" s="13" t="n">
        <v>-0.00602</v>
      </c>
      <c r="G704" s="13" t="n">
        <v>0.4211</v>
      </c>
      <c r="H704" s="13" t="n">
        <v>0.01813</v>
      </c>
      <c r="I704" s="13" t="n">
        <v>0.018589</v>
      </c>
      <c r="J704" s="13" t="n">
        <v>-0.000459</v>
      </c>
      <c r="K704" s="13" t="n">
        <v>0.5063</v>
      </c>
      <c r="L704" s="13" t="n">
        <v>0.006276</v>
      </c>
      <c r="M704" s="13" t="n">
        <v>0.021969</v>
      </c>
      <c r="N704" s="13" t="n">
        <v>-0.015693</v>
      </c>
      <c r="O704" s="13" t="n">
        <v>0.7778</v>
      </c>
      <c r="P704" s="13" t="n">
        <v>-0.002439</v>
      </c>
      <c r="Q704" s="13" t="n">
        <v>0.047317</v>
      </c>
      <c r="R704" s="13" t="n">
        <v>-0.049756</v>
      </c>
      <c r="S704" s="13" t="n">
        <v>0.951</v>
      </c>
      <c r="T704" s="13" t="n">
        <v>-0.029289</v>
      </c>
      <c r="U704" s="13" t="n">
        <v>-0.020279</v>
      </c>
      <c r="V704" s="13" t="n">
        <v>-0.009010000000000001</v>
      </c>
      <c r="W704" s="13" t="n">
        <v>0.4091</v>
      </c>
      <c r="X704" s="13" t="n">
        <v>-0.051954</v>
      </c>
      <c r="Y704" s="13" t="n">
        <v>-0.043937</v>
      </c>
      <c r="Z704" s="13" t="n">
        <v>-0.008017</v>
      </c>
      <c r="AA704" s="13" t="n">
        <v>0.4582</v>
      </c>
    </row>
    <row r="705">
      <c r="A705" s="6" t="inlineStr">
        <is>
          <t>2025-07-17</t>
        </is>
      </c>
      <c r="B705" s="6" t="inlineStr">
        <is>
          <t>中间分位</t>
        </is>
      </c>
      <c r="C705" s="10" t="n">
        <v>0.324</v>
      </c>
      <c r="D705" s="8" t="n">
        <v>0.004199</v>
      </c>
      <c r="E705" s="8" t="n">
        <v>-0.003371</v>
      </c>
      <c r="F705" s="8" t="n">
        <v>0.00757</v>
      </c>
      <c r="G705" s="8" t="n">
        <v>0.4453</v>
      </c>
      <c r="H705" s="8" t="n">
        <v>0.009447000000000001</v>
      </c>
      <c r="I705" s="8" t="n">
        <v>0.045091</v>
      </c>
      <c r="J705" s="8" t="n">
        <v>-0.035644</v>
      </c>
      <c r="K705" s="8" t="n">
        <v>0.8268</v>
      </c>
      <c r="L705" s="8" t="n">
        <v>0.014696</v>
      </c>
      <c r="M705" s="8" t="n">
        <v>0.013485</v>
      </c>
      <c r="N705" s="8" t="n">
        <v>0.001211</v>
      </c>
      <c r="O705" s="8" t="n">
        <v>0.4785</v>
      </c>
      <c r="P705" s="8" t="n">
        <v>-0.003502</v>
      </c>
      <c r="Q705" s="8" t="n">
        <v>0.026127</v>
      </c>
      <c r="R705" s="8" t="n">
        <v>-0.029629</v>
      </c>
      <c r="S705" s="8" t="n">
        <v>0.8818</v>
      </c>
      <c r="T705" s="8" t="n">
        <v>-0.024214</v>
      </c>
      <c r="U705" s="8" t="n">
        <v>-0.042562</v>
      </c>
      <c r="V705" s="8" t="n">
        <v>0.018348</v>
      </c>
      <c r="W705" s="8" t="n">
        <v>0.6374</v>
      </c>
      <c r="X705" s="8" t="n">
        <v>-0.053887</v>
      </c>
      <c r="Y705" s="8" t="n">
        <v>-0.046355</v>
      </c>
      <c r="Z705" s="8" t="n">
        <v>-0.007532</v>
      </c>
      <c r="AA705" s="8" t="n">
        <v>0.4624</v>
      </c>
    </row>
    <row r="706">
      <c r="A706" s="11" t="inlineStr">
        <is>
          <t>2025-07-18</t>
        </is>
      </c>
      <c r="B706" s="11" t="inlineStr">
        <is>
          <t>中间分位</t>
        </is>
      </c>
      <c r="C706" s="15" t="n">
        <v>0.42</v>
      </c>
      <c r="D706" s="13" t="n">
        <v>-0.003487</v>
      </c>
      <c r="E706" s="13" t="n">
        <v>0.01945</v>
      </c>
      <c r="F706" s="13" t="n">
        <v>-0.022937</v>
      </c>
      <c r="G706" s="13" t="n">
        <v>0.848</v>
      </c>
      <c r="H706" s="13" t="n">
        <v>0.028223</v>
      </c>
      <c r="I706" s="13" t="n">
        <v>0.06511599999999999</v>
      </c>
      <c r="J706" s="13" t="n">
        <v>-0.036893</v>
      </c>
      <c r="K706" s="13" t="n">
        <v>0.6976</v>
      </c>
      <c r="L706" s="13" t="n">
        <v>0.000694</v>
      </c>
      <c r="M706" s="13" t="n">
        <v>0.011839</v>
      </c>
      <c r="N706" s="13" t="n">
        <v>-0.011145</v>
      </c>
      <c r="O706" s="13" t="n">
        <v>0.9446</v>
      </c>
      <c r="P706" s="13" t="n">
        <v>-0.018815</v>
      </c>
      <c r="Q706" s="13" t="n">
        <v>0.019873</v>
      </c>
      <c r="R706" s="13" t="n">
        <v>-0.038688</v>
      </c>
      <c r="S706" s="13" t="n">
        <v>0.5137</v>
      </c>
      <c r="T706" s="13" t="n">
        <v>-0.054635</v>
      </c>
      <c r="U706" s="13" t="n">
        <v>-0.04186</v>
      </c>
      <c r="V706" s="13" t="n">
        <v>-0.012775</v>
      </c>
      <c r="W706" s="13" t="n">
        <v>0.4338</v>
      </c>
      <c r="X706" s="13" t="n">
        <v>-0.061672</v>
      </c>
      <c r="Y706" s="13" t="n">
        <v>-0.032558</v>
      </c>
      <c r="Z706" s="13" t="n">
        <v>-0.029114</v>
      </c>
      <c r="AA706" s="13" t="n">
        <v>0.3455</v>
      </c>
    </row>
    <row r="707">
      <c r="A707" s="6" t="inlineStr">
        <is>
          <t>2025-07-21</t>
        </is>
      </c>
      <c r="B707" s="6" t="inlineStr">
        <is>
          <t>中间分位</t>
        </is>
      </c>
      <c r="C707" s="10" t="n">
        <v>0.104</v>
      </c>
      <c r="D707" s="8" t="n">
        <v>0.009091999999999999</v>
      </c>
      <c r="E707" s="8" t="n">
        <v>0.019079</v>
      </c>
      <c r="F707" s="8" t="n">
        <v>-0.009986999999999999</v>
      </c>
      <c r="G707" s="8" t="n">
        <v>0.6773</v>
      </c>
      <c r="H707" s="8" t="n">
        <v>0.041262</v>
      </c>
      <c r="I707" s="8" t="n">
        <v>-0.002903</v>
      </c>
      <c r="J707" s="8" t="n">
        <v>0.044165</v>
      </c>
      <c r="K707" s="8" t="n">
        <v>0.06569999999999999</v>
      </c>
      <c r="L707" s="8" t="n">
        <v>0.00245</v>
      </c>
      <c r="M707" s="8" t="n">
        <v>-0.008710000000000001</v>
      </c>
      <c r="N707" s="8" t="n">
        <v>0.01116</v>
      </c>
      <c r="O707" s="8" t="n">
        <v>0.7805</v>
      </c>
      <c r="P707" s="8" t="n">
        <v>-0.018881</v>
      </c>
      <c r="Q707" s="8" t="n">
        <v>-0.006221</v>
      </c>
      <c r="R707" s="8" t="n">
        <v>-0.01266</v>
      </c>
      <c r="S707" s="8" t="n">
        <v>0.2478</v>
      </c>
      <c r="T707" s="8" t="n">
        <v>-0.039159</v>
      </c>
      <c r="U707" s="8" t="n">
        <v>-0.059311</v>
      </c>
      <c r="V707" s="8" t="n">
        <v>0.020152</v>
      </c>
      <c r="W707" s="8" t="n">
        <v>0.6022999999999999</v>
      </c>
      <c r="X707" s="8" t="n">
        <v>-0.047899</v>
      </c>
      <c r="Y707" s="8" t="n">
        <v>-0.057238</v>
      </c>
      <c r="Z707" s="8" t="n">
        <v>0.009339</v>
      </c>
      <c r="AA707" s="8" t="n">
        <v>0.5444</v>
      </c>
    </row>
    <row r="708">
      <c r="A708" s="11" t="inlineStr">
        <is>
          <t>2025-07-22</t>
        </is>
      </c>
      <c r="B708" s="11" t="inlineStr">
        <is>
          <t>低分位</t>
        </is>
      </c>
      <c r="C708" s="15" t="n">
        <v>0.044</v>
      </c>
      <c r="D708" s="13" t="n">
        <v>0.01178</v>
      </c>
      <c r="E708" s="13" t="n">
        <v>-0.018722</v>
      </c>
      <c r="F708" s="13" t="n">
        <v>0.030502</v>
      </c>
      <c r="G708" s="13" t="n">
        <v>0.6138</v>
      </c>
      <c r="H708" s="13" t="n">
        <v>-0.005198</v>
      </c>
      <c r="I708" s="13" t="n">
        <v>-0.009361</v>
      </c>
      <c r="J708" s="13" t="n">
        <v>0.004163</v>
      </c>
      <c r="K708" s="13" t="n">
        <v>0.643</v>
      </c>
      <c r="L708" s="13" t="n">
        <v>-0.012129</v>
      </c>
      <c r="M708" s="13" t="n">
        <v>-0.02442</v>
      </c>
      <c r="N708" s="13" t="n">
        <v>0.012291</v>
      </c>
      <c r="O708" s="13" t="n">
        <v>0.6681</v>
      </c>
      <c r="P708" s="13" t="n">
        <v>-0.035896</v>
      </c>
      <c r="Q708" s="13" t="n">
        <v>-0.026862</v>
      </c>
      <c r="R708" s="13" t="n">
        <v>-0.009034</v>
      </c>
      <c r="S708" s="13" t="n">
        <v>0.428</v>
      </c>
      <c r="T708" s="13" t="n">
        <v>-0.058212</v>
      </c>
      <c r="U708" s="13" t="n">
        <v>-0.079772</v>
      </c>
      <c r="V708" s="13" t="n">
        <v>0.02156</v>
      </c>
      <c r="W708" s="13" t="n">
        <v>0.5780999999999999</v>
      </c>
      <c r="X708" s="13" t="n">
        <v>-0.06410399999999999</v>
      </c>
      <c r="Y708" s="13" t="n">
        <v>-0.088726</v>
      </c>
      <c r="Z708" s="13" t="n">
        <v>0.024622</v>
      </c>
      <c r="AA708" s="13" t="n">
        <v>0.5806</v>
      </c>
    </row>
    <row r="709">
      <c r="A709" s="6" t="inlineStr">
        <is>
          <t>2025-07-23</t>
        </is>
      </c>
      <c r="B709" s="6" t="inlineStr">
        <is>
          <t>中间分位</t>
        </is>
      </c>
      <c r="C709" s="10" t="n">
        <v>0.384</v>
      </c>
      <c r="D709" s="8" t="n">
        <v>-0.011984</v>
      </c>
      <c r="E709" s="8" t="n">
        <v>0.028619</v>
      </c>
      <c r="F709" s="8" t="n">
        <v>-0.040603</v>
      </c>
      <c r="G709" s="8" t="n">
        <v>0.7048</v>
      </c>
      <c r="H709" s="8" t="n">
        <v>-0.011642</v>
      </c>
      <c r="I709" s="8" t="n">
        <v>0.003318</v>
      </c>
      <c r="J709" s="8" t="n">
        <v>-0.01496</v>
      </c>
      <c r="K709" s="8" t="n">
        <v>0.2218</v>
      </c>
      <c r="L709" s="8" t="n">
        <v>-0.021916</v>
      </c>
      <c r="M709" s="8" t="n">
        <v>-0.006221</v>
      </c>
      <c r="N709" s="8" t="n">
        <v>-0.015695</v>
      </c>
      <c r="O709" s="8" t="n">
        <v>0.2211</v>
      </c>
      <c r="P709" s="8" t="n">
        <v>-0.054107</v>
      </c>
      <c r="Q709" s="8" t="n">
        <v>0.005392</v>
      </c>
      <c r="R709" s="8" t="n">
        <v>-0.059499</v>
      </c>
      <c r="S709" s="8" t="n">
        <v>0.0906</v>
      </c>
      <c r="T709" s="8" t="n">
        <v>-0.081095</v>
      </c>
      <c r="U709" s="8" t="n">
        <v>-0.049357</v>
      </c>
      <c r="V709" s="8" t="n">
        <v>-0.031738</v>
      </c>
      <c r="W709" s="8" t="n">
        <v>0.3784</v>
      </c>
      <c r="X709" s="8" t="n">
        <v>-0.08767</v>
      </c>
      <c r="Y709" s="8" t="n">
        <v>-0.082538</v>
      </c>
      <c r="Z709" s="8" t="n">
        <v>-0.005132</v>
      </c>
      <c r="AA709" s="8" t="n">
        <v>0.4849</v>
      </c>
    </row>
    <row r="710">
      <c r="A710" s="11" t="inlineStr">
        <is>
          <t>2025-07-24</t>
        </is>
      </c>
      <c r="B710" s="11" t="inlineStr">
        <is>
          <t>低分位</t>
        </is>
      </c>
      <c r="C710" s="15" t="n">
        <v>0.004</v>
      </c>
      <c r="D710" s="13" t="n">
        <v>0.022877</v>
      </c>
      <c r="E710" s="13" t="n">
        <v>0.015726</v>
      </c>
      <c r="F710" s="13" t="n">
        <v>0.007151</v>
      </c>
      <c r="G710" s="13" t="n">
        <v>0.4074</v>
      </c>
      <c r="H710" s="13" t="n">
        <v>0.005199</v>
      </c>
      <c r="I710" s="13" t="n">
        <v>-0.030242</v>
      </c>
      <c r="J710" s="13" t="n">
        <v>0.035441</v>
      </c>
      <c r="K710" s="13" t="n">
        <v>0.8532999999999999</v>
      </c>
      <c r="L710" s="13" t="n">
        <v>-0.008668</v>
      </c>
      <c r="M710" s="13" t="n">
        <v>-0.037097</v>
      </c>
      <c r="N710" s="13" t="n">
        <v>0.028429</v>
      </c>
      <c r="O710" s="13" t="n">
        <v>0.8106</v>
      </c>
      <c r="P710" s="13" t="n">
        <v>-0.039169</v>
      </c>
      <c r="Q710" s="13" t="n">
        <v>-0.022177</v>
      </c>
      <c r="R710" s="13" t="n">
        <v>-0.016992</v>
      </c>
      <c r="S710" s="13" t="n">
        <v>0.3615</v>
      </c>
      <c r="T710" s="13" t="n">
        <v>-0.06163</v>
      </c>
      <c r="U710" s="13" t="n">
        <v>-0.083871</v>
      </c>
      <c r="V710" s="13" t="n">
        <v>0.022241</v>
      </c>
      <c r="W710" s="13" t="n">
        <v>0.5764</v>
      </c>
      <c r="X710" s="13" t="n">
        <v>-0.07729900000000001</v>
      </c>
      <c r="Y710" s="13" t="n">
        <v>-0.110484</v>
      </c>
      <c r="Z710" s="13" t="n">
        <v>0.033185</v>
      </c>
      <c r="AA710" s="13" t="n">
        <v>0.5884</v>
      </c>
    </row>
    <row r="711">
      <c r="A711" s="6" t="inlineStr">
        <is>
          <t>2025-07-25</t>
        </is>
      </c>
      <c r="B711" s="6" t="inlineStr">
        <is>
          <t>低分位</t>
        </is>
      </c>
      <c r="C711" s="10" t="n">
        <v>0.028</v>
      </c>
      <c r="D711" s="8" t="n">
        <v>0.009148999999999999</v>
      </c>
      <c r="E711" s="8" t="n">
        <v>-0.045653</v>
      </c>
      <c r="F711" s="8" t="n">
        <v>0.054802</v>
      </c>
      <c r="G711" s="8" t="n">
        <v>0.8331</v>
      </c>
      <c r="H711" s="8" t="n">
        <v>-0.026773</v>
      </c>
      <c r="I711" s="8" t="n">
        <v>-0.05002</v>
      </c>
      <c r="J711" s="8" t="n">
        <v>0.023247</v>
      </c>
      <c r="K711" s="8" t="n">
        <v>0.6514</v>
      </c>
      <c r="L711" s="8" t="n">
        <v>-0.031856</v>
      </c>
      <c r="M711" s="8" t="n">
        <v>-0.05399</v>
      </c>
      <c r="N711" s="8" t="n">
        <v>0.022134</v>
      </c>
      <c r="O711" s="8" t="n">
        <v>0.6289</v>
      </c>
      <c r="P711" s="8" t="n">
        <v>-0.061134</v>
      </c>
      <c r="Q711" s="8" t="n">
        <v>-0.045256</v>
      </c>
      <c r="R711" s="8" t="n">
        <v>-0.015878</v>
      </c>
      <c r="S711" s="8" t="n">
        <v>0.4254</v>
      </c>
      <c r="T711" s="8" t="n">
        <v>-0.089937</v>
      </c>
      <c r="U711" s="8" t="n">
        <v>-0.099643</v>
      </c>
      <c r="V711" s="8" t="n">
        <v>0.009705999999999999</v>
      </c>
      <c r="W711" s="8" t="n">
        <v>0.5256</v>
      </c>
      <c r="X711" s="8" t="n">
        <v>-0.103356</v>
      </c>
      <c r="Y711" s="8" t="n">
        <v>-0.123065</v>
      </c>
      <c r="Z711" s="8" t="n">
        <v>0.019709</v>
      </c>
      <c r="AA711" s="8" t="n">
        <v>0.5435</v>
      </c>
    </row>
    <row r="712">
      <c r="A712" s="11" t="inlineStr">
        <is>
          <t>2025-07-28</t>
        </is>
      </c>
      <c r="B712" s="11" t="inlineStr">
        <is>
          <t>中间分位</t>
        </is>
      </c>
      <c r="C712" s="15" t="n">
        <v>0.696</v>
      </c>
      <c r="D712" s="13" t="n">
        <v>-0.035931</v>
      </c>
      <c r="E712" s="13" t="n">
        <v>0.012479</v>
      </c>
      <c r="F712" s="13" t="n">
        <v>-0.04841</v>
      </c>
      <c r="G712" s="13" t="n">
        <v>0.2578</v>
      </c>
      <c r="H712" s="13" t="n">
        <v>-0.037273</v>
      </c>
      <c r="I712" s="13" t="n">
        <v>-0.005824</v>
      </c>
      <c r="J712" s="13" t="n">
        <v>-0.031449</v>
      </c>
      <c r="K712" s="13" t="n">
        <v>0.1351</v>
      </c>
      <c r="L712" s="13" t="n">
        <v>-0.041641</v>
      </c>
      <c r="M712" s="13" t="n">
        <v>0.033694</v>
      </c>
      <c r="N712" s="13" t="n">
        <v>-0.075335</v>
      </c>
      <c r="O712" s="13" t="n">
        <v>0.4473</v>
      </c>
      <c r="P712" s="13" t="n">
        <v>-0.07119</v>
      </c>
      <c r="Q712" s="13" t="n">
        <v>0.008319</v>
      </c>
      <c r="R712" s="13" t="n">
        <v>-0.079509</v>
      </c>
      <c r="S712" s="13" t="n">
        <v>0.1046</v>
      </c>
      <c r="T712" s="13" t="n">
        <v>-0.103023</v>
      </c>
      <c r="U712" s="13" t="n">
        <v>-0.067804</v>
      </c>
      <c r="V712" s="13" t="n">
        <v>-0.035219</v>
      </c>
      <c r="W712" s="13" t="n">
        <v>0.3969</v>
      </c>
      <c r="X712" s="13" t="n">
        <v>-0.106114</v>
      </c>
      <c r="Y712" s="13" t="n">
        <v>-0.0599</v>
      </c>
      <c r="Z712" s="13" t="n">
        <v>-0.046214</v>
      </c>
      <c r="AA712" s="13" t="n">
        <v>0.3608</v>
      </c>
    </row>
    <row r="713">
      <c r="A713" s="6" t="inlineStr">
        <is>
          <t>2025-07-29</t>
        </is>
      </c>
      <c r="B713" s="6" t="inlineStr">
        <is>
          <t>低分位</t>
        </is>
      </c>
      <c r="C713" s="10" t="n">
        <v>0.064</v>
      </c>
      <c r="D713" s="8" t="n">
        <v>0.005225</v>
      </c>
      <c r="E713" s="8" t="n">
        <v>-0.006163</v>
      </c>
      <c r="F713" s="8" t="n">
        <v>0.011388</v>
      </c>
      <c r="G713" s="8" t="n">
        <v>0.5412</v>
      </c>
      <c r="H713" s="8" t="n">
        <v>-0.006968</v>
      </c>
      <c r="I713" s="8" t="n">
        <v>-0.015201</v>
      </c>
      <c r="J713" s="8" t="n">
        <v>0.008233000000000001</v>
      </c>
      <c r="K713" s="8" t="n">
        <v>0.6857</v>
      </c>
      <c r="L713" s="8" t="n">
        <v>-0.00418</v>
      </c>
      <c r="M713" s="8" t="n">
        <v>0.025472</v>
      </c>
      <c r="N713" s="8" t="n">
        <v>-0.029652</v>
      </c>
      <c r="O713" s="8" t="n">
        <v>0.859</v>
      </c>
      <c r="P713" s="8" t="n">
        <v>-0.035875</v>
      </c>
      <c r="Q713" s="8" t="n">
        <v>-0.016023</v>
      </c>
      <c r="R713" s="8" t="n">
        <v>-0.019852</v>
      </c>
      <c r="S713" s="8" t="n">
        <v>0.3087</v>
      </c>
      <c r="T713" s="8" t="n">
        <v>-0.07837</v>
      </c>
      <c r="U713" s="8" t="n">
        <v>-0.07272000000000001</v>
      </c>
      <c r="V713" s="8" t="n">
        <v>-0.00565</v>
      </c>
      <c r="W713" s="8" t="n">
        <v>0.4813</v>
      </c>
      <c r="X713" s="8" t="n">
        <v>-0.069664</v>
      </c>
      <c r="Y713" s="8" t="n">
        <v>-0.055875</v>
      </c>
      <c r="Z713" s="8" t="n">
        <v>-0.013789</v>
      </c>
      <c r="AA713" s="8" t="n">
        <v>0.4451</v>
      </c>
    </row>
    <row r="714">
      <c r="A714" s="11" t="inlineStr">
        <is>
          <t>2025-07-30</t>
        </is>
      </c>
      <c r="B714" s="11" t="inlineStr">
        <is>
          <t>中间分位</t>
        </is>
      </c>
      <c r="C714" s="15" t="n">
        <v>0.192</v>
      </c>
      <c r="D714" s="13" t="n">
        <v>0.004852</v>
      </c>
      <c r="E714" s="13" t="n">
        <v>-0.005788</v>
      </c>
      <c r="F714" s="13" t="n">
        <v>0.01064</v>
      </c>
      <c r="G714" s="13" t="n">
        <v>0.544</v>
      </c>
      <c r="H714" s="13" t="n">
        <v>-0.010395</v>
      </c>
      <c r="I714" s="13" t="n">
        <v>-0.009508000000000001</v>
      </c>
      <c r="J714" s="13" t="n">
        <v>-0.000887</v>
      </c>
      <c r="K714" s="13" t="n">
        <v>0.4777</v>
      </c>
      <c r="L714" s="13" t="n">
        <v>-0.008661</v>
      </c>
      <c r="M714" s="13" t="n">
        <v>0.024804</v>
      </c>
      <c r="N714" s="13" t="n">
        <v>-0.033465</v>
      </c>
      <c r="O714" s="13" t="n">
        <v>0.7412</v>
      </c>
      <c r="P714" s="13" t="n">
        <v>-0.045044</v>
      </c>
      <c r="Q714" s="13" t="n">
        <v>-0.01943</v>
      </c>
      <c r="R714" s="13" t="n">
        <v>-0.025614</v>
      </c>
      <c r="S714" s="13" t="n">
        <v>0.3014</v>
      </c>
      <c r="T714" s="13" t="n">
        <v>-0.080249</v>
      </c>
      <c r="U714" s="13" t="n">
        <v>-0.087226</v>
      </c>
      <c r="V714" s="13" t="n">
        <v>0.006977</v>
      </c>
      <c r="W714" s="13" t="n">
        <v>0.5208</v>
      </c>
      <c r="X714" s="13" t="n">
        <v>-0.05059</v>
      </c>
      <c r="Y714" s="13" t="n">
        <v>-0.029764</v>
      </c>
      <c r="Z714" s="13" t="n">
        <v>-0.020826</v>
      </c>
      <c r="AA714" s="13" t="n">
        <v>0.3704</v>
      </c>
    </row>
    <row r="715">
      <c r="A715" s="6" t="inlineStr">
        <is>
          <t>2025-07-31</t>
        </is>
      </c>
      <c r="B715" s="6" t="inlineStr">
        <is>
          <t>中间分位</t>
        </is>
      </c>
      <c r="C715" s="10" t="n">
        <v>0.32</v>
      </c>
      <c r="D715" s="8" t="n">
        <v>-0.009658</v>
      </c>
      <c r="E715" s="8" t="n">
        <v>-0.00499</v>
      </c>
      <c r="F715" s="8" t="n">
        <v>-0.004668</v>
      </c>
      <c r="G715" s="8" t="n">
        <v>0.3407</v>
      </c>
      <c r="H715" s="8" t="n">
        <v>-0.013796</v>
      </c>
      <c r="I715" s="8" t="n">
        <v>-0.007069</v>
      </c>
      <c r="J715" s="8" t="n">
        <v>-0.006727</v>
      </c>
      <c r="K715" s="8" t="n">
        <v>0.3388</v>
      </c>
      <c r="L715" s="8" t="n">
        <v>-0.017934</v>
      </c>
      <c r="M715" s="8" t="n">
        <v>0.012474</v>
      </c>
      <c r="N715" s="8" t="n">
        <v>-0.030408</v>
      </c>
      <c r="O715" s="8" t="n">
        <v>0.4102</v>
      </c>
      <c r="P715" s="8" t="n">
        <v>-0.068276</v>
      </c>
      <c r="Q715" s="8" t="n">
        <v>-0.013306</v>
      </c>
      <c r="R715" s="8" t="n">
        <v>-0.05497</v>
      </c>
      <c r="S715" s="8" t="n">
        <v>0.1631</v>
      </c>
      <c r="T715" s="8" t="n">
        <v>-0.09958699999999999</v>
      </c>
      <c r="U715" s="8" t="n">
        <v>-0.093555</v>
      </c>
      <c r="V715" s="8" t="n">
        <v>-0.006032</v>
      </c>
      <c r="W715" s="8" t="n">
        <v>0.4844</v>
      </c>
      <c r="X715" s="8" t="n">
        <v>-0.04207</v>
      </c>
      <c r="Y715" s="8" t="n">
        <v>-0.041996</v>
      </c>
      <c r="Z715" s="8" t="n">
        <v>-7.4e-05</v>
      </c>
      <c r="AA715" s="8" t="n">
        <v>0.4996</v>
      </c>
    </row>
    <row r="716">
      <c r="A716" s="11" t="inlineStr">
        <is>
          <t>2025-08-01</t>
        </is>
      </c>
      <c r="B716" s="11" t="inlineStr">
        <is>
          <t>中间分位</t>
        </is>
      </c>
      <c r="C716" s="15" t="n">
        <v>0.28</v>
      </c>
      <c r="D716" s="13" t="n">
        <v>-0.001738</v>
      </c>
      <c r="E716" s="13" t="n">
        <v>-0.001254</v>
      </c>
      <c r="F716" s="13" t="n">
        <v>-0.000484</v>
      </c>
      <c r="G716" s="13" t="n">
        <v>0.4191</v>
      </c>
      <c r="H716" s="13" t="n">
        <v>-0.005223</v>
      </c>
      <c r="I716" s="13" t="n">
        <v>-0.004179</v>
      </c>
      <c r="J716" s="13" t="n">
        <v>-0.001044</v>
      </c>
      <c r="K716" s="13" t="n">
        <v>0.4445</v>
      </c>
      <c r="L716" s="13" t="n">
        <v>-0.019496</v>
      </c>
      <c r="M716" s="13" t="n">
        <v>0.007939999999999999</v>
      </c>
      <c r="N716" s="13" t="n">
        <v>-0.027436</v>
      </c>
      <c r="O716" s="13" t="n">
        <v>0.2894</v>
      </c>
      <c r="P716" s="13" t="n">
        <v>-0.06163</v>
      </c>
      <c r="Q716" s="13" t="n">
        <v>-0.013372</v>
      </c>
      <c r="R716" s="13" t="n">
        <v>-0.048258</v>
      </c>
      <c r="S716" s="13" t="n">
        <v>0.1783</v>
      </c>
      <c r="T716" s="13" t="n">
        <v>-0.099581</v>
      </c>
      <c r="U716" s="13" t="n">
        <v>-0.104471</v>
      </c>
      <c r="V716" s="13" t="n">
        <v>0.00489</v>
      </c>
      <c r="W716" s="13" t="n">
        <v>0.512</v>
      </c>
      <c r="X716" s="13" t="n">
        <v>-0.049788</v>
      </c>
      <c r="Y716" s="13" t="n">
        <v>-0.022566</v>
      </c>
      <c r="Z716" s="13" t="n">
        <v>-0.027222</v>
      </c>
      <c r="AA716" s="13" t="n">
        <v>0.3119</v>
      </c>
    </row>
    <row r="717">
      <c r="A717" s="6" t="inlineStr">
        <is>
          <t>2025-08-04</t>
        </is>
      </c>
      <c r="B717" s="6" t="inlineStr">
        <is>
          <t>中间分位</t>
        </is>
      </c>
      <c r="C717" s="10" t="n">
        <v>0.28</v>
      </c>
      <c r="D717" s="8" t="n">
        <v>-0.005584</v>
      </c>
      <c r="E717" s="8" t="n">
        <v>0.002929</v>
      </c>
      <c r="F717" s="8" t="n">
        <v>-0.008513</v>
      </c>
      <c r="G717" s="8" t="n">
        <v>0.3441</v>
      </c>
      <c r="H717" s="8" t="n">
        <v>-0.004537</v>
      </c>
      <c r="I717" s="8" t="n">
        <v>0.039749</v>
      </c>
      <c r="J717" s="8" t="n">
        <v>-0.044286</v>
      </c>
      <c r="K717" s="8" t="n">
        <v>0.8976</v>
      </c>
      <c r="L717" s="8" t="n">
        <v>-0.021279</v>
      </c>
      <c r="M717" s="8" t="n">
        <v>0.00251</v>
      </c>
      <c r="N717" s="8" t="n">
        <v>-0.023789</v>
      </c>
      <c r="O717" s="8" t="n">
        <v>0.1055</v>
      </c>
      <c r="P717" s="8" t="n">
        <v>-0.06522799999999999</v>
      </c>
      <c r="Q717" s="8" t="n">
        <v>-0.002092</v>
      </c>
      <c r="R717" s="8" t="n">
        <v>-0.063136</v>
      </c>
      <c r="S717" s="8" t="n">
        <v>0.0311</v>
      </c>
      <c r="T717" s="8" t="n">
        <v>-0.120197</v>
      </c>
      <c r="U717" s="8" t="n">
        <v>-0.115063</v>
      </c>
      <c r="V717" s="8" t="n">
        <v>-0.005134</v>
      </c>
      <c r="W717" s="8" t="n">
        <v>0.4891</v>
      </c>
      <c r="X717" s="8" t="n">
        <v>-0.042207</v>
      </c>
      <c r="Y717" s="8" t="n">
        <v>-0.0159</v>
      </c>
      <c r="Z717" s="8" t="n">
        <v>-0.026307</v>
      </c>
      <c r="AA717" s="8" t="n">
        <v>0.2736</v>
      </c>
    </row>
    <row r="718">
      <c r="A718" s="11" t="inlineStr">
        <is>
          <t>2025-08-05</t>
        </is>
      </c>
      <c r="B718" s="11" t="inlineStr">
        <is>
          <t>中间分位</t>
        </is>
      </c>
      <c r="C718" s="15" t="n">
        <v>0.152</v>
      </c>
      <c r="D718" s="13" t="n">
        <v>0.001755</v>
      </c>
      <c r="E718" s="13" t="n">
        <v>-0.000417</v>
      </c>
      <c r="F718" s="13" t="n">
        <v>0.002172</v>
      </c>
      <c r="G718" s="13" t="n">
        <v>0.192</v>
      </c>
      <c r="H718" s="13" t="n">
        <v>0.002807</v>
      </c>
      <c r="I718" s="13" t="n">
        <v>0.041302</v>
      </c>
      <c r="J718" s="13" t="n">
        <v>-0.038495</v>
      </c>
      <c r="K718" s="13" t="n">
        <v>0.9364</v>
      </c>
      <c r="L718" s="13" t="n">
        <v>-0.024059</v>
      </c>
      <c r="M718" s="13" t="n">
        <v>-0.002503</v>
      </c>
      <c r="N718" s="13" t="n">
        <v>-0.021556</v>
      </c>
      <c r="O718" s="13" t="n">
        <v>0.09420000000000001</v>
      </c>
      <c r="P718" s="13" t="n">
        <v>-0.051561</v>
      </c>
      <c r="Q718" s="13" t="n">
        <v>-0.01043</v>
      </c>
      <c r="R718" s="13" t="n">
        <v>-0.041131</v>
      </c>
      <c r="S718" s="13" t="n">
        <v>0.1683</v>
      </c>
      <c r="T718" s="13" t="n">
        <v>-0.125779</v>
      </c>
      <c r="U718" s="13" t="n">
        <v>-0.1068</v>
      </c>
      <c r="V718" s="13" t="n">
        <v>-0.018979</v>
      </c>
      <c r="W718" s="13" t="n">
        <v>0.4592</v>
      </c>
      <c r="X718" s="13" t="n">
        <v>-0.03858</v>
      </c>
      <c r="Y718" s="13" t="n">
        <v>-0.032123</v>
      </c>
      <c r="Z718" s="13" t="n">
        <v>-0.006457</v>
      </c>
      <c r="AA718" s="13" t="n">
        <v>0.4543</v>
      </c>
    </row>
    <row r="719">
      <c r="A719" s="6" t="inlineStr">
        <is>
          <t>2025-08-06</t>
        </is>
      </c>
      <c r="B719" s="6" t="inlineStr">
        <is>
          <t>中间分位</t>
        </is>
      </c>
      <c r="C719" s="10" t="n">
        <v>0.178</v>
      </c>
      <c r="D719" s="8" t="n">
        <v>0.001399</v>
      </c>
      <c r="E719" s="8" t="n">
        <v>-0.003339</v>
      </c>
      <c r="F719" s="8" t="n">
        <v>0.004738</v>
      </c>
      <c r="G719" s="8" t="n">
        <v>0.7047</v>
      </c>
      <c r="H719" s="8" t="n">
        <v>0.001752</v>
      </c>
      <c r="I719" s="8" t="n">
        <v>0.034641</v>
      </c>
      <c r="J719" s="8" t="n">
        <v>-0.032889</v>
      </c>
      <c r="K719" s="8" t="n">
        <v>0.9519</v>
      </c>
      <c r="L719" s="8" t="n">
        <v>-0.032912</v>
      </c>
      <c r="M719" s="8" t="n">
        <v>0.011686</v>
      </c>
      <c r="N719" s="8" t="n">
        <v>-0.044598</v>
      </c>
      <c r="O719" s="8" t="n">
        <v>0.262</v>
      </c>
      <c r="P719" s="8" t="n">
        <v>-0.059172</v>
      </c>
      <c r="Q719" s="8" t="n">
        <v>-0.005843</v>
      </c>
      <c r="R719" s="8" t="n">
        <v>-0.053329</v>
      </c>
      <c r="S719" s="8" t="n">
        <v>0.08989999999999999</v>
      </c>
      <c r="T719" s="8" t="n">
        <v>-0.128992</v>
      </c>
      <c r="U719" s="8" t="n">
        <v>-0.113105</v>
      </c>
      <c r="V719" s="8" t="n">
        <v>-0.015887</v>
      </c>
      <c r="W719" s="8" t="n">
        <v>0.4672</v>
      </c>
      <c r="X719" s="8" t="n">
        <v>-0.048319</v>
      </c>
      <c r="Y719" s="8" t="n">
        <v>-0.0601</v>
      </c>
      <c r="Z719" s="8" t="n">
        <v>0.011781</v>
      </c>
      <c r="AA719" s="8" t="n">
        <v>0.5543</v>
      </c>
    </row>
    <row r="720">
      <c r="A720" s="11" t="inlineStr">
        <is>
          <t>2025-08-07</t>
        </is>
      </c>
      <c r="B720" s="11" t="inlineStr">
        <is>
          <t>中间分位</t>
        </is>
      </c>
      <c r="C720" s="15" t="n">
        <v>0.248</v>
      </c>
      <c r="D720" s="13" t="n">
        <v>-0.001049</v>
      </c>
      <c r="E720" s="13" t="n">
        <v>-0.002094</v>
      </c>
      <c r="F720" s="13" t="n">
        <v>0.001045</v>
      </c>
      <c r="G720" s="13" t="n">
        <v>0.6662</v>
      </c>
      <c r="H720" s="13" t="n">
        <v>-0.004196</v>
      </c>
      <c r="I720" s="13" t="n">
        <v>0.019682</v>
      </c>
      <c r="J720" s="13" t="n">
        <v>-0.023878</v>
      </c>
      <c r="K720" s="13" t="n">
        <v>0.8243</v>
      </c>
      <c r="L720" s="13" t="n">
        <v>-0.030768</v>
      </c>
      <c r="M720" s="13" t="n">
        <v>0.015494</v>
      </c>
      <c r="N720" s="13" t="n">
        <v>-0.046262</v>
      </c>
      <c r="O720" s="13" t="n">
        <v>0.3349</v>
      </c>
      <c r="P720" s="13" t="n">
        <v>-0.058741</v>
      </c>
      <c r="Q720" s="13" t="n">
        <v>-0.004188</v>
      </c>
      <c r="R720" s="13" t="n">
        <v>-0.054553</v>
      </c>
      <c r="S720" s="13" t="n">
        <v>0.06660000000000001</v>
      </c>
      <c r="T720" s="13" t="n">
        <v>-0.120558</v>
      </c>
      <c r="U720" s="13" t="n">
        <v>-0.115578</v>
      </c>
      <c r="V720" s="13" t="n">
        <v>-0.00498</v>
      </c>
      <c r="W720" s="13" t="n">
        <v>0.4895</v>
      </c>
      <c r="X720" s="13" t="n">
        <v>-0.067133</v>
      </c>
      <c r="Y720" s="13" t="n">
        <v>-0.059045</v>
      </c>
      <c r="Z720" s="13" t="n">
        <v>-0.008088</v>
      </c>
      <c r="AA720" s="13" t="n">
        <v>0.468</v>
      </c>
    </row>
    <row r="721">
      <c r="A721" s="6" t="inlineStr">
        <is>
          <t>2025-08-08</t>
        </is>
      </c>
      <c r="B721" s="6" t="inlineStr">
        <is>
          <t>中间分位</t>
        </is>
      </c>
      <c r="C721" s="10" t="n">
        <v>0.272</v>
      </c>
      <c r="D721" s="8" t="n">
        <v>-0.00105</v>
      </c>
      <c r="E721" s="8" t="n">
        <v>0.042803</v>
      </c>
      <c r="F721" s="8" t="n">
        <v>-0.043853</v>
      </c>
      <c r="G721" s="8" t="n">
        <v>0.9761</v>
      </c>
      <c r="H721" s="8" t="n">
        <v>-0.014348</v>
      </c>
      <c r="I721" s="8" t="n">
        <v>0.01217</v>
      </c>
      <c r="J721" s="8" t="n">
        <v>-0.026518</v>
      </c>
      <c r="K721" s="8" t="n">
        <v>0.4589</v>
      </c>
      <c r="L721" s="8" t="n">
        <v>-0.030242</v>
      </c>
      <c r="M721" s="8" t="n">
        <v>0.009232000000000001</v>
      </c>
      <c r="N721" s="8" t="n">
        <v>-0.039474</v>
      </c>
      <c r="O721" s="8" t="n">
        <v>0.2339</v>
      </c>
      <c r="P721" s="8" t="n">
        <v>-0.056703</v>
      </c>
      <c r="Q721" s="8" t="n">
        <v>0.013428</v>
      </c>
      <c r="R721" s="8" t="n">
        <v>-0.070131</v>
      </c>
      <c r="S721" s="8" t="n">
        <v>0.1915</v>
      </c>
      <c r="T721" s="8" t="n">
        <v>-0.123415</v>
      </c>
      <c r="U721" s="8" t="n">
        <v>-0.118338</v>
      </c>
      <c r="V721" s="8" t="n">
        <v>-0.005077</v>
      </c>
      <c r="W721" s="8" t="n">
        <v>0.4895</v>
      </c>
      <c r="X721" s="8" t="n">
        <v>-0.06965200000000001</v>
      </c>
      <c r="Y721" s="8" t="n">
        <v>-0.043642</v>
      </c>
      <c r="Z721" s="8" t="n">
        <v>-0.02601</v>
      </c>
      <c r="AA721" s="8" t="n">
        <v>0.3852</v>
      </c>
    </row>
    <row r="722">
      <c r="A722" s="11" t="inlineStr">
        <is>
          <t>2025-08-11</t>
        </is>
      </c>
      <c r="B722" s="11" t="inlineStr">
        <is>
          <t>低分位</t>
        </is>
      </c>
      <c r="C722" s="15" t="n">
        <v>0</v>
      </c>
      <c r="D722" s="13" t="n">
        <v>0.001753</v>
      </c>
      <c r="E722" s="13" t="n">
        <v>0.004427</v>
      </c>
      <c r="F722" s="13" t="n">
        <v>-0.002674</v>
      </c>
      <c r="G722" s="13" t="n">
        <v>0.7163</v>
      </c>
      <c r="H722" s="13" t="n">
        <v>-0.016819</v>
      </c>
      <c r="I722" s="13" t="n">
        <v>-0.035815</v>
      </c>
      <c r="J722" s="13" t="n">
        <v>0.018996</v>
      </c>
      <c r="K722" s="13" t="n">
        <v>0.6805</v>
      </c>
      <c r="L722" s="13" t="n">
        <v>-0.030833</v>
      </c>
      <c r="M722" s="13" t="n">
        <v>-0.024547</v>
      </c>
      <c r="N722" s="13" t="n">
        <v>-0.006286</v>
      </c>
      <c r="O722" s="13" t="n">
        <v>0.4432</v>
      </c>
      <c r="P722" s="13" t="n">
        <v>-0.044847</v>
      </c>
      <c r="Q722" s="13" t="n">
        <v>-0.030986</v>
      </c>
      <c r="R722" s="13" t="n">
        <v>-0.013861</v>
      </c>
      <c r="S722" s="13" t="n">
        <v>0.4086</v>
      </c>
      <c r="T722" s="13" t="n">
        <v>-0.130903</v>
      </c>
      <c r="U722" s="13" t="n">
        <v>-0.162173</v>
      </c>
      <c r="V722" s="13" t="n">
        <v>0.03127</v>
      </c>
      <c r="W722" s="13" t="n">
        <v>0.5533</v>
      </c>
      <c r="X722" s="13" t="n">
        <v>-0.061665</v>
      </c>
      <c r="Y722" s="13" t="n">
        <v>-0.104628</v>
      </c>
      <c r="Z722" s="13" t="n">
        <v>0.042963</v>
      </c>
      <c r="AA722" s="13" t="n">
        <v>0.6292</v>
      </c>
    </row>
    <row r="723">
      <c r="A723" s="6" t="inlineStr">
        <is>
          <t>2025-08-12</t>
        </is>
      </c>
      <c r="B723" s="6" t="inlineStr">
        <is>
          <t>低分位</t>
        </is>
      </c>
      <c r="C723" s="10" t="n">
        <v>0</v>
      </c>
      <c r="D723" s="8" t="n">
        <v>0.000701</v>
      </c>
      <c r="E723" s="8" t="n">
        <v>-0.006811</v>
      </c>
      <c r="F723" s="8" t="n">
        <v>0.007512</v>
      </c>
      <c r="G723" s="8" t="n">
        <v>0.9067</v>
      </c>
      <c r="H723" s="8" t="n">
        <v>-0.026791</v>
      </c>
      <c r="I723" s="8" t="n">
        <v>-0.042067</v>
      </c>
      <c r="J723" s="8" t="n">
        <v>0.015276</v>
      </c>
      <c r="K723" s="8" t="n">
        <v>0.6109</v>
      </c>
      <c r="L723" s="8" t="n">
        <v>-0.031828</v>
      </c>
      <c r="M723" s="8" t="n">
        <v>-0.040465</v>
      </c>
      <c r="N723" s="8" t="n">
        <v>0.008637000000000001</v>
      </c>
      <c r="O723" s="8" t="n">
        <v>0.5597</v>
      </c>
      <c r="P723" s="8" t="n">
        <v>-0.046518</v>
      </c>
      <c r="Q723" s="8" t="n">
        <v>-0.039263</v>
      </c>
      <c r="R723" s="8" t="n">
        <v>-0.007255</v>
      </c>
      <c r="S723" s="8" t="n">
        <v>0.4577</v>
      </c>
      <c r="T723" s="8" t="n">
        <v>-0.131165</v>
      </c>
      <c r="U723" s="8" t="n">
        <v>-0.155449</v>
      </c>
      <c r="V723" s="8" t="n">
        <v>0.024284</v>
      </c>
      <c r="W723" s="8" t="n">
        <v>0.5424</v>
      </c>
      <c r="X723" s="8" t="n">
        <v>-0.0766</v>
      </c>
      <c r="Y723" s="8" t="n">
        <v>-0.100962</v>
      </c>
      <c r="Z723" s="8" t="n">
        <v>0.024362</v>
      </c>
      <c r="AA723" s="8" t="n">
        <v>0.5686</v>
      </c>
    </row>
    <row r="724">
      <c r="A724" s="11" t="inlineStr">
        <is>
          <t>2025-08-13</t>
        </is>
      </c>
      <c r="B724" s="11" t="inlineStr">
        <is>
          <t>低分位</t>
        </is>
      </c>
      <c r="C724" s="15" t="n">
        <v>0.008</v>
      </c>
      <c r="D724" s="13" t="n">
        <v>-0.004547</v>
      </c>
      <c r="E724" s="13" t="n">
        <v>-0.017749</v>
      </c>
      <c r="F724" s="13" t="n">
        <v>0.013202</v>
      </c>
      <c r="G724" s="13" t="n">
        <v>0.7961</v>
      </c>
      <c r="H724" s="13" t="n">
        <v>-0.034603</v>
      </c>
      <c r="I724" s="13" t="n">
        <v>-0.022186</v>
      </c>
      <c r="J724" s="13" t="n">
        <v>-0.012417</v>
      </c>
      <c r="K724" s="13" t="n">
        <v>0.3907</v>
      </c>
      <c r="L724" s="13" t="n">
        <v>-0.0367</v>
      </c>
      <c r="M724" s="13" t="n">
        <v>-0.043163</v>
      </c>
      <c r="N724" s="13" t="n">
        <v>0.006463</v>
      </c>
      <c r="O724" s="13" t="n">
        <v>0.5405</v>
      </c>
      <c r="P724" s="13" t="n">
        <v>-0.044603</v>
      </c>
      <c r="Q724" s="13" t="n">
        <v>-0.029044</v>
      </c>
      <c r="R724" s="13" t="n">
        <v>-0.015559</v>
      </c>
      <c r="S724" s="13" t="n">
        <v>0.3944</v>
      </c>
      <c r="T724" s="13" t="n">
        <v>-0.128418</v>
      </c>
      <c r="U724" s="13" t="n">
        <v>-0.151674</v>
      </c>
      <c r="V724" s="13" t="n">
        <v>0.023256</v>
      </c>
      <c r="W724" s="13" t="n">
        <v>0.5415</v>
      </c>
      <c r="X724" s="13" t="n">
        <v>-0.06746199999999999</v>
      </c>
      <c r="Y724" s="13" t="n">
        <v>-0.10004</v>
      </c>
      <c r="Z724" s="13" t="n">
        <v>0.032578</v>
      </c>
      <c r="AA724" s="13" t="n">
        <v>0.5972</v>
      </c>
    </row>
    <row r="725">
      <c r="A725" s="6" t="inlineStr">
        <is>
          <t>2025-08-14</t>
        </is>
      </c>
      <c r="B725" s="6" t="inlineStr">
        <is>
          <t>低分位</t>
        </is>
      </c>
      <c r="C725" s="10" t="n">
        <v>0.032</v>
      </c>
      <c r="D725" s="8" t="n">
        <v>-0.011233</v>
      </c>
      <c r="E725" s="8" t="n">
        <v>-0.009446</v>
      </c>
      <c r="F725" s="8" t="n">
        <v>-0.001787</v>
      </c>
      <c r="G725" s="8" t="n">
        <v>0.4568</v>
      </c>
      <c r="H725" s="8" t="n">
        <v>-0.026684</v>
      </c>
      <c r="I725" s="8" t="n">
        <v>-0.004107</v>
      </c>
      <c r="J725" s="8" t="n">
        <v>-0.022577</v>
      </c>
      <c r="K725" s="8" t="n">
        <v>0.1334</v>
      </c>
      <c r="L725" s="8" t="n">
        <v>-0.051261</v>
      </c>
      <c r="M725" s="8" t="n">
        <v>-0.025462</v>
      </c>
      <c r="N725" s="8" t="n">
        <v>-0.025799</v>
      </c>
      <c r="O725" s="8" t="n">
        <v>0.3319</v>
      </c>
      <c r="P725" s="8" t="n">
        <v>-0.032301</v>
      </c>
      <c r="Q725" s="8" t="n">
        <v>-0.019713</v>
      </c>
      <c r="R725" s="8" t="n">
        <v>-0.012588</v>
      </c>
      <c r="S725" s="8" t="n">
        <v>0.379</v>
      </c>
      <c r="T725" s="8" t="n">
        <v>-0.124437</v>
      </c>
      <c r="U725" s="8" t="n">
        <v>-0.156057</v>
      </c>
      <c r="V725" s="8" t="n">
        <v>0.03162</v>
      </c>
      <c r="W725" s="8" t="n">
        <v>0.5564</v>
      </c>
      <c r="X725" s="8" t="n">
        <v>-0.06881900000000001</v>
      </c>
      <c r="Y725" s="8" t="n">
        <v>-0.07967100000000001</v>
      </c>
      <c r="Z725" s="8" t="n">
        <v>0.010852</v>
      </c>
      <c r="AA725" s="8" t="n">
        <v>0.5365</v>
      </c>
    </row>
    <row r="726">
      <c r="A726" s="11" t="inlineStr">
        <is>
          <t>2025-08-15</t>
        </is>
      </c>
      <c r="B726" s="11" t="inlineStr">
        <is>
          <t>低分位</t>
        </is>
      </c>
      <c r="C726" s="15" t="n">
        <v>0.02</v>
      </c>
      <c r="D726" s="13" t="n">
        <v>-0.003554</v>
      </c>
      <c r="E726" s="13" t="n">
        <v>-0.006633</v>
      </c>
      <c r="F726" s="13" t="n">
        <v>0.003079</v>
      </c>
      <c r="G726" s="13" t="n">
        <v>0.6511</v>
      </c>
      <c r="H726" s="13" t="n">
        <v>-0.016125</v>
      </c>
      <c r="I726" s="13" t="n">
        <v>-0.002902</v>
      </c>
      <c r="J726" s="13" t="n">
        <v>-0.013223</v>
      </c>
      <c r="K726" s="13" t="n">
        <v>0.1525</v>
      </c>
      <c r="L726" s="13" t="n">
        <v>-0.042972</v>
      </c>
      <c r="M726" s="13" t="n">
        <v>-0.021144</v>
      </c>
      <c r="N726" s="13" t="n">
        <v>-0.021828</v>
      </c>
      <c r="O726" s="13" t="n">
        <v>0.3298</v>
      </c>
      <c r="P726" s="13" t="n">
        <v>-0.024149</v>
      </c>
      <c r="Q726" s="13" t="n">
        <v>-0.013682</v>
      </c>
      <c r="R726" s="13" t="n">
        <v>-0.010467</v>
      </c>
      <c r="S726" s="13" t="n">
        <v>0.3617</v>
      </c>
      <c r="T726" s="13" t="n">
        <v>-0.117899</v>
      </c>
      <c r="U726" s="13" t="n">
        <v>-0.158789</v>
      </c>
      <c r="V726" s="13" t="n">
        <v>0.04089</v>
      </c>
      <c r="W726" s="13" t="n">
        <v>0.5739</v>
      </c>
      <c r="X726" s="13" t="n">
        <v>-0.053979</v>
      </c>
      <c r="Y726" s="13" t="n">
        <v>-0.067993</v>
      </c>
      <c r="Z726" s="13" t="n">
        <v>0.014014</v>
      </c>
      <c r="AA726" s="13" t="n">
        <v>0.5574</v>
      </c>
    </row>
    <row r="727">
      <c r="A727" s="6" t="inlineStr">
        <is>
          <t>2025-08-18</t>
        </is>
      </c>
      <c r="B727" s="6" t="inlineStr">
        <is>
          <t>低分位</t>
        </is>
      </c>
      <c r="C727" s="10" t="n">
        <v>0.044</v>
      </c>
      <c r="D727" s="8" t="n">
        <v>-0.008408000000000001</v>
      </c>
      <c r="E727" s="8" t="n">
        <v>-0.002087</v>
      </c>
      <c r="F727" s="8" t="n">
        <v>-0.006321</v>
      </c>
      <c r="G727" s="8" t="n">
        <v>0.1989</v>
      </c>
      <c r="H727" s="8" t="n">
        <v>-0.014254</v>
      </c>
      <c r="I727" s="8" t="n">
        <v>0.011686</v>
      </c>
      <c r="J727" s="8" t="n">
        <v>-0.02594</v>
      </c>
      <c r="K727" s="8" t="n">
        <v>0.4505</v>
      </c>
      <c r="L727" s="8" t="n">
        <v>-0.044904</v>
      </c>
      <c r="M727" s="8" t="n">
        <v>-0.004591</v>
      </c>
      <c r="N727" s="8" t="n">
        <v>-0.040313</v>
      </c>
      <c r="O727" s="8" t="n">
        <v>0.09279999999999999</v>
      </c>
      <c r="P727" s="8" t="n">
        <v>-0.021383</v>
      </c>
      <c r="Q727" s="8" t="n">
        <v>0</v>
      </c>
      <c r="R727" s="8" t="n">
        <v>-0.021383</v>
      </c>
      <c r="S727" s="8" t="n">
        <v>0</v>
      </c>
      <c r="T727" s="8" t="n">
        <v>-0.136136</v>
      </c>
      <c r="U727" s="8" t="n">
        <v>-0.152755</v>
      </c>
      <c r="V727" s="8" t="n">
        <v>0.016619</v>
      </c>
      <c r="W727" s="8" t="n">
        <v>0.5288</v>
      </c>
      <c r="X727" s="8" t="n">
        <v>-0.04989</v>
      </c>
      <c r="Y727" s="8" t="n">
        <v>-0.068865</v>
      </c>
      <c r="Z727" s="8" t="n">
        <v>0.018975</v>
      </c>
      <c r="AA727" s="8" t="n">
        <v>0.5799</v>
      </c>
    </row>
    <row r="728">
      <c r="A728" s="11" t="inlineStr">
        <is>
          <t>2025-08-19</t>
        </is>
      </c>
      <c r="B728" s="11" t="inlineStr">
        <is>
          <t>低分位</t>
        </is>
      </c>
      <c r="C728" s="15" t="n">
        <v>0.02</v>
      </c>
      <c r="D728" s="13" t="n">
        <v>-0.007332</v>
      </c>
      <c r="E728" s="13" t="n">
        <v>0.013802</v>
      </c>
      <c r="F728" s="13" t="n">
        <v>-0.021134</v>
      </c>
      <c r="G728" s="13" t="n">
        <v>0.6531</v>
      </c>
      <c r="H728" s="13" t="n">
        <v>-0.005175</v>
      </c>
      <c r="I728" s="13" t="n">
        <v>0.001673</v>
      </c>
      <c r="J728" s="13" t="n">
        <v>-0.006848</v>
      </c>
      <c r="K728" s="13" t="n">
        <v>0.2443</v>
      </c>
      <c r="L728" s="13" t="n">
        <v>-0.02818</v>
      </c>
      <c r="M728" s="13" t="n">
        <v>-0.007946</v>
      </c>
      <c r="N728" s="13" t="n">
        <v>-0.020234</v>
      </c>
      <c r="O728" s="13" t="n">
        <v>0.22</v>
      </c>
      <c r="P728" s="13" t="n">
        <v>-0.010208</v>
      </c>
      <c r="Q728" s="13" t="n">
        <v>-0.006692</v>
      </c>
      <c r="R728" s="13" t="n">
        <v>-0.003516</v>
      </c>
      <c r="S728" s="13" t="n">
        <v>0.396</v>
      </c>
      <c r="T728" s="13" t="n">
        <v>-0.134849</v>
      </c>
      <c r="U728" s="13" t="n">
        <v>-0.158093</v>
      </c>
      <c r="V728" s="13" t="n">
        <v>0.023244</v>
      </c>
      <c r="W728" s="13" t="n">
        <v>0.5397</v>
      </c>
      <c r="X728" s="13" t="n">
        <v>-0.040398</v>
      </c>
      <c r="Y728" s="13" t="n">
        <v>-0.08490200000000001</v>
      </c>
      <c r="Z728" s="13" t="n">
        <v>0.044504</v>
      </c>
      <c r="AA728" s="13" t="n">
        <v>0.6776</v>
      </c>
    </row>
    <row r="729">
      <c r="A729" s="6" t="inlineStr">
        <is>
          <t>2025-08-20</t>
        </is>
      </c>
      <c r="B729" s="6" t="inlineStr">
        <is>
          <t>低分位</t>
        </is>
      </c>
      <c r="C729" s="10" t="n">
        <v>0</v>
      </c>
      <c r="D729" s="8" t="n">
        <v>0.003619</v>
      </c>
      <c r="E729" s="8" t="n">
        <v>0.000413</v>
      </c>
      <c r="F729" s="8" t="n">
        <v>0.003206</v>
      </c>
      <c r="G729" s="8" t="n">
        <v>0.1024</v>
      </c>
      <c r="H729" s="8" t="n">
        <v>-0.002172</v>
      </c>
      <c r="I729" s="8" t="n">
        <v>-0.021452</v>
      </c>
      <c r="J729" s="8" t="n">
        <v>0.01928</v>
      </c>
      <c r="K729" s="8" t="n">
        <v>0.9081</v>
      </c>
      <c r="L729" s="8" t="n">
        <v>-0.027154</v>
      </c>
      <c r="M729" s="8" t="n">
        <v>-0.017327</v>
      </c>
      <c r="N729" s="8" t="n">
        <v>-0.009827000000000001</v>
      </c>
      <c r="O729" s="8" t="n">
        <v>0.3895</v>
      </c>
      <c r="P729" s="8" t="n">
        <v>-0.006517</v>
      </c>
      <c r="Q729" s="8" t="n">
        <v>-0.019802</v>
      </c>
      <c r="R729" s="8" t="n">
        <v>0.013285</v>
      </c>
      <c r="S729" s="8" t="n">
        <v>0.7524</v>
      </c>
      <c r="T729" s="8" t="n">
        <v>-0.1315</v>
      </c>
      <c r="U729" s="8" t="n">
        <v>-0.168317</v>
      </c>
      <c r="V729" s="8" t="n">
        <v>0.036817</v>
      </c>
      <c r="W729" s="8" t="n">
        <v>0.5614</v>
      </c>
      <c r="X729" s="8" t="n">
        <v>-0.043447</v>
      </c>
      <c r="Y729" s="8" t="n">
        <v>-0.057343</v>
      </c>
      <c r="Z729" s="8" t="n">
        <v>0.013896</v>
      </c>
      <c r="AA729" s="8" t="n">
        <v>0.5689</v>
      </c>
    </row>
    <row r="730">
      <c r="A730" s="11" t="inlineStr">
        <is>
          <t>2025-08-21</t>
        </is>
      </c>
      <c r="B730" s="11" t="inlineStr">
        <is>
          <t>低分位</t>
        </is>
      </c>
      <c r="C730" s="15" t="n">
        <v>0.004</v>
      </c>
      <c r="D730" s="13" t="n">
        <v>-0.000506</v>
      </c>
      <c r="E730" s="13" t="n">
        <v>-0.008247000000000001</v>
      </c>
      <c r="F730" s="13" t="n">
        <v>0.007741</v>
      </c>
      <c r="G730" s="13" t="n">
        <v>0.9422</v>
      </c>
      <c r="H730" s="13" t="n">
        <v>-0.025251</v>
      </c>
      <c r="I730" s="13" t="n">
        <v>-0.021443</v>
      </c>
      <c r="J730" s="13" t="n">
        <v>-0.003808</v>
      </c>
      <c r="K730" s="13" t="n">
        <v>0.4592</v>
      </c>
      <c r="L730" s="13" t="n">
        <v>-0.028861</v>
      </c>
      <c r="M730" s="13" t="n">
        <v>-0.019381</v>
      </c>
      <c r="N730" s="13" t="n">
        <v>-0.009480000000000001</v>
      </c>
      <c r="O730" s="13" t="n">
        <v>0.4017</v>
      </c>
      <c r="P730" s="13" t="n">
        <v>-0.011905</v>
      </c>
      <c r="Q730" s="13" t="n">
        <v>-0.032577</v>
      </c>
      <c r="R730" s="13" t="n">
        <v>0.020672</v>
      </c>
      <c r="S730" s="13" t="n">
        <v>0.7324000000000001</v>
      </c>
      <c r="T730" s="13" t="n">
        <v>-0.133333</v>
      </c>
      <c r="U730" s="13" t="n">
        <v>-0.173608</v>
      </c>
      <c r="V730" s="13" t="n">
        <v>0.040275</v>
      </c>
      <c r="W730" s="13" t="n">
        <v>0.5656</v>
      </c>
      <c r="X730" s="13" t="n">
        <v>-0.02345</v>
      </c>
      <c r="Y730" s="13" t="n">
        <v>-0.072577</v>
      </c>
      <c r="Z730" s="13" t="n">
        <v>0.049127</v>
      </c>
      <c r="AA730" s="13" t="n">
        <v>0.7558</v>
      </c>
    </row>
    <row r="731">
      <c r="A731" s="6" t="inlineStr">
        <is>
          <t>2025-08-22</t>
        </is>
      </c>
      <c r="B731" s="6" t="inlineStr">
        <is>
          <t>低分位</t>
        </is>
      </c>
      <c r="C731" s="10" t="n">
        <v>0.016</v>
      </c>
      <c r="D731" s="8" t="n">
        <v>-0.001659</v>
      </c>
      <c r="E731" s="8" t="n">
        <v>0.007900000000000001</v>
      </c>
      <c r="F731" s="8" t="n">
        <v>-0.009559</v>
      </c>
      <c r="G731" s="8" t="n">
        <v>0.8264</v>
      </c>
      <c r="H731" s="8" t="n">
        <v>-0.027287</v>
      </c>
      <c r="I731" s="8" t="n">
        <v>-0.018295</v>
      </c>
      <c r="J731" s="8" t="n">
        <v>-0.008992</v>
      </c>
      <c r="K731" s="8" t="n">
        <v>0.4014</v>
      </c>
      <c r="L731" s="8" t="n">
        <v>-0.027287</v>
      </c>
      <c r="M731" s="8" t="n">
        <v>0.004158</v>
      </c>
      <c r="N731" s="8" t="n">
        <v>-0.031445</v>
      </c>
      <c r="O731" s="8" t="n">
        <v>0.1322</v>
      </c>
      <c r="P731" s="8" t="n">
        <v>-0.020426</v>
      </c>
      <c r="Q731" s="8" t="n">
        <v>-0.018295</v>
      </c>
      <c r="R731" s="8" t="n">
        <v>-0.002131</v>
      </c>
      <c r="S731" s="8" t="n">
        <v>0.4725</v>
      </c>
      <c r="T731" s="8" t="n">
        <v>-0.135926</v>
      </c>
      <c r="U731" s="8" t="n">
        <v>-0.136383</v>
      </c>
      <c r="V731" s="8" t="n">
        <v>0.000457</v>
      </c>
      <c r="W731" s="8" t="n">
        <v>0.5008</v>
      </c>
      <c r="X731" s="8" t="n">
        <v>-0.035226</v>
      </c>
      <c r="Y731" s="8" t="n">
        <v>-0.081081</v>
      </c>
      <c r="Z731" s="8" t="n">
        <v>0.045855</v>
      </c>
      <c r="AA731" s="8" t="n">
        <v>0.6971000000000001</v>
      </c>
    </row>
    <row r="732">
      <c r="A732" s="11" t="inlineStr">
        <is>
          <t>2025-08-25</t>
        </is>
      </c>
      <c r="B732" s="11" t="inlineStr">
        <is>
          <t>低分位</t>
        </is>
      </c>
      <c r="C732" s="15" t="n">
        <v>0.004</v>
      </c>
      <c r="D732" s="13" t="n">
        <v>0.000725</v>
      </c>
      <c r="E732" s="13" t="n">
        <v>-0.011964</v>
      </c>
      <c r="F732" s="13" t="n">
        <v>0.012689</v>
      </c>
      <c r="G732" s="13" t="n">
        <v>0.9429</v>
      </c>
      <c r="H732" s="13" t="n">
        <v>-0.031093</v>
      </c>
      <c r="I732" s="13" t="n">
        <v>-0.016089</v>
      </c>
      <c r="J732" s="13" t="n">
        <v>-0.015004</v>
      </c>
      <c r="K732" s="13" t="n">
        <v>0.341</v>
      </c>
      <c r="L732" s="13" t="n">
        <v>-0.01446</v>
      </c>
      <c r="M732" s="13" t="n">
        <v>-0.006601</v>
      </c>
      <c r="N732" s="13" t="n">
        <v>-0.007859</v>
      </c>
      <c r="O732" s="13" t="n">
        <v>0.3134</v>
      </c>
      <c r="P732" s="13" t="n">
        <v>-0.018655</v>
      </c>
      <c r="Q732" s="13" t="n">
        <v>-0.031353</v>
      </c>
      <c r="R732" s="13" t="n">
        <v>0.012698</v>
      </c>
      <c r="S732" s="13" t="n">
        <v>0.627</v>
      </c>
      <c r="T732" s="13" t="n">
        <v>-0.103688</v>
      </c>
      <c r="U732" s="13" t="n">
        <v>-0.147277</v>
      </c>
      <c r="V732" s="13" t="n">
        <v>0.043589</v>
      </c>
      <c r="W732" s="13" t="n">
        <v>0.5868</v>
      </c>
      <c r="X732" s="13" t="n">
        <v>-0.051701</v>
      </c>
      <c r="Y732" s="13" t="n">
        <v>-0.101073</v>
      </c>
      <c r="Z732" s="13" t="n">
        <v>0.049372</v>
      </c>
      <c r="AA732" s="13" t="n">
        <v>0.6616</v>
      </c>
    </row>
    <row r="733">
      <c r="A733" s="6" t="inlineStr">
        <is>
          <t>2025-08-26</t>
        </is>
      </c>
      <c r="B733" s="6" t="inlineStr">
        <is>
          <t>低分位</t>
        </is>
      </c>
      <c r="C733" s="10" t="n">
        <v>0.028</v>
      </c>
      <c r="D733" s="8" t="n">
        <v>-0.004335</v>
      </c>
      <c r="E733" s="8" t="n">
        <v>-0.009603</v>
      </c>
      <c r="F733" s="8" t="n">
        <v>0.005268</v>
      </c>
      <c r="G733" s="8" t="n">
        <v>0.6889999999999999</v>
      </c>
      <c r="H733" s="8" t="n">
        <v>-0.023124</v>
      </c>
      <c r="I733" s="8" t="n">
        <v>-0.009603</v>
      </c>
      <c r="J733" s="8" t="n">
        <v>-0.013521</v>
      </c>
      <c r="K733" s="8" t="n">
        <v>0.2934</v>
      </c>
      <c r="L733" s="8" t="n">
        <v>-0.015173</v>
      </c>
      <c r="M733" s="8" t="n">
        <v>0.001253</v>
      </c>
      <c r="N733" s="8" t="n">
        <v>-0.016426</v>
      </c>
      <c r="O733" s="8" t="n">
        <v>0.07630000000000001</v>
      </c>
      <c r="P733" s="8" t="n">
        <v>-0.0224</v>
      </c>
      <c r="Q733" s="8" t="n">
        <v>-0.021712</v>
      </c>
      <c r="R733" s="8" t="n">
        <v>-0.000688</v>
      </c>
      <c r="S733" s="8" t="n">
        <v>0.4922</v>
      </c>
      <c r="T733" s="8" t="n">
        <v>-0.109105</v>
      </c>
      <c r="U733" s="8" t="n">
        <v>-0.125678</v>
      </c>
      <c r="V733" s="8" t="n">
        <v>0.016573</v>
      </c>
      <c r="W733" s="8" t="n">
        <v>0.5353</v>
      </c>
      <c r="X733" s="8" t="n">
        <v>-0.046244</v>
      </c>
      <c r="Y733" s="8" t="n">
        <v>-0.012526</v>
      </c>
      <c r="Z733" s="8" t="n">
        <v>-0.033718</v>
      </c>
      <c r="AA733" s="8" t="n">
        <v>0.2131</v>
      </c>
    </row>
    <row r="734">
      <c r="A734" s="11" t="inlineStr">
        <is>
          <t>2025-08-27</t>
        </is>
      </c>
      <c r="B734" s="11" t="inlineStr">
        <is>
          <t>低分位</t>
        </is>
      </c>
      <c r="C734" s="15" t="n">
        <v>0.032</v>
      </c>
      <c r="D734" s="13" t="n">
        <v>-0.019594</v>
      </c>
      <c r="E734" s="13" t="n">
        <v>0.000422</v>
      </c>
      <c r="F734" s="13" t="n">
        <v>-0.020016</v>
      </c>
      <c r="G734" s="13" t="n">
        <v>0.0211</v>
      </c>
      <c r="H734" s="13" t="n">
        <v>-0.025036</v>
      </c>
      <c r="I734" s="13" t="n">
        <v>0.004216</v>
      </c>
      <c r="J734" s="13" t="n">
        <v>-0.029252</v>
      </c>
      <c r="K734" s="13" t="n">
        <v>0.1441</v>
      </c>
      <c r="L734" s="13" t="n">
        <v>-0.008203</v>
      </c>
      <c r="M734" s="13" t="n">
        <v>0.014755</v>
      </c>
      <c r="N734" s="13" t="n">
        <v>-0.022958</v>
      </c>
      <c r="O734" s="13" t="n">
        <v>0.6427</v>
      </c>
      <c r="P734" s="13" t="n">
        <v>-0.018144</v>
      </c>
      <c r="Q734" s="13" t="n">
        <v>-0.008853</v>
      </c>
      <c r="R734" s="13" t="n">
        <v>-0.009291000000000001</v>
      </c>
      <c r="S734" s="13" t="n">
        <v>0.3279</v>
      </c>
      <c r="T734" s="13" t="n">
        <v>-0.09470199999999999</v>
      </c>
      <c r="U734" s="13" t="n">
        <v>-0.108769</v>
      </c>
      <c r="V734" s="13" t="n">
        <v>0.014067</v>
      </c>
      <c r="W734" s="13" t="n">
        <v>0.5346</v>
      </c>
      <c r="X734" s="13" t="n">
        <v>0.031929</v>
      </c>
      <c r="Y734" s="13" t="n">
        <v>0.07799300000000001</v>
      </c>
      <c r="Z734" s="13" t="n">
        <v>-0.046064</v>
      </c>
      <c r="AA734" s="13" t="n">
        <v>0.7095</v>
      </c>
    </row>
    <row r="735">
      <c r="A735" s="6" t="inlineStr">
        <is>
          <t>2025-08-28</t>
        </is>
      </c>
      <c r="B735" s="6" t="inlineStr">
        <is>
          <t>低分位</t>
        </is>
      </c>
      <c r="C735" s="10" t="n">
        <v>0</v>
      </c>
      <c r="D735" s="8" t="n">
        <v>-0.002594</v>
      </c>
      <c r="E735" s="8" t="n">
        <v>-0.005057</v>
      </c>
      <c r="F735" s="8" t="n">
        <v>0.002463</v>
      </c>
      <c r="G735" s="8" t="n">
        <v>0.661</v>
      </c>
      <c r="H735" s="8" t="n">
        <v>-0.003704</v>
      </c>
      <c r="I735" s="8" t="n">
        <v>0.002107</v>
      </c>
      <c r="J735" s="8" t="n">
        <v>-0.005811</v>
      </c>
      <c r="K735" s="8" t="n">
        <v>0.3626</v>
      </c>
      <c r="L735" s="8" t="n">
        <v>0.019985</v>
      </c>
      <c r="M735" s="8" t="n">
        <v>0.0059</v>
      </c>
      <c r="N735" s="8" t="n">
        <v>0.014085</v>
      </c>
      <c r="O735" s="8" t="n">
        <v>0.2279</v>
      </c>
      <c r="P735" s="8" t="n">
        <v>0.004144</v>
      </c>
      <c r="Q735" s="8" t="n">
        <v>-0.007164</v>
      </c>
      <c r="R735" s="8" t="n">
        <v>0.011308</v>
      </c>
      <c r="S735" s="8" t="n">
        <v>0.6335</v>
      </c>
      <c r="T735" s="8" t="n">
        <v>-0.06587999999999999</v>
      </c>
      <c r="U735" s="8" t="n">
        <v>-0.100295</v>
      </c>
      <c r="V735" s="8" t="n">
        <v>0.034415</v>
      </c>
      <c r="W735" s="8" t="n">
        <v>0.6036</v>
      </c>
      <c r="X735" s="8" t="n">
        <v>0.131751</v>
      </c>
      <c r="Y735" s="8" t="n">
        <v>0.075853</v>
      </c>
      <c r="Z735" s="8" t="n">
        <v>0.055898</v>
      </c>
      <c r="AA735" s="8" t="n">
        <v>0.3654</v>
      </c>
    </row>
    <row r="736">
      <c r="A736" s="11" t="inlineStr">
        <is>
          <t>2025-08-29</t>
        </is>
      </c>
      <c r="B736" s="11" t="inlineStr">
        <is>
          <t>低分位</t>
        </is>
      </c>
      <c r="C736" s="15" t="n">
        <v>0.012</v>
      </c>
      <c r="D736" s="13" t="n">
        <v>-0.005566</v>
      </c>
      <c r="E736" s="13" t="n">
        <v>0.010165</v>
      </c>
      <c r="F736" s="13" t="n">
        <v>-0.015731</v>
      </c>
      <c r="G736" s="13" t="n">
        <v>0.6462</v>
      </c>
      <c r="H736" s="13" t="n">
        <v>0</v>
      </c>
      <c r="I736" s="13" t="n">
        <v>0.022872</v>
      </c>
      <c r="J736" s="13" t="n">
        <v>-0.022872</v>
      </c>
      <c r="K736" s="13" t="n">
        <v>1</v>
      </c>
      <c r="L736" s="13" t="n">
        <v>0.019668</v>
      </c>
      <c r="M736" s="13" t="n">
        <v>0.007624</v>
      </c>
      <c r="N736" s="13" t="n">
        <v>0.012044</v>
      </c>
      <c r="O736" s="13" t="n">
        <v>0.2793</v>
      </c>
      <c r="P736" s="13" t="n">
        <v>0.003527</v>
      </c>
      <c r="Q736" s="13" t="n">
        <v>-0.002541</v>
      </c>
      <c r="R736" s="13" t="n">
        <v>0.006068</v>
      </c>
      <c r="S736" s="13" t="n">
        <v>0.4188</v>
      </c>
      <c r="T736" s="13" t="n">
        <v>-0.056028</v>
      </c>
      <c r="U736" s="13" t="n">
        <v>-0.09529899999999999</v>
      </c>
      <c r="V736" s="13" t="n">
        <v>0.039271</v>
      </c>
      <c r="W736" s="13" t="n">
        <v>0.6298</v>
      </c>
      <c r="X736" s="13" t="n">
        <v>0.13692</v>
      </c>
      <c r="Y736" s="13" t="n">
        <v>0.053367</v>
      </c>
      <c r="Z736" s="13" t="n">
        <v>0.083553</v>
      </c>
      <c r="AA736" s="13" t="n">
        <v>0.2805</v>
      </c>
    </row>
    <row r="737">
      <c r="A737" s="6" t="inlineStr">
        <is>
          <t>2025-09-01</t>
        </is>
      </c>
      <c r="B737" s="6" t="inlineStr">
        <is>
          <t>低分位</t>
        </is>
      </c>
      <c r="C737" s="10" t="n">
        <v>0</v>
      </c>
      <c r="D737" s="8" t="n">
        <v>0.008954999999999999</v>
      </c>
      <c r="E737" s="8" t="n">
        <v>-0.005451</v>
      </c>
      <c r="F737" s="8" t="n">
        <v>0.014406</v>
      </c>
      <c r="G737" s="8" t="n">
        <v>0.3784</v>
      </c>
      <c r="H737" s="8" t="n">
        <v>0.017167</v>
      </c>
      <c r="I737" s="8" t="n">
        <v>0.009644</v>
      </c>
      <c r="J737" s="8" t="n">
        <v>0.007523</v>
      </c>
      <c r="K737" s="8" t="n">
        <v>0.3597</v>
      </c>
      <c r="L737" s="8" t="n">
        <v>0.024627</v>
      </c>
      <c r="M737" s="8" t="n">
        <v>0.004612</v>
      </c>
      <c r="N737" s="8" t="n">
        <v>0.020015</v>
      </c>
      <c r="O737" s="8" t="n">
        <v>0.1577</v>
      </c>
      <c r="P737" s="8" t="n">
        <v>0.013621</v>
      </c>
      <c r="Q737" s="8" t="n">
        <v>-0.010901</v>
      </c>
      <c r="R737" s="8" t="n">
        <v>0.024522</v>
      </c>
      <c r="S737" s="8" t="n">
        <v>0.4445</v>
      </c>
      <c r="T737" s="8" t="n">
        <v>-0.048506</v>
      </c>
      <c r="U737" s="8" t="n">
        <v>-0.10608</v>
      </c>
      <c r="V737" s="8" t="n">
        <v>0.057574</v>
      </c>
      <c r="W737" s="8" t="n">
        <v>0.6862</v>
      </c>
      <c r="X737" s="8" t="n">
        <v>0.119405</v>
      </c>
      <c r="Y737" s="8" t="n">
        <v>0.084277</v>
      </c>
      <c r="Z737" s="8" t="n">
        <v>0.035128</v>
      </c>
      <c r="AA737" s="8" t="n">
        <v>0.4138</v>
      </c>
    </row>
    <row r="738">
      <c r="A738" s="11" t="inlineStr">
        <is>
          <t>2025-09-02</t>
        </is>
      </c>
      <c r="B738" s="11" t="inlineStr">
        <is>
          <t>低分位</t>
        </is>
      </c>
      <c r="C738" s="15" t="n">
        <v>0.012</v>
      </c>
      <c r="D738" s="13" t="n">
        <v>-0.006284</v>
      </c>
      <c r="E738" s="13" t="n">
        <v>0.004216</v>
      </c>
      <c r="F738" s="13" t="n">
        <v>-0.0105</v>
      </c>
      <c r="G738" s="13" t="n">
        <v>0.4015</v>
      </c>
      <c r="H738" s="13" t="n">
        <v>0.008139</v>
      </c>
      <c r="I738" s="13" t="n">
        <v>0.010961</v>
      </c>
      <c r="J738" s="13" t="n">
        <v>-0.002822</v>
      </c>
      <c r="K738" s="13" t="n">
        <v>0.5739</v>
      </c>
      <c r="L738" s="13" t="n">
        <v>0.018493</v>
      </c>
      <c r="M738" s="13" t="n">
        <v>0.001265</v>
      </c>
      <c r="N738" s="13" t="n">
        <v>0.017228</v>
      </c>
      <c r="O738" s="13" t="n">
        <v>0.064</v>
      </c>
      <c r="P738" s="13" t="n">
        <v>0.00296</v>
      </c>
      <c r="Q738" s="13" t="n">
        <v>-0.01855</v>
      </c>
      <c r="R738" s="13" t="n">
        <v>0.02151</v>
      </c>
      <c r="S738" s="13" t="n">
        <v>0.8624000000000001</v>
      </c>
      <c r="T738" s="13" t="n">
        <v>-0.055842</v>
      </c>
      <c r="U738" s="13" t="n">
        <v>-0.102867</v>
      </c>
      <c r="V738" s="13" t="n">
        <v>0.047025</v>
      </c>
      <c r="W738" s="13" t="n">
        <v>0.6481</v>
      </c>
      <c r="X738" s="13" t="n">
        <v>0.151629</v>
      </c>
      <c r="Y738" s="13" t="n">
        <v>0.193086</v>
      </c>
      <c r="Z738" s="13" t="n">
        <v>-0.041457</v>
      </c>
      <c r="AA738" s="13" t="n">
        <v>0.5601</v>
      </c>
    </row>
    <row r="739">
      <c r="A739" s="6" t="inlineStr">
        <is>
          <t>2025-09-03</t>
        </is>
      </c>
      <c r="B739" s="6" t="inlineStr">
        <is>
          <t>低分位</t>
        </is>
      </c>
      <c r="C739" s="10" t="n">
        <v>0.004</v>
      </c>
      <c r="D739" s="8" t="n">
        <v>0.001858</v>
      </c>
      <c r="E739" s="8" t="n">
        <v>-0.001679</v>
      </c>
      <c r="F739" s="8" t="n">
        <v>0.003537</v>
      </c>
      <c r="G739" s="8" t="n">
        <v>0.4747</v>
      </c>
      <c r="H739" s="8" t="n">
        <v>0.017265</v>
      </c>
      <c r="I739" s="8" t="n">
        <v>0.010495</v>
      </c>
      <c r="J739" s="8" t="n">
        <v>0.00677</v>
      </c>
      <c r="K739" s="8" t="n">
        <v>0.3781</v>
      </c>
      <c r="L739" s="8" t="n">
        <v>0.021213</v>
      </c>
      <c r="M739" s="8" t="n">
        <v>-0.002519</v>
      </c>
      <c r="N739" s="8" t="n">
        <v>0.023732</v>
      </c>
      <c r="O739" s="8" t="n">
        <v>0.1061</v>
      </c>
      <c r="P739" s="8" t="n">
        <v>-0.000746</v>
      </c>
      <c r="Q739" s="8" t="n">
        <v>-0.038623</v>
      </c>
      <c r="R739" s="8" t="n">
        <v>0.037877</v>
      </c>
      <c r="S739" s="8" t="n">
        <v>0.9811</v>
      </c>
      <c r="T739" s="8" t="n">
        <v>-0.055454</v>
      </c>
      <c r="U739" s="8" t="n">
        <v>-0.11293</v>
      </c>
      <c r="V739" s="8" t="n">
        <v>0.057476</v>
      </c>
      <c r="W739" s="8" t="n">
        <v>0.6707</v>
      </c>
      <c r="X739" s="8" t="n">
        <v>0.306288</v>
      </c>
      <c r="Y739" s="8" t="n">
        <v>0.070109</v>
      </c>
      <c r="Z739" s="8" t="n">
        <v>0.236179</v>
      </c>
      <c r="AA739" s="8" t="n">
        <v>0.1863</v>
      </c>
    </row>
    <row r="740">
      <c r="A740" s="11" t="inlineStr">
        <is>
          <t>2025-09-04</t>
        </is>
      </c>
      <c r="B740" s="11" t="inlineStr">
        <is>
          <t>低分位</t>
        </is>
      </c>
      <c r="C740" s="15" t="n">
        <v>0.008</v>
      </c>
      <c r="D740" s="13" t="n">
        <v>0.001114</v>
      </c>
      <c r="E740" s="13" t="n">
        <v>0.015559</v>
      </c>
      <c r="F740" s="13" t="n">
        <v>-0.014445</v>
      </c>
      <c r="G740" s="13" t="n">
        <v>0.9332</v>
      </c>
      <c r="H740" s="13" t="n">
        <v>0.023777</v>
      </c>
      <c r="I740" s="13" t="n">
        <v>0.003785</v>
      </c>
      <c r="J740" s="13" t="n">
        <v>0.019992</v>
      </c>
      <c r="K740" s="13" t="n">
        <v>0.1373</v>
      </c>
      <c r="L740" s="13" t="n">
        <v>0.017461</v>
      </c>
      <c r="M740" s="13" t="n">
        <v>-0.013457</v>
      </c>
      <c r="N740" s="13" t="n">
        <v>0.030918</v>
      </c>
      <c r="O740" s="13" t="n">
        <v>0.4352</v>
      </c>
      <c r="P740" s="13" t="n">
        <v>-0.012071</v>
      </c>
      <c r="Q740" s="13" t="n">
        <v>-0.029857</v>
      </c>
      <c r="R740" s="13" t="n">
        <v>0.017786</v>
      </c>
      <c r="S740" s="13" t="n">
        <v>0.7121</v>
      </c>
      <c r="T740" s="13" t="n">
        <v>-0.063892</v>
      </c>
      <c r="U740" s="13" t="n">
        <v>-0.126577</v>
      </c>
      <c r="V740" s="13" t="n">
        <v>0.062685</v>
      </c>
      <c r="W740" s="13" t="n">
        <v>0.6646</v>
      </c>
      <c r="X740" s="13" t="n">
        <v>0.156018</v>
      </c>
      <c r="Y740" s="13" t="n">
        <v>0.117746</v>
      </c>
      <c r="Z740" s="13" t="n">
        <v>0.038272</v>
      </c>
      <c r="AA740" s="13" t="n">
        <v>0.4301</v>
      </c>
    </row>
    <row r="741">
      <c r="A741" s="6" t="inlineStr">
        <is>
          <t>2025-09-05</t>
        </is>
      </c>
      <c r="B741" s="6" t="inlineStr">
        <is>
          <t>低分位</t>
        </is>
      </c>
      <c r="C741" s="10" t="n">
        <v>0</v>
      </c>
      <c r="D741" s="8" t="n">
        <v>0.011506</v>
      </c>
      <c r="E741" s="8" t="n">
        <v>-0.002899</v>
      </c>
      <c r="F741" s="8" t="n">
        <v>0.014405</v>
      </c>
      <c r="G741" s="8" t="n">
        <v>0.2012</v>
      </c>
      <c r="H741" s="8" t="n">
        <v>0.019668</v>
      </c>
      <c r="I741" s="8" t="n">
        <v>-0.014907</v>
      </c>
      <c r="J741" s="8" t="n">
        <v>0.034575</v>
      </c>
      <c r="K741" s="8" t="n">
        <v>0.4311</v>
      </c>
      <c r="L741" s="8" t="n">
        <v>0.007053</v>
      </c>
      <c r="M741" s="8" t="n">
        <v>-0.02236</v>
      </c>
      <c r="N741" s="8" t="n">
        <v>0.029413</v>
      </c>
      <c r="O741" s="8" t="n">
        <v>0.7602</v>
      </c>
      <c r="P741" s="8" t="n">
        <v>-0.001483</v>
      </c>
      <c r="Q741" s="8" t="n">
        <v>-0.030228</v>
      </c>
      <c r="R741" s="8" t="n">
        <v>0.028745</v>
      </c>
      <c r="S741" s="8" t="n">
        <v>0.9532</v>
      </c>
      <c r="T741" s="8" t="n">
        <v>-0.074583</v>
      </c>
      <c r="U741" s="8" t="n">
        <v>-0.13499</v>
      </c>
      <c r="V741" s="8" t="n">
        <v>0.060407</v>
      </c>
      <c r="W741" s="8" t="n">
        <v>0.6441</v>
      </c>
      <c r="X741" s="8" t="n">
        <v>0.203711</v>
      </c>
      <c r="Y741" s="8" t="n">
        <v>0.128778</v>
      </c>
      <c r="Z741" s="8" t="n">
        <v>0.074933</v>
      </c>
      <c r="AA741" s="8" t="n">
        <v>0.3873</v>
      </c>
    </row>
    <row r="742">
      <c r="A742" s="11" t="inlineStr">
        <is>
          <t>2025-09-08</t>
        </is>
      </c>
      <c r="B742" s="11" t="inlineStr">
        <is>
          <t>低分位</t>
        </is>
      </c>
      <c r="C742" s="15" t="n">
        <v>0.016</v>
      </c>
      <c r="D742" s="13" t="n">
        <v>0</v>
      </c>
      <c r="E742" s="13" t="n">
        <v>-0.004153</v>
      </c>
      <c r="F742" s="13" t="n">
        <v>0.004153</v>
      </c>
      <c r="G742" s="13" t="n">
        <v>1</v>
      </c>
      <c r="H742" s="13" t="n">
        <v>0.007334</v>
      </c>
      <c r="I742" s="13" t="n">
        <v>-0.004983</v>
      </c>
      <c r="J742" s="13" t="n">
        <v>0.012317</v>
      </c>
      <c r="K742" s="13" t="n">
        <v>0.4046</v>
      </c>
      <c r="L742" s="13" t="n">
        <v>-0.004257</v>
      </c>
      <c r="M742" s="13" t="n">
        <v>-0.024917</v>
      </c>
      <c r="N742" s="13" t="n">
        <v>0.02066</v>
      </c>
      <c r="O742" s="13" t="n">
        <v>0.8541</v>
      </c>
      <c r="P742" s="13" t="n">
        <v>0.007519</v>
      </c>
      <c r="Q742" s="13" t="n">
        <v>-0.055648</v>
      </c>
      <c r="R742" s="13" t="n">
        <v>0.063167</v>
      </c>
      <c r="S742" s="13" t="n">
        <v>0.881</v>
      </c>
      <c r="T742" s="13" t="n">
        <v>-0.079972</v>
      </c>
      <c r="U742" s="13" t="n">
        <v>-0.142027</v>
      </c>
      <c r="V742" s="13" t="n">
        <v>0.062055</v>
      </c>
      <c r="W742" s="13" t="n">
        <v>0.6398</v>
      </c>
      <c r="X742" s="13" t="n">
        <v>0.210563</v>
      </c>
      <c r="Y742" s="13" t="n">
        <v>0.164867</v>
      </c>
      <c r="Z742" s="13" t="n">
        <v>0.045696</v>
      </c>
      <c r="AA742" s="13" t="n">
        <v>0.4391</v>
      </c>
    </row>
    <row r="743">
      <c r="A743" s="6" t="inlineStr">
        <is>
          <t>2025-09-09</t>
        </is>
      </c>
      <c r="B743" s="6" t="inlineStr">
        <is>
          <t>低分位</t>
        </is>
      </c>
      <c r="C743" s="10" t="n">
        <v>0.02</v>
      </c>
      <c r="D743" s="8" t="n">
        <v>0.002712</v>
      </c>
      <c r="E743" s="8" t="n">
        <v>0.003753</v>
      </c>
      <c r="F743" s="8" t="n">
        <v>-0.001041</v>
      </c>
      <c r="G743" s="8" t="n">
        <v>0.5805</v>
      </c>
      <c r="H743" s="8" t="n">
        <v>0.01027</v>
      </c>
      <c r="I743" s="8" t="n">
        <v>-0.009591000000000001</v>
      </c>
      <c r="J743" s="8" t="n">
        <v>0.019861</v>
      </c>
      <c r="K743" s="8" t="n">
        <v>0.4829</v>
      </c>
      <c r="L743" s="8" t="n">
        <v>-0.007338</v>
      </c>
      <c r="M743" s="8" t="n">
        <v>-0.022936</v>
      </c>
      <c r="N743" s="8" t="n">
        <v>0.015598</v>
      </c>
      <c r="O743" s="8" t="n">
        <v>0.7576000000000001</v>
      </c>
      <c r="P743" s="8" t="n">
        <v>-0.005137</v>
      </c>
      <c r="Q743" s="8" t="n">
        <v>-0.041701</v>
      </c>
      <c r="R743" s="8" t="n">
        <v>0.036564</v>
      </c>
      <c r="S743" s="8" t="n">
        <v>0.8903</v>
      </c>
      <c r="T743" s="8" t="n">
        <v>-0.084374</v>
      </c>
      <c r="U743" s="8" t="n">
        <v>-0.112177</v>
      </c>
      <c r="V743" s="8" t="n">
        <v>0.027803</v>
      </c>
      <c r="W743" s="8" t="n">
        <v>0.5707</v>
      </c>
      <c r="X743" s="8" t="n">
        <v>0.24688</v>
      </c>
      <c r="Y743" s="8" t="n">
        <v>0.183069</v>
      </c>
      <c r="Z743" s="8" t="n">
        <v>0.06381100000000001</v>
      </c>
      <c r="AA743" s="8" t="n">
        <v>0.4258</v>
      </c>
    </row>
    <row r="744">
      <c r="A744" s="11" t="inlineStr">
        <is>
          <t>2025-09-10</t>
        </is>
      </c>
      <c r="B744" s="11" t="inlineStr">
        <is>
          <t>低分位</t>
        </is>
      </c>
      <c r="C744" s="15" t="n">
        <v>0.02</v>
      </c>
      <c r="D744" s="13" t="n">
        <v>0.008271000000000001</v>
      </c>
      <c r="E744" s="13" t="n">
        <v>-0.008309</v>
      </c>
      <c r="F744" s="13" t="n">
        <v>0.01658</v>
      </c>
      <c r="G744" s="13" t="n">
        <v>0.5011</v>
      </c>
      <c r="H744" s="13" t="n">
        <v>0.003881</v>
      </c>
      <c r="I744" s="13" t="n">
        <v>-0.012879</v>
      </c>
      <c r="J744" s="13" t="n">
        <v>0.01676</v>
      </c>
      <c r="K744" s="13" t="n">
        <v>0.7684</v>
      </c>
      <c r="L744" s="13" t="n">
        <v>-0.010023</v>
      </c>
      <c r="M744" s="13" t="n">
        <v>-0.023265</v>
      </c>
      <c r="N744" s="13" t="n">
        <v>0.013242</v>
      </c>
      <c r="O744" s="13" t="n">
        <v>0.6989</v>
      </c>
      <c r="P744" s="13" t="n">
        <v>0.018513</v>
      </c>
      <c r="Q744" s="13" t="n">
        <v>-0.03656</v>
      </c>
      <c r="R744" s="13" t="n">
        <v>0.055073</v>
      </c>
      <c r="S744" s="13" t="n">
        <v>0.6637999999999999</v>
      </c>
      <c r="T744" s="13" t="n">
        <v>-0.08685</v>
      </c>
      <c r="U744" s="13" t="n">
        <v>-0.119236</v>
      </c>
      <c r="V744" s="13" t="n">
        <v>0.032386</v>
      </c>
      <c r="W744" s="13" t="n">
        <v>0.5786</v>
      </c>
      <c r="X744" s="13" t="n">
        <v>0.247165</v>
      </c>
      <c r="Y744" s="13" t="n">
        <v>0.1828</v>
      </c>
      <c r="Z744" s="13" t="n">
        <v>0.06436500000000001</v>
      </c>
      <c r="AA744" s="13" t="n">
        <v>0.4252</v>
      </c>
    </row>
    <row r="745">
      <c r="A745" s="6" t="inlineStr">
        <is>
          <t>2025-09-11</t>
        </is>
      </c>
      <c r="B745" s="6" t="inlineStr">
        <is>
          <t>低分位</t>
        </is>
      </c>
      <c r="C745" s="10" t="n">
        <v>0.068</v>
      </c>
      <c r="D745" s="8" t="n">
        <v>-0.002904</v>
      </c>
      <c r="E745" s="8" t="n">
        <v>-0.003351</v>
      </c>
      <c r="F745" s="8" t="n">
        <v>0.000447</v>
      </c>
      <c r="G745" s="8" t="n">
        <v>0.5357</v>
      </c>
      <c r="H745" s="8" t="n">
        <v>-0.00617</v>
      </c>
      <c r="I745" s="8" t="n">
        <v>-0.017176</v>
      </c>
      <c r="J745" s="8" t="n">
        <v>0.011006</v>
      </c>
      <c r="K745" s="8" t="n">
        <v>0.7357</v>
      </c>
      <c r="L745" s="8" t="n">
        <v>-0.015531</v>
      </c>
      <c r="M745" s="8" t="n">
        <v>-0.012987</v>
      </c>
      <c r="N745" s="8" t="n">
        <v>-0.002544</v>
      </c>
      <c r="O745" s="8" t="n">
        <v>0.4554</v>
      </c>
      <c r="P745" s="8" t="n">
        <v>0.0119</v>
      </c>
      <c r="Q745" s="8" t="n">
        <v>-0.048178</v>
      </c>
      <c r="R745" s="8" t="n">
        <v>0.060078</v>
      </c>
      <c r="S745" s="8" t="n">
        <v>0.8018999999999999</v>
      </c>
      <c r="T745" s="8" t="n">
        <v>-0.083817</v>
      </c>
      <c r="U745" s="8" t="n">
        <v>-0.120654</v>
      </c>
      <c r="V745" s="8" t="n">
        <v>0.036837</v>
      </c>
      <c r="W745" s="8" t="n">
        <v>0.5901</v>
      </c>
      <c r="X745" s="8" t="n">
        <v>0.248908</v>
      </c>
      <c r="Y745" s="8" t="n">
        <v>0.219941</v>
      </c>
      <c r="Z745" s="8" t="n">
        <v>0.028967</v>
      </c>
      <c r="AA745" s="8" t="n">
        <v>0.4691</v>
      </c>
    </row>
    <row r="746">
      <c r="A746" s="11" t="inlineStr">
        <is>
          <t>2025-09-12</t>
        </is>
      </c>
      <c r="B746" s="11" t="inlineStr">
        <is>
          <t>低分位</t>
        </is>
      </c>
      <c r="C746" s="15" t="n">
        <v>0.07199999999999999</v>
      </c>
      <c r="D746" s="13" t="n">
        <v>-0.000729</v>
      </c>
      <c r="E746" s="13" t="n">
        <v>0.007146</v>
      </c>
      <c r="F746" s="13" t="n">
        <v>-0.007875</v>
      </c>
      <c r="G746" s="13" t="n">
        <v>0.9074</v>
      </c>
      <c r="H746" s="13" t="n">
        <v>-0.012371</v>
      </c>
      <c r="I746" s="13" t="n">
        <v>-0.007566</v>
      </c>
      <c r="J746" s="13" t="n">
        <v>-0.004805</v>
      </c>
      <c r="K746" s="13" t="n">
        <v>0.3795</v>
      </c>
      <c r="L746" s="13" t="n">
        <v>-0.01583</v>
      </c>
      <c r="M746" s="13" t="n">
        <v>-0.010088</v>
      </c>
      <c r="N746" s="13" t="n">
        <v>-0.005742</v>
      </c>
      <c r="O746" s="13" t="n">
        <v>0.3892</v>
      </c>
      <c r="P746" s="13" t="n">
        <v>-0.012664</v>
      </c>
      <c r="Q746" s="13" t="n">
        <v>-0.047499</v>
      </c>
      <c r="R746" s="13" t="n">
        <v>0.034835</v>
      </c>
      <c r="S746" s="13" t="n">
        <v>0.7895</v>
      </c>
      <c r="T746" s="13" t="n">
        <v>-0.080424</v>
      </c>
      <c r="U746" s="13" t="n">
        <v>-0.107188</v>
      </c>
      <c r="V746" s="13" t="n">
        <v>0.026764</v>
      </c>
      <c r="W746" s="13" t="n">
        <v>0.5713</v>
      </c>
      <c r="X746" s="13" t="n">
        <v>0.289664</v>
      </c>
      <c r="Y746" s="13" t="n">
        <v>0.337537</v>
      </c>
      <c r="Z746" s="13" t="n">
        <v>-0.047873</v>
      </c>
      <c r="AA746" s="13" t="n">
        <v>0.5382</v>
      </c>
    </row>
    <row r="747">
      <c r="A747" s="6" t="inlineStr">
        <is>
          <t>2025-09-15</t>
        </is>
      </c>
      <c r="B747" s="6" t="inlineStr">
        <is>
          <t>低分位</t>
        </is>
      </c>
      <c r="C747" s="10" t="n">
        <v>0.056</v>
      </c>
      <c r="D747" s="8" t="n">
        <v>0.002915</v>
      </c>
      <c r="E747" s="8" t="n">
        <v>-0.008765</v>
      </c>
      <c r="F747" s="8" t="n">
        <v>0.01168</v>
      </c>
      <c r="G747" s="8" t="n">
        <v>0.7504</v>
      </c>
      <c r="H747" s="8" t="n">
        <v>-0.011506</v>
      </c>
      <c r="I747" s="8" t="n">
        <v>-0.020033</v>
      </c>
      <c r="J747" s="8" t="n">
        <v>0.008527</v>
      </c>
      <c r="K747" s="8" t="n">
        <v>0.6352</v>
      </c>
      <c r="L747" s="8" t="n">
        <v>-0.010741</v>
      </c>
      <c r="M747" s="8" t="n">
        <v>-0.015442</v>
      </c>
      <c r="N747" s="8" t="n">
        <v>0.004701</v>
      </c>
      <c r="O747" s="8" t="n">
        <v>0.5898</v>
      </c>
      <c r="P747" s="8" t="n">
        <v>0.00073</v>
      </c>
      <c r="Q747" s="8" t="n">
        <v>-0.053422</v>
      </c>
      <c r="R747" s="8" t="n">
        <v>0.054152</v>
      </c>
      <c r="S747" s="8" t="n">
        <v>0.9865</v>
      </c>
      <c r="T747" s="8" t="n">
        <v>-0.081208</v>
      </c>
      <c r="U747" s="8" t="n">
        <v>-0.111436</v>
      </c>
      <c r="V747" s="8" t="n">
        <v>0.030228</v>
      </c>
      <c r="W747" s="8" t="n">
        <v>0.5785</v>
      </c>
      <c r="X747" s="8" t="n">
        <v>0.38529</v>
      </c>
      <c r="Y747" s="8" t="n">
        <v>0.307179</v>
      </c>
      <c r="Z747" s="8" t="n">
        <v>0.078111</v>
      </c>
      <c r="AA747" s="8" t="n">
        <v>0.4436</v>
      </c>
    </row>
    <row r="748">
      <c r="A748" s="11" t="inlineStr">
        <is>
          <t>2025-09-16</t>
        </is>
      </c>
      <c r="B748" s="11" t="inlineStr">
        <is>
          <t>低分位</t>
        </is>
      </c>
      <c r="C748" s="15" t="n">
        <v>0.08400000000000001</v>
      </c>
      <c r="D748" s="13" t="n">
        <v>-0.00363</v>
      </c>
      <c r="E748" s="13" t="n">
        <v>0.000421</v>
      </c>
      <c r="F748" s="13" t="n">
        <v>-0.004051</v>
      </c>
      <c r="G748" s="13" t="n">
        <v>0.1039</v>
      </c>
      <c r="H748" s="13" t="n">
        <v>-0.017429</v>
      </c>
      <c r="I748" s="13" t="n">
        <v>-0.013474</v>
      </c>
      <c r="J748" s="13" t="n">
        <v>-0.003955</v>
      </c>
      <c r="K748" s="13" t="n">
        <v>0.436</v>
      </c>
      <c r="L748" s="13" t="n">
        <v>-0.015251</v>
      </c>
      <c r="M748" s="13" t="n">
        <v>-0.019789</v>
      </c>
      <c r="N748" s="13" t="n">
        <v>0.004538</v>
      </c>
      <c r="O748" s="13" t="n">
        <v>0.5648</v>
      </c>
      <c r="P748" s="13" t="n">
        <v>-0.013072</v>
      </c>
      <c r="Q748" s="13" t="n">
        <v>-0.048</v>
      </c>
      <c r="R748" s="13" t="n">
        <v>0.034928</v>
      </c>
      <c r="S748" s="13" t="n">
        <v>0.786</v>
      </c>
      <c r="T748" s="13" t="n">
        <v>-0.07915899999999999</v>
      </c>
      <c r="U748" s="13" t="n">
        <v>-0.092211</v>
      </c>
      <c r="V748" s="13" t="n">
        <v>0.013052</v>
      </c>
      <c r="W748" s="13" t="n">
        <v>0.5381</v>
      </c>
      <c r="X748" s="13" t="n">
        <v>0.368192</v>
      </c>
      <c r="Y748" s="13" t="n">
        <v>0.410947</v>
      </c>
      <c r="Z748" s="13" t="n">
        <v>-0.042755</v>
      </c>
      <c r="AA748" s="13" t="n">
        <v>0.5274</v>
      </c>
    </row>
    <row r="749">
      <c r="A749" s="6" t="inlineStr">
        <is>
          <t>2025-09-17</t>
        </is>
      </c>
      <c r="B749" s="6" t="inlineStr">
        <is>
          <t>低分位</t>
        </is>
      </c>
      <c r="C749" s="10" t="n">
        <v>0.076</v>
      </c>
      <c r="D749" s="8" t="n">
        <v>-0.001824</v>
      </c>
      <c r="E749" s="8" t="n">
        <v>-0.012626</v>
      </c>
      <c r="F749" s="8" t="n">
        <v>0.010802</v>
      </c>
      <c r="G749" s="8" t="n">
        <v>0.8738</v>
      </c>
      <c r="H749" s="8" t="n">
        <v>-0.01385</v>
      </c>
      <c r="I749" s="8" t="n">
        <v>-0.010522</v>
      </c>
      <c r="J749" s="8" t="n">
        <v>-0.003328</v>
      </c>
      <c r="K749" s="8" t="n">
        <v>0.4317</v>
      </c>
      <c r="L749" s="8" t="n">
        <v>-0.021503</v>
      </c>
      <c r="M749" s="8" t="n">
        <v>-0.036195</v>
      </c>
      <c r="N749" s="8" t="n">
        <v>0.014692</v>
      </c>
      <c r="O749" s="8" t="n">
        <v>0.6273</v>
      </c>
      <c r="P749" s="8" t="n">
        <v>-0.022159</v>
      </c>
      <c r="Q749" s="8" t="n">
        <v>-0.035354</v>
      </c>
      <c r="R749" s="8" t="n">
        <v>0.013195</v>
      </c>
      <c r="S749" s="8" t="n">
        <v>0.6147</v>
      </c>
      <c r="T749" s="8" t="n">
        <v>-0.06997100000000001</v>
      </c>
      <c r="U749" s="8" t="n">
        <v>-0.085017</v>
      </c>
      <c r="V749" s="8" t="n">
        <v>0.015046</v>
      </c>
      <c r="W749" s="8" t="n">
        <v>0.5485</v>
      </c>
      <c r="X749" s="8" t="n">
        <v>0.469749</v>
      </c>
      <c r="Y749" s="8" t="n">
        <v>0.321128</v>
      </c>
      <c r="Z749" s="8" t="n">
        <v>0.148621</v>
      </c>
      <c r="AA749" s="8" t="n">
        <v>0.406</v>
      </c>
    </row>
    <row r="750">
      <c r="A750" s="11" t="inlineStr">
        <is>
          <t>2025-09-18</t>
        </is>
      </c>
      <c r="B750" s="11" t="inlineStr">
        <is>
          <t>中间分位</t>
        </is>
      </c>
      <c r="C750" s="15" t="n">
        <v>0.108</v>
      </c>
      <c r="D750" s="13" t="n">
        <v>-0.009126</v>
      </c>
      <c r="E750" s="13" t="n">
        <v>0.006394</v>
      </c>
      <c r="F750" s="13" t="n">
        <v>-0.01552</v>
      </c>
      <c r="G750" s="13" t="n">
        <v>0.412</v>
      </c>
      <c r="H750" s="13" t="n">
        <v>-0.009419</v>
      </c>
      <c r="I750" s="13" t="n">
        <v>0.004263</v>
      </c>
      <c r="J750" s="13" t="n">
        <v>-0.013682</v>
      </c>
      <c r="K750" s="13" t="n">
        <v>0.3116</v>
      </c>
      <c r="L750" s="13" t="n">
        <v>-0.029025</v>
      </c>
      <c r="M750" s="13" t="n">
        <v>-0.016624</v>
      </c>
      <c r="N750" s="13" t="n">
        <v>-0.012401</v>
      </c>
      <c r="O750" s="13" t="n">
        <v>0.3642</v>
      </c>
      <c r="P750" s="13" t="n">
        <v>-0.01161</v>
      </c>
      <c r="Q750" s="13" t="n">
        <v>-0.031543</v>
      </c>
      <c r="R750" s="13" t="n">
        <v>0.019933</v>
      </c>
      <c r="S750" s="13" t="n">
        <v>0.731</v>
      </c>
      <c r="T750" s="13" t="n">
        <v>-0.054765</v>
      </c>
      <c r="U750" s="13" t="n">
        <v>-0.084399</v>
      </c>
      <c r="V750" s="13" t="n">
        <v>0.029634</v>
      </c>
      <c r="W750" s="13" t="n">
        <v>0.6065</v>
      </c>
      <c r="X750" s="13" t="n">
        <v>0.388828</v>
      </c>
      <c r="Y750" s="13" t="n">
        <v>0.316709</v>
      </c>
      <c r="Z750" s="13" t="n">
        <v>0.072119</v>
      </c>
      <c r="AA750" s="13" t="n">
        <v>0.4489</v>
      </c>
    </row>
    <row r="751">
      <c r="A751" s="6" t="inlineStr">
        <is>
          <t>2025-09-19</t>
        </is>
      </c>
      <c r="B751" s="6" t="inlineStr">
        <is>
          <t>低分位</t>
        </is>
      </c>
      <c r="C751" s="10" t="n">
        <v>0.064</v>
      </c>
      <c r="D751" s="8" t="n">
        <v>0.000146</v>
      </c>
      <c r="E751" s="8" t="n">
        <v>-0.005506</v>
      </c>
      <c r="F751" s="8" t="n">
        <v>0.005652</v>
      </c>
      <c r="G751" s="8" t="n">
        <v>0.9742</v>
      </c>
      <c r="H751" s="8" t="n">
        <v>-0.003502</v>
      </c>
      <c r="I751" s="8" t="n">
        <v>-0.002541</v>
      </c>
      <c r="J751" s="8" t="n">
        <v>-0.000961</v>
      </c>
      <c r="K751" s="8" t="n">
        <v>0.4205</v>
      </c>
      <c r="L751" s="8" t="n">
        <v>-0.008475999999999999</v>
      </c>
      <c r="M751" s="8" t="n">
        <v>-0.008047</v>
      </c>
      <c r="N751" s="8" t="n">
        <v>-0.000429</v>
      </c>
      <c r="O751" s="8" t="n">
        <v>0.487</v>
      </c>
      <c r="P751" s="8" t="n">
        <v>-0.010466</v>
      </c>
      <c r="Q751" s="8" t="n">
        <v>-0.03939</v>
      </c>
      <c r="R751" s="8" t="n">
        <v>0.028924</v>
      </c>
      <c r="S751" s="8" t="n">
        <v>0.7901</v>
      </c>
      <c r="T751" s="8" t="n">
        <v>-0.053797</v>
      </c>
      <c r="U751" s="8" t="n">
        <v>-0.087251</v>
      </c>
      <c r="V751" s="8" t="n">
        <v>0.033454</v>
      </c>
      <c r="W751" s="8" t="n">
        <v>0.6186</v>
      </c>
      <c r="X751" s="8" t="n">
        <v>0.383933</v>
      </c>
      <c r="Y751" s="8" t="n">
        <v>0.356205</v>
      </c>
      <c r="Z751" s="8" t="n">
        <v>0.027728</v>
      </c>
      <c r="AA751" s="8" t="n">
        <v>0.4813</v>
      </c>
    </row>
    <row r="752">
      <c r="A752" s="11" t="inlineStr">
        <is>
          <t>2025-09-22</t>
        </is>
      </c>
      <c r="B752" s="11" t="inlineStr">
        <is>
          <t>低分位</t>
        </is>
      </c>
      <c r="C752" s="15" t="n">
        <v>0.092</v>
      </c>
      <c r="D752" s="13" t="n">
        <v>-0.003095</v>
      </c>
      <c r="E752" s="13" t="n">
        <v>-0.002129</v>
      </c>
      <c r="F752" s="13" t="n">
        <v>-0.000966</v>
      </c>
      <c r="G752" s="13" t="n">
        <v>0.4075</v>
      </c>
      <c r="H752" s="13" t="n">
        <v>0.0007739999999999999</v>
      </c>
      <c r="I752" s="13" t="n">
        <v>0.004685</v>
      </c>
      <c r="J752" s="13" t="n">
        <v>-0.003911</v>
      </c>
      <c r="K752" s="13" t="n">
        <v>0.8582</v>
      </c>
      <c r="L752" s="13" t="n">
        <v>0.011826</v>
      </c>
      <c r="M752" s="13" t="n">
        <v>-0.031516</v>
      </c>
      <c r="N752" s="13" t="n">
        <v>0.043342</v>
      </c>
      <c r="O752" s="13" t="n">
        <v>0.7271</v>
      </c>
      <c r="P752" s="13" t="n">
        <v>-0.015915</v>
      </c>
      <c r="Q752" s="13" t="n">
        <v>-0.045571</v>
      </c>
      <c r="R752" s="13" t="n">
        <v>0.029656</v>
      </c>
      <c r="S752" s="13" t="n">
        <v>0.7412</v>
      </c>
      <c r="T752" s="13" t="n">
        <v>-0.053935</v>
      </c>
      <c r="U752" s="13" t="n">
        <v>-0.081772</v>
      </c>
      <c r="V752" s="13" t="n">
        <v>0.027837</v>
      </c>
      <c r="W752" s="13" t="n">
        <v>0.6026</v>
      </c>
      <c r="X752" s="13" t="n">
        <v>0.452993</v>
      </c>
      <c r="Y752" s="13" t="n">
        <v>0.403748</v>
      </c>
      <c r="Z752" s="13" t="n">
        <v>0.049245</v>
      </c>
      <c r="AA752" s="13" t="n">
        <v>0.4713</v>
      </c>
    </row>
    <row r="753">
      <c r="A753" s="6" t="inlineStr">
        <is>
          <t>2025-09-23</t>
        </is>
      </c>
      <c r="B753" s="6" t="inlineStr">
        <is>
          <t>低分位</t>
        </is>
      </c>
      <c r="C753" s="10" t="n">
        <v>0.08400000000000001</v>
      </c>
      <c r="D753" s="8" t="n">
        <v>0</v>
      </c>
      <c r="E753" s="8" t="n">
        <v>0.003414</v>
      </c>
      <c r="F753" s="8" t="n">
        <v>-0.003414</v>
      </c>
      <c r="G753" s="8" t="n">
        <v>1</v>
      </c>
      <c r="H753" s="8" t="n">
        <v>0.002217</v>
      </c>
      <c r="I753" s="8" t="n">
        <v>-0.006402</v>
      </c>
      <c r="J753" s="8" t="n">
        <v>0.008619</v>
      </c>
      <c r="K753" s="8" t="n">
        <v>0.7428</v>
      </c>
      <c r="L753" s="8" t="n">
        <v>0.002217</v>
      </c>
      <c r="M753" s="8" t="n">
        <v>-0.019206</v>
      </c>
      <c r="N753" s="8" t="n">
        <v>0.021423</v>
      </c>
      <c r="O753" s="8" t="n">
        <v>0.8965</v>
      </c>
      <c r="P753" s="8" t="n">
        <v>-0.022173</v>
      </c>
      <c r="Q753" s="8" t="n">
        <v>-0.036705</v>
      </c>
      <c r="R753" s="8" t="n">
        <v>0.014532</v>
      </c>
      <c r="S753" s="8" t="n">
        <v>0.6234</v>
      </c>
      <c r="T753" s="8" t="n">
        <v>-0.046195</v>
      </c>
      <c r="U753" s="8" t="n">
        <v>-0.07298300000000001</v>
      </c>
      <c r="V753" s="8" t="n">
        <v>0.026788</v>
      </c>
      <c r="W753" s="8" t="n">
        <v>0.6124000000000001</v>
      </c>
      <c r="X753" s="8" t="n">
        <v>0.51663</v>
      </c>
      <c r="Y753" s="8" t="n">
        <v>0.41656</v>
      </c>
      <c r="Z753" s="8" t="n">
        <v>0.10007</v>
      </c>
      <c r="AA753" s="8" t="n">
        <v>0.4464</v>
      </c>
    </row>
    <row r="754">
      <c r="A754" s="11" t="inlineStr">
        <is>
          <t>2025-09-24</t>
        </is>
      </c>
      <c r="B754" s="11" t="inlineStr">
        <is>
          <t>低分位</t>
        </is>
      </c>
      <c r="C754" s="15" t="n">
        <v>0.068</v>
      </c>
      <c r="D754" s="13" t="n">
        <v>0.002661</v>
      </c>
      <c r="E754" s="13" t="n">
        <v>0.002127</v>
      </c>
      <c r="F754" s="13" t="n">
        <v>0.000534</v>
      </c>
      <c r="G754" s="13" t="n">
        <v>0.4442</v>
      </c>
      <c r="H754" s="13" t="n">
        <v>-0.007761</v>
      </c>
      <c r="I754" s="13" t="n">
        <v>-0.025946</v>
      </c>
      <c r="J754" s="13" t="n">
        <v>0.018185</v>
      </c>
      <c r="K754" s="13" t="n">
        <v>0.7698</v>
      </c>
      <c r="L754" s="13" t="n">
        <v>0.028825</v>
      </c>
      <c r="M754" s="13" t="n">
        <v>-0.013611</v>
      </c>
      <c r="N754" s="13" t="n">
        <v>0.042436</v>
      </c>
      <c r="O754" s="13" t="n">
        <v>0.3207</v>
      </c>
      <c r="P754" s="13" t="n">
        <v>-0.019069</v>
      </c>
      <c r="Q754" s="13" t="n">
        <v>-0.060825</v>
      </c>
      <c r="R754" s="13" t="n">
        <v>0.041756</v>
      </c>
      <c r="S754" s="13" t="n">
        <v>0.7613</v>
      </c>
      <c r="T754" s="13" t="n">
        <v>-0.042129</v>
      </c>
      <c r="U754" s="13" t="n">
        <v>-0.080391</v>
      </c>
      <c r="V754" s="13" t="n">
        <v>0.038262</v>
      </c>
      <c r="W754" s="13" t="n">
        <v>0.6561</v>
      </c>
      <c r="X754" s="13" t="n">
        <v>0.534368</v>
      </c>
      <c r="Y754" s="13" t="n">
        <v>0.373458</v>
      </c>
      <c r="Z754" s="13" t="n">
        <v>0.16091</v>
      </c>
      <c r="AA754" s="13" t="n">
        <v>0.4114</v>
      </c>
    </row>
    <row r="755">
      <c r="A755" s="6" t="inlineStr">
        <is>
          <t>2025-09-25</t>
        </is>
      </c>
      <c r="B755" s="6" t="inlineStr">
        <is>
          <t>低分位</t>
        </is>
      </c>
      <c r="C755" s="10" t="n">
        <v>0.07199999999999999</v>
      </c>
      <c r="D755" s="8" t="n">
        <v>-0.003207</v>
      </c>
      <c r="E755" s="8" t="n">
        <v>-0.000424</v>
      </c>
      <c r="F755" s="8" t="n">
        <v>-0.002783</v>
      </c>
      <c r="G755" s="8" t="n">
        <v>0.1168</v>
      </c>
      <c r="H755" s="8" t="n">
        <v>-0.019792</v>
      </c>
      <c r="I755" s="8" t="n">
        <v>-0.020798</v>
      </c>
      <c r="J755" s="8" t="n">
        <v>0.001006</v>
      </c>
      <c r="K755" s="8" t="n">
        <v>0.5124</v>
      </c>
      <c r="L755" s="8" t="n">
        <v>0.027864</v>
      </c>
      <c r="M755" s="8" t="n">
        <v>-0.035654</v>
      </c>
      <c r="N755" s="8" t="n">
        <v>0.06351800000000001</v>
      </c>
      <c r="O755" s="8" t="n">
        <v>0.5613</v>
      </c>
      <c r="P755" s="8" t="n">
        <v>-0.037594</v>
      </c>
      <c r="Q755" s="8" t="n">
        <v>-0.07470300000000001</v>
      </c>
      <c r="R755" s="8" t="n">
        <v>0.037109</v>
      </c>
      <c r="S755" s="8" t="n">
        <v>0.6652</v>
      </c>
      <c r="T755" s="8" t="n">
        <v>-0.049093</v>
      </c>
      <c r="U755" s="8" t="n">
        <v>-0.08276699999999999</v>
      </c>
      <c r="V755" s="8" t="n">
        <v>0.033674</v>
      </c>
      <c r="W755" s="8" t="n">
        <v>0.6277</v>
      </c>
      <c r="X755" s="8" t="n">
        <v>0.484595</v>
      </c>
      <c r="Y755" s="8" t="n">
        <v>0.279287</v>
      </c>
      <c r="Z755" s="8" t="n">
        <v>0.205308</v>
      </c>
      <c r="AA755" s="8" t="n">
        <v>0.3656</v>
      </c>
    </row>
    <row r="756">
      <c r="A756" s="11" t="inlineStr">
        <is>
          <t>2025-09-26</t>
        </is>
      </c>
      <c r="B756" s="11" t="inlineStr">
        <is>
          <t>低分位</t>
        </is>
      </c>
      <c r="C756" s="15" t="n">
        <v>0.06</v>
      </c>
      <c r="D756" s="13" t="n">
        <v>0.004437</v>
      </c>
      <c r="E756" s="13" t="n">
        <v>0.001699</v>
      </c>
      <c r="F756" s="13" t="n">
        <v>0.002738</v>
      </c>
      <c r="G756" s="13" t="n">
        <v>0.2769</v>
      </c>
      <c r="H756" s="13" t="n">
        <v>-0.004992</v>
      </c>
      <c r="I756" s="13" t="n">
        <v>-0.00552</v>
      </c>
      <c r="J756" s="13" t="n">
        <v>0.000528</v>
      </c>
      <c r="K756" s="13" t="n">
        <v>0.5251</v>
      </c>
      <c r="L756" s="13" t="n">
        <v>0.003217</v>
      </c>
      <c r="M756" s="13" t="n">
        <v>-0.037792</v>
      </c>
      <c r="N756" s="13" t="n">
        <v>0.041009</v>
      </c>
      <c r="O756" s="13" t="n">
        <v>0.9216</v>
      </c>
      <c r="P756" s="13" t="n">
        <v>-0.043816</v>
      </c>
      <c r="Q756" s="13" t="n">
        <v>-0.090021</v>
      </c>
      <c r="R756" s="13" t="n">
        <v>0.046205</v>
      </c>
      <c r="S756" s="13" t="n">
        <v>0.6726</v>
      </c>
      <c r="T756" s="13" t="n">
        <v>-0.046403</v>
      </c>
      <c r="U756" s="13" t="n">
        <v>-0.08237800000000001</v>
      </c>
      <c r="V756" s="13" t="n">
        <v>0.035975</v>
      </c>
      <c r="W756" s="13" t="n">
        <v>0.6397</v>
      </c>
      <c r="X756" s="13" t="n">
        <v>0.384359</v>
      </c>
      <c r="Y756" s="13" t="n">
        <v>0.378344</v>
      </c>
      <c r="Z756" s="13" t="n">
        <v>0.006015</v>
      </c>
      <c r="AA756" s="13" t="n">
        <v>0.4961</v>
      </c>
    </row>
    <row r="757">
      <c r="A757" s="6" t="inlineStr">
        <is>
          <t>2025-09-29</t>
        </is>
      </c>
      <c r="B757" s="6" t="inlineStr">
        <is>
          <t>低分位</t>
        </is>
      </c>
      <c r="C757" s="10" t="n">
        <v>0.076</v>
      </c>
      <c r="D757" s="8" t="n">
        <v>-0.001657</v>
      </c>
      <c r="E757" s="8" t="n">
        <v>-0.013141</v>
      </c>
      <c r="F757" s="8" t="n">
        <v>0.011484</v>
      </c>
      <c r="G757" s="8" t="n">
        <v>0.888</v>
      </c>
      <c r="H757" s="8" t="n">
        <v>0.011044</v>
      </c>
      <c r="I757" s="8" t="n">
        <v>-0.036032</v>
      </c>
      <c r="J757" s="8" t="n">
        <v>0.047076</v>
      </c>
      <c r="K757" s="8" t="n">
        <v>0.7654</v>
      </c>
      <c r="L757" s="8" t="n">
        <v>0.011596</v>
      </c>
      <c r="M757" s="8" t="n">
        <v>-0.038576</v>
      </c>
      <c r="N757" s="8" t="n">
        <v>0.050172</v>
      </c>
      <c r="O757" s="8" t="n">
        <v>0.7689</v>
      </c>
      <c r="P757" s="8" t="n">
        <v>-0.071452</v>
      </c>
      <c r="Q757" s="8" t="n">
        <v>-0.103434</v>
      </c>
      <c r="R757" s="8" t="n">
        <v>0.031982</v>
      </c>
      <c r="S757" s="8" t="n">
        <v>0.5914</v>
      </c>
      <c r="T757" s="8" t="n">
        <v>-0.048406</v>
      </c>
      <c r="U757" s="8" t="n">
        <v>-0.059347</v>
      </c>
      <c r="V757" s="8" t="n">
        <v>0.010941</v>
      </c>
      <c r="W757" s="8" t="n">
        <v>0.5508</v>
      </c>
      <c r="X757" s="8" t="n">
        <v>0.478374</v>
      </c>
      <c r="Y757" s="8" t="n">
        <v>0.426028</v>
      </c>
      <c r="Z757" s="8" t="n">
        <v>0.052346</v>
      </c>
      <c r="AA757" s="8" t="n">
        <v>0.4711</v>
      </c>
    </row>
    <row r="758">
      <c r="A758" s="11" t="inlineStr">
        <is>
          <t>2025-09-30</t>
        </is>
      </c>
      <c r="B758" s="11" t="inlineStr">
        <is>
          <t>中间分位</t>
        </is>
      </c>
      <c r="C758" s="15" t="n">
        <v>0.132</v>
      </c>
      <c r="D758" s="13" t="n">
        <v>-0.009956</v>
      </c>
      <c r="E758" s="13" t="n">
        <v>-0.016323</v>
      </c>
      <c r="F758" s="13" t="n">
        <v>0.006367</v>
      </c>
      <c r="G758" s="13" t="n">
        <v>0.6211</v>
      </c>
      <c r="H758" s="13" t="n">
        <v>0</v>
      </c>
      <c r="I758" s="13" t="n">
        <v>-0.012887</v>
      </c>
      <c r="J758" s="13" t="n">
        <v>0.012887</v>
      </c>
      <c r="K758" s="13" t="n">
        <v>1</v>
      </c>
      <c r="L758" s="13" t="n">
        <v>0.002212</v>
      </c>
      <c r="M758" s="13" t="n">
        <v>-0.02878</v>
      </c>
      <c r="N758" s="13" t="n">
        <v>0.030992</v>
      </c>
      <c r="O758" s="13" t="n">
        <v>0.9286</v>
      </c>
      <c r="P758" s="13" t="n">
        <v>-0.080973</v>
      </c>
      <c r="Q758" s="13" t="n">
        <v>-0.08032599999999999</v>
      </c>
      <c r="R758" s="13" t="n">
        <v>-0.000647</v>
      </c>
      <c r="S758" s="13" t="n">
        <v>0.498</v>
      </c>
      <c r="T758" s="13" t="n">
        <v>-0.026549</v>
      </c>
      <c r="U758" s="13" t="n">
        <v>-0.04811</v>
      </c>
      <c r="V758" s="13" t="n">
        <v>0.021561</v>
      </c>
      <c r="W758" s="13" t="n">
        <v>0.6444</v>
      </c>
      <c r="X758" s="13" t="n">
        <v>0.544248</v>
      </c>
      <c r="Y758" s="13" t="n">
        <v>0.526203</v>
      </c>
      <c r="Z758" s="13" t="n">
        <v>0.018045</v>
      </c>
      <c r="AA758" s="13" t="n">
        <v>0.4916</v>
      </c>
    </row>
    <row r="759">
      <c r="A759" s="6" t="inlineStr">
        <is>
          <t>2025-10-09</t>
        </is>
      </c>
      <c r="B759" s="6" t="inlineStr">
        <is>
          <t>中间分位</t>
        </is>
      </c>
      <c r="C759" s="10" t="n">
        <v>0.168</v>
      </c>
      <c r="D759" s="8" t="n">
        <v>-0.009497</v>
      </c>
      <c r="E759" s="8" t="n">
        <v>0.007424</v>
      </c>
      <c r="F759" s="8" t="n">
        <v>-0.016921</v>
      </c>
      <c r="G759" s="8" t="n">
        <v>0.4387</v>
      </c>
      <c r="H759" s="8" t="n">
        <v>0.036872</v>
      </c>
      <c r="I759" s="8" t="n">
        <v>0.012664</v>
      </c>
      <c r="J759" s="8" t="n">
        <v>0.024208</v>
      </c>
      <c r="K759" s="8" t="n">
        <v>0.2557</v>
      </c>
      <c r="L759" s="8" t="n">
        <v>-0.00067</v>
      </c>
      <c r="M759" s="8" t="n">
        <v>0.000873</v>
      </c>
      <c r="N759" s="8" t="n">
        <v>-0.001543</v>
      </c>
      <c r="O759" s="8" t="n">
        <v>0.5658</v>
      </c>
      <c r="P759" s="8" t="n">
        <v>-0.07352</v>
      </c>
      <c r="Q759" s="8" t="n">
        <v>-0.072052</v>
      </c>
      <c r="R759" s="8" t="n">
        <v>-0.001468</v>
      </c>
      <c r="S759" s="8" t="n">
        <v>0.495</v>
      </c>
      <c r="T759" s="8" t="n">
        <v>0.003352</v>
      </c>
      <c r="U759" s="8" t="n">
        <v>-0.032751</v>
      </c>
      <c r="V759" s="8" t="n">
        <v>0.036103</v>
      </c>
      <c r="W759" s="8" t="n">
        <v>0.9072</v>
      </c>
      <c r="X759" s="8" t="n">
        <v>0.653631</v>
      </c>
      <c r="Y759" s="8" t="n">
        <v>0.363319</v>
      </c>
      <c r="Z759" s="8" t="n">
        <v>0.290312</v>
      </c>
      <c r="AA759" s="8" t="n">
        <v>0.3573</v>
      </c>
    </row>
    <row r="760">
      <c r="A760" s="11" t="inlineStr">
        <is>
          <t>2025-10-10</t>
        </is>
      </c>
      <c r="B760" s="11" t="inlineStr">
        <is>
          <t>低分位</t>
        </is>
      </c>
      <c r="C760" s="15" t="n">
        <v>0.08799999999999999</v>
      </c>
      <c r="D760" s="13" t="n">
        <v>0.011844</v>
      </c>
      <c r="E760" s="13" t="n">
        <v>0.015171</v>
      </c>
      <c r="F760" s="13" t="n">
        <v>-0.003327</v>
      </c>
      <c r="G760" s="13" t="n">
        <v>0.5616</v>
      </c>
      <c r="H760" s="13" t="n">
        <v>0.048618</v>
      </c>
      <c r="I760" s="13" t="n">
        <v>-0.015171</v>
      </c>
      <c r="J760" s="13" t="n">
        <v>0.063789</v>
      </c>
      <c r="K760" s="13" t="n">
        <v>0.2378</v>
      </c>
      <c r="L760" s="13" t="n">
        <v>0.017936</v>
      </c>
      <c r="M760" s="13" t="n">
        <v>-0.015171</v>
      </c>
      <c r="N760" s="13" t="n">
        <v>0.033107</v>
      </c>
      <c r="O760" s="13" t="n">
        <v>0.4582</v>
      </c>
      <c r="P760" s="13" t="n">
        <v>-0.054258</v>
      </c>
      <c r="Q760" s="13" t="n">
        <v>-0.084525</v>
      </c>
      <c r="R760" s="13" t="n">
        <v>0.030267</v>
      </c>
      <c r="S760" s="13" t="n">
        <v>0.609</v>
      </c>
      <c r="T760" s="13" t="n">
        <v>0.003574</v>
      </c>
      <c r="U760" s="13" t="n">
        <v>-0.006068</v>
      </c>
      <c r="V760" s="13" t="n">
        <v>0.009642</v>
      </c>
      <c r="W760" s="13" t="n">
        <v>0.6293</v>
      </c>
      <c r="X760" s="13" t="n">
        <v>0.495016</v>
      </c>
      <c r="Y760" s="13" t="n">
        <v>0.38925</v>
      </c>
      <c r="Z760" s="13" t="n">
        <v>0.105766</v>
      </c>
      <c r="AA760" s="13" t="n">
        <v>0.4402</v>
      </c>
    </row>
    <row r="761">
      <c r="A761" s="6" t="inlineStr">
        <is>
          <t>2025-10-13</t>
        </is>
      </c>
      <c r="B761" s="6" t="inlineStr">
        <is>
          <t>低分位</t>
        </is>
      </c>
      <c r="C761" s="10" t="n">
        <v>0.068</v>
      </c>
      <c r="D761" s="8" t="n">
        <v>0.020624</v>
      </c>
      <c r="E761" s="8" t="n">
        <v>-0.029035</v>
      </c>
      <c r="F761" s="8" t="n">
        <v>0.049659</v>
      </c>
      <c r="G761" s="8" t="n">
        <v>0.5847</v>
      </c>
      <c r="H761" s="8" t="n">
        <v>0.00825</v>
      </c>
      <c r="I761" s="8" t="n">
        <v>-0.032451</v>
      </c>
      <c r="J761" s="8" t="n">
        <v>0.040701</v>
      </c>
      <c r="K761" s="8" t="n">
        <v>0.7973</v>
      </c>
      <c r="L761" s="8" t="n">
        <v>-0.002007</v>
      </c>
      <c r="M761" s="8" t="n">
        <v>-0.031597</v>
      </c>
      <c r="N761" s="8" t="n">
        <v>0.02959</v>
      </c>
      <c r="O761" s="8" t="n">
        <v>0.9403</v>
      </c>
      <c r="P761" s="8" t="n">
        <v>-0.069342</v>
      </c>
      <c r="Q761" s="8" t="n">
        <v>-0.102904</v>
      </c>
      <c r="R761" s="8" t="n">
        <v>0.033562</v>
      </c>
      <c r="S761" s="8" t="n">
        <v>0.5974</v>
      </c>
      <c r="T761" s="8" t="n">
        <v>0.015608</v>
      </c>
      <c r="U761" s="8" t="n">
        <v>-0.032024</v>
      </c>
      <c r="V761" s="8" t="n">
        <v>0.047632</v>
      </c>
      <c r="W761" s="8" t="n">
        <v>0.6723</v>
      </c>
      <c r="X761" s="8" t="n">
        <v>0.510221</v>
      </c>
      <c r="Y761" s="8" t="n">
        <v>0.329633</v>
      </c>
      <c r="Z761" s="8" t="n">
        <v>0.180588</v>
      </c>
      <c r="AA761" s="8" t="n">
        <v>0.3925</v>
      </c>
    </row>
    <row r="762">
      <c r="A762" s="11" t="inlineStr">
        <is>
          <t>2025-10-14</t>
        </is>
      </c>
      <c r="B762" s="11" t="inlineStr">
        <is>
          <t>中间分位</t>
        </is>
      </c>
      <c r="C762" s="15" t="n">
        <v>0.42</v>
      </c>
      <c r="D762" s="13" t="n">
        <v>-0.012561</v>
      </c>
      <c r="E762" s="13" t="n">
        <v>0.010554</v>
      </c>
      <c r="F762" s="13" t="n">
        <v>-0.023115</v>
      </c>
      <c r="G762" s="13" t="n">
        <v>0.4566</v>
      </c>
      <c r="H762" s="13" t="n">
        <v>0.000546</v>
      </c>
      <c r="I762" s="13" t="n">
        <v>-0.002639</v>
      </c>
      <c r="J762" s="13" t="n">
        <v>0.003185</v>
      </c>
      <c r="K762" s="13" t="n">
        <v>0.8286</v>
      </c>
      <c r="L762" s="13" t="n">
        <v>-0.027417</v>
      </c>
      <c r="M762" s="13" t="n">
        <v>-0.014512</v>
      </c>
      <c r="N762" s="13" t="n">
        <v>-0.012905</v>
      </c>
      <c r="O762" s="13" t="n">
        <v>0.3461</v>
      </c>
      <c r="P762" s="13" t="n">
        <v>-0.096887</v>
      </c>
      <c r="Q762" s="13" t="n">
        <v>-0.08443299999999999</v>
      </c>
      <c r="R762" s="13" t="n">
        <v>-0.012454</v>
      </c>
      <c r="S762" s="13" t="n">
        <v>0.4657</v>
      </c>
      <c r="T762" s="13" t="n">
        <v>-0.004915</v>
      </c>
      <c r="U762" s="13" t="n">
        <v>-0.018909</v>
      </c>
      <c r="V762" s="13" t="n">
        <v>0.013994</v>
      </c>
      <c r="W762" s="13" t="n">
        <v>0.7937</v>
      </c>
      <c r="X762" s="13" t="n">
        <v>0.441835</v>
      </c>
      <c r="Y762" s="13" t="n">
        <v>0.259455</v>
      </c>
      <c r="Z762" s="13" t="n">
        <v>0.18238</v>
      </c>
      <c r="AA762" s="13" t="n">
        <v>0.37</v>
      </c>
    </row>
    <row r="763">
      <c r="A763" s="6" t="inlineStr">
        <is>
          <t>2025-10-15</t>
        </is>
      </c>
      <c r="B763" s="6" t="inlineStr">
        <is>
          <t>中间分位</t>
        </is>
      </c>
      <c r="C763" s="10" t="n">
        <v>0.212</v>
      </c>
      <c r="D763" s="8" t="n">
        <v>0.026549</v>
      </c>
      <c r="E763" s="8" t="n">
        <v>0.009138</v>
      </c>
      <c r="F763" s="8" t="n">
        <v>0.017411</v>
      </c>
      <c r="G763" s="8" t="n">
        <v>0.2561</v>
      </c>
      <c r="H763" s="8" t="n">
        <v>0.002212</v>
      </c>
      <c r="I763" s="8" t="n">
        <v>-0.016101</v>
      </c>
      <c r="J763" s="8" t="n">
        <v>0.018313</v>
      </c>
      <c r="K763" s="8" t="n">
        <v>0.8792</v>
      </c>
      <c r="L763" s="8" t="n">
        <v>-0.024336</v>
      </c>
      <c r="M763" s="8" t="n">
        <v>-0.017842</v>
      </c>
      <c r="N763" s="8" t="n">
        <v>-0.006494</v>
      </c>
      <c r="O763" s="8" t="n">
        <v>0.423</v>
      </c>
      <c r="P763" s="8" t="n">
        <v>-0.08407100000000001</v>
      </c>
      <c r="Q763" s="8" t="n">
        <v>-0.082681</v>
      </c>
      <c r="R763" s="8" t="n">
        <v>-0.00139</v>
      </c>
      <c r="S763" s="8" t="n">
        <v>0.4958</v>
      </c>
      <c r="T763" s="8" t="n">
        <v>-0.008482</v>
      </c>
      <c r="U763" s="8" t="n">
        <v>-0.010879</v>
      </c>
      <c r="V763" s="8" t="n">
        <v>0.002397</v>
      </c>
      <c r="W763" s="8" t="n">
        <v>0.5619</v>
      </c>
      <c r="X763" s="8" t="n">
        <v>0.486726</v>
      </c>
      <c r="Y763" s="8" t="n">
        <v>0.230635</v>
      </c>
      <c r="Z763" s="8" t="n">
        <v>0.256091</v>
      </c>
      <c r="AA763" s="8" t="n">
        <v>0.3215</v>
      </c>
    </row>
    <row r="764">
      <c r="A764" s="11" t="inlineStr">
        <is>
          <t>2025-10-16</t>
        </is>
      </c>
      <c r="B764" s="11" t="inlineStr">
        <is>
          <t>中间分位</t>
        </is>
      </c>
      <c r="C764" s="15" t="n">
        <v>0.372</v>
      </c>
      <c r="D764" s="13" t="n">
        <v>0.001724</v>
      </c>
      <c r="E764" s="13" t="n">
        <v>-0.020267</v>
      </c>
      <c r="F764" s="13" t="n">
        <v>0.021991</v>
      </c>
      <c r="G764" s="13" t="n">
        <v>0.9216</v>
      </c>
      <c r="H764" s="13" t="n">
        <v>-0.036207</v>
      </c>
      <c r="I764" s="13" t="n">
        <v>-0.011643</v>
      </c>
      <c r="J764" s="13" t="n">
        <v>-0.024564</v>
      </c>
      <c r="K764" s="13" t="n">
        <v>0.2433</v>
      </c>
      <c r="L764" s="13" t="n">
        <v>-0.046552</v>
      </c>
      <c r="M764" s="13" t="n">
        <v>-0.047865</v>
      </c>
      <c r="N764" s="13" t="n">
        <v>0.001313</v>
      </c>
      <c r="O764" s="13" t="n">
        <v>0.507</v>
      </c>
      <c r="P764" s="13" t="n">
        <v>-0.10431</v>
      </c>
      <c r="Q764" s="13" t="n">
        <v>-0.093144</v>
      </c>
      <c r="R764" s="13" t="n">
        <v>-0.011166</v>
      </c>
      <c r="S764" s="13" t="n">
        <v>0.4717</v>
      </c>
      <c r="T764" s="13" t="n">
        <v>-0.023349</v>
      </c>
      <c r="U764" s="13" t="n">
        <v>-0.024148</v>
      </c>
      <c r="V764" s="13" t="n">
        <v>0.000799</v>
      </c>
      <c r="W764" s="13" t="n">
        <v>0.5084</v>
      </c>
      <c r="X764" s="13" t="n">
        <v>0.431034</v>
      </c>
      <c r="Y764" s="13" t="n">
        <v>0.226391</v>
      </c>
      <c r="Z764" s="13" t="n">
        <v>0.204643</v>
      </c>
      <c r="AA764" s="13" t="n">
        <v>0.3444</v>
      </c>
    </row>
    <row r="765">
      <c r="A765" s="6" t="inlineStr">
        <is>
          <t>2025-10-17</t>
        </is>
      </c>
      <c r="B765" s="6" t="inlineStr">
        <is>
          <t>中间分位</t>
        </is>
      </c>
      <c r="C765" s="10" t="n">
        <v>0.604</v>
      </c>
      <c r="D765" s="8" t="n">
        <v>-0.027108</v>
      </c>
      <c r="E765" s="8" t="n">
        <v>-0.002641</v>
      </c>
      <c r="F765" s="8" t="n">
        <v>-0.024467</v>
      </c>
      <c r="G765" s="8" t="n">
        <v>0.0888</v>
      </c>
      <c r="H765" s="8" t="n">
        <v>-0.02926</v>
      </c>
      <c r="I765" s="8" t="n">
        <v>0</v>
      </c>
      <c r="J765" s="8" t="n">
        <v>-0.02926</v>
      </c>
      <c r="K765" s="8" t="n">
        <v>0</v>
      </c>
      <c r="L765" s="8" t="n">
        <v>-0.063683</v>
      </c>
      <c r="M765" s="8" t="n">
        <v>-0.040493</v>
      </c>
      <c r="N765" s="8" t="n">
        <v>-0.02319</v>
      </c>
      <c r="O765" s="8" t="n">
        <v>0.3887</v>
      </c>
      <c r="P765" s="8" t="n">
        <v>-0.105852</v>
      </c>
      <c r="Q765" s="8" t="n">
        <v>-0.095511</v>
      </c>
      <c r="R765" s="8" t="n">
        <v>-0.010341</v>
      </c>
      <c r="S765" s="8" t="n">
        <v>0.4743</v>
      </c>
      <c r="T765" s="8" t="n">
        <v>-0.030409</v>
      </c>
      <c r="U765" s="8" t="n">
        <v>-0.003961</v>
      </c>
      <c r="V765" s="8" t="n">
        <v>-0.026448</v>
      </c>
      <c r="W765" s="8" t="n">
        <v>0.1152</v>
      </c>
      <c r="X765" s="8" t="n">
        <v>0.445783</v>
      </c>
      <c r="Y765" s="8" t="n">
        <v>0.27993</v>
      </c>
      <c r="Z765" s="8" t="n">
        <v>0.165853</v>
      </c>
      <c r="AA765" s="8" t="n">
        <v>0.3857</v>
      </c>
    </row>
    <row r="766">
      <c r="A766" s="11" t="inlineStr">
        <is>
          <t>2025-10-20</t>
        </is>
      </c>
      <c r="B766" s="11" t="inlineStr">
        <is>
          <t>中间分位</t>
        </is>
      </c>
      <c r="C766" s="15" t="n">
        <v>0.328</v>
      </c>
      <c r="D766" s="13" t="n">
        <v>0.012826</v>
      </c>
      <c r="E766" s="13" t="n">
        <v>0.000883</v>
      </c>
      <c r="F766" s="13" t="n">
        <v>0.011943</v>
      </c>
      <c r="G766" s="13" t="n">
        <v>0.0644</v>
      </c>
      <c r="H766" s="13" t="n">
        <v>-0.010172</v>
      </c>
      <c r="I766" s="13" t="n">
        <v>0.000883</v>
      </c>
      <c r="J766" s="13" t="n">
        <v>-0.011055</v>
      </c>
      <c r="K766" s="13" t="n">
        <v>0.0799</v>
      </c>
      <c r="L766" s="13" t="n">
        <v>-0.046882</v>
      </c>
      <c r="M766" s="13" t="n">
        <v>-0.054281</v>
      </c>
      <c r="N766" s="13" t="n">
        <v>0.007399</v>
      </c>
      <c r="O766" s="13" t="n">
        <v>0.5366</v>
      </c>
      <c r="P766" s="13" t="n">
        <v>-0.084476</v>
      </c>
      <c r="Q766" s="13" t="n">
        <v>-0.10459</v>
      </c>
      <c r="R766" s="13" t="n">
        <v>0.020114</v>
      </c>
      <c r="S766" s="13" t="n">
        <v>0.5532</v>
      </c>
      <c r="T766" s="13" t="n">
        <v>-0.007444</v>
      </c>
      <c r="U766" s="13" t="n">
        <v>0.009709000000000001</v>
      </c>
      <c r="V766" s="13" t="n">
        <v>-0.017153</v>
      </c>
      <c r="W766" s="13" t="n">
        <v>0.5659999999999999</v>
      </c>
      <c r="X766" s="13" t="n">
        <v>0.5008089999999999</v>
      </c>
      <c r="Y766" s="13" t="n">
        <v>0.286849</v>
      </c>
      <c r="Z766" s="13" t="n">
        <v>0.21396</v>
      </c>
      <c r="AA766" s="13" t="n">
        <v>0.3642</v>
      </c>
    </row>
    <row r="767">
      <c r="A767" s="6" t="inlineStr">
        <is>
          <t>2025-10-21</t>
        </is>
      </c>
      <c r="B767" s="6" t="inlineStr">
        <is>
          <t>中间分位</t>
        </is>
      </c>
      <c r="C767" s="10" t="n">
        <v>0.444</v>
      </c>
      <c r="D767" s="8" t="n">
        <v>-0.010917</v>
      </c>
      <c r="E767" s="8" t="n">
        <v>-0.003086</v>
      </c>
      <c r="F767" s="8" t="n">
        <v>-0.007830999999999999</v>
      </c>
      <c r="G767" s="8" t="n">
        <v>0.2204</v>
      </c>
      <c r="H767" s="8" t="n">
        <v>-0.027948</v>
      </c>
      <c r="I767" s="8" t="n">
        <v>-0.011905</v>
      </c>
      <c r="J767" s="8" t="n">
        <v>-0.016043</v>
      </c>
      <c r="K767" s="8" t="n">
        <v>0.2987</v>
      </c>
      <c r="L767" s="8" t="n">
        <v>-0.082096</v>
      </c>
      <c r="M767" s="8" t="n">
        <v>-0.06746000000000001</v>
      </c>
      <c r="N767" s="8" t="n">
        <v>-0.014636</v>
      </c>
      <c r="O767" s="8" t="n">
        <v>0.4511</v>
      </c>
      <c r="P767" s="8" t="n">
        <v>-0.117904</v>
      </c>
      <c r="Q767" s="8" t="n">
        <v>-0.104938</v>
      </c>
      <c r="R767" s="8" t="n">
        <v>-0.012966</v>
      </c>
      <c r="S767" s="8" t="n">
        <v>0.4709</v>
      </c>
      <c r="T767" s="8" t="n">
        <v>-0.009096</v>
      </c>
      <c r="U767" s="8" t="n">
        <v>0.002205</v>
      </c>
      <c r="V767" s="8" t="n">
        <v>-0.011301</v>
      </c>
      <c r="W767" s="8" t="n">
        <v>0.1951</v>
      </c>
      <c r="X767" s="8" t="n">
        <v>0.480349</v>
      </c>
      <c r="Y767" s="8" t="n">
        <v>0.259259</v>
      </c>
      <c r="Z767" s="8" t="n">
        <v>0.22109</v>
      </c>
      <c r="AA767" s="8" t="n">
        <v>0.3505</v>
      </c>
    </row>
    <row r="768">
      <c r="A768" s="11" t="inlineStr">
        <is>
          <t>2025-10-22</t>
        </is>
      </c>
      <c r="B768" s="11" t="inlineStr">
        <is>
          <t>中间分位</t>
        </is>
      </c>
      <c r="C768" s="15" t="n">
        <v>0.384</v>
      </c>
      <c r="D768" s="13" t="n">
        <v>-0.012804</v>
      </c>
      <c r="E768" s="13" t="n">
        <v>0.013711</v>
      </c>
      <c r="F768" s="13" t="n">
        <v>-0.026515</v>
      </c>
      <c r="G768" s="13" t="n">
        <v>0.5171</v>
      </c>
      <c r="H768" s="13" t="n">
        <v>-0.02649</v>
      </c>
      <c r="I768" s="13" t="n">
        <v>-0.001769</v>
      </c>
      <c r="J768" s="13" t="n">
        <v>-0.024721</v>
      </c>
      <c r="K768" s="13" t="n">
        <v>0.0626</v>
      </c>
      <c r="L768" s="13" t="n">
        <v>-0.08300200000000001</v>
      </c>
      <c r="M768" s="13" t="n">
        <v>-0.053074</v>
      </c>
      <c r="N768" s="13" t="n">
        <v>-0.029928</v>
      </c>
      <c r="O768" s="13" t="n">
        <v>0.39</v>
      </c>
      <c r="P768" s="13" t="n">
        <v>-0.114349</v>
      </c>
      <c r="Q768" s="13" t="n">
        <v>-0.109686</v>
      </c>
      <c r="R768" s="13" t="n">
        <v>-0.004663</v>
      </c>
      <c r="S768" s="13" t="n">
        <v>0.4896</v>
      </c>
      <c r="T768" s="13" t="n">
        <v>-0.006256</v>
      </c>
      <c r="U768" s="13" t="n">
        <v>-0.009730000000000001</v>
      </c>
      <c r="V768" s="13" t="n">
        <v>0.003474</v>
      </c>
      <c r="W768" s="13" t="n">
        <v>0.6087</v>
      </c>
      <c r="X768" s="13" t="n">
        <v>0.477558</v>
      </c>
      <c r="Y768" s="13" t="n">
        <v>0.249005</v>
      </c>
      <c r="Z768" s="13" t="n">
        <v>0.228553</v>
      </c>
      <c r="AA768" s="13" t="n">
        <v>0.3427</v>
      </c>
    </row>
    <row r="769">
      <c r="A769" s="6" t="inlineStr">
        <is>
          <t>2025-10-23</t>
        </is>
      </c>
      <c r="B769" s="6" t="inlineStr">
        <is>
          <t>中间分位</t>
        </is>
      </c>
      <c r="C769" s="10" t="n">
        <v>0.164</v>
      </c>
      <c r="D769" s="8" t="n">
        <v>0.008945</v>
      </c>
      <c r="E769" s="8" t="n">
        <v>-0.008725999999999999</v>
      </c>
      <c r="F769" s="8" t="n">
        <v>0.017671</v>
      </c>
      <c r="G769" s="8" t="n">
        <v>0.4938</v>
      </c>
      <c r="H769" s="8" t="n">
        <v>-0.010733</v>
      </c>
      <c r="I769" s="8" t="n">
        <v>-0.036649</v>
      </c>
      <c r="J769" s="8" t="n">
        <v>0.025916</v>
      </c>
      <c r="K769" s="8" t="n">
        <v>0.7735</v>
      </c>
      <c r="L769" s="8" t="n">
        <v>-0.072898</v>
      </c>
      <c r="M769" s="8" t="n">
        <v>-0.072862</v>
      </c>
      <c r="N769" s="8" t="n">
        <v>-3.6e-05</v>
      </c>
      <c r="O769" s="8" t="n">
        <v>0.4999</v>
      </c>
      <c r="P769" s="8" t="n">
        <v>-0.105993</v>
      </c>
      <c r="Q769" s="8" t="n">
        <v>-0.120419</v>
      </c>
      <c r="R769" s="8" t="n">
        <v>0.014426</v>
      </c>
      <c r="S769" s="8" t="n">
        <v>0.5319</v>
      </c>
      <c r="T769" s="8" t="n">
        <v>-0.007156</v>
      </c>
      <c r="U769" s="8" t="n">
        <v>-0.034904</v>
      </c>
      <c r="V769" s="8" t="n">
        <v>0.027748</v>
      </c>
      <c r="W769" s="8" t="n">
        <v>0.8299</v>
      </c>
      <c r="X769" s="8" t="n">
        <v>0.469888</v>
      </c>
      <c r="Y769" s="8" t="n">
        <v>0.242583</v>
      </c>
      <c r="Z769" s="8" t="n">
        <v>0.227305</v>
      </c>
      <c r="AA769" s="8" t="n">
        <v>0.3405</v>
      </c>
    </row>
    <row r="770">
      <c r="A770" s="11" t="inlineStr">
        <is>
          <t>2025-10-24</t>
        </is>
      </c>
      <c r="B770" s="11" t="inlineStr">
        <is>
          <t>中间分位</t>
        </is>
      </c>
      <c r="C770" s="15" t="n">
        <v>0.284</v>
      </c>
      <c r="D770" s="13" t="n">
        <v>-0.007979</v>
      </c>
      <c r="E770" s="13" t="n">
        <v>-0.001761</v>
      </c>
      <c r="F770" s="13" t="n">
        <v>-0.006218</v>
      </c>
      <c r="G770" s="13" t="n">
        <v>0.1808</v>
      </c>
      <c r="H770" s="13" t="n">
        <v>-0.035461</v>
      </c>
      <c r="I770" s="13" t="n">
        <v>-0.040493</v>
      </c>
      <c r="J770" s="13" t="n">
        <v>0.005032</v>
      </c>
      <c r="K770" s="13" t="n">
        <v>0.5331</v>
      </c>
      <c r="L770" s="13" t="n">
        <v>-0.070922</v>
      </c>
      <c r="M770" s="13" t="n">
        <v>-0.070423</v>
      </c>
      <c r="N770" s="13" t="n">
        <v>-0.000499</v>
      </c>
      <c r="O770" s="13" t="n">
        <v>0.4982</v>
      </c>
      <c r="P770" s="13" t="n">
        <v>-0.112589</v>
      </c>
      <c r="Q770" s="13" t="n">
        <v>-0.117958</v>
      </c>
      <c r="R770" s="13" t="n">
        <v>0.005369</v>
      </c>
      <c r="S770" s="13" t="n">
        <v>0.5116000000000001</v>
      </c>
      <c r="T770" s="13" t="n">
        <v>-0.016698</v>
      </c>
      <c r="U770" s="13" t="n">
        <v>-0.029049</v>
      </c>
      <c r="V770" s="13" t="n">
        <v>0.012351</v>
      </c>
      <c r="W770" s="13" t="n">
        <v>0.635</v>
      </c>
      <c r="X770" s="13" t="n">
        <v>0.443559</v>
      </c>
      <c r="Y770" s="13" t="n">
        <v>0.267165</v>
      </c>
      <c r="Z770" s="13" t="n">
        <v>0.176394</v>
      </c>
      <c r="AA770" s="13" t="n">
        <v>0.3759</v>
      </c>
    </row>
    <row r="771">
      <c r="A771" s="6" t="inlineStr">
        <is>
          <t>2025-10-27</t>
        </is>
      </c>
      <c r="B771" s="6" t="inlineStr">
        <is>
          <t>中间分位</t>
        </is>
      </c>
      <c r="C771" s="10" t="n">
        <v>0.232</v>
      </c>
      <c r="D771" s="8" t="n">
        <v>-0.005362</v>
      </c>
      <c r="E771" s="8" t="n">
        <v>-0.011905</v>
      </c>
      <c r="F771" s="8" t="n">
        <v>0.006543</v>
      </c>
      <c r="G771" s="8" t="n">
        <v>0.6895</v>
      </c>
      <c r="H771" s="8" t="n">
        <v>-0.037087</v>
      </c>
      <c r="I771" s="8" t="n">
        <v>-0.055115</v>
      </c>
      <c r="J771" s="8" t="n">
        <v>0.018028</v>
      </c>
      <c r="K771" s="8" t="n">
        <v>0.5978</v>
      </c>
      <c r="L771" s="8" t="n">
        <v>-0.067471</v>
      </c>
      <c r="M771" s="8" t="n">
        <v>-0.073633</v>
      </c>
      <c r="N771" s="8" t="n">
        <v>0.006162</v>
      </c>
      <c r="O771" s="8" t="n">
        <v>0.5218</v>
      </c>
      <c r="P771" s="8" t="n">
        <v>-0.108579</v>
      </c>
      <c r="Q771" s="8" t="n">
        <v>-0.084215</v>
      </c>
      <c r="R771" s="8" t="n">
        <v>-0.024364</v>
      </c>
      <c r="S771" s="8" t="n">
        <v>0.4368</v>
      </c>
      <c r="T771" s="8" t="n">
        <v>-0.014745</v>
      </c>
      <c r="U771" s="8" t="n">
        <v>-0.026014</v>
      </c>
      <c r="V771" s="8" t="n">
        <v>0.011269</v>
      </c>
      <c r="W771" s="8" t="n">
        <v>0.6382</v>
      </c>
      <c r="X771" s="8" t="n">
        <v>0.45517</v>
      </c>
      <c r="Y771" s="8" t="n">
        <v>0.276455</v>
      </c>
      <c r="Z771" s="8" t="n">
        <v>0.178715</v>
      </c>
      <c r="AA771" s="8" t="n">
        <v>0.3779</v>
      </c>
    </row>
    <row r="772">
      <c r="A772" s="11" t="inlineStr">
        <is>
          <t>2025-10-28</t>
        </is>
      </c>
      <c r="B772" s="11" t="inlineStr">
        <is>
          <t>中间分位</t>
        </is>
      </c>
      <c r="C772" s="15" t="n">
        <v>0.292</v>
      </c>
      <c r="D772" s="13" t="n">
        <v>-0.009434</v>
      </c>
      <c r="E772" s="13" t="n">
        <v>0.00714</v>
      </c>
      <c r="F772" s="13" t="n">
        <v>-0.016574</v>
      </c>
      <c r="G772" s="13" t="n">
        <v>0.4308</v>
      </c>
      <c r="H772" s="13" t="n">
        <v>-0.055705</v>
      </c>
      <c r="I772" s="13" t="n">
        <v>-0.056225</v>
      </c>
      <c r="J772" s="13" t="n">
        <v>0.00052</v>
      </c>
      <c r="K772" s="13" t="n">
        <v>0.5023</v>
      </c>
      <c r="L772" s="13" t="n">
        <v>-0.07142900000000001</v>
      </c>
      <c r="M772" s="13" t="n">
        <v>-0.07095</v>
      </c>
      <c r="N772" s="13" t="n">
        <v>-0.000479</v>
      </c>
      <c r="O772" s="13" t="n">
        <v>0.4983</v>
      </c>
      <c r="P772" s="13" t="n">
        <v>-0.071878</v>
      </c>
      <c r="Q772" s="13" t="n">
        <v>-0.077644</v>
      </c>
      <c r="R772" s="13" t="n">
        <v>0.005766</v>
      </c>
      <c r="S772" s="13" t="n">
        <v>0.5193</v>
      </c>
      <c r="T772" s="13" t="n">
        <v>-0.003446</v>
      </c>
      <c r="U772" s="13" t="n">
        <v>0.008477999999999999</v>
      </c>
      <c r="V772" s="13" t="n">
        <v>-0.011924</v>
      </c>
      <c r="W772" s="13" t="n">
        <v>0.711</v>
      </c>
      <c r="X772" s="13" t="n">
        <v>0.469003</v>
      </c>
      <c r="Y772" s="13" t="n">
        <v>0.311468</v>
      </c>
      <c r="Z772" s="13" t="n">
        <v>0.157535</v>
      </c>
      <c r="AA772" s="13" t="n">
        <v>0.3991</v>
      </c>
    </row>
    <row r="773">
      <c r="A773" s="6" t="inlineStr">
        <is>
          <t>2025-10-29</t>
        </is>
      </c>
      <c r="B773" s="6" t="inlineStr">
        <is>
          <t>中间分位</t>
        </is>
      </c>
      <c r="C773" s="10" t="n">
        <v>0.18</v>
      </c>
      <c r="D773" s="8" t="n">
        <v>0.003175</v>
      </c>
      <c r="E773" s="8" t="n">
        <v>-0.02171</v>
      </c>
      <c r="F773" s="8" t="n">
        <v>0.024885</v>
      </c>
      <c r="G773" s="8" t="n">
        <v>0.8724</v>
      </c>
      <c r="H773" s="8" t="n">
        <v>-0.05805</v>
      </c>
      <c r="I773" s="8" t="n">
        <v>-0.051396</v>
      </c>
      <c r="J773" s="8" t="n">
        <v>-0.006654</v>
      </c>
      <c r="K773" s="8" t="n">
        <v>0.4696</v>
      </c>
      <c r="L773" s="8" t="n">
        <v>-0.061224</v>
      </c>
      <c r="M773" s="8" t="n">
        <v>-0.06601700000000001</v>
      </c>
      <c r="N773" s="8" t="n">
        <v>0.004793</v>
      </c>
      <c r="O773" s="8" t="n">
        <v>0.5188</v>
      </c>
      <c r="P773" s="8" t="n">
        <v>-0.068027</v>
      </c>
      <c r="Q773" s="8" t="n">
        <v>-0.07222000000000001</v>
      </c>
      <c r="R773" s="8" t="n">
        <v>0.004193</v>
      </c>
      <c r="S773" s="8" t="n">
        <v>0.5149</v>
      </c>
      <c r="T773" s="8" t="n">
        <v>0.009447000000000001</v>
      </c>
      <c r="U773" s="8" t="n">
        <v>0.018166</v>
      </c>
      <c r="V773" s="8" t="n">
        <v>-0.008718999999999999</v>
      </c>
      <c r="W773" s="8" t="n">
        <v>0.6579</v>
      </c>
      <c r="X773" s="8" t="n">
        <v>0.496599</v>
      </c>
      <c r="Y773" s="8" t="n">
        <v>0.338059</v>
      </c>
      <c r="Z773" s="8" t="n">
        <v>0.15854</v>
      </c>
      <c r="AA773" s="8" t="n">
        <v>0.405</v>
      </c>
    </row>
    <row r="774">
      <c r="A774" s="11" t="inlineStr">
        <is>
          <t>2025-10-30</t>
        </is>
      </c>
      <c r="B774" s="11" t="inlineStr">
        <is>
          <t>中间分位</t>
        </is>
      </c>
      <c r="C774" s="15" t="n">
        <v>0.404</v>
      </c>
      <c r="D774" s="13" t="n">
        <v>-0.016275</v>
      </c>
      <c r="E774" s="13" t="n">
        <v>-0.012681</v>
      </c>
      <c r="F774" s="13" t="n">
        <v>-0.003594</v>
      </c>
      <c r="G774" s="13" t="n">
        <v>0.4379</v>
      </c>
      <c r="H774" s="13" t="n">
        <v>-0.06283900000000001</v>
      </c>
      <c r="I774" s="13" t="n">
        <v>-0.037591</v>
      </c>
      <c r="J774" s="13" t="n">
        <v>-0.025248</v>
      </c>
      <c r="K774" s="13" t="n">
        <v>0.3743</v>
      </c>
      <c r="L774" s="13" t="n">
        <v>-0.060579</v>
      </c>
      <c r="M774" s="13" t="n">
        <v>-0.047554</v>
      </c>
      <c r="N774" s="13" t="n">
        <v>-0.013025</v>
      </c>
      <c r="O774" s="13" t="n">
        <v>0.4398</v>
      </c>
      <c r="P774" s="13" t="n">
        <v>-0.06005</v>
      </c>
      <c r="Q774" s="13" t="n">
        <v>-0.042572</v>
      </c>
      <c r="R774" s="13" t="n">
        <v>-0.017478</v>
      </c>
      <c r="S774" s="13" t="n">
        <v>0.4148</v>
      </c>
      <c r="T774" s="13" t="n">
        <v>0.032247</v>
      </c>
      <c r="U774" s="13" t="n">
        <v>0.062953</v>
      </c>
      <c r="V774" s="13" t="n">
        <v>-0.030706</v>
      </c>
      <c r="W774" s="13" t="n">
        <v>0.6613</v>
      </c>
      <c r="X774" s="13" t="n">
        <v>0.509946</v>
      </c>
      <c r="Y774" s="13" t="n">
        <v>0.361866</v>
      </c>
      <c r="Z774" s="13" t="n">
        <v>0.14808</v>
      </c>
      <c r="AA774" s="13" t="n">
        <v>0.4151</v>
      </c>
    </row>
    <row r="775">
      <c r="A775" s="6" t="inlineStr">
        <is>
          <t>2025-10-31</t>
        </is>
      </c>
      <c r="B775" s="6" t="inlineStr">
        <is>
          <t>中间分位</t>
        </is>
      </c>
      <c r="C775" s="10" t="n">
        <v>0.356</v>
      </c>
      <c r="D775" s="8" t="n">
        <v>-0.009651</v>
      </c>
      <c r="E775" s="8" t="n">
        <v>-0.016972</v>
      </c>
      <c r="F775" s="8" t="n">
        <v>0.007321</v>
      </c>
      <c r="G775" s="8" t="n">
        <v>0.6375</v>
      </c>
      <c r="H775" s="8" t="n">
        <v>-0.036765</v>
      </c>
      <c r="I775" s="8" t="n">
        <v>-0.031193</v>
      </c>
      <c r="J775" s="8" t="n">
        <v>-0.005572</v>
      </c>
      <c r="K775" s="8" t="n">
        <v>0.459</v>
      </c>
      <c r="L775" s="8" t="n">
        <v>-0.045037</v>
      </c>
      <c r="M775" s="8" t="n">
        <v>-0.057339</v>
      </c>
      <c r="N775" s="8" t="n">
        <v>0.012302</v>
      </c>
      <c r="O775" s="8" t="n">
        <v>0.5601</v>
      </c>
      <c r="P775" s="8" t="n">
        <v>-0.033396</v>
      </c>
      <c r="Q775" s="8" t="n">
        <v>-0.020642</v>
      </c>
      <c r="R775" s="8" t="n">
        <v>-0.012754</v>
      </c>
      <c r="S775" s="8" t="n">
        <v>0.382</v>
      </c>
      <c r="T775" s="8" t="n">
        <v>0.06387900000000001</v>
      </c>
      <c r="U775" s="8" t="n">
        <v>0.056881</v>
      </c>
      <c r="V775" s="8" t="n">
        <v>0.006998</v>
      </c>
      <c r="W775" s="8" t="n">
        <v>0.471</v>
      </c>
      <c r="X775" s="8" t="n">
        <v>0.513097</v>
      </c>
      <c r="Y775" s="8" t="n">
        <v>0.380275</v>
      </c>
      <c r="Z775" s="8" t="n">
        <v>0.132822</v>
      </c>
      <c r="AA775" s="8" t="n">
        <v>0.4257</v>
      </c>
    </row>
    <row r="776">
      <c r="A776" s="11" t="inlineStr">
        <is>
          <t>2025-11-03</t>
        </is>
      </c>
      <c r="B776" s="11" t="inlineStr">
        <is>
          <t>中间分位</t>
        </is>
      </c>
      <c r="C776" s="15" t="n">
        <v>0.436</v>
      </c>
      <c r="D776" s="13" t="n">
        <v>-0.024594</v>
      </c>
      <c r="E776" s="13" t="n">
        <v>-0.013066</v>
      </c>
      <c r="F776" s="13" t="n">
        <v>-0.011528</v>
      </c>
      <c r="G776" s="13" t="n">
        <v>0.3469</v>
      </c>
      <c r="H776" s="13" t="n">
        <v>-0.031555</v>
      </c>
      <c r="I776" s="13" t="n">
        <v>-0.019599</v>
      </c>
      <c r="J776" s="13" t="n">
        <v>-0.011956</v>
      </c>
      <c r="K776" s="13" t="n">
        <v>0.3831</v>
      </c>
      <c r="L776" s="13" t="n">
        <v>-0.039443</v>
      </c>
      <c r="M776" s="13" t="n">
        <v>-0.053196</v>
      </c>
      <c r="N776" s="13" t="n">
        <v>0.013753</v>
      </c>
      <c r="O776" s="13" t="n">
        <v>0.5742</v>
      </c>
      <c r="P776" s="13" t="n">
        <v>-0.016241</v>
      </c>
      <c r="Q776" s="13" t="n">
        <v>-0.003266</v>
      </c>
      <c r="R776" s="13" t="n">
        <v>-0.012975</v>
      </c>
      <c r="S776" s="13" t="n">
        <v>0.1674</v>
      </c>
      <c r="T776" s="13" t="n">
        <v>0.055299</v>
      </c>
      <c r="U776" s="13" t="n">
        <v>0.091461</v>
      </c>
      <c r="V776" s="13" t="n">
        <v>-0.036162</v>
      </c>
      <c r="W776" s="13" t="n">
        <v>0.6232</v>
      </c>
      <c r="X776" s="13" t="n">
        <v>0.5293870000000001</v>
      </c>
      <c r="Y776" s="13" t="n">
        <v>0.420905</v>
      </c>
      <c r="Z776" s="13" t="n">
        <v>0.108482</v>
      </c>
      <c r="AA776" s="13" t="n">
        <v>0.4429</v>
      </c>
    </row>
    <row r="777">
      <c r="A777" s="6" t="inlineStr">
        <is>
          <t>2025-11-04</t>
        </is>
      </c>
      <c r="B777" s="6" t="inlineStr">
        <is>
          <t>中间分位</t>
        </is>
      </c>
      <c r="C777" s="10" t="n">
        <v>0.308</v>
      </c>
      <c r="D777" s="8" t="n">
        <v>-0.011893</v>
      </c>
      <c r="E777" s="8" t="n">
        <v>0.012293</v>
      </c>
      <c r="F777" s="8" t="n">
        <v>-0.024186</v>
      </c>
      <c r="G777" s="8" t="n">
        <v>0.5083</v>
      </c>
      <c r="H777" s="8" t="n">
        <v>-0.016651</v>
      </c>
      <c r="I777" s="8" t="n">
        <v>-0.015603</v>
      </c>
      <c r="J777" s="8" t="n">
        <v>-0.001048</v>
      </c>
      <c r="K777" s="8" t="n">
        <v>0.4838</v>
      </c>
      <c r="L777" s="8" t="n">
        <v>-0.03901</v>
      </c>
      <c r="M777" s="8" t="n">
        <v>-0.040189</v>
      </c>
      <c r="N777" s="8" t="n">
        <v>0.001179</v>
      </c>
      <c r="O777" s="8" t="n">
        <v>0.5074</v>
      </c>
      <c r="P777" s="8" t="n">
        <v>0.010942</v>
      </c>
      <c r="Q777" s="8" t="n">
        <v>0.008038</v>
      </c>
      <c r="R777" s="8" t="n">
        <v>0.002904</v>
      </c>
      <c r="S777" s="8" t="n">
        <v>0.4235</v>
      </c>
      <c r="T777" s="8" t="n">
        <v>0.088644</v>
      </c>
      <c r="U777" s="8" t="n">
        <v>0.112057</v>
      </c>
      <c r="V777" s="8" t="n">
        <v>-0.023413</v>
      </c>
      <c r="W777" s="8" t="n">
        <v>0.5583</v>
      </c>
      <c r="X777" s="8" t="n">
        <v>0.588568</v>
      </c>
      <c r="Y777" s="8" t="n">
        <v>0.356974</v>
      </c>
      <c r="Z777" s="8" t="n">
        <v>0.231594</v>
      </c>
      <c r="AA777" s="8" t="n">
        <v>0.3775</v>
      </c>
    </row>
    <row r="778">
      <c r="A778" s="11" t="inlineStr">
        <is>
          <t>2025-11-05</t>
        </is>
      </c>
      <c r="B778" s="11" t="inlineStr">
        <is>
          <t>中间分位</t>
        </is>
      </c>
      <c r="C778" s="15" t="n">
        <v>0.14</v>
      </c>
      <c r="D778" s="13" t="n">
        <v>-0.001926</v>
      </c>
      <c r="E778" s="13" t="n">
        <v>-0.007473</v>
      </c>
      <c r="F778" s="13" t="n">
        <v>0.005547</v>
      </c>
      <c r="G778" s="13" t="n">
        <v>0.7951</v>
      </c>
      <c r="H778" s="13" t="n">
        <v>-0.00337</v>
      </c>
      <c r="I778" s="13" t="n">
        <v>-0.015413</v>
      </c>
      <c r="J778" s="13" t="n">
        <v>0.012043</v>
      </c>
      <c r="K778" s="13" t="n">
        <v>0.8206</v>
      </c>
      <c r="L778" s="13" t="n">
        <v>-0.034184</v>
      </c>
      <c r="M778" s="13" t="n">
        <v>-0.059785</v>
      </c>
      <c r="N778" s="13" t="n">
        <v>0.025601</v>
      </c>
      <c r="O778" s="13" t="n">
        <v>0.6362</v>
      </c>
      <c r="P778" s="13" t="n">
        <v>0.024314</v>
      </c>
      <c r="Q778" s="13" t="n">
        <v>-0.006072</v>
      </c>
      <c r="R778" s="13" t="n">
        <v>0.030386</v>
      </c>
      <c r="S778" s="13" t="n">
        <v>0.1998</v>
      </c>
      <c r="T778" s="13" t="n">
        <v>0.099745</v>
      </c>
      <c r="U778" s="13" t="n">
        <v>0.083606</v>
      </c>
      <c r="V778" s="13" t="n">
        <v>0.016139</v>
      </c>
      <c r="W778" s="13" t="n">
        <v>0.456</v>
      </c>
      <c r="X778" s="13" t="n">
        <v>0.52624</v>
      </c>
      <c r="Y778" s="13" t="n">
        <v>0.333489</v>
      </c>
      <c r="Z778" s="13" t="n">
        <v>0.192751</v>
      </c>
      <c r="AA778" s="13" t="n">
        <v>0.3879</v>
      </c>
    </row>
    <row r="779">
      <c r="A779" s="6" t="inlineStr">
        <is>
          <t>2025-11-06</t>
        </is>
      </c>
      <c r="B779" s="6" t="inlineStr">
        <is>
          <t>中间分位</t>
        </is>
      </c>
      <c r="C779" s="10" t="n">
        <v>0.168</v>
      </c>
      <c r="D779" s="8" t="n">
        <v>0.011095</v>
      </c>
      <c r="E779" s="8" t="n">
        <v>-0.006118</v>
      </c>
      <c r="F779" s="8" t="n">
        <v>0.017213</v>
      </c>
      <c r="G779" s="8" t="n">
        <v>0.3554</v>
      </c>
      <c r="H779" s="8" t="n">
        <v>0.002412</v>
      </c>
      <c r="I779" s="8" t="n">
        <v>-0.010353</v>
      </c>
      <c r="J779" s="8" t="n">
        <v>0.012765</v>
      </c>
      <c r="K779" s="8" t="n">
        <v>0.8110000000000001</v>
      </c>
      <c r="L779" s="8" t="n">
        <v>-0.035697</v>
      </c>
      <c r="M779" s="8" t="n">
        <v>-0.051294</v>
      </c>
      <c r="N779" s="8" t="n">
        <v>0.015597</v>
      </c>
      <c r="O779" s="8" t="n">
        <v>0.5896</v>
      </c>
      <c r="P779" s="8" t="n">
        <v>0.02026</v>
      </c>
      <c r="Q779" s="8" t="n">
        <v>-0.005647</v>
      </c>
      <c r="R779" s="8" t="n">
        <v>0.025907</v>
      </c>
      <c r="S779" s="8" t="n">
        <v>0.218</v>
      </c>
      <c r="T779" s="8" t="n">
        <v>0.09261900000000001</v>
      </c>
      <c r="U779" s="8" t="n">
        <v>0.059765</v>
      </c>
      <c r="V779" s="8" t="n">
        <v>0.032854</v>
      </c>
      <c r="W779" s="8" t="n">
        <v>0.3922</v>
      </c>
      <c r="X779" s="8" t="n">
        <v>0.509889</v>
      </c>
      <c r="Y779" s="8" t="n">
        <v>0.356235</v>
      </c>
      <c r="Z779" s="8" t="n">
        <v>0.153654</v>
      </c>
      <c r="AA779" s="8" t="n">
        <v>0.4113</v>
      </c>
    </row>
    <row r="780">
      <c r="A780" s="11" t="inlineStr">
        <is>
          <t>2025-11-07</t>
        </is>
      </c>
      <c r="B780" s="11" t="inlineStr">
        <is>
          <t>中间分位</t>
        </is>
      </c>
      <c r="C780" s="15" t="n">
        <v>0.284</v>
      </c>
      <c r="D780" s="13" t="n">
        <v>-0.004294</v>
      </c>
      <c r="E780" s="13" t="n">
        <v>-0.005208</v>
      </c>
      <c r="F780" s="13" t="n">
        <v>0.000914</v>
      </c>
      <c r="G780" s="13" t="n">
        <v>0.5481</v>
      </c>
      <c r="H780" s="13" t="n">
        <v>-0.008588</v>
      </c>
      <c r="I780" s="13" t="n">
        <v>-0.026989</v>
      </c>
      <c r="J780" s="13" t="n">
        <v>0.018401</v>
      </c>
      <c r="K780" s="13" t="n">
        <v>0.7586000000000001</v>
      </c>
      <c r="L780" s="13" t="n">
        <v>-0.044847</v>
      </c>
      <c r="M780" s="13" t="n">
        <v>-0.051136</v>
      </c>
      <c r="N780" s="13" t="n">
        <v>0.006289</v>
      </c>
      <c r="O780" s="13" t="n">
        <v>0.5328000000000001</v>
      </c>
      <c r="P780" s="13" t="n">
        <v>0.001908</v>
      </c>
      <c r="Q780" s="13" t="n">
        <v>-0.016572</v>
      </c>
      <c r="R780" s="13" t="n">
        <v>0.01848</v>
      </c>
      <c r="S780" s="13" t="n">
        <v>0.8968</v>
      </c>
      <c r="T780" s="13" t="n">
        <v>0.060749</v>
      </c>
      <c r="U780" s="13" t="n">
        <v>0.06392</v>
      </c>
      <c r="V780" s="13" t="n">
        <v>-0.003171</v>
      </c>
      <c r="W780" s="13" t="n">
        <v>0.5127</v>
      </c>
      <c r="X780" s="13" t="n">
        <v>0.489346</v>
      </c>
      <c r="Y780" s="13" t="n">
        <v>0.380208</v>
      </c>
      <c r="Z780" s="13" t="n">
        <v>0.109138</v>
      </c>
      <c r="AA780" s="13" t="n">
        <v>0.4372</v>
      </c>
    </row>
    <row r="781">
      <c r="A781" s="6" t="inlineStr">
        <is>
          <t>2025-11-10</t>
        </is>
      </c>
      <c r="B781" s="6" t="inlineStr">
        <is>
          <t>中间分位</t>
        </is>
      </c>
      <c r="C781" s="10" t="n">
        <v>0.308</v>
      </c>
      <c r="D781" s="8" t="n">
        <v>-0.009583</v>
      </c>
      <c r="E781" s="8" t="n">
        <v>-0.009043000000000001</v>
      </c>
      <c r="F781" s="8" t="n">
        <v>-0.00054</v>
      </c>
      <c r="G781" s="8" t="n">
        <v>0.4855</v>
      </c>
      <c r="H781" s="8" t="n">
        <v>-0.008146</v>
      </c>
      <c r="I781" s="8" t="n">
        <v>-0.034269</v>
      </c>
      <c r="J781" s="8" t="n">
        <v>0.026123</v>
      </c>
      <c r="K781" s="8" t="n">
        <v>0.8079</v>
      </c>
      <c r="L781" s="8" t="n">
        <v>-0.044082</v>
      </c>
      <c r="M781" s="8" t="n">
        <v>-0.011423</v>
      </c>
      <c r="N781" s="8" t="n">
        <v>-0.032659</v>
      </c>
      <c r="O781" s="8" t="n">
        <v>0.2058</v>
      </c>
      <c r="P781" s="8" t="n">
        <v>-0.004154</v>
      </c>
      <c r="Q781" s="8" t="n">
        <v>-0.005712</v>
      </c>
      <c r="R781" s="8" t="n">
        <v>0.001558</v>
      </c>
      <c r="S781" s="8" t="n">
        <v>0.579</v>
      </c>
      <c r="T781" s="8" t="n">
        <v>0.061332</v>
      </c>
      <c r="U781" s="8" t="n">
        <v>0.08472200000000001</v>
      </c>
      <c r="V781" s="8" t="n">
        <v>-0.02339</v>
      </c>
      <c r="W781" s="8" t="n">
        <v>0.5800999999999999</v>
      </c>
      <c r="X781" s="8" t="n">
        <v>0.514135</v>
      </c>
      <c r="Y781" s="8" t="n">
        <v>0.383151</v>
      </c>
      <c r="Z781" s="8" t="n">
        <v>0.130984</v>
      </c>
      <c r="AA781" s="8" t="n">
        <v>0.427</v>
      </c>
    </row>
    <row r="782">
      <c r="A782" s="11" t="inlineStr">
        <is>
          <t>2025-11-11</t>
        </is>
      </c>
      <c r="B782" s="11" t="inlineStr">
        <is>
          <t>中间分位</t>
        </is>
      </c>
      <c r="C782" s="15" t="n">
        <v>0.292</v>
      </c>
      <c r="D782" s="13" t="n">
        <v>0.001451</v>
      </c>
      <c r="E782" s="13" t="n">
        <v>0.012488</v>
      </c>
      <c r="F782" s="13" t="n">
        <v>-0.011037</v>
      </c>
      <c r="G782" s="13" t="n">
        <v>0.8959</v>
      </c>
      <c r="H782" s="13" t="n">
        <v>-0.022738</v>
      </c>
      <c r="I782" s="13" t="n">
        <v>-0.024976</v>
      </c>
      <c r="J782" s="13" t="n">
        <v>0.002238</v>
      </c>
      <c r="K782" s="13" t="n">
        <v>0.5235</v>
      </c>
      <c r="L782" s="13" t="n">
        <v>-0.000484</v>
      </c>
      <c r="M782" s="13" t="n">
        <v>-0.007205</v>
      </c>
      <c r="N782" s="13" t="n">
        <v>0.006721</v>
      </c>
      <c r="O782" s="13" t="n">
        <v>0.9371</v>
      </c>
      <c r="P782" s="13" t="n">
        <v>0.011127</v>
      </c>
      <c r="Q782" s="13" t="n">
        <v>-0.007685</v>
      </c>
      <c r="R782" s="13" t="n">
        <v>0.018812</v>
      </c>
      <c r="S782" s="13" t="n">
        <v>0.4085</v>
      </c>
      <c r="T782" s="13" t="n">
        <v>0.079666</v>
      </c>
      <c r="U782" s="13" t="n">
        <v>0.068684</v>
      </c>
      <c r="V782" s="13" t="n">
        <v>0.010982</v>
      </c>
      <c r="W782" s="13" t="n">
        <v>0.463</v>
      </c>
      <c r="X782" s="13" t="n">
        <v>0.519918</v>
      </c>
      <c r="Y782" s="13" t="n">
        <v>0.373679</v>
      </c>
      <c r="Z782" s="13" t="n">
        <v>0.146239</v>
      </c>
      <c r="AA782" s="13" t="n">
        <v>0.4182</v>
      </c>
    </row>
    <row r="783">
      <c r="A783" s="6" t="inlineStr">
        <is>
          <t>2025-11-12</t>
        </is>
      </c>
      <c r="B783" s="6" t="inlineStr">
        <is>
          <t>中间分位</t>
        </is>
      </c>
      <c r="C783" s="10" t="n">
        <v>0.216</v>
      </c>
      <c r="D783" s="8" t="n">
        <v>0.003865</v>
      </c>
      <c r="E783" s="8" t="n">
        <v>-0.002372</v>
      </c>
      <c r="F783" s="8" t="n">
        <v>0.006237</v>
      </c>
      <c r="G783" s="8" t="n">
        <v>0.3803</v>
      </c>
      <c r="H783" s="8" t="n">
        <v>-0.030918</v>
      </c>
      <c r="I783" s="8" t="n">
        <v>-0.045066</v>
      </c>
      <c r="J783" s="8" t="n">
        <v>0.014148</v>
      </c>
      <c r="K783" s="8" t="n">
        <v>0.5931</v>
      </c>
      <c r="L783" s="8" t="n">
        <v>-0.007246</v>
      </c>
      <c r="M783" s="8" t="n">
        <v>-0.006641</v>
      </c>
      <c r="N783" s="8" t="n">
        <v>-0.000605</v>
      </c>
      <c r="O783" s="8" t="n">
        <v>0.4782</v>
      </c>
      <c r="P783" s="8" t="n">
        <v>0.004831</v>
      </c>
      <c r="Q783" s="8" t="n">
        <v>0.009962</v>
      </c>
      <c r="R783" s="8" t="n">
        <v>-0.005131</v>
      </c>
      <c r="S783" s="8" t="n">
        <v>0.6734</v>
      </c>
      <c r="T783" s="8" t="n">
        <v>0.062802</v>
      </c>
      <c r="U783" s="8" t="n">
        <v>0.064516</v>
      </c>
      <c r="V783" s="8" t="n">
        <v>-0.001714</v>
      </c>
      <c r="W783" s="8" t="n">
        <v>0.5067</v>
      </c>
      <c r="X783" s="8" t="n">
        <v>0.497585</v>
      </c>
      <c r="Y783" s="8" t="n">
        <v>0.379032</v>
      </c>
      <c r="Z783" s="8" t="n">
        <v>0.118553</v>
      </c>
      <c r="AA783" s="8" t="n">
        <v>0.4324</v>
      </c>
    </row>
    <row r="784">
      <c r="A784" s="11" t="inlineStr">
        <is>
          <t>2025-11-13</t>
        </is>
      </c>
      <c r="B784" s="11" t="inlineStr">
        <is>
          <t>中间分位</t>
        </is>
      </c>
      <c r="C784" s="15" t="n">
        <v>0.252</v>
      </c>
      <c r="D784" s="13" t="n">
        <v>0</v>
      </c>
      <c r="E784" s="13" t="n">
        <v>-0.022825</v>
      </c>
      <c r="F784" s="13" t="n">
        <v>0.022825</v>
      </c>
      <c r="G784" s="13" t="n">
        <v>1</v>
      </c>
      <c r="H784" s="13" t="n">
        <v>-0.038017</v>
      </c>
      <c r="I784" s="13" t="n">
        <v>-0.041369</v>
      </c>
      <c r="J784" s="13" t="n">
        <v>0.003352</v>
      </c>
      <c r="K784" s="13" t="n">
        <v>0.5211</v>
      </c>
      <c r="L784" s="13" t="n">
        <v>0.000563</v>
      </c>
      <c r="M784" s="13" t="n">
        <v>0.005231</v>
      </c>
      <c r="N784" s="13" t="n">
        <v>-0.004668</v>
      </c>
      <c r="O784" s="13" t="n">
        <v>0.9028</v>
      </c>
      <c r="P784" s="13" t="n">
        <v>0.000962</v>
      </c>
      <c r="Q784" s="13" t="n">
        <v>0.008083999999999999</v>
      </c>
      <c r="R784" s="13" t="n">
        <v>-0.007122</v>
      </c>
      <c r="S784" s="13" t="n">
        <v>0.8937</v>
      </c>
      <c r="T784" s="13" t="n">
        <v>0.069937</v>
      </c>
      <c r="U784" s="13" t="n">
        <v>0.060865</v>
      </c>
      <c r="V784" s="13" t="n">
        <v>0.009072</v>
      </c>
      <c r="W784" s="13" t="n">
        <v>0.4653</v>
      </c>
      <c r="X784" s="13" t="n">
        <v>0.509865</v>
      </c>
      <c r="Y784" s="13" t="n">
        <v>0.416548</v>
      </c>
      <c r="Z784" s="13" t="n">
        <v>0.093317</v>
      </c>
      <c r="AA784" s="13" t="n">
        <v>0.4496</v>
      </c>
    </row>
    <row r="785">
      <c r="A785" s="6" t="inlineStr">
        <is>
          <t>2025-11-14</t>
        </is>
      </c>
      <c r="B785" s="6" t="inlineStr">
        <is>
          <t>中间分位</t>
        </is>
      </c>
      <c r="C785" s="10" t="n">
        <v>0.488</v>
      </c>
      <c r="D785" s="8" t="n">
        <v>-0.00385</v>
      </c>
      <c r="E785" s="8" t="n">
        <v>-0.012652</v>
      </c>
      <c r="F785" s="8" t="n">
        <v>0.008802000000000001</v>
      </c>
      <c r="G785" s="8" t="n">
        <v>0.7667</v>
      </c>
      <c r="H785" s="8" t="n">
        <v>-0.036574</v>
      </c>
      <c r="I785" s="8" t="n">
        <v>-0.024818</v>
      </c>
      <c r="J785" s="8" t="n">
        <v>-0.011756</v>
      </c>
      <c r="K785" s="8" t="n">
        <v>0.4043</v>
      </c>
      <c r="L785" s="8" t="n">
        <v>0.01219</v>
      </c>
      <c r="M785" s="8" t="n">
        <v>0.038929</v>
      </c>
      <c r="N785" s="8" t="n">
        <v>-0.026739</v>
      </c>
      <c r="O785" s="8" t="n">
        <v>0.7615</v>
      </c>
      <c r="P785" s="8" t="n">
        <v>0.012594</v>
      </c>
      <c r="Q785" s="8" t="n">
        <v>0.021411</v>
      </c>
      <c r="R785" s="8" t="n">
        <v>-0.008817</v>
      </c>
      <c r="S785" s="8" t="n">
        <v>0.6296</v>
      </c>
      <c r="T785" s="8" t="n">
        <v>0.063523</v>
      </c>
      <c r="U785" s="8" t="n">
        <v>0.09051099999999999</v>
      </c>
      <c r="V785" s="8" t="n">
        <v>-0.026988</v>
      </c>
      <c r="W785" s="8" t="n">
        <v>0.5876</v>
      </c>
      <c r="X785" s="8" t="n">
        <v>0.549567</v>
      </c>
      <c r="Y785" s="8" t="n">
        <v>0.441849</v>
      </c>
      <c r="Z785" s="8" t="n">
        <v>0.107718</v>
      </c>
      <c r="AA785" s="8" t="n">
        <v>0.4457</v>
      </c>
    </row>
    <row r="786">
      <c r="A786" s="11" t="inlineStr">
        <is>
          <t>2025-11-17</t>
        </is>
      </c>
      <c r="B786" s="11" t="inlineStr">
        <is>
          <t>中间分位</t>
        </is>
      </c>
      <c r="C786" s="15" t="n">
        <v>0.576</v>
      </c>
      <c r="D786" s="13" t="n">
        <v>-0.024155</v>
      </c>
      <c r="E786" s="13" t="n">
        <v>0.0004929999999999999</v>
      </c>
      <c r="F786" s="13" t="n">
        <v>-0.024648</v>
      </c>
      <c r="G786" s="13" t="n">
        <v>0.02</v>
      </c>
      <c r="H786" s="13" t="n">
        <v>-0.036232</v>
      </c>
      <c r="I786" s="13" t="n">
        <v>0.023657</v>
      </c>
      <c r="J786" s="13" t="n">
        <v>-0.059889</v>
      </c>
      <c r="K786" s="13" t="n">
        <v>0.395</v>
      </c>
      <c r="L786" s="13" t="n">
        <v>0.024155</v>
      </c>
      <c r="M786" s="13" t="n">
        <v>0.052735</v>
      </c>
      <c r="N786" s="13" t="n">
        <v>-0.02858</v>
      </c>
      <c r="O786" s="13" t="n">
        <v>0.6858</v>
      </c>
      <c r="P786" s="13" t="n">
        <v>0.017309</v>
      </c>
      <c r="Q786" s="13" t="n">
        <v>0.046821</v>
      </c>
      <c r="R786" s="13" t="n">
        <v>-0.029512</v>
      </c>
      <c r="S786" s="13" t="n">
        <v>0.7301</v>
      </c>
      <c r="T786" s="13" t="n">
        <v>0.072464</v>
      </c>
      <c r="U786" s="13" t="n">
        <v>0.107935</v>
      </c>
      <c r="V786" s="13" t="n">
        <v>-0.035471</v>
      </c>
      <c r="W786" s="13" t="n">
        <v>0.5983000000000001</v>
      </c>
      <c r="X786" s="13" t="n">
        <v>0.547908</v>
      </c>
      <c r="Y786" s="13" t="n">
        <v>0.46279</v>
      </c>
      <c r="Z786" s="13" t="n">
        <v>0.085118</v>
      </c>
      <c r="AA786" s="13" t="n">
        <v>0.4579</v>
      </c>
    </row>
    <row r="787">
      <c r="A787" s="6" t="inlineStr">
        <is>
          <t>2025-11-18</t>
        </is>
      </c>
      <c r="B787" s="6" t="inlineStr">
        <is>
          <t>中间分位</t>
        </is>
      </c>
      <c r="C787" s="10" t="n">
        <v>0.34</v>
      </c>
      <c r="D787" s="8" t="n">
        <v>-0.006931</v>
      </c>
      <c r="E787" s="8" t="n">
        <v>-0.008373999999999999</v>
      </c>
      <c r="F787" s="8" t="n">
        <v>0.001443</v>
      </c>
      <c r="G787" s="8" t="n">
        <v>0.5471</v>
      </c>
      <c r="H787" s="8" t="n">
        <v>0.022772</v>
      </c>
      <c r="I787" s="8" t="n">
        <v>0.018227</v>
      </c>
      <c r="J787" s="8" t="n">
        <v>0.004545</v>
      </c>
      <c r="K787" s="8" t="n">
        <v>0.4446</v>
      </c>
      <c r="L787" s="8" t="n">
        <v>0.05198</v>
      </c>
      <c r="M787" s="8" t="n">
        <v>0.050246</v>
      </c>
      <c r="N787" s="8" t="n">
        <v>0.001734</v>
      </c>
      <c r="O787" s="8" t="n">
        <v>0.4915</v>
      </c>
      <c r="P787" s="8" t="n">
        <v>0.040842</v>
      </c>
      <c r="Q787" s="8" t="n">
        <v>0.048768</v>
      </c>
      <c r="R787" s="8" t="n">
        <v>-0.007926000000000001</v>
      </c>
      <c r="S787" s="8" t="n">
        <v>0.5442</v>
      </c>
      <c r="T787" s="8" t="n">
        <v>0.099837</v>
      </c>
      <c r="U787" s="8" t="n">
        <v>0.09901500000000001</v>
      </c>
      <c r="V787" s="8" t="n">
        <v>0.000822</v>
      </c>
      <c r="W787" s="8" t="n">
        <v>0.4979</v>
      </c>
      <c r="X787" s="8" t="n">
        <v>0.589936</v>
      </c>
      <c r="Y787" s="8" t="n">
        <v>0.459606</v>
      </c>
      <c r="Z787" s="8" t="n">
        <v>0.13033</v>
      </c>
      <c r="AA787" s="8" t="n">
        <v>0.4379</v>
      </c>
    </row>
    <row r="788">
      <c r="A788" s="11" t="inlineStr">
        <is>
          <t>2025-11-19</t>
        </is>
      </c>
      <c r="B788" s="11" t="inlineStr">
        <is>
          <t>中间分位</t>
        </is>
      </c>
      <c r="C788" s="15" t="n">
        <v>0.348</v>
      </c>
      <c r="D788" s="13" t="n">
        <v>-0.00349</v>
      </c>
      <c r="E788" s="13" t="n">
        <v>0.00149</v>
      </c>
      <c r="F788" s="13" t="n">
        <v>-0.00498</v>
      </c>
      <c r="G788" s="13" t="n">
        <v>0.2992</v>
      </c>
      <c r="H788" s="13" t="n">
        <v>0.024427</v>
      </c>
      <c r="I788" s="13" t="n">
        <v>0.040238</v>
      </c>
      <c r="J788" s="13" t="n">
        <v>-0.015811</v>
      </c>
      <c r="K788" s="13" t="n">
        <v>0.6223</v>
      </c>
      <c r="L788" s="13" t="n">
        <v>0.060568</v>
      </c>
      <c r="M788" s="13" t="n">
        <v>0.057129</v>
      </c>
      <c r="N788" s="13" t="n">
        <v>0.003439</v>
      </c>
      <c r="O788" s="13" t="n">
        <v>0.4854</v>
      </c>
      <c r="P788" s="13" t="n">
        <v>0.053504</v>
      </c>
      <c r="Q788" s="13" t="n">
        <v>0.071038</v>
      </c>
      <c r="R788" s="13" t="n">
        <v>-0.017534</v>
      </c>
      <c r="S788" s="13" t="n">
        <v>0.5704</v>
      </c>
      <c r="T788" s="13" t="n">
        <v>0.109172</v>
      </c>
      <c r="U788" s="13" t="n">
        <v>0.086935</v>
      </c>
      <c r="V788" s="13" t="n">
        <v>0.022237</v>
      </c>
      <c r="W788" s="13" t="n">
        <v>0.4433</v>
      </c>
      <c r="X788" s="13" t="n">
        <v>0.603106</v>
      </c>
      <c r="Y788" s="13" t="n">
        <v>0.454049</v>
      </c>
      <c r="Z788" s="13" t="n">
        <v>0.149057</v>
      </c>
      <c r="AA788" s="13" t="n">
        <v>0.4295</v>
      </c>
    </row>
    <row r="789">
      <c r="A789" s="6" t="inlineStr">
        <is>
          <t>2025-11-20</t>
        </is>
      </c>
      <c r="B789" s="6" t="inlineStr">
        <is>
          <t>中间分位</t>
        </is>
      </c>
      <c r="C789" s="10" t="n">
        <v>0.28</v>
      </c>
      <c r="D789" s="8" t="n">
        <v>0.001501</v>
      </c>
      <c r="E789" s="8" t="n">
        <v>-0.005952</v>
      </c>
      <c r="F789" s="8" t="n">
        <v>0.007453</v>
      </c>
      <c r="G789" s="8" t="n">
        <v>0.7986</v>
      </c>
      <c r="H789" s="8" t="n">
        <v>0.040105</v>
      </c>
      <c r="I789" s="8" t="n">
        <v>0.048611</v>
      </c>
      <c r="J789" s="8" t="n">
        <v>-0.008506</v>
      </c>
      <c r="K789" s="8" t="n">
        <v>0.5479000000000001</v>
      </c>
      <c r="L789" s="8" t="n">
        <v>0.058029</v>
      </c>
      <c r="M789" s="8" t="n">
        <v>0.048115</v>
      </c>
      <c r="N789" s="8" t="n">
        <v>0.009913999999999999</v>
      </c>
      <c r="O789" s="8" t="n">
        <v>0.4533</v>
      </c>
      <c r="P789" s="8" t="n">
        <v>0.06386699999999999</v>
      </c>
      <c r="Q789" s="8" t="n">
        <v>0.078373</v>
      </c>
      <c r="R789" s="8" t="n">
        <v>-0.014506</v>
      </c>
      <c r="S789" s="8" t="n">
        <v>0.551</v>
      </c>
      <c r="T789" s="8" t="n">
        <v>0.101386</v>
      </c>
      <c r="U789" s="8" t="n">
        <v>0.133433</v>
      </c>
      <c r="V789" s="8" t="n">
        <v>-0.032047</v>
      </c>
      <c r="W789" s="8" t="n">
        <v>0.5682</v>
      </c>
      <c r="X789" s="8" t="n">
        <v>0.582456</v>
      </c>
      <c r="Y789" s="8" t="n">
        <v>0.410714</v>
      </c>
      <c r="Z789" s="8" t="n">
        <v>0.171742</v>
      </c>
      <c r="AA789" s="8" t="n">
        <v>0.4135</v>
      </c>
    </row>
    <row r="790">
      <c r="A790" s="11" t="inlineStr">
        <is>
          <t>2025-11-21</t>
        </is>
      </c>
      <c r="B790" s="11" t="inlineStr">
        <is>
          <t>中间分位</t>
        </is>
      </c>
      <c r="C790" s="15" t="n">
        <v>0.376</v>
      </c>
      <c r="D790" s="13" t="n">
        <v>-0.003497</v>
      </c>
      <c r="E790" s="13" t="n">
        <v>0.036427</v>
      </c>
      <c r="F790" s="13" t="n">
        <v>-0.039924</v>
      </c>
      <c r="G790" s="13" t="n">
        <v>0.9124</v>
      </c>
      <c r="H790" s="13" t="n">
        <v>0.050614</v>
      </c>
      <c r="I790" s="13" t="n">
        <v>0.065369</v>
      </c>
      <c r="J790" s="13" t="n">
        <v>-0.014755</v>
      </c>
      <c r="K790" s="13" t="n">
        <v>0.5636</v>
      </c>
      <c r="L790" s="13" t="n">
        <v>0.048951</v>
      </c>
      <c r="M790" s="13" t="n">
        <v>0.036427</v>
      </c>
      <c r="N790" s="13" t="n">
        <v>0.012524</v>
      </c>
      <c r="O790" s="13" t="n">
        <v>0.4267</v>
      </c>
      <c r="P790" s="13" t="n">
        <v>0.077672</v>
      </c>
      <c r="Q790" s="13" t="n">
        <v>0.071856</v>
      </c>
      <c r="R790" s="13" t="n">
        <v>0.005816</v>
      </c>
      <c r="S790" s="13" t="n">
        <v>0.4806</v>
      </c>
      <c r="T790" s="13" t="n">
        <v>0.126788</v>
      </c>
      <c r="U790" s="13" t="n">
        <v>0.122255</v>
      </c>
      <c r="V790" s="13" t="n">
        <v>0.004533</v>
      </c>
      <c r="W790" s="13" t="n">
        <v>0.4909</v>
      </c>
      <c r="X790" s="13" t="n">
        <v>0.586748</v>
      </c>
      <c r="Y790" s="13" t="n">
        <v>0.415669</v>
      </c>
      <c r="Z790" s="13" t="n">
        <v>0.171079</v>
      </c>
      <c r="AA790" s="13" t="n">
        <v>0.4147</v>
      </c>
    </row>
    <row r="791">
      <c r="A791" s="6" t="inlineStr">
        <is>
          <t>2025-11-24</t>
        </is>
      </c>
      <c r="B791" s="6" t="inlineStr">
        <is>
          <t>低分位</t>
        </is>
      </c>
      <c r="C791" s="10" t="n">
        <v>0.092</v>
      </c>
      <c r="D791" s="8" t="n">
        <v>0.035589</v>
      </c>
      <c r="E791" s="8" t="n">
        <v>-0.004815</v>
      </c>
      <c r="F791" s="8" t="n">
        <v>0.040404</v>
      </c>
      <c r="G791" s="8" t="n">
        <v>0.1192</v>
      </c>
      <c r="H791" s="8" t="n">
        <v>0.062657</v>
      </c>
      <c r="I791" s="8" t="n">
        <v>0.028406</v>
      </c>
      <c r="J791" s="8" t="n">
        <v>0.034251</v>
      </c>
      <c r="K791" s="8" t="n">
        <v>0.3119</v>
      </c>
      <c r="L791" s="8" t="n">
        <v>0.041769</v>
      </c>
      <c r="M791" s="8" t="n">
        <v>0.005778</v>
      </c>
      <c r="N791" s="8" t="n">
        <v>0.035991</v>
      </c>
      <c r="O791" s="8" t="n">
        <v>0.1215</v>
      </c>
      <c r="P791" s="8" t="n">
        <v>0.072682</v>
      </c>
      <c r="Q791" s="8" t="n">
        <v>0.037554</v>
      </c>
      <c r="R791" s="8" t="n">
        <v>0.035128</v>
      </c>
      <c r="S791" s="8" t="n">
        <v>0.3407</v>
      </c>
      <c r="T791" s="8" t="n">
        <v>0.116541</v>
      </c>
      <c r="U791" s="8" t="n">
        <v>0.06403499999999999</v>
      </c>
      <c r="V791" s="8" t="n">
        <v>0.052506</v>
      </c>
      <c r="W791" s="8" t="n">
        <v>0.3546</v>
      </c>
      <c r="X791" s="8" t="n">
        <v>0.582291</v>
      </c>
      <c r="Y791" s="8" t="n">
        <v>0.350024</v>
      </c>
      <c r="Z791" s="8" t="n">
        <v>0.232267</v>
      </c>
      <c r="AA791" s="8" t="n">
        <v>0.3754</v>
      </c>
    </row>
    <row r="792">
      <c r="A792" s="11" t="inlineStr">
        <is>
          <t>2025-11-25</t>
        </is>
      </c>
      <c r="B792" s="11" t="inlineStr">
        <is>
          <t>中间分位</t>
        </is>
      </c>
      <c r="C792" s="15" t="n">
        <v>0.388</v>
      </c>
      <c r="D792" s="13" t="n">
        <v>-0.005324</v>
      </c>
      <c r="E792" s="13" t="n">
        <v>0.013062</v>
      </c>
      <c r="F792" s="13" t="n">
        <v>-0.018386</v>
      </c>
      <c r="G792" s="13" t="n">
        <v>0.7104</v>
      </c>
      <c r="H792" s="13" t="n">
        <v>0.028558</v>
      </c>
      <c r="I792" s="13" t="n">
        <v>0.031447</v>
      </c>
      <c r="J792" s="13" t="n">
        <v>-0.002889</v>
      </c>
      <c r="K792" s="13" t="n">
        <v>0.5241</v>
      </c>
      <c r="L792" s="13" t="n">
        <v>0.011617</v>
      </c>
      <c r="M792" s="13" t="n">
        <v>-0.000484</v>
      </c>
      <c r="N792" s="13" t="n">
        <v>0.012101</v>
      </c>
      <c r="O792" s="13" t="n">
        <v>0.04</v>
      </c>
      <c r="P792" s="13" t="n">
        <v>0.035818</v>
      </c>
      <c r="Q792" s="13" t="n">
        <v>0.043058</v>
      </c>
      <c r="R792" s="13" t="n">
        <v>-0.00724</v>
      </c>
      <c r="S792" s="13" t="n">
        <v>0.5459000000000001</v>
      </c>
      <c r="T792" s="13" t="n">
        <v>0.058001</v>
      </c>
      <c r="U792" s="13" t="n">
        <v>0.054185</v>
      </c>
      <c r="V792" s="13" t="n">
        <v>0.003816</v>
      </c>
      <c r="W792" s="13" t="n">
        <v>0.483</v>
      </c>
      <c r="X792" s="13" t="n">
        <v>0.5069360000000001</v>
      </c>
      <c r="Y792" s="13" t="n">
        <v>0.366715</v>
      </c>
      <c r="Z792" s="13" t="n">
        <v>0.140221</v>
      </c>
      <c r="AA792" s="13" t="n">
        <v>0.4197</v>
      </c>
    </row>
    <row r="793">
      <c r="A793" s="6" t="inlineStr">
        <is>
          <t>2025-11-26</t>
        </is>
      </c>
      <c r="B793" s="6" t="inlineStr">
        <is>
          <t>中间分位</t>
        </is>
      </c>
      <c r="C793" s="10" t="n">
        <v>0.216</v>
      </c>
      <c r="D793" s="8" t="n">
        <v>0.011762</v>
      </c>
      <c r="E793" s="8" t="n">
        <v>0.009551</v>
      </c>
      <c r="F793" s="8" t="n">
        <v>0.002211</v>
      </c>
      <c r="G793" s="8" t="n">
        <v>0.4481</v>
      </c>
      <c r="H793" s="8" t="n">
        <v>0.03528</v>
      </c>
      <c r="I793" s="8" t="n">
        <v>0.016237</v>
      </c>
      <c r="J793" s="8" t="n">
        <v>0.019043</v>
      </c>
      <c r="K793" s="8" t="n">
        <v>0.3152</v>
      </c>
      <c r="L793" s="8" t="n">
        <v>0.012165</v>
      </c>
      <c r="M793" s="8" t="n">
        <v>0.016714</v>
      </c>
      <c r="N793" s="8" t="n">
        <v>-0.004549</v>
      </c>
      <c r="O793" s="8" t="n">
        <v>0.5788</v>
      </c>
      <c r="P793" s="8" t="n">
        <v>0.046633</v>
      </c>
      <c r="Q793" s="8" t="n">
        <v>0.037249</v>
      </c>
      <c r="R793" s="8" t="n">
        <v>0.009384</v>
      </c>
      <c r="S793" s="8" t="n">
        <v>0.4441</v>
      </c>
      <c r="T793" s="8" t="n">
        <v>0.07056</v>
      </c>
      <c r="U793" s="8" t="n">
        <v>0.129417</v>
      </c>
      <c r="V793" s="8" t="n">
        <v>-0.058857</v>
      </c>
      <c r="W793" s="8" t="n">
        <v>0.6472</v>
      </c>
      <c r="X793" s="8" t="n">
        <v>0.522302</v>
      </c>
      <c r="Y793" s="8" t="n">
        <v>0.333811</v>
      </c>
      <c r="Z793" s="8" t="n">
        <v>0.188491</v>
      </c>
      <c r="AA793" s="8" t="n">
        <v>0.3899</v>
      </c>
    </row>
    <row r="794">
      <c r="A794" s="11" t="inlineStr">
        <is>
          <t>2025-11-27</t>
        </is>
      </c>
      <c r="B794" s="11" t="inlineStr">
        <is>
          <t>中间分位</t>
        </is>
      </c>
      <c r="C794" s="15" t="n">
        <v>0.236</v>
      </c>
      <c r="D794" s="13" t="n">
        <v>0.01162</v>
      </c>
      <c r="E794" s="13" t="n">
        <v>0.009934</v>
      </c>
      <c r="F794" s="13" t="n">
        <v>0.001686</v>
      </c>
      <c r="G794" s="13" t="n">
        <v>0.4609</v>
      </c>
      <c r="H794" s="13" t="n">
        <v>0.017233</v>
      </c>
      <c r="I794" s="13" t="n">
        <v>-0.000473</v>
      </c>
      <c r="J794" s="13" t="n">
        <v>0.017706</v>
      </c>
      <c r="K794" s="13" t="n">
        <v>0.0267</v>
      </c>
      <c r="L794" s="13" t="n">
        <v>0.000399</v>
      </c>
      <c r="M794" s="13" t="n">
        <v>0.002838</v>
      </c>
      <c r="N794" s="13" t="n">
        <v>-0.002439</v>
      </c>
      <c r="O794" s="13" t="n">
        <v>0.8767</v>
      </c>
      <c r="P794" s="13" t="n">
        <v>0.038876</v>
      </c>
      <c r="Q794" s="13" t="n">
        <v>0.022706</v>
      </c>
      <c r="R794" s="13" t="n">
        <v>0.01617</v>
      </c>
      <c r="S794" s="13" t="n">
        <v>0.3687</v>
      </c>
      <c r="T794" s="13" t="n">
        <v>0.139878</v>
      </c>
      <c r="U794" s="13" t="n">
        <v>0.209555</v>
      </c>
      <c r="V794" s="13" t="n">
        <v>-0.069677</v>
      </c>
      <c r="W794" s="13" t="n">
        <v>0.5997</v>
      </c>
      <c r="X794" s="13" t="n">
        <v>0.487772</v>
      </c>
      <c r="Y794" s="13" t="n">
        <v>0.354778</v>
      </c>
      <c r="Z794" s="13" t="n">
        <v>0.132994</v>
      </c>
      <c r="AA794" s="13" t="n">
        <v>0.4211</v>
      </c>
    </row>
    <row r="795">
      <c r="A795" s="6" t="inlineStr">
        <is>
          <t>2025-11-28</t>
        </is>
      </c>
      <c r="B795" s="6" t="inlineStr">
        <is>
          <t>中间分位</t>
        </is>
      </c>
      <c r="C795" s="10" t="n">
        <v>0.248</v>
      </c>
      <c r="D795" s="8" t="n">
        <v>0.007926000000000001</v>
      </c>
      <c r="E795" s="8" t="n">
        <v>0.000468</v>
      </c>
      <c r="F795" s="8" t="n">
        <v>0.007458</v>
      </c>
      <c r="G795" s="8" t="n">
        <v>0.0558</v>
      </c>
      <c r="H795" s="8" t="n">
        <v>-0.001583</v>
      </c>
      <c r="I795" s="8" t="n">
        <v>-0.027166</v>
      </c>
      <c r="J795" s="8" t="n">
        <v>0.025583</v>
      </c>
      <c r="K795" s="8" t="n">
        <v>0.9449</v>
      </c>
      <c r="L795" s="8" t="n">
        <v>0.000399</v>
      </c>
      <c r="M795" s="8" t="n">
        <v>-0.016862</v>
      </c>
      <c r="N795" s="8" t="n">
        <v>0.017261</v>
      </c>
      <c r="O795" s="8" t="n">
        <v>0.9769</v>
      </c>
      <c r="P795" s="8" t="n">
        <v>0.022189</v>
      </c>
      <c r="Q795" s="8" t="n">
        <v>0.012178</v>
      </c>
      <c r="R795" s="8" t="n">
        <v>0.010011</v>
      </c>
      <c r="S795" s="8" t="n">
        <v>0.3544</v>
      </c>
      <c r="T795" s="8" t="n">
        <v>0.211569</v>
      </c>
      <c r="U795" s="8" t="n">
        <v>0.195785</v>
      </c>
      <c r="V795" s="8" t="n">
        <v>0.015784</v>
      </c>
      <c r="W795" s="8" t="n">
        <v>0.4806</v>
      </c>
      <c r="X795" s="8" t="n">
        <v>0.50238</v>
      </c>
      <c r="Y795" s="8" t="n">
        <v>0.35363</v>
      </c>
      <c r="Z795" s="8" t="n">
        <v>0.14875</v>
      </c>
      <c r="AA795" s="8" t="n">
        <v>0.4131</v>
      </c>
    </row>
    <row r="796">
      <c r="A796" s="11" t="inlineStr">
        <is>
          <t>2025-12-01</t>
        </is>
      </c>
      <c r="B796" s="11" t="inlineStr">
        <is>
          <t>中间分位</t>
        </is>
      </c>
      <c r="C796" s="15" t="n">
        <v>0.296</v>
      </c>
      <c r="D796" s="13" t="n">
        <v>0.002358</v>
      </c>
      <c r="E796" s="13" t="n">
        <v>-0.001873</v>
      </c>
      <c r="F796" s="13" t="n">
        <v>0.004231</v>
      </c>
      <c r="G796" s="13" t="n">
        <v>0.4427</v>
      </c>
      <c r="H796" s="13" t="n">
        <v>-0.019656</v>
      </c>
      <c r="I796" s="13" t="n">
        <v>-0.022004</v>
      </c>
      <c r="J796" s="13" t="n">
        <v>0.002348</v>
      </c>
      <c r="K796" s="13" t="n">
        <v>0.5282</v>
      </c>
      <c r="L796" s="13" t="n">
        <v>-0.006684</v>
      </c>
      <c r="M796" s="13" t="n">
        <v>-0.005618</v>
      </c>
      <c r="N796" s="13" t="n">
        <v>-0.001066</v>
      </c>
      <c r="O796" s="13" t="n">
        <v>0.4567</v>
      </c>
      <c r="P796" s="13" t="n">
        <v>0.013759</v>
      </c>
      <c r="Q796" s="13" t="n">
        <v>0.011704</v>
      </c>
      <c r="R796" s="13" t="n">
        <v>0.002055</v>
      </c>
      <c r="S796" s="13" t="n">
        <v>0.4596</v>
      </c>
      <c r="T796" s="13" t="n">
        <v>0.204401</v>
      </c>
      <c r="U796" s="13" t="n">
        <v>0.164326</v>
      </c>
      <c r="V796" s="13" t="n">
        <v>0.040075</v>
      </c>
      <c r="W796" s="13" t="n">
        <v>0.4457</v>
      </c>
      <c r="X796" s="13" t="n">
        <v>0.498429</v>
      </c>
      <c r="Y796" s="13" t="n">
        <v>0.36985</v>
      </c>
      <c r="Z796" s="13" t="n">
        <v>0.128579</v>
      </c>
      <c r="AA796" s="13" t="n">
        <v>0.426</v>
      </c>
    </row>
    <row r="797">
      <c r="A797" s="6" t="inlineStr">
        <is>
          <t>2025-12-02</t>
        </is>
      </c>
      <c r="B797" s="6" t="inlineStr">
        <is>
          <t>中间分位</t>
        </is>
      </c>
      <c r="C797" s="10" t="n">
        <v>0.352</v>
      </c>
      <c r="D797" s="8" t="n">
        <v>0.001176</v>
      </c>
      <c r="E797" s="8" t="n">
        <v>-0.001876</v>
      </c>
      <c r="F797" s="8" t="n">
        <v>0.003052</v>
      </c>
      <c r="G797" s="8" t="n">
        <v>0.6147</v>
      </c>
      <c r="H797" s="8" t="n">
        <v>-0.016471</v>
      </c>
      <c r="I797" s="8" t="n">
        <v>-0.030957</v>
      </c>
      <c r="J797" s="8" t="n">
        <v>0.014486</v>
      </c>
      <c r="K797" s="8" t="n">
        <v>0.6526999999999999</v>
      </c>
      <c r="L797" s="8" t="n">
        <v>-0.010588</v>
      </c>
      <c r="M797" s="8" t="n">
        <v>-0.001407</v>
      </c>
      <c r="N797" s="8" t="n">
        <v>-0.009181</v>
      </c>
      <c r="O797" s="8" t="n">
        <v>0.1173</v>
      </c>
      <c r="P797" s="8" t="n">
        <v>0.013727</v>
      </c>
      <c r="Q797" s="8" t="n">
        <v>0.040807</v>
      </c>
      <c r="R797" s="8" t="n">
        <v>-0.02708</v>
      </c>
      <c r="S797" s="8" t="n">
        <v>0.7483</v>
      </c>
      <c r="T797" s="8" t="n">
        <v>0.176471</v>
      </c>
      <c r="U797" s="8" t="n">
        <v>0.212946</v>
      </c>
      <c r="V797" s="8" t="n">
        <v>-0.036475</v>
      </c>
      <c r="W797" s="8" t="n">
        <v>0.5468</v>
      </c>
      <c r="X797" s="8" t="n">
        <v>0.512155</v>
      </c>
      <c r="Y797" s="8" t="n">
        <v>0.349437</v>
      </c>
      <c r="Z797" s="8" t="n">
        <v>0.162718</v>
      </c>
      <c r="AA797" s="8" t="n">
        <v>0.4056</v>
      </c>
    </row>
    <row r="798">
      <c r="A798" s="11" t="inlineStr">
        <is>
          <t>2025-12-03</t>
        </is>
      </c>
      <c r="B798" s="11" t="inlineStr">
        <is>
          <t>中间分位</t>
        </is>
      </c>
      <c r="C798" s="15" t="n">
        <v>0.396</v>
      </c>
      <c r="D798" s="13" t="n">
        <v>-0.005875</v>
      </c>
      <c r="E798" s="13" t="n">
        <v>-0.007049</v>
      </c>
      <c r="F798" s="13" t="n">
        <v>0.001174</v>
      </c>
      <c r="G798" s="13" t="n">
        <v>0.5454</v>
      </c>
      <c r="H798" s="13" t="n">
        <v>-0.022327</v>
      </c>
      <c r="I798" s="13" t="n">
        <v>0.00047</v>
      </c>
      <c r="J798" s="13" t="n">
        <v>-0.022797</v>
      </c>
      <c r="K798" s="13" t="n">
        <v>0.0206</v>
      </c>
      <c r="L798" s="13" t="n">
        <v>-0.00666</v>
      </c>
      <c r="M798" s="13" t="n">
        <v>0.013158</v>
      </c>
      <c r="N798" s="13" t="n">
        <v>-0.019818</v>
      </c>
      <c r="O798" s="13" t="n">
        <v>0.6639</v>
      </c>
      <c r="P798" s="13" t="n">
        <v>0.034078</v>
      </c>
      <c r="Q798" s="13" t="n">
        <v>0.041353</v>
      </c>
      <c r="R798" s="13" t="n">
        <v>-0.007275</v>
      </c>
      <c r="S798" s="13" t="n">
        <v>0.5482</v>
      </c>
      <c r="T798" s="13" t="n">
        <v>0.219741</v>
      </c>
      <c r="U798" s="13" t="n">
        <v>0.329887</v>
      </c>
      <c r="V798" s="13" t="n">
        <v>-0.110146</v>
      </c>
      <c r="W798" s="13" t="n">
        <v>0.6002</v>
      </c>
      <c r="X798" s="13" t="n">
        <v>0.497847</v>
      </c>
      <c r="Y798" s="13" t="n">
        <v>0.365602</v>
      </c>
      <c r="Z798" s="13" t="n">
        <v>0.132245</v>
      </c>
      <c r="AA798" s="13" t="n">
        <v>0.4234</v>
      </c>
    </row>
    <row r="799">
      <c r="A799" s="6" t="inlineStr">
        <is>
          <t>2025-12-04</t>
        </is>
      </c>
      <c r="B799" s="6" t="inlineStr">
        <is>
          <t>中间分位</t>
        </is>
      </c>
      <c r="C799" s="10" t="n">
        <v>0.404</v>
      </c>
      <c r="D799" s="8" t="n">
        <v>-0.007092</v>
      </c>
      <c r="E799" s="8" t="n">
        <v>-0.017037</v>
      </c>
      <c r="F799" s="8" t="n">
        <v>0.009945000000000001</v>
      </c>
      <c r="G799" s="8" t="n">
        <v>0.7060999999999999</v>
      </c>
      <c r="H799" s="8" t="n">
        <v>-0.016548</v>
      </c>
      <c r="I799" s="8" t="n">
        <v>0.003313</v>
      </c>
      <c r="J799" s="8" t="n">
        <v>-0.019861</v>
      </c>
      <c r="K799" s="8" t="n">
        <v>0.1668</v>
      </c>
      <c r="L799" s="8" t="n">
        <v>0.005518</v>
      </c>
      <c r="M799" s="8" t="n">
        <v>0.028869</v>
      </c>
      <c r="N799" s="8" t="n">
        <v>-0.023351</v>
      </c>
      <c r="O799" s="8" t="n">
        <v>0.8395</v>
      </c>
      <c r="P799" s="8" t="n">
        <v>0.061466</v>
      </c>
      <c r="Q799" s="8" t="n">
        <v>0.048273</v>
      </c>
      <c r="R799" s="8" t="n">
        <v>0.013193</v>
      </c>
      <c r="S799" s="8" t="n">
        <v>0.4399</v>
      </c>
      <c r="T799" s="8" t="n">
        <v>0.382979</v>
      </c>
      <c r="U799" s="8" t="n">
        <v>0.206342</v>
      </c>
      <c r="V799" s="8" t="n">
        <v>0.176637</v>
      </c>
      <c r="W799" s="8" t="n">
        <v>0.3501</v>
      </c>
      <c r="X799" s="8" t="n">
        <v>0.519305</v>
      </c>
      <c r="Y799" s="8" t="n">
        <v>0.442972</v>
      </c>
      <c r="Z799" s="8" t="n">
        <v>0.076333</v>
      </c>
      <c r="AA799" s="8" t="n">
        <v>0.4603</v>
      </c>
    </row>
    <row r="800">
      <c r="A800" s="11" t="inlineStr">
        <is>
          <t>2025-12-05</t>
        </is>
      </c>
      <c r="B800" s="11" t="inlineStr">
        <is>
          <t>中间分位</t>
        </is>
      </c>
      <c r="C800" s="15" t="n">
        <v>0.48</v>
      </c>
      <c r="D800" s="13" t="n">
        <v>-0.010319</v>
      </c>
      <c r="E800" s="13" t="n">
        <v>0.005778</v>
      </c>
      <c r="F800" s="13" t="n">
        <v>-0.016097</v>
      </c>
      <c r="G800" s="13" t="n">
        <v>0.3589</v>
      </c>
      <c r="H800" s="13" t="n">
        <v>0.001986</v>
      </c>
      <c r="I800" s="13" t="n">
        <v>0.010592</v>
      </c>
      <c r="J800" s="13" t="n">
        <v>-0.008606000000000001</v>
      </c>
      <c r="K800" s="13" t="n">
        <v>0.8421</v>
      </c>
      <c r="L800" s="13" t="n">
        <v>0.027381</v>
      </c>
      <c r="M800" s="13" t="n">
        <v>0.034184</v>
      </c>
      <c r="N800" s="13" t="n">
        <v>-0.006803</v>
      </c>
      <c r="O800" s="13" t="n">
        <v>0.5553</v>
      </c>
      <c r="P800" s="13" t="n">
        <v>0.059129</v>
      </c>
      <c r="Q800" s="13" t="n">
        <v>0.103996</v>
      </c>
      <c r="R800" s="13" t="n">
        <v>-0.044867</v>
      </c>
      <c r="S800" s="13" t="n">
        <v>0.6375</v>
      </c>
      <c r="T800" s="13" t="n">
        <v>0.234919</v>
      </c>
      <c r="U800" s="13" t="n">
        <v>0.27973</v>
      </c>
      <c r="V800" s="13" t="n">
        <v>-0.044811</v>
      </c>
      <c r="W800" s="13" t="n">
        <v>0.5435</v>
      </c>
      <c r="X800" s="13" t="n">
        <v>0.6</v>
      </c>
      <c r="Y800" s="13" t="n">
        <v>0.426577</v>
      </c>
      <c r="Z800" s="13" t="n">
        <v>0.173423</v>
      </c>
      <c r="AA800" s="13" t="n">
        <v>0.4155</v>
      </c>
    </row>
    <row r="801">
      <c r="A801" s="6" t="inlineStr">
        <is>
          <t>2025-12-08</t>
        </is>
      </c>
      <c r="B801" s="6" t="inlineStr">
        <is>
          <t>中间分位</t>
        </is>
      </c>
      <c r="C801" s="10" t="n">
        <v>0.324</v>
      </c>
      <c r="D801" s="8" t="n">
        <v>0.005615</v>
      </c>
      <c r="E801" s="8" t="n">
        <v>-0.01101</v>
      </c>
      <c r="F801" s="8" t="n">
        <v>0.016625</v>
      </c>
      <c r="G801" s="8" t="n">
        <v>0.6623</v>
      </c>
      <c r="H801" s="8" t="n">
        <v>0.013232</v>
      </c>
      <c r="I801" s="8" t="n">
        <v>0.016754</v>
      </c>
      <c r="J801" s="8" t="n">
        <v>-0.003522</v>
      </c>
      <c r="K801" s="8" t="n">
        <v>0.5587</v>
      </c>
      <c r="L801" s="8" t="n">
        <v>0.029673</v>
      </c>
      <c r="M801" s="8" t="n">
        <v>0.031594</v>
      </c>
      <c r="N801" s="8" t="n">
        <v>-0.001921</v>
      </c>
      <c r="O801" s="8" t="n">
        <v>0.5157</v>
      </c>
      <c r="P801" s="8" t="n">
        <v>0.095832</v>
      </c>
      <c r="Q801" s="8" t="n">
        <v>0.08520800000000001</v>
      </c>
      <c r="R801" s="8" t="n">
        <v>0.010624</v>
      </c>
      <c r="S801" s="8" t="n">
        <v>0.4707</v>
      </c>
      <c r="T801" s="8" t="n">
        <v>0.300722</v>
      </c>
      <c r="U801" s="8" t="n">
        <v>0.304931</v>
      </c>
      <c r="V801" s="8" t="n">
        <v>-0.004209</v>
      </c>
      <c r="W801" s="8" t="n">
        <v>0.5034999999999999</v>
      </c>
      <c r="X801" s="8" t="n">
        <v>0.581399</v>
      </c>
      <c r="Y801" s="8" t="n">
        <v>0.42269</v>
      </c>
      <c r="Z801" s="8" t="n">
        <v>0.158709</v>
      </c>
      <c r="AA801" s="8" t="n">
        <v>0.421</v>
      </c>
    </row>
    <row r="802">
      <c r="A802" s="11" t="inlineStr">
        <is>
          <t>2025-12-09</t>
        </is>
      </c>
      <c r="B802" s="11" t="inlineStr">
        <is>
          <t>中间分位</t>
        </is>
      </c>
      <c r="C802" s="15" t="n">
        <v>0.496</v>
      </c>
      <c r="D802" s="13" t="n">
        <v>-0.004785</v>
      </c>
      <c r="E802" s="13" t="n">
        <v>0.030494</v>
      </c>
      <c r="F802" s="13" t="n">
        <v>-0.035279</v>
      </c>
      <c r="G802" s="13" t="n">
        <v>0.8643999999999999</v>
      </c>
      <c r="H802" s="13" t="n">
        <v>0.005981</v>
      </c>
      <c r="I802" s="13" t="n">
        <v>0.030494</v>
      </c>
      <c r="J802" s="13" t="n">
        <v>-0.024513</v>
      </c>
      <c r="K802" s="13" t="n">
        <v>0.836</v>
      </c>
      <c r="L802" s="13" t="n">
        <v>0.023923</v>
      </c>
      <c r="M802" s="13" t="n">
        <v>0.043562</v>
      </c>
      <c r="N802" s="13" t="n">
        <v>-0.019639</v>
      </c>
      <c r="O802" s="13" t="n">
        <v>0.6455</v>
      </c>
      <c r="P802" s="13" t="n">
        <v>0.089713</v>
      </c>
      <c r="Q802" s="13" t="n">
        <v>0.079864</v>
      </c>
      <c r="R802" s="13" t="n">
        <v>0.009849</v>
      </c>
      <c r="S802" s="13" t="n">
        <v>0.471</v>
      </c>
      <c r="T802" s="13" t="n">
        <v>0.315789</v>
      </c>
      <c r="U802" s="13" t="n">
        <v>0.357696</v>
      </c>
      <c r="V802" s="13" t="n">
        <v>-0.041907</v>
      </c>
      <c r="W802" s="13" t="n">
        <v>0.5311</v>
      </c>
      <c r="X802" s="13" t="n">
        <v>0.606062</v>
      </c>
      <c r="Y802" s="13" t="n">
        <v>0.464182</v>
      </c>
      <c r="Z802" s="13" t="n">
        <v>0.14188</v>
      </c>
      <c r="AA802" s="13" t="n">
        <v>0.4337</v>
      </c>
    </row>
    <row r="803">
      <c r="A803" s="6" t="inlineStr">
        <is>
          <t>2025-12-10</t>
        </is>
      </c>
      <c r="B803" s="6" t="inlineStr">
        <is>
          <t>中间分位</t>
        </is>
      </c>
      <c r="C803" s="10" t="n">
        <v>0.192</v>
      </c>
      <c r="D803" s="8" t="n">
        <v>0</v>
      </c>
      <c r="E803" s="8" t="n">
        <v>-0.004227</v>
      </c>
      <c r="F803" s="8" t="n">
        <v>0.004227</v>
      </c>
      <c r="G803" s="8" t="n">
        <v>1</v>
      </c>
      <c r="H803" s="8" t="n">
        <v>0.016024</v>
      </c>
      <c r="I803" s="8" t="n">
        <v>0.012682</v>
      </c>
      <c r="J803" s="8" t="n">
        <v>0.003342</v>
      </c>
      <c r="K803" s="8" t="n">
        <v>0.4418</v>
      </c>
      <c r="L803" s="8" t="n">
        <v>0.034053</v>
      </c>
      <c r="M803" s="8" t="n">
        <v>0.020197</v>
      </c>
      <c r="N803" s="8" t="n">
        <v>0.013856</v>
      </c>
      <c r="O803" s="8" t="n">
        <v>0.3723</v>
      </c>
      <c r="P803" s="8" t="n">
        <v>0.077322</v>
      </c>
      <c r="Q803" s="8" t="n">
        <v>0.067637</v>
      </c>
      <c r="R803" s="8" t="n">
        <v>0.009684999999999999</v>
      </c>
      <c r="S803" s="8" t="n">
        <v>0.4666</v>
      </c>
      <c r="T803" s="8" t="n">
        <v>0.361779</v>
      </c>
      <c r="U803" s="8" t="n">
        <v>0.33255</v>
      </c>
      <c r="V803" s="8" t="n">
        <v>0.029229</v>
      </c>
      <c r="W803" s="8" t="n">
        <v>0.479</v>
      </c>
      <c r="X803" s="8" t="n">
        <v>0.654649</v>
      </c>
      <c r="Y803" s="8" t="n">
        <v>0.413809</v>
      </c>
      <c r="Z803" s="8" t="n">
        <v>0.24084</v>
      </c>
      <c r="AA803" s="8" t="n">
        <v>0.3873</v>
      </c>
    </row>
    <row r="804">
      <c r="A804" s="11" t="inlineStr">
        <is>
          <t>2025-12-11</t>
        </is>
      </c>
      <c r="B804" s="11" t="inlineStr">
        <is>
          <t>中间分位</t>
        </is>
      </c>
      <c r="C804" s="15" t="n">
        <v>0.216</v>
      </c>
      <c r="D804" s="13" t="n">
        <v>0.01162</v>
      </c>
      <c r="E804" s="13" t="n">
        <v>-0.009906</v>
      </c>
      <c r="F804" s="13" t="n">
        <v>0.021526</v>
      </c>
      <c r="G804" s="13" t="n">
        <v>0.4602</v>
      </c>
      <c r="H804" s="13" t="n">
        <v>0.022438</v>
      </c>
      <c r="I804" s="13" t="n">
        <v>0.025472</v>
      </c>
      <c r="J804" s="13" t="n">
        <v>-0.003034</v>
      </c>
      <c r="K804" s="13" t="n">
        <v>0.5317</v>
      </c>
      <c r="L804" s="13" t="n">
        <v>0.038462</v>
      </c>
      <c r="M804" s="13" t="n">
        <v>0.019811</v>
      </c>
      <c r="N804" s="13" t="n">
        <v>0.018651</v>
      </c>
      <c r="O804" s="13" t="n">
        <v>0.34</v>
      </c>
      <c r="P804" s="13" t="n">
        <v>0.089341</v>
      </c>
      <c r="Q804" s="13" t="n">
        <v>0.067453</v>
      </c>
      <c r="R804" s="13" t="n">
        <v>0.021888</v>
      </c>
      <c r="S804" s="13" t="n">
        <v>0.4302</v>
      </c>
      <c r="T804" s="13" t="n">
        <v>0.365784</v>
      </c>
      <c r="U804" s="13" t="n">
        <v>0.342925</v>
      </c>
      <c r="V804" s="13" t="n">
        <v>0.022859</v>
      </c>
      <c r="W804" s="13" t="n">
        <v>0.4839</v>
      </c>
      <c r="X804" s="13" t="n">
        <v>0.657053</v>
      </c>
      <c r="Y804" s="13" t="n">
        <v>0.306604</v>
      </c>
      <c r="Z804" s="13" t="n">
        <v>0.350449</v>
      </c>
      <c r="AA804" s="13" t="n">
        <v>0.3182</v>
      </c>
    </row>
    <row r="805">
      <c r="A805" s="6" t="inlineStr">
        <is>
          <t>2025-12-12</t>
        </is>
      </c>
      <c r="B805" s="6" t="inlineStr">
        <is>
          <t>中间分位</t>
        </is>
      </c>
      <c r="C805" s="10" t="n">
        <v>0.412</v>
      </c>
      <c r="D805" s="8" t="n">
        <v>0.000789</v>
      </c>
      <c r="E805" s="8" t="n">
        <v>0.01191</v>
      </c>
      <c r="F805" s="8" t="n">
        <v>-0.011121</v>
      </c>
      <c r="G805" s="8" t="n">
        <v>0.9379</v>
      </c>
      <c r="H805" s="8" t="n">
        <v>0.025345</v>
      </c>
      <c r="I805" s="8" t="n">
        <v>0.023344</v>
      </c>
      <c r="J805" s="8" t="n">
        <v>0.002001</v>
      </c>
      <c r="K805" s="8" t="n">
        <v>0.4795</v>
      </c>
      <c r="L805" s="8" t="n">
        <v>0.021781</v>
      </c>
      <c r="M805" s="8" t="n">
        <v>0.029538</v>
      </c>
      <c r="N805" s="8" t="n">
        <v>-0.007757</v>
      </c>
      <c r="O805" s="8" t="n">
        <v>0.5756</v>
      </c>
      <c r="P805" s="8" t="n">
        <v>0.07088800000000001</v>
      </c>
      <c r="Q805" s="8" t="n">
        <v>0.07813199999999999</v>
      </c>
      <c r="R805" s="8" t="n">
        <v>-0.007244</v>
      </c>
      <c r="S805" s="8" t="n">
        <v>0.5243</v>
      </c>
      <c r="T805" s="8" t="n">
        <v>0.363165</v>
      </c>
      <c r="U805" s="8" t="n">
        <v>0.387327</v>
      </c>
      <c r="V805" s="8" t="n">
        <v>-0.024162</v>
      </c>
      <c r="W805" s="8" t="n">
        <v>0.5161</v>
      </c>
      <c r="X805" s="8" t="n">
        <v>0.511285</v>
      </c>
      <c r="Y805" s="8" t="n">
        <v>0.278704</v>
      </c>
      <c r="Z805" s="8" t="n">
        <v>0.232581</v>
      </c>
      <c r="AA805" s="8" t="n">
        <v>0.3528</v>
      </c>
    </row>
    <row r="806">
      <c r="A806" s="11" t="inlineStr">
        <is>
          <t>2025-12-15</t>
        </is>
      </c>
      <c r="B806" s="11" t="inlineStr">
        <is>
          <t>中间分位</t>
        </is>
      </c>
      <c r="C806" s="15" t="n">
        <v>0.268</v>
      </c>
      <c r="D806" s="13" t="n">
        <v>-0.001581</v>
      </c>
      <c r="E806" s="13" t="n">
        <v>0.002354</v>
      </c>
      <c r="F806" s="13" t="n">
        <v>-0.003935</v>
      </c>
      <c r="G806" s="13" t="n">
        <v>0.5982</v>
      </c>
      <c r="H806" s="13" t="n">
        <v>0.016226</v>
      </c>
      <c r="I806" s="13" t="n">
        <v>0.014595</v>
      </c>
      <c r="J806" s="13" t="n">
        <v>0.001631</v>
      </c>
      <c r="K806" s="13" t="n">
        <v>0.4735</v>
      </c>
      <c r="L806" s="13" t="n">
        <v>0.020581</v>
      </c>
      <c r="M806" s="13" t="n">
        <v>0.01742</v>
      </c>
      <c r="N806" s="13" t="n">
        <v>0.003161</v>
      </c>
      <c r="O806" s="13" t="n">
        <v>0.4584</v>
      </c>
      <c r="P806" s="13" t="n">
        <v>0.065694</v>
      </c>
      <c r="Q806" s="13" t="n">
        <v>0.077213</v>
      </c>
      <c r="R806" s="13" t="n">
        <v>-0.011519</v>
      </c>
      <c r="S806" s="13" t="n">
        <v>0.5403</v>
      </c>
      <c r="T806" s="13" t="n">
        <v>0.402454</v>
      </c>
      <c r="U806" s="13" t="n">
        <v>0.498117</v>
      </c>
      <c r="V806" s="13" t="n">
        <v>-0.095663</v>
      </c>
      <c r="W806" s="13" t="n">
        <v>0.5531</v>
      </c>
      <c r="X806" s="13" t="n">
        <v>0.485557</v>
      </c>
      <c r="Y806" s="13" t="n">
        <v>0.230697</v>
      </c>
      <c r="Z806" s="13" t="n">
        <v>0.25486</v>
      </c>
      <c r="AA806" s="13" t="n">
        <v>0.3221</v>
      </c>
    </row>
    <row r="807">
      <c r="A807" s="6" t="inlineStr">
        <is>
          <t>2025-12-16</t>
        </is>
      </c>
      <c r="B807" s="6" t="inlineStr">
        <is>
          <t>中间分位</t>
        </is>
      </c>
      <c r="C807" s="10" t="n">
        <v>0.248</v>
      </c>
      <c r="D807" s="8" t="n">
        <v>0.005151</v>
      </c>
      <c r="E807" s="8" t="n">
        <v>0.012682</v>
      </c>
      <c r="F807" s="8" t="n">
        <v>-0.007531</v>
      </c>
      <c r="G807" s="8" t="n">
        <v>0.7112000000000001</v>
      </c>
      <c r="H807" s="8" t="n">
        <v>0.017836</v>
      </c>
      <c r="I807" s="8" t="n">
        <v>0.012682</v>
      </c>
      <c r="J807" s="8" t="n">
        <v>0.005154</v>
      </c>
      <c r="K807" s="8" t="n">
        <v>0.4156</v>
      </c>
      <c r="L807" s="8" t="n">
        <v>0.024576</v>
      </c>
      <c r="M807" s="8" t="n">
        <v>0.042273</v>
      </c>
      <c r="N807" s="8" t="n">
        <v>-0.017697</v>
      </c>
      <c r="O807" s="8" t="n">
        <v>0.6324</v>
      </c>
      <c r="P807" s="8" t="n">
        <v>0.079272</v>
      </c>
      <c r="Q807" s="8" t="n">
        <v>0.067637</v>
      </c>
      <c r="R807" s="8" t="n">
        <v>0.011635</v>
      </c>
      <c r="S807" s="8" t="n">
        <v>0.4604</v>
      </c>
      <c r="T807" s="8" t="n">
        <v>0.507729</v>
      </c>
      <c r="U807" s="8" t="n">
        <v>0.471113</v>
      </c>
      <c r="V807" s="8" t="n">
        <v>0.036616</v>
      </c>
      <c r="W807" s="8" t="n">
        <v>0.4813</v>
      </c>
      <c r="X807" s="8" t="n">
        <v>0.432423</v>
      </c>
      <c r="Y807" s="8" t="n">
        <v>0.205261</v>
      </c>
      <c r="Z807" s="8" t="n">
        <v>0.227162</v>
      </c>
      <c r="AA807" s="8" t="n">
        <v>0.3219</v>
      </c>
    </row>
    <row r="808">
      <c r="A808" s="11" t="inlineStr">
        <is>
          <t>2025-12-17</t>
        </is>
      </c>
      <c r="B808" s="11" t="inlineStr">
        <is>
          <t>中间分位</t>
        </is>
      </c>
      <c r="C808" s="15" t="n">
        <v>0.216</v>
      </c>
      <c r="D808" s="13" t="n">
        <v>0.006312</v>
      </c>
      <c r="E808" s="13" t="n">
        <v>0.008349000000000001</v>
      </c>
      <c r="F808" s="13" t="n">
        <v>-0.002037</v>
      </c>
      <c r="G808" s="13" t="n">
        <v>0.5695</v>
      </c>
      <c r="H808" s="13" t="n">
        <v>0.017745</v>
      </c>
      <c r="I808" s="13" t="n">
        <v>0.007421</v>
      </c>
      <c r="J808" s="13" t="n">
        <v>0.010324</v>
      </c>
      <c r="K808" s="13" t="n">
        <v>0.2949</v>
      </c>
      <c r="L808" s="13" t="n">
        <v>0.041011</v>
      </c>
      <c r="M808" s="13" t="n">
        <v>0.027829</v>
      </c>
      <c r="N808" s="13" t="n">
        <v>0.013182</v>
      </c>
      <c r="O808" s="13" t="n">
        <v>0.4043</v>
      </c>
      <c r="P808" s="13" t="n">
        <v>0.065063</v>
      </c>
      <c r="Q808" s="13" t="n">
        <v>0.038497</v>
      </c>
      <c r="R808" s="13" t="n">
        <v>0.026566</v>
      </c>
      <c r="S808" s="13" t="n">
        <v>0.3717</v>
      </c>
      <c r="T808" s="13" t="n">
        <v>0.485807</v>
      </c>
      <c r="U808" s="13" t="n">
        <v>0.554267</v>
      </c>
      <c r="V808" s="13" t="n">
        <v>-0.06845999999999999</v>
      </c>
      <c r="W808" s="13" t="n">
        <v>0.5329</v>
      </c>
      <c r="X808" s="13" t="n">
        <v>0.38013</v>
      </c>
      <c r="Y808" s="13" t="n">
        <v>0.172542</v>
      </c>
      <c r="Z808" s="13" t="n">
        <v>0.207588</v>
      </c>
      <c r="AA808" s="13" t="n">
        <v>0.3122</v>
      </c>
    </row>
    <row r="809">
      <c r="A809" s="6" t="inlineStr">
        <is>
          <t>2025-12-18</t>
        </is>
      </c>
      <c r="B809" s="6" t="inlineStr">
        <is>
          <t>中间分位</t>
        </is>
      </c>
      <c r="C809" s="10" t="n">
        <v>0.204</v>
      </c>
      <c r="D809" s="8" t="n">
        <v>0.014497</v>
      </c>
      <c r="E809" s="8" t="n">
        <v>-0.01196</v>
      </c>
      <c r="F809" s="8" t="n">
        <v>0.026457</v>
      </c>
      <c r="G809" s="8" t="n">
        <v>0.4521</v>
      </c>
      <c r="H809" s="8" t="n">
        <v>0.015672</v>
      </c>
      <c r="I809" s="8" t="n">
        <v>-0.00552</v>
      </c>
      <c r="J809" s="8" t="n">
        <v>0.021192</v>
      </c>
      <c r="K809" s="8" t="n">
        <v>0.2605</v>
      </c>
      <c r="L809" s="8" t="n">
        <v>0.055641</v>
      </c>
      <c r="M809" s="8" t="n">
        <v>0.018859</v>
      </c>
      <c r="N809" s="8" t="n">
        <v>0.036782</v>
      </c>
      <c r="O809" s="8" t="n">
        <v>0.2531</v>
      </c>
      <c r="P809" s="8" t="n">
        <v>0.043886</v>
      </c>
      <c r="Q809" s="8" t="n">
        <v>0.017479</v>
      </c>
      <c r="R809" s="8" t="n">
        <v>0.026407</v>
      </c>
      <c r="S809" s="8" t="n">
        <v>0.2848</v>
      </c>
      <c r="T809" s="8" t="n">
        <v>0.580325</v>
      </c>
      <c r="U809" s="8" t="n">
        <v>0.443882</v>
      </c>
      <c r="V809" s="8" t="n">
        <v>0.136443</v>
      </c>
      <c r="W809" s="8" t="n">
        <v>0.4334</v>
      </c>
      <c r="X809" s="8" t="n">
        <v>0.338557</v>
      </c>
      <c r="Y809" s="8" t="n">
        <v>0.146734</v>
      </c>
      <c r="Z809" s="8" t="n">
        <v>0.191823</v>
      </c>
      <c r="AA809" s="8" t="n">
        <v>0.3024</v>
      </c>
    </row>
    <row r="810">
      <c r="A810" s="11" t="inlineStr">
        <is>
          <t>2025-12-19</t>
        </is>
      </c>
      <c r="B810" s="11" t="inlineStr">
        <is>
          <t>中间分位</t>
        </is>
      </c>
      <c r="C810" s="15" t="n">
        <v>0.416</v>
      </c>
      <c r="D810" s="13" t="n">
        <v>-0.008111</v>
      </c>
      <c r="E810" s="13" t="n">
        <v>0.003259</v>
      </c>
      <c r="F810" s="13" t="n">
        <v>-0.01137</v>
      </c>
      <c r="G810" s="13" t="n">
        <v>0.2866</v>
      </c>
      <c r="H810" s="13" t="n">
        <v>-0.003476</v>
      </c>
      <c r="I810" s="13" t="n">
        <v>0.006052</v>
      </c>
      <c r="J810" s="13" t="n">
        <v>-0.009528</v>
      </c>
      <c r="K810" s="13" t="n">
        <v>0.6352</v>
      </c>
      <c r="L810" s="13" t="n">
        <v>0.030902</v>
      </c>
      <c r="M810" s="13" t="n">
        <v>0.067505</v>
      </c>
      <c r="N810" s="13" t="n">
        <v>-0.036603</v>
      </c>
      <c r="O810" s="13" t="n">
        <v>0.6860000000000001</v>
      </c>
      <c r="P810" s="13" t="n">
        <v>0.028195</v>
      </c>
      <c r="Q810" s="13" t="n">
        <v>0.027002</v>
      </c>
      <c r="R810" s="13" t="n">
        <v>0.001193</v>
      </c>
      <c r="S810" s="13" t="n">
        <v>0.4892</v>
      </c>
      <c r="T810" s="13" t="n">
        <v>0.469293</v>
      </c>
      <c r="U810" s="13" t="n">
        <v>0.438082</v>
      </c>
      <c r="V810" s="13" t="n">
        <v>0.031211</v>
      </c>
      <c r="W810" s="13" t="n">
        <v>0.4828</v>
      </c>
      <c r="X810" s="13" t="n">
        <v>0.28737</v>
      </c>
      <c r="Y810" s="13" t="n">
        <v>0.144786</v>
      </c>
      <c r="Z810" s="13" t="n">
        <v>0.142584</v>
      </c>
      <c r="AA810" s="13" t="n">
        <v>0.335</v>
      </c>
    </row>
    <row r="811">
      <c r="A811" s="6" t="inlineStr">
        <is>
          <t>2025-12-22</t>
        </is>
      </c>
      <c r="B811" s="6" t="inlineStr">
        <is>
          <t>中间分位</t>
        </is>
      </c>
      <c r="C811" s="10" t="n">
        <v>0.304</v>
      </c>
      <c r="D811" s="8" t="n">
        <v>0</v>
      </c>
      <c r="E811" s="8" t="n">
        <v>0.000464</v>
      </c>
      <c r="F811" s="8" t="n">
        <v>-0.000464</v>
      </c>
      <c r="G811" s="8" t="n">
        <v>1</v>
      </c>
      <c r="H811" s="8" t="n">
        <v>0.004285</v>
      </c>
      <c r="I811" s="8" t="n">
        <v>0.002784</v>
      </c>
      <c r="J811" s="8" t="n">
        <v>0.001501</v>
      </c>
      <c r="K811" s="8" t="n">
        <v>0.3938</v>
      </c>
      <c r="L811" s="8" t="n">
        <v>0.064252</v>
      </c>
      <c r="M811" s="8" t="n">
        <v>0.051972</v>
      </c>
      <c r="N811" s="8" t="n">
        <v>0.01228</v>
      </c>
      <c r="O811" s="8" t="n">
        <v>0.4472</v>
      </c>
      <c r="P811" s="8" t="n">
        <v>0.030374</v>
      </c>
      <c r="Q811" s="8" t="n">
        <v>0.025058</v>
      </c>
      <c r="R811" s="8" t="n">
        <v>0.005316</v>
      </c>
      <c r="S811" s="8" t="n">
        <v>0.452</v>
      </c>
      <c r="T811" s="8" t="n">
        <v>0.462617</v>
      </c>
      <c r="U811" s="8" t="n">
        <v>0.485847</v>
      </c>
      <c r="V811" s="8" t="n">
        <v>-0.02323</v>
      </c>
      <c r="W811" s="8" t="n">
        <v>0.5122</v>
      </c>
      <c r="X811" s="8" t="n">
        <v>0.260514</v>
      </c>
      <c r="Y811" s="8" t="n">
        <v>0.127146</v>
      </c>
      <c r="Z811" s="8" t="n">
        <v>0.133368</v>
      </c>
      <c r="AA811" s="8" t="n">
        <v>0.328</v>
      </c>
    </row>
    <row r="812">
      <c r="A812" s="11" t="inlineStr">
        <is>
          <t>2025-12-23</t>
        </is>
      </c>
      <c r="B812" s="11" t="inlineStr">
        <is>
          <t>中间分位</t>
        </is>
      </c>
      <c r="C812" s="15" t="n">
        <v>0.284</v>
      </c>
      <c r="D812" s="13" t="n">
        <v>0.005061</v>
      </c>
      <c r="E812" s="13" t="n">
        <v>0.007421</v>
      </c>
      <c r="F812" s="13" t="n">
        <v>-0.00236</v>
      </c>
      <c r="G812" s="13" t="n">
        <v>0.5945</v>
      </c>
      <c r="H812" s="13" t="n">
        <v>0.006621</v>
      </c>
      <c r="I812" s="13" t="n">
        <v>0.029221</v>
      </c>
      <c r="J812" s="13" t="n">
        <v>-0.0226</v>
      </c>
      <c r="K812" s="13" t="n">
        <v>0.8153</v>
      </c>
      <c r="L812" s="13" t="n">
        <v>0.064252</v>
      </c>
      <c r="M812" s="13" t="n">
        <v>0.034787</v>
      </c>
      <c r="N812" s="13" t="n">
        <v>0.029465</v>
      </c>
      <c r="O812" s="13" t="n">
        <v>0.3512</v>
      </c>
      <c r="P812" s="13" t="n">
        <v>0.036603</v>
      </c>
      <c r="Q812" s="13" t="n">
        <v>0.048237</v>
      </c>
      <c r="R812" s="13" t="n">
        <v>-0.011634</v>
      </c>
      <c r="S812" s="13" t="n">
        <v>0.5686</v>
      </c>
      <c r="T812" s="13" t="n">
        <v>0.5358270000000001</v>
      </c>
      <c r="U812" s="13" t="n">
        <v>0.528757</v>
      </c>
      <c r="V812" s="13" t="n">
        <v>0.00707</v>
      </c>
      <c r="W812" s="13" t="n">
        <v>0.4967</v>
      </c>
      <c r="X812" s="13" t="n">
        <v>0.267911</v>
      </c>
      <c r="Y812" s="13" t="n">
        <v>0.127087</v>
      </c>
      <c r="Z812" s="13" t="n">
        <v>0.140824</v>
      </c>
      <c r="AA812" s="13" t="n">
        <v>0.3217</v>
      </c>
    </row>
    <row r="813">
      <c r="A813" s="6" t="inlineStr">
        <is>
          <t>2025-12-24</t>
        </is>
      </c>
      <c r="B813" s="6" t="inlineStr">
        <is>
          <t>中间分位</t>
        </is>
      </c>
      <c r="C813" s="10" t="n">
        <v>0.26</v>
      </c>
      <c r="D813" s="8" t="n">
        <v>0.004263</v>
      </c>
      <c r="E813" s="8" t="n">
        <v>-0.004604</v>
      </c>
      <c r="F813" s="8" t="n">
        <v>0.008867</v>
      </c>
      <c r="G813" s="8" t="n">
        <v>0.5192</v>
      </c>
      <c r="H813" s="8" t="n">
        <v>0.022861</v>
      </c>
      <c r="I813" s="8" t="n">
        <v>0.020258</v>
      </c>
      <c r="J813" s="8" t="n">
        <v>0.002603</v>
      </c>
      <c r="K813" s="8" t="n">
        <v>0.4698</v>
      </c>
      <c r="L813" s="8" t="n">
        <v>0.041844</v>
      </c>
      <c r="M813" s="8" t="n">
        <v>0.046501</v>
      </c>
      <c r="N813" s="8" t="n">
        <v>-0.004657</v>
      </c>
      <c r="O813" s="8" t="n">
        <v>0.5264</v>
      </c>
      <c r="P813" s="8" t="n">
        <v>0.03487</v>
      </c>
      <c r="Q813" s="8" t="n">
        <v>0.058011</v>
      </c>
      <c r="R813" s="8" t="n">
        <v>-0.023141</v>
      </c>
      <c r="S813" s="8" t="n">
        <v>0.6246</v>
      </c>
      <c r="T813" s="8" t="n">
        <v>0.5900840000000001</v>
      </c>
      <c r="U813" s="8" t="n">
        <v>0.528085</v>
      </c>
      <c r="V813" s="8" t="n">
        <v>0.061999</v>
      </c>
      <c r="W813" s="8" t="n">
        <v>0.4723</v>
      </c>
      <c r="X813" s="8" t="n">
        <v>0.288651</v>
      </c>
      <c r="Y813" s="8" t="n">
        <v>0.132597</v>
      </c>
      <c r="Z813" s="8" t="n">
        <v>0.156054</v>
      </c>
      <c r="AA813" s="8" t="n">
        <v>0.3148</v>
      </c>
    </row>
    <row r="814">
      <c r="A814" s="11" t="inlineStr">
        <is>
          <t>2025-12-25</t>
        </is>
      </c>
      <c r="B814" s="11" t="inlineStr">
        <is>
          <t>中间分位</t>
        </is>
      </c>
      <c r="C814" s="15" t="n">
        <v>0.364</v>
      </c>
      <c r="D814" s="13" t="n">
        <v>-0.00463</v>
      </c>
      <c r="E814" s="13" t="n">
        <v>-0.000463</v>
      </c>
      <c r="F814" s="13" t="n">
        <v>-0.004167</v>
      </c>
      <c r="G814" s="13" t="n">
        <v>0.09089999999999999</v>
      </c>
      <c r="H814" s="13" t="n">
        <v>0.039352</v>
      </c>
      <c r="I814" s="13" t="n">
        <v>0.024514</v>
      </c>
      <c r="J814" s="13" t="n">
        <v>0.014838</v>
      </c>
      <c r="K814" s="13" t="n">
        <v>0.3838</v>
      </c>
      <c r="L814" s="13" t="n">
        <v>0.048995</v>
      </c>
      <c r="M814" s="13" t="n">
        <v>0.046716</v>
      </c>
      <c r="N814" s="13" t="n">
        <v>0.002279</v>
      </c>
      <c r="O814" s="13" t="n">
        <v>0.4881</v>
      </c>
      <c r="P814" s="13" t="n">
        <v>0.057097</v>
      </c>
      <c r="Q814" s="13" t="n">
        <v>0.08556900000000001</v>
      </c>
      <c r="R814" s="13" t="n">
        <v>-0.028472</v>
      </c>
      <c r="S814" s="13" t="n">
        <v>0.5998</v>
      </c>
      <c r="T814" s="13" t="n">
        <v>0.6018520000000001</v>
      </c>
      <c r="U814" s="13" t="n">
        <v>0.493525</v>
      </c>
      <c r="V814" s="13" t="n">
        <v>0.108327</v>
      </c>
      <c r="W814" s="13" t="n">
        <v>0.4506</v>
      </c>
      <c r="X814" s="13" t="n">
        <v>0.302468</v>
      </c>
      <c r="Y814" s="13" t="n">
        <v>0.123034</v>
      </c>
      <c r="Z814" s="13" t="n">
        <v>0.179434</v>
      </c>
      <c r="AA814" s="13" t="n">
        <v>0.2892</v>
      </c>
    </row>
    <row r="815">
      <c r="A815" s="6" t="inlineStr">
        <is>
          <t>2025-12-26</t>
        </is>
      </c>
      <c r="B815" s="6" t="inlineStr">
        <is>
          <t>中间分位</t>
        </is>
      </c>
      <c r="C815" s="10" t="n">
        <v>0.328</v>
      </c>
      <c r="D815" s="8" t="n">
        <v>-0.000386</v>
      </c>
      <c r="E815" s="8" t="n">
        <v>0</v>
      </c>
      <c r="F815" s="8" t="n">
        <v>-0.000386</v>
      </c>
      <c r="G815" s="8" t="n">
        <v>0</v>
      </c>
      <c r="H815" s="8" t="n">
        <v>0.034498</v>
      </c>
      <c r="I815" s="8" t="n">
        <v>0.061083</v>
      </c>
      <c r="J815" s="8" t="n">
        <v>-0.026585</v>
      </c>
      <c r="K815" s="8" t="n">
        <v>0.6391</v>
      </c>
      <c r="L815" s="8" t="n">
        <v>0.04806</v>
      </c>
      <c r="M815" s="8" t="n">
        <v>0.0472</v>
      </c>
      <c r="N815" s="8" t="n">
        <v>0.00086</v>
      </c>
      <c r="O815" s="8" t="n">
        <v>0.4955</v>
      </c>
      <c r="P815" s="8" t="n">
        <v>0.07674400000000001</v>
      </c>
      <c r="Q815" s="8" t="n">
        <v>0.066173</v>
      </c>
      <c r="R815" s="8" t="n">
        <v>0.010571</v>
      </c>
      <c r="S815" s="8" t="n">
        <v>0.463</v>
      </c>
      <c r="T815" s="8" t="n">
        <v>0.561242</v>
      </c>
      <c r="U815" s="8" t="n">
        <v>0.394725</v>
      </c>
      <c r="V815" s="8" t="n">
        <v>0.166517</v>
      </c>
      <c r="W815" s="8" t="n">
        <v>0.4129</v>
      </c>
      <c r="X815" s="8" t="n">
        <v>0.289149</v>
      </c>
      <c r="Y815" s="8" t="n">
        <v>0.08746</v>
      </c>
      <c r="Z815" s="8" t="n">
        <v>0.201689</v>
      </c>
      <c r="AA815" s="8" t="n">
        <v>0.2322</v>
      </c>
    </row>
    <row r="816">
      <c r="A816" s="11" t="inlineStr">
        <is>
          <t>2025-12-29</t>
        </is>
      </c>
      <c r="B816" s="11" t="inlineStr">
        <is>
          <t>中间分位</t>
        </is>
      </c>
      <c r="C816" s="15" t="n">
        <v>0.32</v>
      </c>
      <c r="D816" s="13" t="n">
        <v>0.002326</v>
      </c>
      <c r="E816" s="13" t="n">
        <v>0.026839</v>
      </c>
      <c r="F816" s="13" t="n">
        <v>-0.024513</v>
      </c>
      <c r="G816" s="13" t="n">
        <v>0.9202</v>
      </c>
      <c r="H816" s="13" t="n">
        <v>0.059711</v>
      </c>
      <c r="I816" s="13" t="n">
        <v>0.049051</v>
      </c>
      <c r="J816" s="13" t="n">
        <v>0.01066</v>
      </c>
      <c r="K816" s="13" t="n">
        <v>0.451</v>
      </c>
      <c r="L816" s="13" t="n">
        <v>0.044203</v>
      </c>
      <c r="M816" s="13" t="n">
        <v>0.058769</v>
      </c>
      <c r="N816" s="13" t="n">
        <v>-0.014566</v>
      </c>
      <c r="O816" s="13" t="n">
        <v>0.5707</v>
      </c>
      <c r="P816" s="13" t="n">
        <v>0.058162</v>
      </c>
      <c r="Q816" s="13" t="n">
        <v>0.082369</v>
      </c>
      <c r="R816" s="13" t="n">
        <v>-0.024207</v>
      </c>
      <c r="S816" s="13" t="n">
        <v>0.5861</v>
      </c>
      <c r="T816" s="13" t="n">
        <v>0.451723</v>
      </c>
      <c r="U816" s="13" t="n">
        <v>0.502082</v>
      </c>
      <c r="V816" s="13" t="n">
        <v>-0.050359</v>
      </c>
      <c r="W816" s="13" t="n">
        <v>0.5264</v>
      </c>
      <c r="X816" s="13" t="n">
        <v>0.206666</v>
      </c>
      <c r="Y816" s="13" t="n">
        <v>0.08607099999999999</v>
      </c>
      <c r="Z816" s="13" t="n">
        <v>0.120595</v>
      </c>
      <c r="AA816" s="13" t="n">
        <v>0.294</v>
      </c>
    </row>
    <row r="817">
      <c r="A817" s="6" t="inlineStr">
        <is>
          <t>2025-12-30</t>
        </is>
      </c>
      <c r="B817" s="6" t="inlineStr">
        <is>
          <t>中间分位</t>
        </is>
      </c>
      <c r="C817" s="10" t="n">
        <v>0.148</v>
      </c>
      <c r="D817" s="8" t="n">
        <v>0.021275</v>
      </c>
      <c r="E817" s="8" t="n">
        <v>-0.001352</v>
      </c>
      <c r="F817" s="8" t="n">
        <v>0.022627</v>
      </c>
      <c r="G817" s="8" t="n">
        <v>0.0598</v>
      </c>
      <c r="H817" s="8" t="n">
        <v>0.057252</v>
      </c>
      <c r="I817" s="8" t="n">
        <v>0.005408</v>
      </c>
      <c r="J817" s="8" t="n">
        <v>0.051844</v>
      </c>
      <c r="K817" s="8" t="n">
        <v>0.0863</v>
      </c>
      <c r="L817" s="8" t="n">
        <v>0.053385</v>
      </c>
      <c r="M817" s="8" t="n">
        <v>0.024335</v>
      </c>
      <c r="N817" s="8" t="n">
        <v>0.02905</v>
      </c>
      <c r="O817" s="8" t="n">
        <v>0.3131</v>
      </c>
      <c r="P817" s="8" t="n">
        <v>0.062279</v>
      </c>
      <c r="Q817" s="8" t="n">
        <v>0.059937</v>
      </c>
      <c r="R817" s="8" t="n">
        <v>0.002342</v>
      </c>
      <c r="S817" s="8" t="n">
        <v>0.4904</v>
      </c>
      <c r="T817" s="8" t="n">
        <v>0.553577</v>
      </c>
      <c r="U817" s="8" t="n">
        <v>0.515998</v>
      </c>
      <c r="V817" s="8" t="n">
        <v>0.037579</v>
      </c>
      <c r="W817" s="8" t="n">
        <v>0.4824</v>
      </c>
      <c r="X817" s="8" t="n">
        <v>0.181815</v>
      </c>
      <c r="Y817" s="8" t="n">
        <v>0.071203</v>
      </c>
      <c r="Z817" s="8" t="n">
        <v>0.110612</v>
      </c>
      <c r="AA817" s="8" t="n">
        <v>0.2814</v>
      </c>
    </row>
    <row r="818">
      <c r="A818" s="11" t="inlineStr">
        <is>
          <t>2025-12-31</t>
        </is>
      </c>
      <c r="B818" s="11" t="inlineStr">
        <is>
          <t>中间分位</t>
        </is>
      </c>
      <c r="C818" s="15" t="n">
        <v>0.288</v>
      </c>
      <c r="D818" s="13" t="n">
        <v>0.020455</v>
      </c>
      <c r="E818" s="13" t="n">
        <v>-0.000451</v>
      </c>
      <c r="F818" s="13" t="n">
        <v>0.020906</v>
      </c>
      <c r="G818" s="13" t="n">
        <v>0.0216</v>
      </c>
      <c r="H818" s="13" t="n">
        <v>0.018559</v>
      </c>
      <c r="I818" s="13" t="n">
        <v>0.025722</v>
      </c>
      <c r="J818" s="13" t="n">
        <v>-0.007163</v>
      </c>
      <c r="K818" s="13" t="n">
        <v>0.5809</v>
      </c>
      <c r="L818" s="13" t="n">
        <v>0.023105</v>
      </c>
      <c r="M818" s="13" t="n">
        <v>0.010379</v>
      </c>
      <c r="N818" s="13" t="n">
        <v>0.012726</v>
      </c>
      <c r="O818" s="13" t="n">
        <v>0.31</v>
      </c>
      <c r="P818" s="13" t="n">
        <v>0.038259</v>
      </c>
      <c r="Q818" s="13" t="n">
        <v>0.046931</v>
      </c>
      <c r="R818" s="13" t="n">
        <v>-0.008671999999999999</v>
      </c>
      <c r="S818" s="13" t="n">
        <v>0.5508999999999999</v>
      </c>
      <c r="T818" s="13" t="n">
        <v>0.586364</v>
      </c>
      <c r="U818" s="13" t="n">
        <v>0.603339</v>
      </c>
      <c r="V818" s="13" t="n">
        <v>-0.016975</v>
      </c>
      <c r="W818" s="13" t="n">
        <v>0.5071</v>
      </c>
      <c r="X818" s="13" t="n">
        <v>0.144695</v>
      </c>
      <c r="Y818" s="13" t="n">
        <v>0.06633600000000001</v>
      </c>
      <c r="Z818" s="13" t="n">
        <v>0.078359</v>
      </c>
      <c r="AA818" s="13" t="n">
        <v>0.3143</v>
      </c>
    </row>
    <row r="819">
      <c r="A819" s="6" t="inlineStr">
        <is>
          <t>2026-01-05</t>
        </is>
      </c>
      <c r="B819" s="6" t="inlineStr">
        <is>
          <t>中间分位</t>
        </is>
      </c>
      <c r="C819" s="10" t="n">
        <v>0.52</v>
      </c>
      <c r="D819" s="8" t="n">
        <v>-0.009278</v>
      </c>
      <c r="E819" s="8" t="n">
        <v>0.035214</v>
      </c>
      <c r="F819" s="8" t="n">
        <v>-0.044492</v>
      </c>
      <c r="G819" s="8" t="n">
        <v>0.7915</v>
      </c>
      <c r="H819" s="8" t="n">
        <v>0.009278</v>
      </c>
      <c r="I819" s="8" t="n">
        <v>0.02167</v>
      </c>
      <c r="J819" s="8" t="n">
        <v>-0.012392</v>
      </c>
      <c r="K819" s="8" t="n">
        <v>0.7002</v>
      </c>
      <c r="L819" s="8" t="n">
        <v>-0.011136</v>
      </c>
      <c r="M819" s="8" t="n">
        <v>-0.001354</v>
      </c>
      <c r="N819" s="8" t="n">
        <v>-0.009782000000000001</v>
      </c>
      <c r="O819" s="8" t="n">
        <v>0.1084</v>
      </c>
      <c r="P819" s="8" t="n">
        <v>0.008909</v>
      </c>
      <c r="Q819" s="8" t="n">
        <v>0.016704</v>
      </c>
      <c r="R819" s="8" t="n">
        <v>-0.007795</v>
      </c>
      <c r="S819" s="8" t="n">
        <v>0.6522</v>
      </c>
      <c r="T819" s="8" t="n">
        <v>0.648107</v>
      </c>
      <c r="U819" s="8" t="n">
        <v>0.409481</v>
      </c>
      <c r="V819" s="8" t="n">
        <v>0.238626</v>
      </c>
      <c r="W819" s="8" t="n">
        <v>0.3872</v>
      </c>
      <c r="X819" s="8" t="n">
        <v>0.126579</v>
      </c>
      <c r="Y819" s="8" t="n">
        <v>0.085327</v>
      </c>
      <c r="Z819" s="8" t="n">
        <v>0.041252</v>
      </c>
      <c r="AA819" s="8" t="n">
        <v>0.4027</v>
      </c>
    </row>
    <row r="820">
      <c r="A820" s="11" t="inlineStr">
        <is>
          <t>2026-01-06</t>
        </is>
      </c>
      <c r="B820" s="11" t="inlineStr">
        <is>
          <t>中间分位</t>
        </is>
      </c>
      <c r="C820" s="15" t="n">
        <v>0.144</v>
      </c>
      <c r="D820" s="13" t="n">
        <v>0.023977</v>
      </c>
      <c r="E820" s="13" t="n">
        <v>-0.011339</v>
      </c>
      <c r="F820" s="13" t="n">
        <v>0.035316</v>
      </c>
      <c r="G820" s="13" t="n">
        <v>0.3211</v>
      </c>
      <c r="H820" s="13" t="n">
        <v>0.013111</v>
      </c>
      <c r="I820" s="13" t="n">
        <v>-0.013083</v>
      </c>
      <c r="J820" s="13" t="n">
        <v>0.026194</v>
      </c>
      <c r="K820" s="13" t="n">
        <v>0.4995</v>
      </c>
      <c r="L820" s="13" t="n">
        <v>-0.002626</v>
      </c>
      <c r="M820" s="13" t="n">
        <v>-0.037942</v>
      </c>
      <c r="N820" s="13" t="n">
        <v>0.035316</v>
      </c>
      <c r="O820" s="13" t="n">
        <v>0.9353</v>
      </c>
      <c r="P820" s="13" t="n">
        <v>-0.000378</v>
      </c>
      <c r="Q820" s="13" t="n">
        <v>-0.020061</v>
      </c>
      <c r="R820" s="13" t="n">
        <v>0.019683</v>
      </c>
      <c r="S820" s="13" t="n">
        <v>0.9815</v>
      </c>
      <c r="T820" s="13" t="n">
        <v>0.489693</v>
      </c>
      <c r="U820" s="13" t="n">
        <v>0.397732</v>
      </c>
      <c r="V820" s="13" t="n">
        <v>0.091961</v>
      </c>
      <c r="W820" s="13" t="n">
        <v>0.4482</v>
      </c>
      <c r="X820" s="13" t="n">
        <v>0.139378</v>
      </c>
      <c r="Y820" s="13" t="n">
        <v>0.08504100000000001</v>
      </c>
      <c r="Z820" s="13" t="n">
        <v>0.054337</v>
      </c>
      <c r="AA820" s="13" t="n">
        <v>0.3789</v>
      </c>
    </row>
    <row r="821">
      <c r="A821" s="6" t="inlineStr">
        <is>
          <t>2026-01-07</t>
        </is>
      </c>
      <c r="B821" s="6" t="inlineStr">
        <is>
          <t>中间分位</t>
        </is>
      </c>
      <c r="C821" s="10" t="n">
        <v>0.428</v>
      </c>
      <c r="D821" s="8" t="n">
        <v>0</v>
      </c>
      <c r="E821" s="8" t="n">
        <v>-0.01588</v>
      </c>
      <c r="F821" s="8" t="n">
        <v>0.01588</v>
      </c>
      <c r="G821" s="8" t="n">
        <v>1</v>
      </c>
      <c r="H821" s="8" t="n">
        <v>-0.014634</v>
      </c>
      <c r="I821" s="8" t="n">
        <v>0.009263</v>
      </c>
      <c r="J821" s="8" t="n">
        <v>-0.023897</v>
      </c>
      <c r="K821" s="8" t="n">
        <v>0.3876</v>
      </c>
      <c r="L821" s="8" t="n">
        <v>-0.031833</v>
      </c>
      <c r="M821" s="8" t="n">
        <v>-0.025584</v>
      </c>
      <c r="N821" s="8" t="n">
        <v>-0.006249</v>
      </c>
      <c r="O821" s="8" t="n">
        <v>0.4456</v>
      </c>
      <c r="P821" s="8" t="n">
        <v>-0.027442</v>
      </c>
      <c r="Q821" s="8" t="n">
        <v>0.005293</v>
      </c>
      <c r="R821" s="8" t="n">
        <v>-0.032735</v>
      </c>
      <c r="S821" s="8" t="n">
        <v>0.1617</v>
      </c>
      <c r="T821" s="8" t="n">
        <v>0.487012</v>
      </c>
      <c r="U821" s="8" t="n">
        <v>0.373622</v>
      </c>
      <c r="V821" s="8" t="n">
        <v>0.11339</v>
      </c>
      <c r="W821" s="8" t="n">
        <v>0.4341</v>
      </c>
      <c r="X821" s="8" t="n">
        <v>0.150384</v>
      </c>
      <c r="Y821" s="8" t="n">
        <v>0.097486</v>
      </c>
      <c r="Z821" s="8" t="n">
        <v>0.052898</v>
      </c>
      <c r="AA821" s="8" t="n">
        <v>0.3933</v>
      </c>
    </row>
    <row r="822">
      <c r="A822" s="11" t="inlineStr">
        <is>
          <t>2026-01-08</t>
        </is>
      </c>
      <c r="B822" s="11" t="inlineStr">
        <is>
          <t>中间分位</t>
        </is>
      </c>
      <c r="C822" s="15" t="n">
        <v>0.576</v>
      </c>
      <c r="D822" s="13" t="n">
        <v>-0.016101</v>
      </c>
      <c r="E822" s="13" t="n">
        <v>0.018826</v>
      </c>
      <c r="F822" s="13" t="n">
        <v>-0.034927</v>
      </c>
      <c r="G822" s="13" t="n">
        <v>0.539</v>
      </c>
      <c r="H822" s="13" t="n">
        <v>-0.003658</v>
      </c>
      <c r="I822" s="13" t="n">
        <v>0.018826</v>
      </c>
      <c r="J822" s="13" t="n">
        <v>-0.022484</v>
      </c>
      <c r="K822" s="13" t="n">
        <v>0.8373</v>
      </c>
      <c r="L822" s="13" t="n">
        <v>-0.02598</v>
      </c>
      <c r="M822" s="13" t="n">
        <v>0.012999</v>
      </c>
      <c r="N822" s="13" t="n">
        <v>-0.038979</v>
      </c>
      <c r="O822" s="13" t="n">
        <v>0.3335</v>
      </c>
      <c r="P822" s="13" t="n">
        <v>-0.020123</v>
      </c>
      <c r="Q822" s="13" t="n">
        <v>-0.002689</v>
      </c>
      <c r="R822" s="13" t="n">
        <v>-0.017434</v>
      </c>
      <c r="S822" s="13" t="n">
        <v>0.1179</v>
      </c>
      <c r="T822" s="13" t="n">
        <v>0.448957</v>
      </c>
      <c r="U822" s="13" t="n">
        <v>0.283729</v>
      </c>
      <c r="V822" s="13" t="n">
        <v>0.165228</v>
      </c>
      <c r="W822" s="13" t="n">
        <v>0.3872</v>
      </c>
      <c r="X822" s="13" t="n">
        <v>0.163557</v>
      </c>
      <c r="Y822" s="13" t="n">
        <v>0.111609</v>
      </c>
      <c r="Z822" s="13" t="n">
        <v>0.051948</v>
      </c>
      <c r="AA822" s="13" t="n">
        <v>0.4056</v>
      </c>
    </row>
    <row r="823">
      <c r="A823" s="6" t="inlineStr">
        <is>
          <t>2026-01-09</t>
        </is>
      </c>
      <c r="B823" s="6" t="inlineStr">
        <is>
          <t>中间分位</t>
        </is>
      </c>
      <c r="C823" s="10" t="n">
        <v>0.24</v>
      </c>
      <c r="D823" s="8" t="n">
        <v>0.011157</v>
      </c>
      <c r="E823" s="8" t="n">
        <v>-0.004399</v>
      </c>
      <c r="F823" s="8" t="n">
        <v>0.015556</v>
      </c>
      <c r="G823" s="8" t="n">
        <v>0.2828</v>
      </c>
      <c r="H823" s="8" t="n">
        <v>0.004463</v>
      </c>
      <c r="I823" s="8" t="n">
        <v>-0.014958</v>
      </c>
      <c r="J823" s="8" t="n">
        <v>0.019421</v>
      </c>
      <c r="K823" s="8" t="n">
        <v>0.7702</v>
      </c>
      <c r="L823" s="8" t="n">
        <v>-0.006694</v>
      </c>
      <c r="M823" s="8" t="n">
        <v>0.010999</v>
      </c>
      <c r="N823" s="8" t="n">
        <v>-0.017693</v>
      </c>
      <c r="O823" s="8" t="n">
        <v>0.6217</v>
      </c>
      <c r="P823" s="8" t="n">
        <v>-0.018221</v>
      </c>
      <c r="Q823" s="8" t="n">
        <v>-0.012758</v>
      </c>
      <c r="R823" s="8" t="n">
        <v>-0.005463</v>
      </c>
      <c r="S823" s="8" t="n">
        <v>0.4118</v>
      </c>
      <c r="T823" s="8" t="n">
        <v>0.499444</v>
      </c>
      <c r="U823" s="8" t="n">
        <v>0.244171</v>
      </c>
      <c r="V823" s="8" t="n">
        <v>0.255273</v>
      </c>
      <c r="W823" s="8" t="n">
        <v>0.3284</v>
      </c>
      <c r="X823" s="8" t="n">
        <v>0.166233</v>
      </c>
      <c r="Y823" s="8" t="n">
        <v>0.106907</v>
      </c>
      <c r="Z823" s="8" t="n">
        <v>0.059326</v>
      </c>
      <c r="AA823" s="8" t="n">
        <v>0.3914</v>
      </c>
    </row>
    <row r="824">
      <c r="A824" s="11" t="inlineStr">
        <is>
          <t>2026-01-12</t>
        </is>
      </c>
      <c r="B824" s="11" t="inlineStr">
        <is>
          <t>中间分位</t>
        </is>
      </c>
      <c r="C824" s="15" t="n">
        <v>0.408</v>
      </c>
      <c r="D824" s="13" t="n">
        <v>-0.005517</v>
      </c>
      <c r="E824" s="13" t="n">
        <v>0</v>
      </c>
      <c r="F824" s="13" t="n">
        <v>-0.005517</v>
      </c>
      <c r="G824" s="13" t="n">
        <v>0</v>
      </c>
      <c r="H824" s="13" t="n">
        <v>-0.020227</v>
      </c>
      <c r="I824" s="13" t="n">
        <v>-0.022536</v>
      </c>
      <c r="J824" s="13" t="n">
        <v>0.002309</v>
      </c>
      <c r="K824" s="13" t="n">
        <v>0.527</v>
      </c>
      <c r="L824" s="13" t="n">
        <v>0.007723</v>
      </c>
      <c r="M824" s="13" t="n">
        <v>0.037119</v>
      </c>
      <c r="N824" s="13" t="n">
        <v>-0.029396</v>
      </c>
      <c r="O824" s="13" t="n">
        <v>0.8278</v>
      </c>
      <c r="P824" s="13" t="n">
        <v>-0.018757</v>
      </c>
      <c r="Q824" s="13" t="n">
        <v>-0.014141</v>
      </c>
      <c r="R824" s="13" t="n">
        <v>-0.004616</v>
      </c>
      <c r="S824" s="13" t="n">
        <v>0.4298</v>
      </c>
      <c r="T824" s="13" t="n">
        <v>0.465247</v>
      </c>
      <c r="U824" s="13" t="n">
        <v>0.256739</v>
      </c>
      <c r="V824" s="13" t="n">
        <v>0.208508</v>
      </c>
      <c r="W824" s="13" t="n">
        <v>0.3556</v>
      </c>
      <c r="X824" s="13" t="n">
        <v>0.165136</v>
      </c>
      <c r="Y824" s="13" t="n">
        <v>0.163058</v>
      </c>
      <c r="Z824" s="13" t="n">
        <v>0.002078</v>
      </c>
      <c r="AA824" s="13" t="n">
        <v>0.4968</v>
      </c>
    </row>
    <row r="825">
      <c r="A825" s="6" t="inlineStr">
        <is>
          <t>2026-01-13</t>
        </is>
      </c>
      <c r="B825" s="6" t="inlineStr">
        <is>
          <t>中间分位</t>
        </is>
      </c>
      <c r="C825" s="10" t="n">
        <v>0.348</v>
      </c>
      <c r="D825" s="8" t="n">
        <v>-0.004065</v>
      </c>
      <c r="E825" s="8" t="n">
        <v>0.011047</v>
      </c>
      <c r="F825" s="8" t="n">
        <v>-0.015112</v>
      </c>
      <c r="G825" s="8" t="n">
        <v>0.731</v>
      </c>
      <c r="H825" s="8" t="n">
        <v>-0.015533</v>
      </c>
      <c r="I825" s="8" t="n">
        <v>-0.025188</v>
      </c>
      <c r="J825" s="8" t="n">
        <v>0.009655</v>
      </c>
      <c r="K825" s="8" t="n">
        <v>0.6186</v>
      </c>
      <c r="L825" s="8" t="n">
        <v>0.027368</v>
      </c>
      <c r="M825" s="8" t="n">
        <v>0.018118</v>
      </c>
      <c r="N825" s="8" t="n">
        <v>0.00925</v>
      </c>
      <c r="O825" s="8" t="n">
        <v>0.3983</v>
      </c>
      <c r="P825" s="8" t="n">
        <v>-0.019229</v>
      </c>
      <c r="Q825" s="8" t="n">
        <v>-0.009722</v>
      </c>
      <c r="R825" s="8" t="n">
        <v>-0.009507</v>
      </c>
      <c r="S825" s="8" t="n">
        <v>0.3358</v>
      </c>
      <c r="T825" s="8" t="n">
        <v>0.491126</v>
      </c>
      <c r="U825" s="8" t="n">
        <v>0.28502</v>
      </c>
      <c r="V825" s="8" t="n">
        <v>0.206106</v>
      </c>
      <c r="W825" s="8" t="n">
        <v>0.3672</v>
      </c>
      <c r="X825" s="8" t="n">
        <v>0.216719</v>
      </c>
      <c r="Y825" s="8" t="n">
        <v>0.170128</v>
      </c>
      <c r="Z825" s="8" t="n">
        <v>0.046591</v>
      </c>
      <c r="AA825" s="8" t="n">
        <v>0.4398</v>
      </c>
    </row>
    <row r="826">
      <c r="A826" s="11" t="inlineStr">
        <is>
          <t>2026-01-14</t>
        </is>
      </c>
      <c r="B826" s="11" t="inlineStr">
        <is>
          <t>中间分位</t>
        </is>
      </c>
      <c r="C826" s="15" t="n">
        <v>0.212</v>
      </c>
      <c r="D826" s="13" t="n">
        <v>0.01114</v>
      </c>
      <c r="E826" s="13" t="n">
        <v>-0.006556</v>
      </c>
      <c r="F826" s="13" t="n">
        <v>0.017696</v>
      </c>
      <c r="G826" s="13" t="n">
        <v>0.3705</v>
      </c>
      <c r="H826" s="13" t="n">
        <v>-0.017454</v>
      </c>
      <c r="I826" s="13" t="n">
        <v>-0.034528</v>
      </c>
      <c r="J826" s="13" t="n">
        <v>0.017074</v>
      </c>
      <c r="K826" s="13" t="n">
        <v>0.6642</v>
      </c>
      <c r="L826" s="13" t="n">
        <v>0.013368</v>
      </c>
      <c r="M826" s="13" t="n">
        <v>0.02229</v>
      </c>
      <c r="N826" s="13" t="n">
        <v>-0.008921999999999999</v>
      </c>
      <c r="O826" s="13" t="n">
        <v>0.6251</v>
      </c>
      <c r="P826" s="13" t="n">
        <v>-0.01077</v>
      </c>
      <c r="Q826" s="13" t="n">
        <v>-0.017483</v>
      </c>
      <c r="R826" s="13" t="n">
        <v>0.006713</v>
      </c>
      <c r="S826" s="13" t="n">
        <v>0.6188</v>
      </c>
      <c r="T826" s="13" t="n">
        <v>0.512065</v>
      </c>
      <c r="U826" s="13" t="n">
        <v>0.274476</v>
      </c>
      <c r="V826" s="13" t="n">
        <v>0.237589</v>
      </c>
      <c r="W826" s="13" t="n">
        <v>0.349</v>
      </c>
      <c r="X826" s="13" t="n">
        <v>0.201634</v>
      </c>
      <c r="Y826" s="13" t="n">
        <v>0.150787</v>
      </c>
      <c r="Z826" s="13" t="n">
        <v>0.050847</v>
      </c>
      <c r="AA826" s="13" t="n">
        <v>0.4279</v>
      </c>
    </row>
    <row r="827">
      <c r="A827" s="6" t="inlineStr">
        <is>
          <t>2026-01-15</t>
        </is>
      </c>
      <c r="B827" s="6" t="inlineStr">
        <is>
          <t>中间分位</t>
        </is>
      </c>
      <c r="C827" s="10" t="n">
        <v>0.38</v>
      </c>
      <c r="D827" s="8" t="n">
        <v>-0.008082000000000001</v>
      </c>
      <c r="E827" s="8" t="n">
        <v>-0.014958</v>
      </c>
      <c r="F827" s="8" t="n">
        <v>0.006876</v>
      </c>
      <c r="G827" s="8" t="n">
        <v>0.6492</v>
      </c>
      <c r="H827" s="8" t="n">
        <v>-0.022405</v>
      </c>
      <c r="I827" s="8" t="n">
        <v>-0.005719</v>
      </c>
      <c r="J827" s="8" t="n">
        <v>-0.016686</v>
      </c>
      <c r="K827" s="8" t="n">
        <v>0.2033</v>
      </c>
      <c r="L827" s="8" t="n">
        <v>0.008444</v>
      </c>
      <c r="M827" s="8" t="n">
        <v>0.034756</v>
      </c>
      <c r="N827" s="8" t="n">
        <v>-0.026312</v>
      </c>
      <c r="O827" s="8" t="n">
        <v>0.8045</v>
      </c>
      <c r="P827" s="8" t="n">
        <v>-0.020933</v>
      </c>
      <c r="Q827" s="8" t="n">
        <v>-0.018478</v>
      </c>
      <c r="R827" s="8" t="n">
        <v>-0.002455</v>
      </c>
      <c r="S827" s="8" t="n">
        <v>0.4689</v>
      </c>
      <c r="T827" s="8" t="n">
        <v>0.493938</v>
      </c>
      <c r="U827" s="8" t="n">
        <v>0.256489</v>
      </c>
      <c r="V827" s="8" t="n">
        <v>0.237449</v>
      </c>
      <c r="W827" s="8" t="n">
        <v>0.3418</v>
      </c>
      <c r="X827" s="8" t="n">
        <v>0.170767</v>
      </c>
      <c r="Y827" s="8" t="n">
        <v>0.157061</v>
      </c>
      <c r="Z827" s="8" t="n">
        <v>0.013706</v>
      </c>
      <c r="AA827" s="8" t="n">
        <v>0.4791</v>
      </c>
    </row>
    <row r="828">
      <c r="A828" s="11" t="inlineStr">
        <is>
          <t>2026-01-16</t>
        </is>
      </c>
      <c r="B828" s="11" t="inlineStr">
        <is>
          <t>中间分位</t>
        </is>
      </c>
      <c r="C828" s="15" t="n">
        <v>0.456</v>
      </c>
      <c r="D828" s="13" t="n">
        <v>-0.013697</v>
      </c>
      <c r="E828" s="13" t="n">
        <v>-0.012059</v>
      </c>
      <c r="F828" s="13" t="n">
        <v>-0.001638</v>
      </c>
      <c r="G828" s="13" t="n">
        <v>0.4682</v>
      </c>
      <c r="H828" s="13" t="n">
        <v>-0.011107</v>
      </c>
      <c r="I828" s="13" t="n">
        <v>0.026351</v>
      </c>
      <c r="J828" s="13" t="n">
        <v>-0.037458</v>
      </c>
      <c r="K828" s="13" t="n">
        <v>0.7035</v>
      </c>
      <c r="L828" s="13" t="n">
        <v>0.014812</v>
      </c>
      <c r="M828" s="13" t="n">
        <v>0.036177</v>
      </c>
      <c r="N828" s="13" t="n">
        <v>-0.021365</v>
      </c>
      <c r="O828" s="13" t="n">
        <v>0.7095</v>
      </c>
      <c r="P828" s="13" t="n">
        <v>-0.011476</v>
      </c>
      <c r="Q828" s="13" t="n">
        <v>-0.022778</v>
      </c>
      <c r="R828" s="13" t="n">
        <v>0.011302</v>
      </c>
      <c r="S828" s="13" t="n">
        <v>0.665</v>
      </c>
      <c r="T828" s="13" t="n">
        <v>0.48686</v>
      </c>
      <c r="U828" s="13" t="n">
        <v>0.261277</v>
      </c>
      <c r="V828" s="13" t="n">
        <v>0.225583</v>
      </c>
      <c r="W828" s="13" t="n">
        <v>0.3492</v>
      </c>
      <c r="X828" s="13" t="n">
        <v>0.172159</v>
      </c>
      <c r="Y828" s="13" t="n">
        <v>0.251452</v>
      </c>
      <c r="Z828" s="13" t="n">
        <v>-0.079293</v>
      </c>
      <c r="AA828" s="13" t="n">
        <v>0.5936</v>
      </c>
    </row>
    <row r="829">
      <c r="A829" s="6" t="inlineStr">
        <is>
          <t>2026-01-19</t>
        </is>
      </c>
      <c r="B829" s="6" t="inlineStr">
        <is>
          <t>中间分位</t>
        </is>
      </c>
      <c r="C829" s="10" t="n">
        <v>0.44</v>
      </c>
      <c r="D829" s="8" t="n">
        <v>-0.000752</v>
      </c>
      <c r="E829" s="8" t="n">
        <v>-0.002712</v>
      </c>
      <c r="F829" s="8" t="n">
        <v>0.00196</v>
      </c>
      <c r="G829" s="8" t="n">
        <v>0.7829</v>
      </c>
      <c r="H829" s="8" t="n">
        <v>0.028527</v>
      </c>
      <c r="I829" s="8" t="n">
        <v>0.061031</v>
      </c>
      <c r="J829" s="8" t="n">
        <v>-0.032504</v>
      </c>
      <c r="K829" s="8" t="n">
        <v>0.6815</v>
      </c>
      <c r="L829" s="8" t="n">
        <v>0.02027</v>
      </c>
      <c r="M829" s="8" t="n">
        <v>0.018083</v>
      </c>
      <c r="N829" s="8" t="n">
        <v>0.002187</v>
      </c>
      <c r="O829" s="8" t="n">
        <v>0.4715</v>
      </c>
      <c r="P829" s="8" t="n">
        <v>-0.008257</v>
      </c>
      <c r="Q829" s="8" t="n">
        <v>0.033002</v>
      </c>
      <c r="R829" s="8" t="n">
        <v>-0.041259</v>
      </c>
      <c r="S829" s="8" t="n">
        <v>0.7999000000000001</v>
      </c>
      <c r="T829" s="8" t="n">
        <v>0.480482</v>
      </c>
      <c r="U829" s="8" t="n">
        <v>0.287523</v>
      </c>
      <c r="V829" s="8" t="n">
        <v>0.192959</v>
      </c>
      <c r="W829" s="8" t="n">
        <v>0.3744</v>
      </c>
      <c r="X829" s="8" t="n">
        <v>0.256757</v>
      </c>
      <c r="Y829" s="8" t="n">
        <v>0.223779</v>
      </c>
      <c r="Z829" s="8" t="n">
        <v>0.032978</v>
      </c>
      <c r="AA829" s="8" t="n">
        <v>0.4657</v>
      </c>
    </row>
    <row r="830">
      <c r="A830" s="11" t="inlineStr">
        <is>
          <t>2026-01-20</t>
        </is>
      </c>
      <c r="B830" s="11" t="inlineStr">
        <is>
          <t>中间分位</t>
        </is>
      </c>
      <c r="C830" s="15" t="n">
        <v>0.468</v>
      </c>
      <c r="D830" s="13" t="n">
        <v>-0.006009</v>
      </c>
      <c r="E830" s="13" t="n">
        <v>0.00136</v>
      </c>
      <c r="F830" s="13" t="n">
        <v>-0.007369</v>
      </c>
      <c r="G830" s="13" t="n">
        <v>0.1846</v>
      </c>
      <c r="H830" s="13" t="n">
        <v>0.043578</v>
      </c>
      <c r="I830" s="13" t="n">
        <v>0.044424</v>
      </c>
      <c r="J830" s="13" t="n">
        <v>-0.000846</v>
      </c>
      <c r="K830" s="13" t="n">
        <v>0.5048</v>
      </c>
      <c r="L830" s="13" t="n">
        <v>0.002254</v>
      </c>
      <c r="M830" s="13" t="n">
        <v>0.018586</v>
      </c>
      <c r="N830" s="13" t="n">
        <v>-0.016332</v>
      </c>
      <c r="O830" s="13" t="n">
        <v>0.8918</v>
      </c>
      <c r="P830" s="13" t="n">
        <v>0.016905</v>
      </c>
      <c r="Q830" s="13" t="n">
        <v>0.019492</v>
      </c>
      <c r="R830" s="13" t="n">
        <v>-0.002587</v>
      </c>
      <c r="S830" s="13" t="n">
        <v>0.5355</v>
      </c>
      <c r="T830" s="13" t="n">
        <v>0.468073</v>
      </c>
      <c r="U830" s="13" t="n">
        <v>0.305077</v>
      </c>
      <c r="V830" s="13" t="n">
        <v>0.162996</v>
      </c>
      <c r="W830" s="13" t="n">
        <v>0.3946</v>
      </c>
      <c r="X830" s="13" t="n">
        <v>0.220139</v>
      </c>
      <c r="Y830" s="13" t="n">
        <v>0.232094</v>
      </c>
      <c r="Z830" s="13" t="n">
        <v>-0.011955</v>
      </c>
      <c r="AA830" s="13" t="n">
        <v>0.5132</v>
      </c>
    </row>
    <row r="831">
      <c r="A831" s="6" t="inlineStr">
        <is>
          <t>2026-01-21</t>
        </is>
      </c>
      <c r="B831" s="6" t="inlineStr">
        <is>
          <t>中间分位</t>
        </is>
      </c>
      <c r="C831" s="10" t="n">
        <v>0.38</v>
      </c>
      <c r="D831" s="8" t="n">
        <v>0.006045</v>
      </c>
      <c r="E831" s="8" t="n">
        <v>0.023087</v>
      </c>
      <c r="F831" s="8" t="n">
        <v>-0.017042</v>
      </c>
      <c r="G831" s="8" t="n">
        <v>0.7925</v>
      </c>
      <c r="H831" s="8" t="n">
        <v>0.03137</v>
      </c>
      <c r="I831" s="8" t="n">
        <v>0.05885</v>
      </c>
      <c r="J831" s="8" t="n">
        <v>-0.02748</v>
      </c>
      <c r="K831" s="8" t="n">
        <v>0.6523</v>
      </c>
      <c r="L831" s="8" t="n">
        <v>0.004535</v>
      </c>
      <c r="M831" s="8" t="n">
        <v>0.031689</v>
      </c>
      <c r="N831" s="8" t="n">
        <v>-0.027154</v>
      </c>
      <c r="O831" s="8" t="n">
        <v>0.8748</v>
      </c>
      <c r="P831" s="8" t="n">
        <v>0.010204</v>
      </c>
      <c r="Q831" s="8" t="n">
        <v>0.000453</v>
      </c>
      <c r="R831" s="8" t="n">
        <v>0.009750999999999999</v>
      </c>
      <c r="S831" s="8" t="n">
        <v>0.0425</v>
      </c>
      <c r="T831" s="8" t="n">
        <v>0.476948</v>
      </c>
      <c r="U831" s="8" t="n">
        <v>0.310548</v>
      </c>
      <c r="V831" s="8" t="n">
        <v>0.1664</v>
      </c>
      <c r="W831" s="8" t="n">
        <v>0.3943</v>
      </c>
      <c r="X831" s="8" t="n">
        <v>0.232803</v>
      </c>
      <c r="Y831" s="8" t="n">
        <v>0.247623</v>
      </c>
      <c r="Z831" s="8" t="n">
        <v>-0.01482</v>
      </c>
      <c r="AA831" s="8" t="n">
        <v>0.5154</v>
      </c>
    </row>
    <row r="832">
      <c r="A832" s="11" t="inlineStr">
        <is>
          <t>2026-01-22</t>
        </is>
      </c>
      <c r="B832" s="11" t="inlineStr">
        <is>
          <t>中间分位</t>
        </is>
      </c>
      <c r="C832" s="15" t="n">
        <v>0.224</v>
      </c>
      <c r="D832" s="13" t="n">
        <v>0.003381</v>
      </c>
      <c r="E832" s="13" t="n">
        <v>0.016814</v>
      </c>
      <c r="F832" s="13" t="n">
        <v>-0.013433</v>
      </c>
      <c r="G832" s="13" t="n">
        <v>0.8326</v>
      </c>
      <c r="H832" s="13" t="n">
        <v>0.031555</v>
      </c>
      <c r="I832" s="13" t="n">
        <v>0.040708</v>
      </c>
      <c r="J832" s="13" t="n">
        <v>-0.009153</v>
      </c>
      <c r="K832" s="13" t="n">
        <v>0.5633</v>
      </c>
      <c r="L832" s="13" t="n">
        <v>0.006014</v>
      </c>
      <c r="M832" s="13" t="n">
        <v>-0.015487</v>
      </c>
      <c r="N832" s="13" t="n">
        <v>0.021501</v>
      </c>
      <c r="O832" s="13" t="n">
        <v>0.7203000000000001</v>
      </c>
      <c r="P832" s="13" t="n">
        <v>-0.014651</v>
      </c>
      <c r="Q832" s="13" t="n">
        <v>-0.035841</v>
      </c>
      <c r="R832" s="13" t="n">
        <v>0.02119</v>
      </c>
      <c r="S832" s="13" t="n">
        <v>0.7098</v>
      </c>
      <c r="T832" s="13" t="n">
        <v>0.474082</v>
      </c>
      <c r="U832" s="13" t="n">
        <v>0.300442</v>
      </c>
      <c r="V832" s="13" t="n">
        <v>0.17364</v>
      </c>
      <c r="W832" s="13" t="n">
        <v>0.3879</v>
      </c>
      <c r="X832" s="13" t="n">
        <v>0.239671</v>
      </c>
      <c r="Y832" s="13" t="n">
        <v>0.219027</v>
      </c>
      <c r="Z832" s="13" t="n">
        <v>0.020644</v>
      </c>
      <c r="AA832" s="13" t="n">
        <v>0.4775</v>
      </c>
    </row>
    <row r="833">
      <c r="A833" s="6" t="inlineStr">
        <is>
          <t>2026-01-23</t>
        </is>
      </c>
      <c r="B833" s="6" t="inlineStr">
        <is>
          <t>中间分位</t>
        </is>
      </c>
      <c r="C833" s="10" t="n">
        <v>0.136</v>
      </c>
      <c r="D833" s="8" t="n">
        <v>0.025833</v>
      </c>
      <c r="E833" s="8" t="n">
        <v>0.021323</v>
      </c>
      <c r="F833" s="8" t="n">
        <v>0.00451</v>
      </c>
      <c r="G833" s="8" t="n">
        <v>0.4522</v>
      </c>
      <c r="H833" s="8" t="n">
        <v>0.02621</v>
      </c>
      <c r="I833" s="8" t="n">
        <v>0.009573999999999999</v>
      </c>
      <c r="J833" s="8" t="n">
        <v>0.016636</v>
      </c>
      <c r="K833" s="8" t="n">
        <v>0.2675</v>
      </c>
      <c r="L833" s="8" t="n">
        <v>-0.011605</v>
      </c>
      <c r="M833" s="8" t="n">
        <v>-0.023499</v>
      </c>
      <c r="N833" s="8" t="n">
        <v>0.011894</v>
      </c>
      <c r="O833" s="8" t="n">
        <v>0.6694</v>
      </c>
      <c r="P833" s="8" t="n">
        <v>-0.011605</v>
      </c>
      <c r="Q833" s="8" t="n">
        <v>0.029156</v>
      </c>
      <c r="R833" s="8" t="n">
        <v>-0.040761</v>
      </c>
      <c r="S833" s="8" t="n">
        <v>0.7153</v>
      </c>
      <c r="T833" s="8" t="n">
        <v>0.482593</v>
      </c>
      <c r="U833" s="8" t="n">
        <v>0.314186</v>
      </c>
      <c r="V833" s="8" t="n">
        <v>0.168407</v>
      </c>
      <c r="W833" s="8" t="n">
        <v>0.3943</v>
      </c>
      <c r="X833" s="8" t="n">
        <v>0.23699</v>
      </c>
      <c r="Y833" s="8" t="n">
        <v>0.13577</v>
      </c>
      <c r="Z833" s="8" t="n">
        <v>0.10122</v>
      </c>
      <c r="AA833" s="8" t="n">
        <v>0.3642</v>
      </c>
    </row>
    <row r="834">
      <c r="A834" s="11" t="inlineStr">
        <is>
          <t>2026-01-26</t>
        </is>
      </c>
      <c r="B834" s="11" t="inlineStr">
        <is>
          <t>中间分位</t>
        </is>
      </c>
      <c r="C834" s="15" t="n">
        <v>0.164</v>
      </c>
      <c r="D834" s="13" t="n">
        <v>0.01387</v>
      </c>
      <c r="E834" s="13" t="n">
        <v>-0.018321</v>
      </c>
      <c r="F834" s="13" t="n">
        <v>0.032191</v>
      </c>
      <c r="G834" s="13" t="n">
        <v>0.5691000000000001</v>
      </c>
      <c r="H834" s="13" t="n">
        <v>-0.008028</v>
      </c>
      <c r="I834" s="13" t="n">
        <v>-0.040477</v>
      </c>
      <c r="J834" s="13" t="n">
        <v>0.032449</v>
      </c>
      <c r="K834" s="13" t="n">
        <v>0.8345</v>
      </c>
      <c r="L834" s="13" t="n">
        <v>-0.026277</v>
      </c>
      <c r="M834" s="13" t="n">
        <v>-0.049425</v>
      </c>
      <c r="N834" s="13" t="n">
        <v>0.023148</v>
      </c>
      <c r="O834" s="13" t="n">
        <v>0.6529</v>
      </c>
      <c r="P834" s="13" t="n">
        <v>0.037958</v>
      </c>
      <c r="Q834" s="13" t="n">
        <v>0.089476</v>
      </c>
      <c r="R834" s="13" t="n">
        <v>-0.051518</v>
      </c>
      <c r="S834" s="13" t="n">
        <v>0.7020999999999999</v>
      </c>
      <c r="T834" s="13" t="n">
        <v>0.462776</v>
      </c>
      <c r="U834" s="13" t="n">
        <v>0.28121</v>
      </c>
      <c r="V834" s="13" t="n">
        <v>0.181566</v>
      </c>
      <c r="W834" s="13" t="n">
        <v>0.378</v>
      </c>
      <c r="X834" s="13" t="n">
        <v>0.148178</v>
      </c>
      <c r="Y834" s="13" t="n">
        <v>0.108223</v>
      </c>
      <c r="Z834" s="13" t="n">
        <v>0.039955</v>
      </c>
      <c r="AA834" s="13" t="n">
        <v>0.4221</v>
      </c>
    </row>
    <row r="835">
      <c r="A835" s="6" t="inlineStr">
        <is>
          <t>2026-01-27</t>
        </is>
      </c>
      <c r="B835" s="6" t="inlineStr">
        <is>
          <t>中间分位</t>
        </is>
      </c>
      <c r="C835" s="10" t="n">
        <v>0.472</v>
      </c>
      <c r="D835" s="8" t="n">
        <v>-0.017637</v>
      </c>
      <c r="E835" s="8" t="n">
        <v>0.015191</v>
      </c>
      <c r="F835" s="8" t="n">
        <v>-0.032828</v>
      </c>
      <c r="G835" s="8" t="n">
        <v>0.4627</v>
      </c>
      <c r="H835" s="8" t="n">
        <v>-0.039598</v>
      </c>
      <c r="I835" s="8" t="n">
        <v>-0.02474</v>
      </c>
      <c r="J835" s="8" t="n">
        <v>-0.014858</v>
      </c>
      <c r="K835" s="8" t="n">
        <v>0.3845</v>
      </c>
      <c r="L835" s="8" t="n">
        <v>-0.045356</v>
      </c>
      <c r="M835" s="8" t="n">
        <v>-0.027344</v>
      </c>
      <c r="N835" s="8" t="n">
        <v>-0.018012</v>
      </c>
      <c r="O835" s="8" t="n">
        <v>0.3761</v>
      </c>
      <c r="P835" s="8" t="n">
        <v>0.10079</v>
      </c>
      <c r="Q835" s="8" t="n">
        <v>0.108073</v>
      </c>
      <c r="R835" s="8" t="n">
        <v>-0.007283</v>
      </c>
      <c r="S835" s="8" t="n">
        <v>0.5174</v>
      </c>
      <c r="T835" s="8" t="n">
        <v>0.422246</v>
      </c>
      <c r="U835" s="8" t="n">
        <v>0.30599</v>
      </c>
      <c r="V835" s="8" t="n">
        <v>0.116256</v>
      </c>
      <c r="W835" s="8" t="n">
        <v>0.4202</v>
      </c>
      <c r="X835" s="8" t="n">
        <v>0.128868</v>
      </c>
      <c r="Y835" s="8" t="n">
        <v>0.14974</v>
      </c>
      <c r="Z835" s="8" t="n">
        <v>-0.020872</v>
      </c>
      <c r="AA835" s="8" t="n">
        <v>0.5375</v>
      </c>
    </row>
    <row r="836">
      <c r="A836" s="11" t="inlineStr">
        <is>
          <t>2026-01-28</t>
        </is>
      </c>
      <c r="B836" s="11" t="inlineStr">
        <is>
          <t>中间分位</t>
        </is>
      </c>
      <c r="C836" s="15" t="n">
        <v>0.164</v>
      </c>
      <c r="D836" s="13" t="n">
        <v>0.006226</v>
      </c>
      <c r="E836" s="13" t="n">
        <v>0.005558</v>
      </c>
      <c r="F836" s="13" t="n">
        <v>0.000668</v>
      </c>
      <c r="G836" s="13" t="n">
        <v>0.4717</v>
      </c>
      <c r="H836" s="13" t="n">
        <v>-0.026018</v>
      </c>
      <c r="I836" s="13" t="n">
        <v>-0.025652</v>
      </c>
      <c r="J836" s="13" t="n">
        <v>-0.000366</v>
      </c>
      <c r="K836" s="13" t="n">
        <v>0.4965</v>
      </c>
      <c r="L836" s="13" t="n">
        <v>-0.02382</v>
      </c>
      <c r="M836" s="13" t="n">
        <v>-0.038906</v>
      </c>
      <c r="N836" s="13" t="n">
        <v>0.015086</v>
      </c>
      <c r="O836" s="13" t="n">
        <v>0.6203</v>
      </c>
      <c r="P836" s="13" t="n">
        <v>0.122752</v>
      </c>
      <c r="Q836" s="13" t="n">
        <v>0.063275</v>
      </c>
      <c r="R836" s="13" t="n">
        <v>0.059477</v>
      </c>
      <c r="S836" s="13" t="n">
        <v>0.3401</v>
      </c>
      <c r="T836" s="13" t="n">
        <v>0.449245</v>
      </c>
      <c r="U836" s="13" t="n">
        <v>0.301838</v>
      </c>
      <c r="V836" s="13" t="n">
        <v>0.147407</v>
      </c>
      <c r="W836" s="13" t="n">
        <v>0.4019</v>
      </c>
      <c r="X836" s="13" t="n">
        <v>0.168193</v>
      </c>
      <c r="Y836" s="13" t="n">
        <v>0.135956</v>
      </c>
      <c r="Z836" s="13" t="n">
        <v>0.032237</v>
      </c>
      <c r="AA836" s="13" t="n">
        <v>0.447</v>
      </c>
    </row>
    <row r="837">
      <c r="A837" s="6" t="inlineStr">
        <is>
          <t>2026-01-29</t>
        </is>
      </c>
      <c r="B837" s="6" t="inlineStr">
        <is>
          <t>中间分位</t>
        </is>
      </c>
      <c r="C837" s="10" t="n">
        <v>0.176</v>
      </c>
      <c r="D837" s="8" t="n">
        <v>-0.001818</v>
      </c>
      <c r="E837" s="8" t="n">
        <v>-0.013605</v>
      </c>
      <c r="F837" s="8" t="n">
        <v>0.011787</v>
      </c>
      <c r="G837" s="8" t="n">
        <v>0.8821</v>
      </c>
      <c r="H837" s="8" t="n">
        <v>-0.02476</v>
      </c>
      <c r="I837" s="8" t="n">
        <v>-0.053997</v>
      </c>
      <c r="J837" s="8" t="n">
        <v>0.029237</v>
      </c>
      <c r="K837" s="8" t="n">
        <v>0.6856</v>
      </c>
      <c r="L837" s="8" t="n">
        <v>-0.02913</v>
      </c>
      <c r="M837" s="8" t="n">
        <v>-0.051446</v>
      </c>
      <c r="N837" s="8" t="n">
        <v>0.022316</v>
      </c>
      <c r="O837" s="8" t="n">
        <v>0.6385</v>
      </c>
      <c r="P837" s="8" t="n">
        <v>0.0925</v>
      </c>
      <c r="Q837" s="8" t="n">
        <v>0.09949</v>
      </c>
      <c r="R837" s="8" t="n">
        <v>-0.00699</v>
      </c>
      <c r="S837" s="8" t="n">
        <v>0.5182</v>
      </c>
      <c r="T837" s="8" t="n">
        <v>0.459217</v>
      </c>
      <c r="U837" s="8" t="n">
        <v>0.220238</v>
      </c>
      <c r="V837" s="8" t="n">
        <v>0.238979</v>
      </c>
      <c r="W837" s="8" t="n">
        <v>0.3241</v>
      </c>
      <c r="X837" s="8" t="n">
        <v>0.164605</v>
      </c>
      <c r="Y837" s="8" t="n">
        <v>0.113095</v>
      </c>
      <c r="Z837" s="8" t="n">
        <v>0.05151</v>
      </c>
      <c r="AA837" s="8" t="n">
        <v>0.4073</v>
      </c>
    </row>
    <row r="838">
      <c r="A838" s="11" t="inlineStr">
        <is>
          <t>2026-01-30</t>
        </is>
      </c>
      <c r="B838" s="11" t="inlineStr">
        <is>
          <t>中间分位</t>
        </is>
      </c>
      <c r="C838" s="15" t="n">
        <v>0.26</v>
      </c>
      <c r="D838" s="13" t="n">
        <v>-0.008392999999999999</v>
      </c>
      <c r="E838" s="13" t="n">
        <v>-0.02931</v>
      </c>
      <c r="F838" s="13" t="n">
        <v>0.020917</v>
      </c>
      <c r="G838" s="13" t="n">
        <v>0.7774</v>
      </c>
      <c r="H838" s="13" t="n">
        <v>-0.036849</v>
      </c>
      <c r="I838" s="13" t="n">
        <v>-0.032759</v>
      </c>
      <c r="J838" s="13" t="n">
        <v>-0.00409</v>
      </c>
      <c r="K838" s="13" t="n">
        <v>0.4706</v>
      </c>
      <c r="L838" s="13" t="n">
        <v>-0.025904</v>
      </c>
      <c r="M838" s="13" t="n">
        <v>-0.056897</v>
      </c>
      <c r="N838" s="13" t="n">
        <v>0.030993</v>
      </c>
      <c r="O838" s="13" t="n">
        <v>0.6872</v>
      </c>
      <c r="P838" s="13" t="n">
        <v>0.13608</v>
      </c>
      <c r="Q838" s="13" t="n">
        <v>0.219828</v>
      </c>
      <c r="R838" s="13" t="n">
        <v>-0.083748</v>
      </c>
      <c r="S838" s="13" t="n">
        <v>0.6177</v>
      </c>
      <c r="T838" s="13" t="n">
        <v>0.387813</v>
      </c>
      <c r="U838" s="13" t="n">
        <v>0.230603</v>
      </c>
      <c r="V838" s="13" t="n">
        <v>0.15721</v>
      </c>
      <c r="W838" s="13" t="n">
        <v>0.3729</v>
      </c>
      <c r="X838" s="13" t="n">
        <v>0.150672</v>
      </c>
      <c r="Y838" s="13" t="n">
        <v>0.118103</v>
      </c>
      <c r="Z838" s="13" t="n">
        <v>0.032569</v>
      </c>
      <c r="AA838" s="13" t="n">
        <v>0.4394</v>
      </c>
    </row>
    <row r="839">
      <c r="A839" s="6" t="inlineStr">
        <is>
          <t>2026-02-02</t>
        </is>
      </c>
      <c r="B839" s="6" t="inlineStr">
        <is>
          <t>中间分位</t>
        </is>
      </c>
      <c r="C839" s="10" t="n">
        <v>0.508</v>
      </c>
      <c r="D839" s="8" t="n">
        <v>-0.018397</v>
      </c>
      <c r="E839" s="8" t="n">
        <v>-0.00222</v>
      </c>
      <c r="F839" s="8" t="n">
        <v>-0.016177</v>
      </c>
      <c r="G839" s="8" t="n">
        <v>0.1077</v>
      </c>
      <c r="H839" s="8" t="n">
        <v>-0.018397</v>
      </c>
      <c r="I839" s="8" t="n">
        <v>-0.009325</v>
      </c>
      <c r="J839" s="8" t="n">
        <v>-0.009072</v>
      </c>
      <c r="K839" s="8" t="n">
        <v>0.3364</v>
      </c>
      <c r="L839" s="8" t="n">
        <v>-0.02796</v>
      </c>
      <c r="M839" s="8" t="n">
        <v>0.014654</v>
      </c>
      <c r="N839" s="8" t="n">
        <v>-0.042614</v>
      </c>
      <c r="O839" s="8" t="n">
        <v>0.3439</v>
      </c>
      <c r="P839" s="8" t="n">
        <v>0.291391</v>
      </c>
      <c r="Q839" s="8" t="n">
        <v>0.131883</v>
      </c>
      <c r="R839" s="8" t="n">
        <v>0.159508</v>
      </c>
      <c r="S839" s="8" t="n">
        <v>0.3116</v>
      </c>
      <c r="T839" s="8" t="n">
        <v>0.381898</v>
      </c>
      <c r="U839" s="8" t="n">
        <v>0.279751</v>
      </c>
      <c r="V839" s="8" t="n">
        <v>0.102147</v>
      </c>
      <c r="W839" s="8" t="n">
        <v>0.4228</v>
      </c>
      <c r="X839" s="8" t="n">
        <v>0.156733</v>
      </c>
      <c r="Y839" s="8" t="n">
        <v>0.148313</v>
      </c>
      <c r="Z839" s="8" t="n">
        <v>0.00842</v>
      </c>
      <c r="AA839" s="8" t="n">
        <v>0.4862</v>
      </c>
    </row>
    <row r="840">
      <c r="A840" s="11" t="inlineStr">
        <is>
          <t>2026-02-03</t>
        </is>
      </c>
      <c r="B840" s="11" t="inlineStr">
        <is>
          <t>中间分位</t>
        </is>
      </c>
      <c r="C840" s="15" t="n">
        <v>0.292</v>
      </c>
      <c r="D840" s="13" t="n">
        <v>-0.003747</v>
      </c>
      <c r="E840" s="13" t="n">
        <v>0.014241</v>
      </c>
      <c r="F840" s="13" t="n">
        <v>-0.017988</v>
      </c>
      <c r="G840" s="13" t="n">
        <v>0.7917</v>
      </c>
      <c r="H840" s="13" t="n">
        <v>-0.005996</v>
      </c>
      <c r="I840" s="13" t="n">
        <v>-0.00267</v>
      </c>
      <c r="J840" s="13" t="n">
        <v>-0.003326</v>
      </c>
      <c r="K840" s="13" t="n">
        <v>0.3081</v>
      </c>
      <c r="L840" s="13" t="n">
        <v>0.014618</v>
      </c>
      <c r="M840" s="13" t="n">
        <v>0.0008899999999999999</v>
      </c>
      <c r="N840" s="13" t="n">
        <v>0.013728</v>
      </c>
      <c r="O840" s="13" t="n">
        <v>0.0574</v>
      </c>
      <c r="P840" s="13" t="n">
        <v>0.166417</v>
      </c>
      <c r="Q840" s="13" t="n">
        <v>0.182911</v>
      </c>
      <c r="R840" s="13" t="n">
        <v>-0.016494</v>
      </c>
      <c r="S840" s="13" t="n">
        <v>0.5236</v>
      </c>
      <c r="T840" s="13" t="n">
        <v>0.404052</v>
      </c>
      <c r="U840" s="13" t="n">
        <v>0.297285</v>
      </c>
      <c r="V840" s="13" t="n">
        <v>0.106767</v>
      </c>
      <c r="W840" s="13" t="n">
        <v>0.4239</v>
      </c>
      <c r="X840" s="13" t="n">
        <v>0.176915</v>
      </c>
      <c r="Y840" s="13" t="n">
        <v>0.12016</v>
      </c>
      <c r="Z840" s="13" t="n">
        <v>0.056755</v>
      </c>
      <c r="AA840" s="13" t="n">
        <v>0.4045</v>
      </c>
    </row>
    <row r="841">
      <c r="A841" s="6" t="inlineStr">
        <is>
          <t>2026-02-04</t>
        </is>
      </c>
      <c r="B841" s="6" t="inlineStr">
        <is>
          <t>中间分位</t>
        </is>
      </c>
      <c r="C841" s="10" t="n">
        <v>0.164</v>
      </c>
      <c r="D841" s="8" t="n">
        <v>0.007526</v>
      </c>
      <c r="E841" s="8" t="n">
        <v>-0.023695</v>
      </c>
      <c r="F841" s="8" t="n">
        <v>0.031221</v>
      </c>
      <c r="G841" s="8" t="n">
        <v>0.7589</v>
      </c>
      <c r="H841" s="8" t="n">
        <v>0.002257</v>
      </c>
      <c r="I841" s="8" t="n">
        <v>-0.013602</v>
      </c>
      <c r="J841" s="8" t="n">
        <v>0.015859</v>
      </c>
      <c r="K841" s="8" t="n">
        <v>0.8577</v>
      </c>
      <c r="L841" s="8" t="n">
        <v>0.005643</v>
      </c>
      <c r="M841" s="8" t="n">
        <v>-0.030276</v>
      </c>
      <c r="N841" s="8" t="n">
        <v>0.035919</v>
      </c>
      <c r="O841" s="8" t="n">
        <v>0.8429</v>
      </c>
      <c r="P841" s="8" t="n">
        <v>0.220465</v>
      </c>
      <c r="Q841" s="8" t="n">
        <v>0.196139</v>
      </c>
      <c r="R841" s="8" t="n">
        <v>0.024326</v>
      </c>
      <c r="S841" s="8" t="n">
        <v>0.4708</v>
      </c>
      <c r="T841" s="8" t="n">
        <v>0.426637</v>
      </c>
      <c r="U841" s="8" t="n">
        <v>0.275121</v>
      </c>
      <c r="V841" s="8" t="n">
        <v>0.151516</v>
      </c>
      <c r="W841" s="8" t="n">
        <v>0.392</v>
      </c>
      <c r="X841" s="8" t="n">
        <v>0.158014</v>
      </c>
      <c r="Y841" s="8" t="n">
        <v>0.08731899999999999</v>
      </c>
      <c r="Z841" s="8" t="n">
        <v>0.07069499999999999</v>
      </c>
      <c r="AA841" s="8" t="n">
        <v>0.3559</v>
      </c>
    </row>
    <row r="842">
      <c r="A842" s="11" t="inlineStr">
        <is>
          <t>2026-02-05</t>
        </is>
      </c>
      <c r="B842" s="11" t="inlineStr">
        <is>
          <t>中间分位</t>
        </is>
      </c>
      <c r="C842" s="15" t="n">
        <v>0.476</v>
      </c>
      <c r="D842" s="13" t="n">
        <v>-0.014191</v>
      </c>
      <c r="E842" s="13" t="n">
        <v>0.008539</v>
      </c>
      <c r="F842" s="13" t="n">
        <v>-0.02273</v>
      </c>
      <c r="G842" s="13" t="n">
        <v>0.3757</v>
      </c>
      <c r="H842" s="13" t="n">
        <v>-0.004481</v>
      </c>
      <c r="I842" s="13" t="n">
        <v>0.002697</v>
      </c>
      <c r="J842" s="13" t="n">
        <v>-0.007178</v>
      </c>
      <c r="K842" s="13" t="n">
        <v>0.3757</v>
      </c>
      <c r="L842" s="13" t="n">
        <v>-0.020541</v>
      </c>
      <c r="M842" s="13" t="n">
        <v>-0.020674</v>
      </c>
      <c r="N842" s="13" t="n">
        <v>0.000133</v>
      </c>
      <c r="O842" s="13" t="n">
        <v>0.5016</v>
      </c>
      <c r="P842" s="13" t="n">
        <v>0.232261</v>
      </c>
      <c r="Q842" s="13" t="n">
        <v>0.260674</v>
      </c>
      <c r="R842" s="13" t="n">
        <v>-0.028413</v>
      </c>
      <c r="S842" s="13" t="n">
        <v>0.5288</v>
      </c>
      <c r="T842" s="13" t="n">
        <v>0.407766</v>
      </c>
      <c r="U842" s="13" t="n">
        <v>0.285393</v>
      </c>
      <c r="V842" s="13" t="n">
        <v>0.122373</v>
      </c>
      <c r="W842" s="13" t="n">
        <v>0.4117</v>
      </c>
      <c r="X842" s="13" t="n">
        <v>0.134428</v>
      </c>
      <c r="Y842" s="13" t="n">
        <v>0.123596</v>
      </c>
      <c r="Z842" s="13" t="n">
        <v>0.010832</v>
      </c>
      <c r="AA842" s="13" t="n">
        <v>0.479</v>
      </c>
    </row>
    <row r="843">
      <c r="A843" s="6" t="inlineStr">
        <is>
          <t>2026-02-06</t>
        </is>
      </c>
      <c r="B843" s="6" t="inlineStr">
        <is>
          <t>中间分位</t>
        </is>
      </c>
      <c r="C843" s="10" t="n">
        <v>0.232</v>
      </c>
      <c r="D843" s="8" t="n">
        <v>0.010605</v>
      </c>
      <c r="E843" s="8" t="n">
        <v>-0.005793</v>
      </c>
      <c r="F843" s="8" t="n">
        <v>0.016398</v>
      </c>
      <c r="G843" s="8" t="n">
        <v>0.3533</v>
      </c>
      <c r="H843" s="8" t="n">
        <v>0.011364</v>
      </c>
      <c r="I843" s="8" t="n">
        <v>-0.024955</v>
      </c>
      <c r="J843" s="8" t="n">
        <v>0.036319</v>
      </c>
      <c r="K843" s="8" t="n">
        <v>0.6871</v>
      </c>
      <c r="L843" s="8" t="n">
        <v>0</v>
      </c>
      <c r="M843" s="8" t="n">
        <v>0.053922</v>
      </c>
      <c r="N843" s="8" t="n">
        <v>-0.053922</v>
      </c>
      <c r="O843" s="8" t="n">
        <v>1</v>
      </c>
      <c r="P843" s="8" t="n">
        <v>0.2875</v>
      </c>
      <c r="Q843" s="8" t="n">
        <v>0.26426</v>
      </c>
      <c r="R843" s="8" t="n">
        <v>0.02324</v>
      </c>
      <c r="S843" s="8" t="n">
        <v>0.4789</v>
      </c>
      <c r="T843" s="8" t="n">
        <v>0.409091</v>
      </c>
      <c r="U843" s="8" t="n">
        <v>0.295455</v>
      </c>
      <c r="V843" s="8" t="n">
        <v>0.113636</v>
      </c>
      <c r="W843" s="8" t="n">
        <v>0.4194</v>
      </c>
      <c r="X843" s="8" t="n">
        <v>0.163636</v>
      </c>
      <c r="Y843" s="8" t="n">
        <v>0.127897</v>
      </c>
      <c r="Z843" s="8" t="n">
        <v>0.035739</v>
      </c>
      <c r="AA843" s="8" t="n">
        <v>0.4387</v>
      </c>
    </row>
    <row r="844">
      <c r="A844" s="11" t="inlineStr">
        <is>
          <t>2026-02-09</t>
        </is>
      </c>
      <c r="B844" s="11" t="inlineStr">
        <is>
          <t>中间分位</t>
        </is>
      </c>
      <c r="C844" s="15" t="n">
        <v>0.396</v>
      </c>
      <c r="D844" s="13" t="n">
        <v>-0.005996</v>
      </c>
      <c r="E844" s="13" t="n">
        <v>0.004482</v>
      </c>
      <c r="F844" s="13" t="n">
        <v>-0.010478</v>
      </c>
      <c r="G844" s="13" t="n">
        <v>0.4278</v>
      </c>
      <c r="H844" s="13" t="n">
        <v>-0.009742000000000001</v>
      </c>
      <c r="I844" s="13" t="n">
        <v>0.024204</v>
      </c>
      <c r="J844" s="13" t="n">
        <v>-0.033946</v>
      </c>
      <c r="K844" s="13" t="n">
        <v>0.713</v>
      </c>
      <c r="L844" s="13" t="n">
        <v>0.065969</v>
      </c>
      <c r="M844" s="13" t="n">
        <v>0.146123</v>
      </c>
      <c r="N844" s="13" t="n">
        <v>-0.080154</v>
      </c>
      <c r="O844" s="13" t="n">
        <v>0.6889999999999999</v>
      </c>
      <c r="P844" s="13" t="n">
        <v>0.277737</v>
      </c>
      <c r="Q844" s="13" t="n">
        <v>0.276109</v>
      </c>
      <c r="R844" s="13" t="n">
        <v>0.001628</v>
      </c>
      <c r="S844" s="13" t="n">
        <v>0.4985</v>
      </c>
      <c r="T844" s="13" t="n">
        <v>0.411172</v>
      </c>
      <c r="U844" s="13" t="n">
        <v>0.335276</v>
      </c>
      <c r="V844" s="13" t="n">
        <v>0.07589600000000001</v>
      </c>
      <c r="W844" s="13" t="n">
        <v>0.4492</v>
      </c>
      <c r="X844" s="13" t="n">
        <v>0.160422</v>
      </c>
      <c r="Y844" s="13" t="n">
        <v>0.180188</v>
      </c>
      <c r="Z844" s="13" t="n">
        <v>-0.019766</v>
      </c>
      <c r="AA844" s="13" t="n">
        <v>0.529</v>
      </c>
    </row>
    <row r="845">
      <c r="A845" s="6" t="inlineStr">
        <is>
          <t>2026-02-10</t>
        </is>
      </c>
      <c r="B845" s="6" t="inlineStr">
        <is>
          <t>中间分位</t>
        </is>
      </c>
      <c r="C845" s="10" t="n">
        <v>0.28</v>
      </c>
      <c r="D845" s="8" t="n">
        <v>0.004525</v>
      </c>
      <c r="E845" s="8" t="n">
        <v>0.003124</v>
      </c>
      <c r="F845" s="8" t="n">
        <v>0.001401</v>
      </c>
      <c r="G845" s="8" t="n">
        <v>0.4084</v>
      </c>
      <c r="H845" s="8" t="n">
        <v>0.020738</v>
      </c>
      <c r="I845" s="8" t="n">
        <v>0.00357</v>
      </c>
      <c r="J845" s="8" t="n">
        <v>0.017168</v>
      </c>
      <c r="K845" s="8" t="n">
        <v>0.1469</v>
      </c>
      <c r="L845" s="8" t="n">
        <v>0.15309</v>
      </c>
      <c r="M845" s="8" t="n">
        <v>0.139224</v>
      </c>
      <c r="N845" s="8" t="n">
        <v>0.013866</v>
      </c>
      <c r="O845" s="8" t="n">
        <v>0.4763</v>
      </c>
      <c r="P845" s="8" t="n">
        <v>0.297887</v>
      </c>
      <c r="Q845" s="8" t="n">
        <v>0.29942</v>
      </c>
      <c r="R845" s="8" t="n">
        <v>-0.001533</v>
      </c>
      <c r="S845" s="8" t="n">
        <v>0.5013</v>
      </c>
      <c r="T845" s="8" t="n">
        <v>0.457014</v>
      </c>
      <c r="U845" s="8" t="n">
        <v>0.322178</v>
      </c>
      <c r="V845" s="8" t="n">
        <v>0.134836</v>
      </c>
      <c r="W845" s="8" t="n">
        <v>0.4135</v>
      </c>
      <c r="X845" s="8" t="n">
        <v>0.20362</v>
      </c>
      <c r="Y845" s="8" t="n">
        <v>0.16332</v>
      </c>
      <c r="Z845" s="8" t="n">
        <v>0.0403</v>
      </c>
      <c r="AA845" s="8" t="n">
        <v>0.4451</v>
      </c>
    </row>
    <row r="846">
      <c r="A846" s="11" t="inlineStr">
        <is>
          <t>2026-02-11</t>
        </is>
      </c>
      <c r="B846" s="11" t="inlineStr">
        <is>
          <t>中间分位</t>
        </is>
      </c>
      <c r="C846" s="15" t="n">
        <v>0.288</v>
      </c>
      <c r="D846" s="13" t="n">
        <v>0.000752</v>
      </c>
      <c r="E846" s="13" t="n">
        <v>-0.007562</v>
      </c>
      <c r="F846" s="13" t="n">
        <v>0.008314</v>
      </c>
      <c r="G846" s="13" t="n">
        <v>0.9096</v>
      </c>
      <c r="H846" s="13" t="n">
        <v>0.003378</v>
      </c>
      <c r="I846" s="13" t="n">
        <v>-0.016904</v>
      </c>
      <c r="J846" s="13" t="n">
        <v>0.020282</v>
      </c>
      <c r="K846" s="13" t="n">
        <v>0.8334</v>
      </c>
      <c r="L846" s="13" t="n">
        <v>0.150149</v>
      </c>
      <c r="M846" s="13" t="n">
        <v>0.106317</v>
      </c>
      <c r="N846" s="13" t="n">
        <v>0.043832</v>
      </c>
      <c r="O846" s="13" t="n">
        <v>0.4145</v>
      </c>
      <c r="P846" s="13" t="n">
        <v>0.330329</v>
      </c>
      <c r="Q846" s="13" t="n">
        <v>0.41548</v>
      </c>
      <c r="R846" s="13" t="n">
        <v>-0.085151</v>
      </c>
      <c r="S846" s="13" t="n">
        <v>0.5571</v>
      </c>
      <c r="T846" s="13" t="n">
        <v>0.44332</v>
      </c>
      <c r="U846" s="13" t="n">
        <v>0.320285</v>
      </c>
      <c r="V846" s="13" t="n">
        <v>0.123035</v>
      </c>
      <c r="W846" s="13" t="n">
        <v>0.4194</v>
      </c>
      <c r="X846" s="13" t="n">
        <v>0.191441</v>
      </c>
      <c r="Y846" s="13" t="n">
        <v>0.176601</v>
      </c>
      <c r="Z846" s="13" t="n">
        <v>0.01484</v>
      </c>
      <c r="AA846" s="13" t="n">
        <v>0.4798</v>
      </c>
    </row>
    <row r="847">
      <c r="A847" s="6" t="inlineStr">
        <is>
          <t>2026-02-12</t>
        </is>
      </c>
      <c r="B847" s="6" t="inlineStr">
        <is>
          <t>中间分位</t>
        </is>
      </c>
      <c r="C847" s="10" t="n">
        <v>0.4</v>
      </c>
      <c r="D847" s="8" t="n">
        <v>0.001499</v>
      </c>
      <c r="E847" s="8" t="n">
        <v>-0.019274</v>
      </c>
      <c r="F847" s="8" t="n">
        <v>0.020773</v>
      </c>
      <c r="G847" s="8" t="n">
        <v>0.9278</v>
      </c>
      <c r="H847" s="8" t="n">
        <v>-0.016132</v>
      </c>
      <c r="I847" s="8" t="n">
        <v>-0.023308</v>
      </c>
      <c r="J847" s="8" t="n">
        <v>0.007176</v>
      </c>
      <c r="K847" s="8" t="n">
        <v>0.591</v>
      </c>
      <c r="L847" s="8" t="n">
        <v>0.12528</v>
      </c>
      <c r="M847" s="8" t="n">
        <v>0.159121</v>
      </c>
      <c r="N847" s="8" t="n">
        <v>-0.033841</v>
      </c>
      <c r="O847" s="8" t="n">
        <v>0.5595</v>
      </c>
      <c r="P847" s="8" t="n">
        <v>0.426855</v>
      </c>
      <c r="Q847" s="8" t="n">
        <v>0.403855</v>
      </c>
      <c r="R847" s="8" t="n">
        <v>0.023</v>
      </c>
      <c r="S847" s="8" t="n">
        <v>0.4862</v>
      </c>
      <c r="T847" s="8" t="n">
        <v>0.445611</v>
      </c>
      <c r="U847" s="8" t="n">
        <v>0.328104</v>
      </c>
      <c r="V847" s="8" t="n">
        <v>0.117507</v>
      </c>
      <c r="W847" s="8" t="n">
        <v>0.4241</v>
      </c>
      <c r="X847" s="8" t="n">
        <v>0.201047</v>
      </c>
      <c r="Y847" s="8" t="n">
        <v>0.204393</v>
      </c>
      <c r="Z847" s="8" t="n">
        <v>-0.003346</v>
      </c>
      <c r="AA847" s="8" t="n">
        <v>0.5041</v>
      </c>
    </row>
    <row r="848">
      <c r="A848" s="11" t="inlineStr">
        <is>
          <t>2026-02-13</t>
        </is>
      </c>
      <c r="B848" s="11" t="inlineStr">
        <is>
          <t>中间分位</t>
        </is>
      </c>
      <c r="C848" s="15" t="n">
        <v>0.644</v>
      </c>
      <c r="D848" s="13" t="n">
        <v>-0.010485</v>
      </c>
      <c r="E848" s="13" t="n">
        <v>0.044333</v>
      </c>
      <c r="F848" s="13" t="n">
        <v>-0.054818</v>
      </c>
      <c r="G848" s="13" t="n">
        <v>0.8087</v>
      </c>
      <c r="H848" s="13" t="n">
        <v>-0.011236</v>
      </c>
      <c r="I848" s="13" t="n">
        <v>0.080896</v>
      </c>
      <c r="J848" s="13" t="n">
        <v>-0.09213200000000001</v>
      </c>
      <c r="K848" s="13" t="n">
        <v>0.878</v>
      </c>
      <c r="L848" s="13" t="n">
        <v>0.166292</v>
      </c>
      <c r="M848" s="13" t="n">
        <v>0.293419</v>
      </c>
      <c r="N848" s="13" t="n">
        <v>-0.127127</v>
      </c>
      <c r="O848" s="13" t="n">
        <v>0.6383</v>
      </c>
      <c r="P848" s="13" t="n">
        <v>0.411236</v>
      </c>
      <c r="Q848" s="13" t="n">
        <v>0.531536</v>
      </c>
      <c r="R848" s="13" t="n">
        <v>-0.1203</v>
      </c>
      <c r="S848" s="13" t="n">
        <v>0.5638</v>
      </c>
      <c r="T848" s="13" t="n">
        <v>0.445317</v>
      </c>
      <c r="U848" s="13" t="n">
        <v>0.337751</v>
      </c>
      <c r="V848" s="13" t="n">
        <v>0.107566</v>
      </c>
      <c r="W848" s="13" t="n">
        <v>0.4313</v>
      </c>
      <c r="X848" s="13" t="n">
        <v>0.219101</v>
      </c>
      <c r="Y848" s="13" t="n">
        <v>0.25</v>
      </c>
      <c r="Z848" s="13" t="n">
        <v>-0.030899</v>
      </c>
      <c r="AA848" s="13" t="n">
        <v>0.5329</v>
      </c>
    </row>
    <row r="849">
      <c r="A849" s="6" t="inlineStr">
        <is>
          <t>2026-02-24</t>
        </is>
      </c>
      <c r="B849" s="6" t="inlineStr">
        <is>
          <t>中间分位</t>
        </is>
      </c>
      <c r="C849" s="10" t="n">
        <v>0.128</v>
      </c>
      <c r="D849" s="8" t="n">
        <v>0.0246</v>
      </c>
      <c r="E849" s="8" t="n">
        <v>-0.015755</v>
      </c>
      <c r="F849" s="8" t="n">
        <v>0.040355</v>
      </c>
      <c r="G849" s="8" t="n">
        <v>0.3904</v>
      </c>
      <c r="H849" s="8" t="n">
        <v>0.076456</v>
      </c>
      <c r="I849" s="8" t="n">
        <v>0.119037</v>
      </c>
      <c r="J849" s="8" t="n">
        <v>-0.042581</v>
      </c>
      <c r="K849" s="8" t="n">
        <v>0.6089</v>
      </c>
      <c r="L849" s="8" t="n">
        <v>0.328537</v>
      </c>
      <c r="M849" s="8" t="n">
        <v>0.115536</v>
      </c>
      <c r="N849" s="8" t="n">
        <v>0.213001</v>
      </c>
      <c r="O849" s="8" t="n">
        <v>0.2602</v>
      </c>
      <c r="P849" s="8" t="n">
        <v>0.526491</v>
      </c>
      <c r="Q849" s="8" t="n">
        <v>0.373742</v>
      </c>
      <c r="R849" s="8" t="n">
        <v>0.152749</v>
      </c>
      <c r="S849" s="8" t="n">
        <v>0.4152</v>
      </c>
      <c r="T849" s="8" t="n">
        <v>0.436787</v>
      </c>
      <c r="U849" s="8" t="n">
        <v>0.244639</v>
      </c>
      <c r="V849" s="8" t="n">
        <v>0.192148</v>
      </c>
      <c r="W849" s="8" t="n">
        <v>0.359</v>
      </c>
      <c r="X849" s="8" t="n">
        <v>0.254352</v>
      </c>
      <c r="Y849" s="8" t="n">
        <v>0.21488</v>
      </c>
      <c r="Z849" s="8" t="n">
        <v>0.039472</v>
      </c>
      <c r="AA849" s="8" t="n">
        <v>0.4579</v>
      </c>
    </row>
    <row r="850">
      <c r="A850" s="11" t="inlineStr">
        <is>
          <t>2026-02-25</t>
        </is>
      </c>
      <c r="B850" s="11" t="inlineStr">
        <is>
          <t>中间分位</t>
        </is>
      </c>
      <c r="C850" s="15" t="n">
        <v>0.504</v>
      </c>
      <c r="D850" s="13" t="n">
        <v>-0.012559</v>
      </c>
      <c r="E850" s="13" t="n">
        <v>-0.017341</v>
      </c>
      <c r="F850" s="13" t="n">
        <v>0.004782</v>
      </c>
      <c r="G850" s="13" t="n">
        <v>0.58</v>
      </c>
      <c r="H850" s="13" t="n">
        <v>0.129664</v>
      </c>
      <c r="I850" s="13" t="n">
        <v>0.135171</v>
      </c>
      <c r="J850" s="13" t="n">
        <v>-0.005507</v>
      </c>
      <c r="K850" s="13" t="n">
        <v>0.5104</v>
      </c>
      <c r="L850" s="13" t="n">
        <v>0.149612</v>
      </c>
      <c r="M850" s="13" t="n">
        <v>0.181859</v>
      </c>
      <c r="N850" s="13" t="n">
        <v>-0.032247</v>
      </c>
      <c r="O850" s="13" t="n">
        <v>0.5486</v>
      </c>
      <c r="P850" s="13" t="n">
        <v>0.405248</v>
      </c>
      <c r="Q850" s="13" t="n">
        <v>0.373499</v>
      </c>
      <c r="R850" s="13" t="n">
        <v>0.031749</v>
      </c>
      <c r="S850" s="13" t="n">
        <v>0.4796</v>
      </c>
      <c r="T850" s="13" t="n">
        <v>0.408205</v>
      </c>
      <c r="U850" s="13" t="n">
        <v>0.26145</v>
      </c>
      <c r="V850" s="13" t="n">
        <v>0.146755</v>
      </c>
      <c r="W850" s="13" t="n">
        <v>0.3904</v>
      </c>
      <c r="X850" s="13" t="n">
        <v>0.245661</v>
      </c>
      <c r="Y850" s="13" t="n">
        <v>0.264117</v>
      </c>
      <c r="Z850" s="13" t="n">
        <v>-0.018456</v>
      </c>
      <c r="AA850" s="13" t="n">
        <v>0.5181</v>
      </c>
    </row>
    <row r="851">
      <c r="A851" s="6" t="inlineStr">
        <is>
          <t>2026-02-26</t>
        </is>
      </c>
      <c r="B851" s="6" t="inlineStr">
        <is>
          <t>中间分位</t>
        </is>
      </c>
      <c r="C851" s="10" t="n">
        <v>0.556</v>
      </c>
      <c r="D851" s="8" t="n">
        <v>-0.018707</v>
      </c>
      <c r="E851" s="8" t="n">
        <v>-0.014027</v>
      </c>
      <c r="F851" s="8" t="n">
        <v>-0.00468</v>
      </c>
      <c r="G851" s="8" t="n">
        <v>0.4285</v>
      </c>
      <c r="H851" s="8" t="n">
        <v>0.146276</v>
      </c>
      <c r="I851" s="8" t="n">
        <v>0.125339</v>
      </c>
      <c r="J851" s="8" t="n">
        <v>0.020937</v>
      </c>
      <c r="K851" s="8" t="n">
        <v>0.4615</v>
      </c>
      <c r="L851" s="8" t="n">
        <v>0.213616</v>
      </c>
      <c r="M851" s="8" t="n">
        <v>0.233484</v>
      </c>
      <c r="N851" s="8" t="n">
        <v>-0.019868</v>
      </c>
      <c r="O851" s="8" t="n">
        <v>0.5222</v>
      </c>
      <c r="P851" s="8" t="n">
        <v>0.405163</v>
      </c>
      <c r="Q851" s="8" t="n">
        <v>0.448869</v>
      </c>
      <c r="R851" s="8" t="n">
        <v>-0.043706</v>
      </c>
      <c r="S851" s="8" t="n">
        <v>0.5256</v>
      </c>
      <c r="T851" s="8" t="n">
        <v>0.417136</v>
      </c>
      <c r="U851" s="8" t="n">
        <v>0.268778</v>
      </c>
      <c r="V851" s="8" t="n">
        <v>0.148358</v>
      </c>
      <c r="W851" s="8" t="n">
        <v>0.3919</v>
      </c>
      <c r="X851" s="8" t="n">
        <v>0.292929</v>
      </c>
      <c r="Y851" s="8" t="n">
        <v>0.28371</v>
      </c>
      <c r="Z851" s="8" t="n">
        <v>0.009219</v>
      </c>
      <c r="AA851" s="8" t="n">
        <v>0.492</v>
      </c>
    </row>
    <row r="852">
      <c r="A852" s="11" t="inlineStr">
        <is>
          <t>2026-02-27</t>
        </is>
      </c>
      <c r="B852" s="11" t="inlineStr">
        <is>
          <t>中间分位</t>
        </is>
      </c>
      <c r="C852" s="15" t="n">
        <v>0.508</v>
      </c>
      <c r="D852" s="13" t="n">
        <v>0.006483</v>
      </c>
      <c r="E852" s="13" t="n">
        <v>0.08536000000000001</v>
      </c>
      <c r="F852" s="13" t="n">
        <v>-0.078877</v>
      </c>
      <c r="G852" s="13" t="n">
        <v>0.9294</v>
      </c>
      <c r="H852" s="13" t="n">
        <v>0.14373</v>
      </c>
      <c r="I852" s="13" t="n">
        <v>0.186783</v>
      </c>
      <c r="J852" s="13" t="n">
        <v>-0.043053</v>
      </c>
      <c r="K852" s="13" t="n">
        <v>0.5651</v>
      </c>
      <c r="L852" s="13" t="n">
        <v>0.258103</v>
      </c>
      <c r="M852" s="13" t="n">
        <v>0.287288</v>
      </c>
      <c r="N852" s="13" t="n">
        <v>-0.029185</v>
      </c>
      <c r="O852" s="13" t="n">
        <v>0.5268</v>
      </c>
      <c r="P852" s="13" t="n">
        <v>0.503626</v>
      </c>
      <c r="Q852" s="13" t="n">
        <v>0.51262</v>
      </c>
      <c r="R852" s="13" t="n">
        <v>-0.008994</v>
      </c>
      <c r="S852" s="13" t="n">
        <v>0.5044</v>
      </c>
      <c r="T852" s="13" t="n">
        <v>0.424324</v>
      </c>
      <c r="U852" s="13" t="n">
        <v>0.296466</v>
      </c>
      <c r="V852" s="13" t="n">
        <v>0.127858</v>
      </c>
      <c r="W852" s="13" t="n">
        <v>0.4113</v>
      </c>
      <c r="X852" s="13" t="n">
        <v>0.31567</v>
      </c>
      <c r="Y852" s="13" t="n">
        <v>0.335016</v>
      </c>
      <c r="Z852" s="13" t="n">
        <v>-0.019346</v>
      </c>
      <c r="AA852" s="13" t="n">
        <v>0.5149</v>
      </c>
    </row>
    <row r="853">
      <c r="A853" s="6" t="inlineStr">
        <is>
          <t>2026-03-02</t>
        </is>
      </c>
      <c r="B853" s="6" t="inlineStr">
        <is>
          <t>低分位</t>
        </is>
      </c>
      <c r="C853" s="10" t="n">
        <v>0.004</v>
      </c>
      <c r="D853" s="8" t="n">
        <v>0.07727299999999999</v>
      </c>
      <c r="E853" s="8" t="n">
        <v>0.08118400000000001</v>
      </c>
      <c r="F853" s="8" t="n">
        <v>-0.003911</v>
      </c>
      <c r="G853" s="8" t="n">
        <v>0.5123</v>
      </c>
      <c r="H853" s="8" t="n">
        <v>0.179545</v>
      </c>
      <c r="I853" s="8" t="n">
        <v>0.196617</v>
      </c>
      <c r="J853" s="8" t="n">
        <v>-0.017072</v>
      </c>
      <c r="K853" s="8" t="n">
        <v>0.5227000000000001</v>
      </c>
      <c r="L853" s="8" t="n">
        <v>0.2875</v>
      </c>
      <c r="M853" s="8" t="n">
        <v>0.199577</v>
      </c>
      <c r="N853" s="8" t="n">
        <v>0.087923</v>
      </c>
      <c r="O853" s="8" t="n">
        <v>0.4097</v>
      </c>
      <c r="P853" s="8" t="n">
        <v>0.554545</v>
      </c>
      <c r="Q853" s="8" t="n">
        <v>0.403383</v>
      </c>
      <c r="R853" s="8" t="n">
        <v>0.151162</v>
      </c>
      <c r="S853" s="8" t="n">
        <v>0.4211</v>
      </c>
      <c r="T853" s="8" t="n">
        <v>0.421968</v>
      </c>
      <c r="U853" s="8" t="n">
        <v>0.180973</v>
      </c>
      <c r="V853" s="8" t="n">
        <v>0.240995</v>
      </c>
      <c r="W853" s="8" t="n">
        <v>0.3002</v>
      </c>
      <c r="X853" s="8" t="n">
        <v>0.343941</v>
      </c>
      <c r="Y853" s="8" t="n">
        <v>0.232135</v>
      </c>
      <c r="Z853" s="8" t="n">
        <v>0.111806</v>
      </c>
      <c r="AA853" s="8" t="n">
        <v>0.403</v>
      </c>
    </row>
    <row r="854">
      <c r="A854" s="11" t="inlineStr">
        <is>
          <t>2026-03-03</t>
        </is>
      </c>
      <c r="B854" s="11" t="inlineStr">
        <is>
          <t>低分位</t>
        </is>
      </c>
      <c r="C854" s="15" t="n">
        <v>0</v>
      </c>
      <c r="D854" s="13" t="n">
        <v>0.07524500000000001</v>
      </c>
      <c r="E854" s="13" t="n">
        <v>-0.001564</v>
      </c>
      <c r="F854" s="13" t="n">
        <v>0.076809</v>
      </c>
      <c r="G854" s="13" t="n">
        <v>0.0204</v>
      </c>
      <c r="H854" s="13" t="n">
        <v>0.234177</v>
      </c>
      <c r="I854" s="13" t="n">
        <v>-0.003129</v>
      </c>
      <c r="J854" s="13" t="n">
        <v>0.237306</v>
      </c>
      <c r="K854" s="13" t="n">
        <v>0.0132</v>
      </c>
      <c r="L854" s="13" t="n">
        <v>0.198662</v>
      </c>
      <c r="M854" s="13" t="n">
        <v>0.113414</v>
      </c>
      <c r="N854" s="13" t="n">
        <v>0.085248</v>
      </c>
      <c r="O854" s="13" t="n">
        <v>0.3634</v>
      </c>
      <c r="P854" s="13" t="n">
        <v>0.459916</v>
      </c>
      <c r="Q854" s="13" t="n">
        <v>0.262808</v>
      </c>
      <c r="R854" s="13" t="n">
        <v>0.197108</v>
      </c>
      <c r="S854" s="13" t="n">
        <v>0.3636</v>
      </c>
      <c r="T854" s="13" t="n">
        <v>0.305203</v>
      </c>
      <c r="U854" s="13" t="n">
        <v>0.120063</v>
      </c>
      <c r="V854" s="13" t="n">
        <v>0.18514</v>
      </c>
      <c r="W854" s="13" t="n">
        <v>0.2823</v>
      </c>
      <c r="X854" s="13" t="n">
        <v>0.258789</v>
      </c>
      <c r="Y854" s="13" t="n">
        <v>0.143919</v>
      </c>
      <c r="Z854" s="13" t="n">
        <v>0.11487</v>
      </c>
      <c r="AA854" s="13" t="n">
        <v>0.3574</v>
      </c>
    </row>
    <row r="855">
      <c r="A855" s="6" t="inlineStr">
        <is>
          <t>2026-03-04</t>
        </is>
      </c>
      <c r="B855" s="6" t="inlineStr">
        <is>
          <t>中间分位</t>
        </is>
      </c>
      <c r="C855" s="10" t="n">
        <v>0.444</v>
      </c>
      <c r="D855" s="8" t="n">
        <v>0.001962</v>
      </c>
      <c r="E855" s="8" t="n">
        <v>-0.025852</v>
      </c>
      <c r="F855" s="8" t="n">
        <v>0.027814</v>
      </c>
      <c r="G855" s="8" t="n">
        <v>0.9295</v>
      </c>
      <c r="H855" s="8" t="n">
        <v>0.017659</v>
      </c>
      <c r="I855" s="8" t="n">
        <v>0.041128</v>
      </c>
      <c r="J855" s="8" t="n">
        <v>-0.023469</v>
      </c>
      <c r="K855" s="8" t="n">
        <v>0.6996</v>
      </c>
      <c r="L855" s="8" t="n">
        <v>0.125572</v>
      </c>
      <c r="M855" s="8" t="n">
        <v>0.140619</v>
      </c>
      <c r="N855" s="8" t="n">
        <v>-0.015047</v>
      </c>
      <c r="O855" s="8" t="n">
        <v>0.5283</v>
      </c>
      <c r="P855" s="8" t="n">
        <v>0.317204</v>
      </c>
      <c r="Q855" s="8" t="n">
        <v>0.180572</v>
      </c>
      <c r="R855" s="8" t="n">
        <v>0.136632</v>
      </c>
      <c r="S855" s="8" t="n">
        <v>0.3628</v>
      </c>
      <c r="T855" s="8" t="n">
        <v>0.240028</v>
      </c>
      <c r="U855" s="8" t="n">
        <v>0.132002</v>
      </c>
      <c r="V855" s="8" t="n">
        <v>0.108026</v>
      </c>
      <c r="W855" s="8" t="n">
        <v>0.3548</v>
      </c>
      <c r="X855" s="8" t="n">
        <v>0.173317</v>
      </c>
      <c r="Y855" s="8" t="n">
        <v>0.084606</v>
      </c>
      <c r="Z855" s="8" t="n">
        <v>0.088711</v>
      </c>
      <c r="AA855" s="8" t="n">
        <v>0.328</v>
      </c>
    </row>
    <row r="856">
      <c r="A856" s="11" t="inlineStr">
        <is>
          <t>2026-03-05</t>
        </is>
      </c>
      <c r="B856" s="11" t="inlineStr">
        <is>
          <t>中间分位</t>
        </is>
      </c>
      <c r="C856" s="15" t="n">
        <v>0.732</v>
      </c>
      <c r="D856" s="13" t="n">
        <v>-0.020886</v>
      </c>
      <c r="E856" s="13" t="n">
        <v>0.039807</v>
      </c>
      <c r="F856" s="13" t="n">
        <v>-0.060693</v>
      </c>
      <c r="G856" s="13" t="n">
        <v>0.6559</v>
      </c>
      <c r="H856" s="13" t="n">
        <v>0.058747</v>
      </c>
      <c r="I856" s="13" t="n">
        <v>0.0961</v>
      </c>
      <c r="J856" s="13" t="n">
        <v>-0.037353</v>
      </c>
      <c r="K856" s="13" t="n">
        <v>0.6206</v>
      </c>
      <c r="L856" s="13" t="n">
        <v>0.156658</v>
      </c>
      <c r="M856" s="13" t="n">
        <v>0.279453</v>
      </c>
      <c r="N856" s="13" t="n">
        <v>-0.122795</v>
      </c>
      <c r="O856" s="13" t="n">
        <v>0.6408</v>
      </c>
      <c r="P856" s="13" t="n">
        <v>0.221934</v>
      </c>
      <c r="Q856" s="13" t="n">
        <v>0.305187</v>
      </c>
      <c r="R856" s="13" t="n">
        <v>-0.08325299999999999</v>
      </c>
      <c r="S856" s="13" t="n">
        <v>0.579</v>
      </c>
      <c r="T856" s="13" t="n">
        <v>0.244128</v>
      </c>
      <c r="U856" s="13" t="n">
        <v>0.176518</v>
      </c>
      <c r="V856" s="13" t="n">
        <v>0.06761</v>
      </c>
      <c r="W856" s="13" t="n">
        <v>0.4196</v>
      </c>
      <c r="X856" s="13" t="n">
        <v>0.114885</v>
      </c>
      <c r="Y856" s="13" t="n">
        <v>0.117008</v>
      </c>
      <c r="Z856" s="13" t="n">
        <v>-0.002123</v>
      </c>
      <c r="AA856" s="13" t="n">
        <v>0.5046</v>
      </c>
    </row>
    <row r="857">
      <c r="A857" s="6" t="inlineStr">
        <is>
          <t>2026-03-06</t>
        </is>
      </c>
      <c r="B857" s="6" t="inlineStr">
        <is>
          <t>中间分位</t>
        </is>
      </c>
      <c r="C857" s="10" t="n">
        <v>0.144</v>
      </c>
      <c r="D857" s="8" t="n">
        <v>0.038</v>
      </c>
      <c r="E857" s="8" t="n">
        <v>0.09435399999999999</v>
      </c>
      <c r="F857" s="8" t="n">
        <v>-0.056354</v>
      </c>
      <c r="G857" s="8" t="n">
        <v>0.7129</v>
      </c>
      <c r="H857" s="8" t="n">
        <v>0.1</v>
      </c>
      <c r="I857" s="8" t="n">
        <v>0.084687</v>
      </c>
      <c r="J857" s="8" t="n">
        <v>0.015313</v>
      </c>
      <c r="K857" s="8" t="n">
        <v>0.4585</v>
      </c>
      <c r="L857" s="8" t="n">
        <v>0.268</v>
      </c>
      <c r="M857" s="8" t="n">
        <v>0.211137</v>
      </c>
      <c r="N857" s="8" t="n">
        <v>0.056863</v>
      </c>
      <c r="O857" s="8" t="n">
        <v>0.4407</v>
      </c>
      <c r="P857" s="8" t="n">
        <v>0.338668</v>
      </c>
      <c r="Q857" s="8" t="n">
        <v>0.300851</v>
      </c>
      <c r="R857" s="8" t="n">
        <v>0.037817</v>
      </c>
      <c r="S857" s="8" t="n">
        <v>0.4704</v>
      </c>
      <c r="T857" s="8" t="n">
        <v>0.285332</v>
      </c>
      <c r="U857" s="8" t="n">
        <v>0.112529</v>
      </c>
      <c r="V857" s="8" t="n">
        <v>0.172803</v>
      </c>
      <c r="W857" s="8" t="n">
        <v>0.2828</v>
      </c>
      <c r="X857" s="8" t="n">
        <v>0.140332</v>
      </c>
      <c r="Y857" s="8" t="n">
        <v>0.098221</v>
      </c>
      <c r="Z857" s="8" t="n">
        <v>0.042111</v>
      </c>
      <c r="AA857" s="8" t="n">
        <v>0.4117</v>
      </c>
    </row>
    <row r="858">
      <c r="A858" s="11" t="inlineStr">
        <is>
          <t>2026-03-09</t>
        </is>
      </c>
      <c r="B858" s="11" t="inlineStr">
        <is>
          <t>低分位</t>
        </is>
      </c>
      <c r="C858" s="15" t="n">
        <v>0</v>
      </c>
      <c r="D858" s="13" t="n">
        <v>0.127168</v>
      </c>
      <c r="E858" s="13" t="n">
        <v>-0.09929300000000001</v>
      </c>
      <c r="F858" s="13" t="n">
        <v>0.226461</v>
      </c>
      <c r="G858" s="13" t="n">
        <v>0.4385</v>
      </c>
      <c r="H858" s="13" t="n">
        <v>0.09152200000000001</v>
      </c>
      <c r="I858" s="13" t="n">
        <v>0.002473</v>
      </c>
      <c r="J858" s="13" t="n">
        <v>0.089049</v>
      </c>
      <c r="K858" s="13" t="n">
        <v>0.0263</v>
      </c>
      <c r="L858" s="13" t="n">
        <v>0.210019</v>
      </c>
      <c r="M858" s="13" t="n">
        <v>0.184099</v>
      </c>
      <c r="N858" s="13" t="n">
        <v>0.02592</v>
      </c>
      <c r="O858" s="13" t="n">
        <v>0.4671</v>
      </c>
      <c r="P858" s="13" t="n">
        <v>0.344894</v>
      </c>
      <c r="Q858" s="13" t="n">
        <v>0.255477</v>
      </c>
      <c r="R858" s="13" t="n">
        <v>0.089417</v>
      </c>
      <c r="S858" s="13" t="n">
        <v>0.4255</v>
      </c>
      <c r="T858" s="13" t="n">
        <v>0.228004</v>
      </c>
      <c r="U858" s="13" t="n">
        <v>0.026855</v>
      </c>
      <c r="V858" s="13" t="n">
        <v>0.201149</v>
      </c>
      <c r="W858" s="13" t="n">
        <v>0.1054</v>
      </c>
      <c r="X858" s="13" t="n">
        <v>0.125884</v>
      </c>
      <c r="Y858" s="13" t="n">
        <v>0.054064</v>
      </c>
      <c r="Z858" s="13" t="n">
        <v>0.07181999999999999</v>
      </c>
      <c r="AA858" s="13" t="n">
        <v>0.3004</v>
      </c>
    </row>
    <row r="859">
      <c r="A859" s="6" t="inlineStr">
        <is>
          <t>2026-03-10</t>
        </is>
      </c>
      <c r="B859" s="6" t="inlineStr">
        <is>
          <t>高分位</t>
        </is>
      </c>
      <c r="C859" s="10" t="n">
        <v>0.988</v>
      </c>
      <c r="D859" s="8" t="n">
        <v>-0.113391</v>
      </c>
      <c r="E859" s="8" t="n">
        <v>0.042762</v>
      </c>
      <c r="F859" s="8" t="n">
        <v>-0.156153</v>
      </c>
      <c r="G859" s="8" t="n">
        <v>0.2738</v>
      </c>
      <c r="H859" s="8" t="n">
        <v>-0.028776</v>
      </c>
      <c r="I859" s="8" t="n">
        <v>0.116909</v>
      </c>
      <c r="J859" s="8" t="n">
        <v>-0.145685</v>
      </c>
      <c r="K859" s="8" t="n">
        <v>0.8025</v>
      </c>
      <c r="L859" s="8" t="n">
        <v>0.149002</v>
      </c>
      <c r="M859" s="8" t="n">
        <v>0.231463</v>
      </c>
      <c r="N859" s="8" t="n">
        <v>-0.08246100000000001</v>
      </c>
      <c r="O859" s="8" t="n">
        <v>0.6084000000000001</v>
      </c>
      <c r="P859" s="8" t="n">
        <v>0.264957</v>
      </c>
      <c r="Q859" s="8" t="n">
        <v>0.224794</v>
      </c>
      <c r="R859" s="8" t="n">
        <v>0.040163</v>
      </c>
      <c r="S859" s="8" t="n">
        <v>0.459</v>
      </c>
      <c r="T859" s="8" t="n">
        <v>0.09857399999999999</v>
      </c>
      <c r="U859" s="8" t="n">
        <v>0.196155</v>
      </c>
      <c r="V859" s="8" t="n">
        <v>-0.097581</v>
      </c>
      <c r="W859" s="8" t="n">
        <v>0.6655</v>
      </c>
      <c r="X859" s="8" t="n">
        <v>0.058691</v>
      </c>
      <c r="Y859" s="8" t="n">
        <v>0.204002</v>
      </c>
      <c r="Z859" s="8" t="n">
        <v>-0.145311</v>
      </c>
      <c r="AA859" s="8" t="n">
        <v>0.7766</v>
      </c>
    </row>
    <row r="860">
      <c r="A860" s="11" t="inlineStr">
        <is>
          <t>2026-03-11</t>
        </is>
      </c>
      <c r="B860" s="11" t="inlineStr">
        <is>
          <t>中间分位</t>
        </is>
      </c>
      <c r="C860" s="15" t="n">
        <v>0.22</v>
      </c>
      <c r="D860" s="13" t="n">
        <v>0.042417</v>
      </c>
      <c r="E860" s="13" t="n">
        <v>0.025583</v>
      </c>
      <c r="F860" s="13" t="n">
        <v>0.016834</v>
      </c>
      <c r="G860" s="13" t="n">
        <v>0.3762</v>
      </c>
      <c r="H860" s="13" t="n">
        <v>0.106041</v>
      </c>
      <c r="I860" s="13" t="n">
        <v>0.09556099999999999</v>
      </c>
      <c r="J860" s="13" t="n">
        <v>0.01048</v>
      </c>
      <c r="K860" s="13" t="n">
        <v>0.474</v>
      </c>
      <c r="L860" s="13" t="n">
        <v>0.222367</v>
      </c>
      <c r="M860" s="13" t="n">
        <v>0.162152</v>
      </c>
      <c r="N860" s="13" t="n">
        <v>0.060215</v>
      </c>
      <c r="O860" s="13" t="n">
        <v>0.4217</v>
      </c>
      <c r="P860" s="13" t="n">
        <v>0.277635</v>
      </c>
      <c r="Q860" s="13" t="n">
        <v>0.205794</v>
      </c>
      <c r="R860" s="13" t="n">
        <v>0.071841</v>
      </c>
      <c r="S860" s="13" t="n">
        <v>0.4257</v>
      </c>
      <c r="T860" s="13" t="n">
        <v>0.295631</v>
      </c>
      <c r="U860" s="13" t="n">
        <v>0.114748</v>
      </c>
      <c r="V860" s="13" t="n">
        <v>0.180883</v>
      </c>
      <c r="W860" s="13" t="n">
        <v>0.2796</v>
      </c>
      <c r="X860" s="13" t="n">
        <v>0.253215</v>
      </c>
      <c r="Y860" s="13" t="n">
        <v>0.197517</v>
      </c>
      <c r="Z860" s="13" t="n">
        <v>0.055698</v>
      </c>
      <c r="AA860" s="13" t="n">
        <v>0.4382</v>
      </c>
    </row>
    <row r="861">
      <c r="A861" s="6" t="inlineStr">
        <is>
          <t>2026-03-12</t>
        </is>
      </c>
      <c r="B861" s="6" t="inlineStr">
        <is>
          <t>中间分位</t>
        </is>
      </c>
      <c r="C861" s="10" t="n">
        <v>0.352</v>
      </c>
      <c r="D861" s="8" t="n">
        <v>0.017264</v>
      </c>
      <c r="E861" s="8" t="n">
        <v>0.02898</v>
      </c>
      <c r="F861" s="8" t="n">
        <v>-0.011716</v>
      </c>
      <c r="G861" s="8" t="n">
        <v>0.6267</v>
      </c>
      <c r="H861" s="8" t="n">
        <v>0.09247900000000001</v>
      </c>
      <c r="I861" s="8" t="n">
        <v>0.167278</v>
      </c>
      <c r="J861" s="8" t="n">
        <v>-0.074799</v>
      </c>
      <c r="K861" s="8" t="n">
        <v>0.644</v>
      </c>
      <c r="L861" s="8" t="n">
        <v>0.157831</v>
      </c>
      <c r="M861" s="8" t="n">
        <v>0.174615</v>
      </c>
      <c r="N861" s="8" t="n">
        <v>-0.016784</v>
      </c>
      <c r="O861" s="8" t="n">
        <v>0.5252</v>
      </c>
      <c r="P861" s="8" t="n">
        <v>0.252777</v>
      </c>
      <c r="Q861" s="8" t="n">
        <v>0.142333</v>
      </c>
      <c r="R861" s="8" t="n">
        <v>0.110444</v>
      </c>
      <c r="S861" s="8" t="n">
        <v>0.3602</v>
      </c>
      <c r="T861" s="8" t="n">
        <v>0.215786</v>
      </c>
      <c r="U861" s="8" t="n">
        <v>0.090242</v>
      </c>
      <c r="V861" s="8" t="n">
        <v>0.125544</v>
      </c>
      <c r="W861" s="8" t="n">
        <v>0.2949</v>
      </c>
      <c r="X861" s="8" t="n">
        <v>0.249078</v>
      </c>
      <c r="Y861" s="8" t="n">
        <v>0.158474</v>
      </c>
      <c r="Z861" s="8" t="n">
        <v>0.090604</v>
      </c>
      <c r="AA861" s="8" t="n">
        <v>0.3888</v>
      </c>
    </row>
    <row r="862">
      <c r="A862" s="11" t="inlineStr">
        <is>
          <t>2026-03-13</t>
        </is>
      </c>
      <c r="B862" s="11" t="inlineStr">
        <is>
          <t>中间分位</t>
        </is>
      </c>
      <c r="C862" s="15" t="n">
        <v>0.258</v>
      </c>
      <c r="D862" s="13" t="n">
        <v>0.03</v>
      </c>
      <c r="E862" s="13" t="n">
        <v>0.011408</v>
      </c>
      <c r="F862" s="13" t="n">
        <v>0.018592</v>
      </c>
      <c r="G862" s="13" t="n">
        <v>0.2755</v>
      </c>
      <c r="H862" s="13" t="n">
        <v>0.152727</v>
      </c>
      <c r="I862" s="13" t="n">
        <v>0.116578</v>
      </c>
      <c r="J862" s="13" t="n">
        <v>0.036149</v>
      </c>
      <c r="K862" s="13" t="n">
        <v>0.4329</v>
      </c>
      <c r="L862" s="13" t="n">
        <v>0.195153</v>
      </c>
      <c r="M862" s="13" t="n">
        <v>0.175045</v>
      </c>
      <c r="N862" s="13" t="n">
        <v>0.020108</v>
      </c>
      <c r="O862" s="13" t="n">
        <v>0.4728</v>
      </c>
      <c r="P862" s="13" t="n">
        <v>0.2</v>
      </c>
      <c r="Q862" s="13" t="n">
        <v>0.021034</v>
      </c>
      <c r="R862" s="13" t="n">
        <v>0.178966</v>
      </c>
      <c r="S862" s="13" t="n">
        <v>0.09520000000000001</v>
      </c>
      <c r="T862" s="13" t="n">
        <v>0.220607</v>
      </c>
      <c r="U862" s="13" t="n">
        <v>0.078431</v>
      </c>
      <c r="V862" s="13" t="n">
        <v>0.142176</v>
      </c>
      <c r="W862" s="13" t="n">
        <v>0.2623</v>
      </c>
      <c r="X862" s="13" t="n">
        <v>0.21788</v>
      </c>
      <c r="Y862" s="13" t="n">
        <v>0.131907</v>
      </c>
      <c r="Z862" s="13" t="n">
        <v>0.08597299999999999</v>
      </c>
      <c r="AA862" s="13" t="n">
        <v>0.3771</v>
      </c>
    </row>
    <row r="863">
      <c r="A863" s="6" t="inlineStr">
        <is>
          <t>2026-03-16</t>
        </is>
      </c>
      <c r="B863" s="6" t="inlineStr">
        <is>
          <t>中间分位</t>
        </is>
      </c>
      <c r="C863" s="10" t="n">
        <v>0.476</v>
      </c>
      <c r="D863" s="8" t="n">
        <v>0.002941</v>
      </c>
      <c r="E863" s="8" t="n">
        <v>0.003525</v>
      </c>
      <c r="F863" s="8" t="n">
        <v>-0.000584</v>
      </c>
      <c r="G863" s="8" t="n">
        <v>0.5452</v>
      </c>
      <c r="H863" s="8" t="n">
        <v>0.108561</v>
      </c>
      <c r="I863" s="8" t="n">
        <v>0.181177</v>
      </c>
      <c r="J863" s="8" t="n">
        <v>-0.072616</v>
      </c>
      <c r="K863" s="8" t="n">
        <v>0.6253</v>
      </c>
      <c r="L863" s="8" t="n">
        <v>0.207414</v>
      </c>
      <c r="M863" s="8" t="n">
        <v>0.169898</v>
      </c>
      <c r="N863" s="8" t="n">
        <v>0.037516</v>
      </c>
      <c r="O863" s="8" t="n">
        <v>0.4503</v>
      </c>
      <c r="P863" s="8" t="n">
        <v>0.186231</v>
      </c>
      <c r="Q863" s="8" t="n">
        <v>-0.003172</v>
      </c>
      <c r="R863" s="8" t="n">
        <v>0.189403</v>
      </c>
      <c r="S863" s="8" t="n">
        <v>0.0167</v>
      </c>
      <c r="T863" s="8" t="n">
        <v>0.215064</v>
      </c>
      <c r="U863" s="8" t="n">
        <v>0.06098</v>
      </c>
      <c r="V863" s="8" t="n">
        <v>0.154084</v>
      </c>
      <c r="W863" s="8" t="n">
        <v>0.2209</v>
      </c>
      <c r="X863" s="8" t="n">
        <v>0.184759</v>
      </c>
      <c r="Y863" s="8" t="n">
        <v>0.132182</v>
      </c>
      <c r="Z863" s="8" t="n">
        <v>0.052577</v>
      </c>
      <c r="AA863" s="8" t="n">
        <v>0.4171</v>
      </c>
    </row>
    <row r="864">
      <c r="A864" s="11" t="inlineStr">
        <is>
          <t>2026-03-17</t>
        </is>
      </c>
      <c r="B864" s="11" t="inlineStr">
        <is>
          <t>中间分位</t>
        </is>
      </c>
      <c r="C864" s="15" t="n">
        <v>0.456</v>
      </c>
      <c r="D864" s="13" t="n">
        <v>0.009679999999999999</v>
      </c>
      <c r="E864" s="13" t="n">
        <v>0.022831</v>
      </c>
      <c r="F864" s="13" t="n">
        <v>-0.013151</v>
      </c>
      <c r="G864" s="13" t="n">
        <v>0.7023</v>
      </c>
      <c r="H864" s="13" t="n">
        <v>0.183045</v>
      </c>
      <c r="I864" s="13" t="n">
        <v>0.102564</v>
      </c>
      <c r="J864" s="13" t="n">
        <v>0.080481</v>
      </c>
      <c r="K864" s="13" t="n">
        <v>0.3591</v>
      </c>
      <c r="L864" s="13" t="n">
        <v>0.217954</v>
      </c>
      <c r="M864" s="13" t="n">
        <v>0.134176</v>
      </c>
      <c r="N864" s="13" t="n">
        <v>0.08377800000000001</v>
      </c>
      <c r="O864" s="13" t="n">
        <v>0.381</v>
      </c>
      <c r="P864" s="13" t="n">
        <v>0.168673</v>
      </c>
      <c r="Q864" s="13" t="n">
        <v>-0.001054</v>
      </c>
      <c r="R864" s="13" t="n">
        <v>0.169727</v>
      </c>
      <c r="S864" s="13" t="n">
        <v>0.0062</v>
      </c>
      <c r="T864" s="13" t="n">
        <v>0.213262</v>
      </c>
      <c r="U864" s="13" t="n">
        <v>-0.027046</v>
      </c>
      <c r="V864" s="13" t="n">
        <v>0.240308</v>
      </c>
      <c r="W864" s="13" t="n">
        <v>0.1125</v>
      </c>
      <c r="X864" s="13" t="n">
        <v>0.193605</v>
      </c>
      <c r="Y864" s="13" t="n">
        <v>0.179838</v>
      </c>
      <c r="Z864" s="13" t="n">
        <v>0.013767</v>
      </c>
      <c r="AA864" s="13" t="n">
        <v>0.4816</v>
      </c>
    </row>
    <row r="865">
      <c r="A865" s="6" t="inlineStr">
        <is>
          <t>2026-03-18</t>
        </is>
      </c>
      <c r="B865" s="6" t="inlineStr">
        <is>
          <t>中间分位</t>
        </is>
      </c>
      <c r="C865" s="10" t="n">
        <v>0.3</v>
      </c>
      <c r="D865" s="8" t="n">
        <v>0.029634</v>
      </c>
      <c r="E865" s="8" t="n">
        <v>0.09272</v>
      </c>
      <c r="F865" s="8" t="n">
        <v>-0.063086</v>
      </c>
      <c r="G865" s="8" t="n">
        <v>0.7578</v>
      </c>
      <c r="H865" s="8" t="n">
        <v>0.105173</v>
      </c>
      <c r="I865" s="8" t="n">
        <v>0.060783</v>
      </c>
      <c r="J865" s="8" t="n">
        <v>0.04439</v>
      </c>
      <c r="K865" s="8" t="n">
        <v>0.3663</v>
      </c>
      <c r="L865" s="8" t="n">
        <v>0.170252</v>
      </c>
      <c r="M865" s="8" t="n">
        <v>0.035027</v>
      </c>
      <c r="N865" s="8" t="n">
        <v>0.135225</v>
      </c>
      <c r="O865" s="8" t="n">
        <v>0.1706</v>
      </c>
      <c r="P865" s="8" t="n">
        <v>0.171413</v>
      </c>
      <c r="Q865" s="8" t="n">
        <v>-0.001374</v>
      </c>
      <c r="R865" s="8" t="n">
        <v>0.172787</v>
      </c>
      <c r="S865" s="8" t="n">
        <v>0.008</v>
      </c>
      <c r="T865" s="8" t="n">
        <v>0.108659</v>
      </c>
      <c r="U865" s="8" t="n">
        <v>-0.07829700000000001</v>
      </c>
      <c r="V865" s="8" t="n">
        <v>0.186956</v>
      </c>
      <c r="W865" s="8" t="n">
        <v>0.4188</v>
      </c>
      <c r="X865" s="8" t="n">
        <v>0.253925</v>
      </c>
      <c r="Y865" s="8" t="n">
        <v>0.17136</v>
      </c>
      <c r="Z865" s="8" t="n">
        <v>0.082565</v>
      </c>
      <c r="AA865" s="8" t="n">
        <v>0.4029</v>
      </c>
    </row>
    <row r="866">
      <c r="A866" s="11" t="inlineStr">
        <is>
          <t>2026-03-19</t>
        </is>
      </c>
      <c r="B866" s="11" t="inlineStr">
        <is>
          <t>低分位</t>
        </is>
      </c>
      <c r="C866" s="15" t="n">
        <v>0.008</v>
      </c>
      <c r="D866" s="13" t="n">
        <v>0.073365</v>
      </c>
      <c r="E866" s="13" t="n">
        <v>-0.015713</v>
      </c>
      <c r="F866" s="13" t="n">
        <v>0.089078</v>
      </c>
      <c r="G866" s="13" t="n">
        <v>0.1764</v>
      </c>
      <c r="H866" s="13" t="n">
        <v>0.059821</v>
      </c>
      <c r="I866" s="13" t="n">
        <v>0.006285</v>
      </c>
      <c r="J866" s="13" t="n">
        <v>0.053536</v>
      </c>
      <c r="K866" s="13" t="n">
        <v>0.0951</v>
      </c>
      <c r="L866" s="13" t="n">
        <v>0.056435</v>
      </c>
      <c r="M866" s="13" t="n">
        <v>0.020113</v>
      </c>
      <c r="N866" s="13" t="n">
        <v>0.036322</v>
      </c>
      <c r="O866" s="13" t="n">
        <v>0.2628</v>
      </c>
      <c r="P866" s="13" t="n">
        <v>0.148984</v>
      </c>
      <c r="Q866" s="13" t="n">
        <v>-0.083595</v>
      </c>
      <c r="R866" s="13" t="n">
        <v>0.232579</v>
      </c>
      <c r="S866" s="13" t="n">
        <v>0.3594</v>
      </c>
      <c r="T866" s="13" t="n">
        <v>0.059255</v>
      </c>
      <c r="U866" s="13" t="n">
        <v>-0.178504</v>
      </c>
      <c r="V866" s="13" t="n">
        <v>0.237759</v>
      </c>
      <c r="W866" s="13" t="n">
        <v>0.7508</v>
      </c>
      <c r="X866" s="13" t="n">
        <v>0.255082</v>
      </c>
      <c r="Y866" s="13" t="n">
        <v>-0.043683</v>
      </c>
      <c r="Z866" s="13" t="n">
        <v>0.298765</v>
      </c>
      <c r="AA866" s="13" t="n">
        <v>0.1462</v>
      </c>
    </row>
    <row r="867">
      <c r="A867" s="6" t="inlineStr">
        <is>
          <t>2026-03-20</t>
        </is>
      </c>
      <c r="B867" s="6" t="inlineStr">
        <is>
          <t>中间分位</t>
        </is>
      </c>
      <c r="C867" s="10" t="n">
        <v>0.652</v>
      </c>
      <c r="D867" s="8" t="n">
        <v>-0.009464</v>
      </c>
      <c r="E867" s="8" t="n">
        <v>0.069923</v>
      </c>
      <c r="F867" s="8" t="n">
        <v>-0.079387</v>
      </c>
      <c r="G867" s="8" t="n">
        <v>0.8808</v>
      </c>
      <c r="H867" s="8" t="n">
        <v>0.036804</v>
      </c>
      <c r="I867" s="8" t="n">
        <v>0.052363</v>
      </c>
      <c r="J867" s="8" t="n">
        <v>-0.015559</v>
      </c>
      <c r="K867" s="8" t="n">
        <v>0.5872000000000001</v>
      </c>
      <c r="L867" s="8" t="n">
        <v>0.055732</v>
      </c>
      <c r="M867" s="8" t="n">
        <v>0.074074</v>
      </c>
      <c r="N867" s="8" t="n">
        <v>-0.018342</v>
      </c>
      <c r="O867" s="8" t="n">
        <v>0.5707</v>
      </c>
      <c r="P867" s="8" t="n">
        <v>0.069401</v>
      </c>
      <c r="Q867" s="8" t="n">
        <v>-0.08812300000000001</v>
      </c>
      <c r="R867" s="8" t="n">
        <v>0.157524</v>
      </c>
      <c r="S867" s="8" t="n">
        <v>0.5594</v>
      </c>
      <c r="T867" s="8" t="n">
        <v>-0.049946</v>
      </c>
      <c r="U867" s="8" t="n">
        <v>-0.180715</v>
      </c>
      <c r="V867" s="8" t="n">
        <v>0.130769</v>
      </c>
      <c r="W867" s="8" t="n">
        <v>0.7835</v>
      </c>
      <c r="X867" s="8" t="n">
        <v>0.175606</v>
      </c>
      <c r="Y867" s="8" t="n">
        <v>-0.037037</v>
      </c>
      <c r="Z867" s="8" t="n">
        <v>0.212643</v>
      </c>
      <c r="AA867" s="8" t="n">
        <v>0.1742</v>
      </c>
    </row>
    <row r="868">
      <c r="A868" s="11" t="inlineStr">
        <is>
          <t>2026-03-23</t>
        </is>
      </c>
      <c r="B868" s="11" t="inlineStr">
        <is>
          <t>低分位</t>
        </is>
      </c>
      <c r="C868" s="15" t="n">
        <v>0.024</v>
      </c>
      <c r="D868" s="13" t="n">
        <v>0.070328</v>
      </c>
      <c r="E868" s="13" t="n">
        <v>-0.063265</v>
      </c>
      <c r="F868" s="13" t="n">
        <v>0.133593</v>
      </c>
      <c r="G868" s="13" t="n">
        <v>0.4736</v>
      </c>
      <c r="H868" s="13" t="n">
        <v>0.089172</v>
      </c>
      <c r="I868" s="13" t="n">
        <v>-0.009549</v>
      </c>
      <c r="J868" s="13" t="n">
        <v>0.098721</v>
      </c>
      <c r="K868" s="13" t="n">
        <v>0.09669999999999999</v>
      </c>
      <c r="L868" s="13" t="n">
        <v>0.111465</v>
      </c>
      <c r="M868" s="13" t="n">
        <v>0.060281</v>
      </c>
      <c r="N868" s="13" t="n">
        <v>0.051184</v>
      </c>
      <c r="O868" s="13" t="n">
        <v>0.351</v>
      </c>
      <c r="P868" s="13" t="n">
        <v>0.065818</v>
      </c>
      <c r="Q868" s="13" t="n">
        <v>-0.157266</v>
      </c>
      <c r="R868" s="13" t="n">
        <v>0.223084</v>
      </c>
      <c r="S868" s="13" t="n">
        <v>0.705</v>
      </c>
      <c r="T868" s="13" t="n">
        <v>-0.07112400000000001</v>
      </c>
      <c r="U868" s="13" t="n">
        <v>-0.245598</v>
      </c>
      <c r="V868" s="13" t="n">
        <v>0.174474</v>
      </c>
      <c r="W868" s="13" t="n">
        <v>0.7754</v>
      </c>
      <c r="X868" s="13" t="n">
        <v>0.174099</v>
      </c>
      <c r="Y868" s="13" t="n">
        <v>-0.09997</v>
      </c>
      <c r="Z868" s="13" t="n">
        <v>0.274069</v>
      </c>
      <c r="AA868" s="13" t="n">
        <v>0.3648</v>
      </c>
    </row>
    <row r="869">
      <c r="A869" s="6" t="inlineStr">
        <is>
          <t>2026-03-24</t>
        </is>
      </c>
      <c r="B869" s="6" t="inlineStr">
        <is>
          <t>高分位</t>
        </is>
      </c>
      <c r="C869" s="10" t="n">
        <v>0.912</v>
      </c>
      <c r="D869" s="8" t="n">
        <v>-0.056781</v>
      </c>
      <c r="E869" s="8" t="n">
        <v>-0.015929</v>
      </c>
      <c r="F869" s="8" t="n">
        <v>-0.040852</v>
      </c>
      <c r="G869" s="8" t="n">
        <v>0.2191</v>
      </c>
      <c r="H869" s="8" t="n">
        <v>0.029508</v>
      </c>
      <c r="I869" s="8" t="n">
        <v>0.028672</v>
      </c>
      <c r="J869" s="8" t="n">
        <v>0.000836</v>
      </c>
      <c r="K869" s="8" t="n">
        <v>0.4928</v>
      </c>
      <c r="L869" s="8" t="n">
        <v>0.100919</v>
      </c>
      <c r="M869" s="8" t="n">
        <v>-0.005416</v>
      </c>
      <c r="N869" s="8" t="n">
        <v>0.106335</v>
      </c>
      <c r="O869" s="8" t="n">
        <v>0.0509</v>
      </c>
      <c r="P869" s="8" t="n">
        <v>-0.022066</v>
      </c>
      <c r="Q869" s="8" t="n">
        <v>-0.092705</v>
      </c>
      <c r="R869" s="8" t="n">
        <v>0.07063899999999999</v>
      </c>
      <c r="S869" s="8" t="n">
        <v>0.8077</v>
      </c>
      <c r="T869" s="8" t="n">
        <v>-0.152986</v>
      </c>
      <c r="U869" s="8" t="n">
        <v>-0.205798</v>
      </c>
      <c r="V869" s="8" t="n">
        <v>0.052812</v>
      </c>
      <c r="W869" s="8" t="n">
        <v>0.5736</v>
      </c>
      <c r="X869" s="8" t="n">
        <v>0.125219</v>
      </c>
      <c r="Y869" s="8" t="n">
        <v>-0.039184</v>
      </c>
      <c r="Z869" s="8" t="n">
        <v>0.164403</v>
      </c>
      <c r="AA869" s="8" t="n">
        <v>0.2383</v>
      </c>
    </row>
    <row r="870">
      <c r="A870" s="11" t="inlineStr">
        <is>
          <t>2026-03-25</t>
        </is>
      </c>
      <c r="B870" s="11" t="inlineStr">
        <is>
          <t>中间分位</t>
        </is>
      </c>
      <c r="C870" s="15" t="n">
        <v>0.728</v>
      </c>
      <c r="D870" s="13" t="n">
        <v>-0.012618</v>
      </c>
      <c r="E870" s="13" t="n">
        <v>0.036581</v>
      </c>
      <c r="F870" s="13" t="n">
        <v>-0.049199</v>
      </c>
      <c r="G870" s="13" t="n">
        <v>0.7435</v>
      </c>
      <c r="H870" s="13" t="n">
        <v>0.058886</v>
      </c>
      <c r="I870" s="13" t="n">
        <v>-0.02428</v>
      </c>
      <c r="J870" s="13" t="n">
        <v>0.083166</v>
      </c>
      <c r="K870" s="13" t="n">
        <v>0.2919</v>
      </c>
      <c r="L870" s="13" t="n">
        <v>0.045215</v>
      </c>
      <c r="M870" s="13" t="n">
        <v>0.037553</v>
      </c>
      <c r="N870" s="13" t="n">
        <v>0.007662</v>
      </c>
      <c r="O870" s="13" t="n">
        <v>0.4537</v>
      </c>
      <c r="P870" s="13" t="n">
        <v>0.027341</v>
      </c>
      <c r="Q870" s="13" t="n">
        <v>-0.067983</v>
      </c>
      <c r="R870" s="13" t="n">
        <v>0.09532400000000001</v>
      </c>
      <c r="S870" s="13" t="n">
        <v>0.7131999999999999</v>
      </c>
      <c r="T870" s="13" t="n">
        <v>-0.123817</v>
      </c>
      <c r="U870" s="13" t="n">
        <v>-0.203949</v>
      </c>
      <c r="V870" s="13" t="n">
        <v>0.08013199999999999</v>
      </c>
      <c r="W870" s="13" t="n">
        <v>0.6222</v>
      </c>
      <c r="X870" s="13" t="n">
        <v>0.205047</v>
      </c>
      <c r="Y870" s="13" t="n">
        <v>-0.011978</v>
      </c>
      <c r="Z870" s="13" t="n">
        <v>0.217025</v>
      </c>
      <c r="AA870" s="13" t="n">
        <v>0.0552</v>
      </c>
    </row>
    <row r="871">
      <c r="A871" s="6" t="inlineStr">
        <is>
          <t>2026-03-26</t>
        </is>
      </c>
      <c r="B871" s="6" t="inlineStr">
        <is>
          <t>中间分位</t>
        </is>
      </c>
      <c r="C871" s="10" t="n">
        <v>0.252</v>
      </c>
      <c r="D871" s="8" t="n">
        <v>0.050054</v>
      </c>
      <c r="E871" s="8" t="n">
        <v>0.029357</v>
      </c>
      <c r="F871" s="8" t="n">
        <v>0.020697</v>
      </c>
      <c r="G871" s="8" t="n">
        <v>0.3697</v>
      </c>
      <c r="H871" s="8" t="n">
        <v>-0.003195</v>
      </c>
      <c r="I871" s="8" t="n">
        <v>0.013741</v>
      </c>
      <c r="J871" s="8" t="n">
        <v>-0.016936</v>
      </c>
      <c r="K871" s="8" t="n">
        <v>0.8113</v>
      </c>
      <c r="L871" s="8" t="n">
        <v>0.08200300000000001</v>
      </c>
      <c r="M871" s="8" t="n">
        <v>-0.027483</v>
      </c>
      <c r="N871" s="8" t="n">
        <v>0.109486</v>
      </c>
      <c r="O871" s="8" t="n">
        <v>0.251</v>
      </c>
      <c r="P871" s="8" t="n">
        <v>0.04047</v>
      </c>
      <c r="Q871" s="8" t="n">
        <v>-0.095878</v>
      </c>
      <c r="R871" s="8" t="n">
        <v>0.136348</v>
      </c>
      <c r="S871" s="8" t="n">
        <v>0.7032</v>
      </c>
      <c r="T871" s="8" t="n">
        <v>-0.138179</v>
      </c>
      <c r="U871" s="8" t="n">
        <v>-0.241412</v>
      </c>
      <c r="V871" s="8" t="n">
        <v>0.103233</v>
      </c>
      <c r="W871" s="8" t="n">
        <v>0.636</v>
      </c>
      <c r="X871" s="8" t="n">
        <v>0.277955</v>
      </c>
      <c r="Y871" s="8" t="n">
        <v>-0.064647</v>
      </c>
      <c r="Z871" s="8" t="n">
        <v>0.342602</v>
      </c>
      <c r="AA871" s="8" t="n">
        <v>0.1887</v>
      </c>
    </row>
    <row r="872">
      <c r="A872" s="11" t="inlineStr">
        <is>
          <t>2026-03-27</t>
        </is>
      </c>
      <c r="B872" s="11" t="inlineStr">
        <is>
          <t>中间分位</t>
        </is>
      </c>
      <c r="C872" s="15" t="n">
        <v>0.468</v>
      </c>
      <c r="D872" s="13" t="n">
        <v>0.040567</v>
      </c>
      <c r="E872" s="13" t="n">
        <v>0.006978</v>
      </c>
      <c r="F872" s="13" t="n">
        <v>0.033589</v>
      </c>
      <c r="G872" s="13" t="n">
        <v>0.1468</v>
      </c>
      <c r="H872" s="13" t="n">
        <v>0.018256</v>
      </c>
      <c r="I872" s="13" t="n">
        <v>0.020631</v>
      </c>
      <c r="J872" s="13" t="n">
        <v>-0.002375</v>
      </c>
      <c r="K872" s="13" t="n">
        <v>0.5305</v>
      </c>
      <c r="L872" s="13" t="n">
        <v>0.004056</v>
      </c>
      <c r="M872" s="13" t="n">
        <v>-0.131068</v>
      </c>
      <c r="N872" s="13" t="n">
        <v>0.135124</v>
      </c>
      <c r="O872" s="13" t="n">
        <v>0.97</v>
      </c>
      <c r="P872" s="13" t="n">
        <v>-0.005072</v>
      </c>
      <c r="Q872" s="13" t="n">
        <v>-0.108313</v>
      </c>
      <c r="R872" s="13" t="n">
        <v>0.103241</v>
      </c>
      <c r="S872" s="13" t="n">
        <v>0.9553</v>
      </c>
      <c r="T872" s="13" t="n">
        <v>-0.174444</v>
      </c>
      <c r="U872" s="13" t="n">
        <v>-0.262743</v>
      </c>
      <c r="V872" s="13" t="n">
        <v>0.088299</v>
      </c>
      <c r="W872" s="13" t="n">
        <v>0.601</v>
      </c>
      <c r="X872" s="13" t="n">
        <v>0.226165</v>
      </c>
      <c r="Y872" s="13" t="n">
        <v>-0.104369</v>
      </c>
      <c r="Z872" s="13" t="n">
        <v>0.330534</v>
      </c>
      <c r="AA872" s="13" t="n">
        <v>0.3158</v>
      </c>
    </row>
    <row r="873">
      <c r="A873" s="6" t="inlineStr">
        <is>
          <t>2026-03-30</t>
        </is>
      </c>
      <c r="B873" s="6" t="inlineStr">
        <is>
          <t>中间分位</t>
        </is>
      </c>
      <c r="C873" s="10" t="n">
        <v>0.748</v>
      </c>
      <c r="D873" s="8" t="n">
        <v>0.011696</v>
      </c>
      <c r="E873" s="8" t="n">
        <v>-0.027117</v>
      </c>
      <c r="F873" s="8" t="n">
        <v>0.038813</v>
      </c>
      <c r="G873" s="8" t="n">
        <v>0.6987</v>
      </c>
      <c r="H873" s="8" t="n">
        <v>0.020468</v>
      </c>
      <c r="I873" s="8" t="n">
        <v>0.070503</v>
      </c>
      <c r="J873" s="8" t="n">
        <v>-0.050035</v>
      </c>
      <c r="K873" s="8" t="n">
        <v>0.775</v>
      </c>
      <c r="L873" s="8" t="n">
        <v>-0.017544</v>
      </c>
      <c r="M873" s="8" t="n">
        <v>-0.147936</v>
      </c>
      <c r="N873" s="8" t="n">
        <v>0.130392</v>
      </c>
      <c r="O873" s="8" t="n">
        <v>0.894</v>
      </c>
      <c r="P873" s="8" t="n">
        <v>-0.035088</v>
      </c>
      <c r="Q873" s="8" t="n">
        <v>-0.090087</v>
      </c>
      <c r="R873" s="8" t="n">
        <v>0.054999</v>
      </c>
      <c r="S873" s="8" t="n">
        <v>0.7197</v>
      </c>
      <c r="T873" s="8" t="n">
        <v>-0.18957</v>
      </c>
      <c r="U873" s="8" t="n">
        <v>-0.258813</v>
      </c>
      <c r="V873" s="8" t="n">
        <v>0.069243</v>
      </c>
      <c r="W873" s="8" t="n">
        <v>0.5772</v>
      </c>
      <c r="X873" s="8" t="n">
        <v>0.193956</v>
      </c>
      <c r="Y873" s="8" t="n">
        <v>-0.113588</v>
      </c>
      <c r="Z873" s="8" t="n">
        <v>0.307544</v>
      </c>
      <c r="AA873" s="8" t="n">
        <v>0.3693</v>
      </c>
    </row>
    <row r="874">
      <c r="A874" s="11" t="inlineStr">
        <is>
          <t>2026-03-31</t>
        </is>
      </c>
      <c r="B874" s="11" t="inlineStr">
        <is>
          <t>高分位</t>
        </is>
      </c>
      <c r="C874" s="15" t="n">
        <v>0.912</v>
      </c>
      <c r="D874" s="13" t="n">
        <v>-0.029864</v>
      </c>
      <c r="E874" s="13" t="n">
        <v>-0.066584</v>
      </c>
      <c r="F874" s="13" t="n">
        <v>0.03672</v>
      </c>
      <c r="G874" s="13" t="n">
        <v>0.6904</v>
      </c>
      <c r="H874" s="13" t="n">
        <v>0.069364</v>
      </c>
      <c r="I874" s="13" t="n">
        <v>-0.033137</v>
      </c>
      <c r="J874" s="13" t="n">
        <v>0.102501</v>
      </c>
      <c r="K874" s="13" t="n">
        <v>0.3233</v>
      </c>
      <c r="L874" s="13" t="n">
        <v>-0.040462</v>
      </c>
      <c r="M874" s="13" t="n">
        <v>-0.119232</v>
      </c>
      <c r="N874" s="13" t="n">
        <v>0.07877000000000001</v>
      </c>
      <c r="O874" s="13" t="n">
        <v>0.7466</v>
      </c>
      <c r="P874" s="13" t="n">
        <v>-0.034682</v>
      </c>
      <c r="Q874" s="13" t="n">
        <v>-0.06875199999999999</v>
      </c>
      <c r="R874" s="13" t="n">
        <v>0.03407</v>
      </c>
      <c r="S874" s="13" t="n">
        <v>0.6647</v>
      </c>
      <c r="T874" s="13" t="n">
        <v>-0.186899</v>
      </c>
      <c r="U874" s="13" t="n">
        <v>-0.248064</v>
      </c>
      <c r="V874" s="13" t="n">
        <v>0.061165</v>
      </c>
      <c r="W874" s="13" t="n">
        <v>0.5703</v>
      </c>
      <c r="X874" s="13" t="n">
        <v>0.171483</v>
      </c>
      <c r="Y874" s="13" t="n">
        <v>-0.08826299999999999</v>
      </c>
      <c r="Z874" s="13" t="n">
        <v>0.259746</v>
      </c>
      <c r="AA874" s="13" t="n">
        <v>0.3398</v>
      </c>
    </row>
    <row r="875">
      <c r="A875" s="6" t="inlineStr">
        <is>
          <t>2026-04-01</t>
        </is>
      </c>
      <c r="B875" s="6" t="inlineStr">
        <is>
          <t>高分位</t>
        </is>
      </c>
      <c r="C875" s="10" t="n">
        <v>0.98</v>
      </c>
      <c r="D875" s="8" t="n">
        <v>-0.070507</v>
      </c>
      <c r="E875" s="8" t="n">
        <v>0.076974</v>
      </c>
      <c r="F875" s="8" t="n">
        <v>-0.147481</v>
      </c>
      <c r="G875" s="8" t="n">
        <v>0.5219</v>
      </c>
      <c r="H875" s="8" t="n">
        <v>-0.012912</v>
      </c>
      <c r="I875" s="8" t="n">
        <v>0.063371</v>
      </c>
      <c r="J875" s="8" t="n">
        <v>-0.076283</v>
      </c>
      <c r="K875" s="8" t="n">
        <v>0.8307</v>
      </c>
      <c r="L875" s="8" t="n">
        <v>0.000992</v>
      </c>
      <c r="M875" s="8" t="n">
        <v>-0.035169</v>
      </c>
      <c r="N875" s="8" t="n">
        <v>0.036161</v>
      </c>
      <c r="O875" s="8" t="n">
        <v>0.9726</v>
      </c>
      <c r="P875" s="8" t="n">
        <v>-0.019117</v>
      </c>
      <c r="Q875" s="8" t="n">
        <v>-0.001659</v>
      </c>
      <c r="R875" s="8" t="n">
        <v>-0.017458</v>
      </c>
      <c r="S875" s="8" t="n">
        <v>0.0799</v>
      </c>
      <c r="T875" s="8" t="n">
        <v>-0.17428</v>
      </c>
      <c r="U875" s="8" t="n">
        <v>-0.220305</v>
      </c>
      <c r="V875" s="8" t="n">
        <v>0.046025</v>
      </c>
      <c r="W875" s="8" t="n">
        <v>0.5583</v>
      </c>
      <c r="X875" s="8" t="n">
        <v>0.211022</v>
      </c>
      <c r="Y875" s="8" t="n">
        <v>-0.060053</v>
      </c>
      <c r="Z875" s="8" t="n">
        <v>0.271075</v>
      </c>
      <c r="AA875" s="8" t="n">
        <v>0.2215</v>
      </c>
    </row>
    <row r="876">
      <c r="A876" s="11" t="inlineStr">
        <is>
          <t>2026-04-02</t>
        </is>
      </c>
      <c r="B876" s="11" t="inlineStr">
        <is>
          <t>中间分位</t>
        </is>
      </c>
      <c r="C876" s="15" t="n">
        <v>0.12</v>
      </c>
      <c r="D876" s="13" t="n">
        <v>0.07265099999999999</v>
      </c>
      <c r="E876" s="13" t="n">
        <v>0.036352</v>
      </c>
      <c r="F876" s="13" t="n">
        <v>0.036299</v>
      </c>
      <c r="G876" s="13" t="n">
        <v>0.3335</v>
      </c>
      <c r="H876" s="13" t="n">
        <v>0.08547100000000001</v>
      </c>
      <c r="I876" s="13" t="n">
        <v>-0.040665</v>
      </c>
      <c r="J876" s="13" t="n">
        <v>0.126136</v>
      </c>
      <c r="K876" s="13" t="n">
        <v>0.3224</v>
      </c>
      <c r="L876" s="13" t="n">
        <v>0.087606</v>
      </c>
      <c r="M876" s="13" t="n">
        <v>-0.101664</v>
      </c>
      <c r="N876" s="13" t="n">
        <v>0.18927</v>
      </c>
      <c r="O876" s="13" t="n">
        <v>0.5371</v>
      </c>
      <c r="P876" s="13" t="n">
        <v>0.056356</v>
      </c>
      <c r="Q876" s="13" t="n">
        <v>-0.061922</v>
      </c>
      <c r="R876" s="13" t="n">
        <v>0.118278</v>
      </c>
      <c r="S876" s="13" t="n">
        <v>0.5235</v>
      </c>
      <c r="T876" s="13" t="n">
        <v>-0.168804</v>
      </c>
      <c r="U876" s="13" t="n">
        <v>-0.276956</v>
      </c>
      <c r="V876" s="13" t="n">
        <v>0.108152</v>
      </c>
      <c r="W876" s="13" t="n">
        <v>0.6213</v>
      </c>
      <c r="X876" s="13" t="n">
        <v>0.287394</v>
      </c>
      <c r="Y876" s="13" t="n">
        <v>-0.08810800000000001</v>
      </c>
      <c r="Z876" s="13" t="n">
        <v>0.375502</v>
      </c>
      <c r="AA876" s="13" t="n">
        <v>0.2346</v>
      </c>
    </row>
    <row r="877">
      <c r="A877" s="6" t="inlineStr">
        <is>
          <t>2026-04-03</t>
        </is>
      </c>
      <c r="B877" s="6" t="inlineStr">
        <is>
          <t>中间分位</t>
        </is>
      </c>
      <c r="C877" s="10" t="n">
        <v>0.436</v>
      </c>
      <c r="D877" s="8" t="n">
        <v>0.042828</v>
      </c>
      <c r="E877" s="8" t="n">
        <v>0.056183</v>
      </c>
      <c r="F877" s="8" t="n">
        <v>-0.013355</v>
      </c>
      <c r="G877" s="8" t="n">
        <v>0.5674</v>
      </c>
      <c r="H877" s="8" t="n">
        <v>-0.013945</v>
      </c>
      <c r="I877" s="8" t="n">
        <v>-0.148633</v>
      </c>
      <c r="J877" s="8" t="n">
        <v>0.134688</v>
      </c>
      <c r="K877" s="8" t="n">
        <v>0.9142</v>
      </c>
      <c r="L877" s="8" t="n">
        <v>0.012947</v>
      </c>
      <c r="M877" s="8" t="n">
        <v>-0.151011</v>
      </c>
      <c r="N877" s="8" t="n">
        <v>0.163958</v>
      </c>
      <c r="O877" s="8" t="n">
        <v>0.921</v>
      </c>
      <c r="P877" s="8" t="n">
        <v>-0.002241</v>
      </c>
      <c r="Q877" s="8" t="n">
        <v>-0.146849</v>
      </c>
      <c r="R877" s="8" t="n">
        <v>0.144608</v>
      </c>
      <c r="S877" s="8" t="n">
        <v>0.985</v>
      </c>
      <c r="T877" s="8" t="n">
        <v>-0.239295</v>
      </c>
      <c r="U877" s="8" t="n">
        <v>-0.293401</v>
      </c>
      <c r="V877" s="8" t="n">
        <v>0.054106</v>
      </c>
      <c r="W877" s="8" t="n">
        <v>0.5508</v>
      </c>
      <c r="X877" s="8" t="n">
        <v>0.327687</v>
      </c>
      <c r="Y877" s="8" t="n">
        <v>-0.125743</v>
      </c>
      <c r="Z877" s="8" t="n">
        <v>0.45343</v>
      </c>
      <c r="AA877" s="8" t="n">
        <v>0.2773</v>
      </c>
    </row>
    <row r="878">
      <c r="A878" s="11" t="inlineStr">
        <is>
          <t>2026-04-07</t>
        </is>
      </c>
      <c r="B878" s="11" t="inlineStr">
        <is>
          <t>中间分位</t>
        </is>
      </c>
      <c r="C878" s="15" t="n">
        <v>0.3</v>
      </c>
      <c r="D878" s="13" t="n">
        <v>0.060172</v>
      </c>
      <c r="E878" s="13" t="n">
        <v>-0.121306</v>
      </c>
      <c r="F878" s="13" t="n">
        <v>0.181478</v>
      </c>
      <c r="G878" s="13" t="n">
        <v>0.6684</v>
      </c>
      <c r="H878" s="13" t="n">
        <v>-0.037249</v>
      </c>
      <c r="I878" s="13" t="n">
        <v>-0.204053</v>
      </c>
      <c r="J878" s="13" t="n">
        <v>0.166804</v>
      </c>
      <c r="K878" s="13" t="n">
        <v>0.8456</v>
      </c>
      <c r="L878" s="13" t="n">
        <v>-0.041069</v>
      </c>
      <c r="M878" s="13" t="n">
        <v>-0.205179</v>
      </c>
      <c r="N878" s="13" t="n">
        <v>0.16411</v>
      </c>
      <c r="O878" s="13" t="n">
        <v>0.8332000000000001</v>
      </c>
      <c r="P878" s="13" t="n">
        <v>-0.09169099999999999</v>
      </c>
      <c r="Q878" s="13" t="n">
        <v>-0.196454</v>
      </c>
      <c r="R878" s="13" t="n">
        <v>0.104763</v>
      </c>
      <c r="S878" s="13" t="n">
        <v>0.6818</v>
      </c>
      <c r="T878" s="13" t="n">
        <v>-0.278415</v>
      </c>
      <c r="U878" s="13" t="n">
        <v>-0.334928</v>
      </c>
      <c r="V878" s="13" t="n">
        <v>0.056513</v>
      </c>
      <c r="W878" s="13" t="n">
        <v>0.5461</v>
      </c>
      <c r="X878" s="13" t="n">
        <v>0.318052</v>
      </c>
      <c r="Y878" s="13" t="n">
        <v>-0.168871</v>
      </c>
      <c r="Z878" s="13" t="n">
        <v>0.486923</v>
      </c>
      <c r="AA878" s="13" t="n">
        <v>0.3468</v>
      </c>
    </row>
    <row r="879">
      <c r="A879" s="6" t="inlineStr">
        <is>
          <t>2026-04-08</t>
        </is>
      </c>
      <c r="B879" s="6" t="inlineStr">
        <is>
          <t>高分位</t>
        </is>
      </c>
      <c r="C879" s="10" t="n">
        <v>0.998</v>
      </c>
      <c r="D879" s="8" t="n">
        <v>-0.104505</v>
      </c>
      <c r="E879" s="8" t="n">
        <v>0.026586</v>
      </c>
      <c r="F879" s="8" t="n">
        <v>-0.131091</v>
      </c>
      <c r="G879" s="8" t="n">
        <v>0.2028</v>
      </c>
      <c r="H879" s="8" t="n">
        <v>-0.102703</v>
      </c>
      <c r="I879" s="8" t="n">
        <v>-0.089045</v>
      </c>
      <c r="J879" s="8" t="n">
        <v>-0.013658</v>
      </c>
      <c r="K879" s="8" t="n">
        <v>0.4644</v>
      </c>
      <c r="L879" s="8" t="n">
        <v>-0.111711</v>
      </c>
      <c r="M879" s="8" t="n">
        <v>-0.08776399999999999</v>
      </c>
      <c r="N879" s="8" t="n">
        <v>-0.023947</v>
      </c>
      <c r="O879" s="8" t="n">
        <v>0.44</v>
      </c>
      <c r="P879" s="8" t="n">
        <v>-0.154054</v>
      </c>
      <c r="Q879" s="8" t="n">
        <v>-0.076874</v>
      </c>
      <c r="R879" s="8" t="n">
        <v>-0.07718</v>
      </c>
      <c r="S879" s="8" t="n">
        <v>0.3329</v>
      </c>
      <c r="T879" s="8" t="n">
        <v>-0.316441</v>
      </c>
      <c r="U879" s="8" t="n">
        <v>-0.229981</v>
      </c>
      <c r="V879" s="8" t="n">
        <v>-0.08646</v>
      </c>
      <c r="W879" s="8" t="n">
        <v>0.4209</v>
      </c>
      <c r="X879" s="8" t="n">
        <v>0.239189</v>
      </c>
      <c r="Y879" s="8" t="n">
        <v>-0.048046</v>
      </c>
      <c r="Z879" s="8" t="n">
        <v>0.287235</v>
      </c>
      <c r="AA879" s="8" t="n">
        <v>0.1673</v>
      </c>
    </row>
    <row r="880">
      <c r="A880" s="11" t="inlineStr">
        <is>
          <t>2026-04-09</t>
        </is>
      </c>
      <c r="B880" s="11" t="inlineStr">
        <is>
          <t>中间分位</t>
        </is>
      </c>
      <c r="C880" s="15" t="n">
        <v>0.772</v>
      </c>
      <c r="D880" s="13" t="n">
        <v>0.022135</v>
      </c>
      <c r="E880" s="13" t="n">
        <v>-0.028393</v>
      </c>
      <c r="F880" s="13" t="n">
        <v>0.050528</v>
      </c>
      <c r="G880" s="13" t="n">
        <v>0.5619</v>
      </c>
      <c r="H880" s="13" t="n">
        <v>0.014086</v>
      </c>
      <c r="I880" s="13" t="n">
        <v>-0.092668</v>
      </c>
      <c r="J880" s="13" t="n">
        <v>0.106754</v>
      </c>
      <c r="K880" s="13" t="n">
        <v>0.8681</v>
      </c>
      <c r="L880" s="13" t="n">
        <v>-0.017101</v>
      </c>
      <c r="M880" s="13" t="n">
        <v>-0.101716</v>
      </c>
      <c r="N880" s="13" t="n">
        <v>0.084615</v>
      </c>
      <c r="O880" s="13" t="n">
        <v>0.8561</v>
      </c>
      <c r="P880" s="13" t="n">
        <v>-0.057845</v>
      </c>
      <c r="Q880" s="13" t="n">
        <v>-0.09048399999999999</v>
      </c>
      <c r="R880" s="13" t="n">
        <v>0.032639</v>
      </c>
      <c r="S880" s="13" t="n">
        <v>0.61</v>
      </c>
      <c r="T880" s="13" t="n">
        <v>-0.235159</v>
      </c>
      <c r="U880" s="13" t="n">
        <v>-0.223713</v>
      </c>
      <c r="V880" s="13" t="n">
        <v>-0.011446</v>
      </c>
      <c r="W880" s="13" t="n">
        <v>0.4875</v>
      </c>
      <c r="X880" s="13" t="n">
        <v>0.356137</v>
      </c>
      <c r="Y880" s="13" t="n">
        <v>-0.00156</v>
      </c>
      <c r="Z880" s="13" t="n">
        <v>0.357697</v>
      </c>
      <c r="AA880" s="13" t="n">
        <v>0.0044</v>
      </c>
    </row>
    <row r="881">
      <c r="A881" s="6" t="inlineStr">
        <is>
          <t>2026-04-10</t>
        </is>
      </c>
      <c r="B881" s="6" t="inlineStr">
        <is>
          <t>高分位</t>
        </is>
      </c>
      <c r="C881" s="10" t="n">
        <v>0.944</v>
      </c>
      <c r="D881" s="8" t="n">
        <v>-0.025592</v>
      </c>
      <c r="E881" s="8" t="n">
        <v>-0.08028299999999999</v>
      </c>
      <c r="F881" s="8" t="n">
        <v>0.054691</v>
      </c>
      <c r="G881" s="8" t="n">
        <v>0.7583</v>
      </c>
      <c r="H881" s="8" t="n">
        <v>0.001967</v>
      </c>
      <c r="I881" s="8" t="n">
        <v>-0.063584</v>
      </c>
      <c r="J881" s="8" t="n">
        <v>0.065551</v>
      </c>
      <c r="K881" s="8" t="n">
        <v>0.97</v>
      </c>
      <c r="L881" s="8" t="n">
        <v>-0.038386</v>
      </c>
      <c r="M881" s="8" t="n">
        <v>-0.070328</v>
      </c>
      <c r="N881" s="8" t="n">
        <v>0.031942</v>
      </c>
      <c r="O881" s="8" t="n">
        <v>0.6469</v>
      </c>
      <c r="P881" s="8" t="n">
        <v>-0.06693</v>
      </c>
      <c r="Q881" s="8" t="n">
        <v>-0.06679499999999999</v>
      </c>
      <c r="R881" s="8" t="n">
        <v>-0.000135</v>
      </c>
      <c r="S881" s="8" t="n">
        <v>0.4995</v>
      </c>
      <c r="T881" s="8" t="n">
        <v>-0.226379</v>
      </c>
      <c r="U881" s="8" t="n">
        <v>-0.201028</v>
      </c>
      <c r="V881" s="8" t="n">
        <v>-0.025351</v>
      </c>
      <c r="W881" s="8" t="n">
        <v>0.4703</v>
      </c>
      <c r="X881" s="8" t="n">
        <v>0.397635</v>
      </c>
      <c r="Y881" s="8" t="n">
        <v>0.071933</v>
      </c>
      <c r="Z881" s="8" t="n">
        <v>0.325702</v>
      </c>
      <c r="AA881" s="8" t="n">
        <v>0.1532</v>
      </c>
    </row>
    <row r="882">
      <c r="A882" s="11" t="inlineStr">
        <is>
          <t>2026-04-13</t>
        </is>
      </c>
      <c r="B882" s="11" t="inlineStr">
        <is>
          <t>高分位</t>
        </is>
      </c>
      <c r="C882" s="15" t="n">
        <v>0.988</v>
      </c>
      <c r="D882" s="13" t="n">
        <v>0.018182</v>
      </c>
      <c r="E882" s="13" t="n">
        <v>-0.01257</v>
      </c>
      <c r="F882" s="13" t="n">
        <v>0.030752</v>
      </c>
      <c r="G882" s="13" t="n">
        <v>0.4088</v>
      </c>
      <c r="H882" s="13" t="n">
        <v>0.027273</v>
      </c>
      <c r="I882" s="13" t="n">
        <v>-0.002793</v>
      </c>
      <c r="J882" s="13" t="n">
        <v>0.030066</v>
      </c>
      <c r="K882" s="13" t="n">
        <v>0.0929</v>
      </c>
      <c r="L882" s="13" t="n">
        <v>-0.009091</v>
      </c>
      <c r="M882" s="13" t="n">
        <v>0.026187</v>
      </c>
      <c r="N882" s="13" t="n">
        <v>-0.035278</v>
      </c>
      <c r="O882" s="13" t="n">
        <v>0.7423</v>
      </c>
      <c r="P882" s="13" t="n">
        <v>-0.047979</v>
      </c>
      <c r="Q882" s="13" t="n">
        <v>-0.001397</v>
      </c>
      <c r="R882" s="13" t="n">
        <v>-0.046582</v>
      </c>
      <c r="S882" s="13" t="n">
        <v>0.0283</v>
      </c>
      <c r="T882" s="13" t="n">
        <v>-0.19697</v>
      </c>
      <c r="U882" s="13" t="n">
        <v>-0.134078</v>
      </c>
      <c r="V882" s="13" t="n">
        <v>-0.062892</v>
      </c>
      <c r="W882" s="13" t="n">
        <v>0.405</v>
      </c>
      <c r="X882" s="13" t="n">
        <v>0.40707</v>
      </c>
      <c r="Y882" s="13" t="n">
        <v>0.127444</v>
      </c>
      <c r="Z882" s="13" t="n">
        <v>0.279626</v>
      </c>
      <c r="AA882" s="13" t="n">
        <v>0.2384</v>
      </c>
    </row>
    <row r="883">
      <c r="A883" s="6" t="inlineStr">
        <is>
          <t>2026-04-14</t>
        </is>
      </c>
      <c r="B883" s="6" t="inlineStr">
        <is>
          <t>高分位</t>
        </is>
      </c>
      <c r="C883" s="10" t="n">
        <v>0.998</v>
      </c>
      <c r="D883" s="8" t="n">
        <v>-0.011905</v>
      </c>
      <c r="E883" s="8" t="n">
        <v>0.005658</v>
      </c>
      <c r="F883" s="8" t="n">
        <v>-0.017563</v>
      </c>
      <c r="G883" s="8" t="n">
        <v>0.3222</v>
      </c>
      <c r="H883" s="8" t="n">
        <v>-0.003967</v>
      </c>
      <c r="I883" s="8" t="n">
        <v>-0.001414</v>
      </c>
      <c r="J883" s="8" t="n">
        <v>-0.002553</v>
      </c>
      <c r="K883" s="8" t="n">
        <v>0.2628</v>
      </c>
      <c r="L883" s="8" t="n">
        <v>-0.017857</v>
      </c>
      <c r="M883" s="8" t="n">
        <v>0.067893</v>
      </c>
      <c r="N883" s="8" t="n">
        <v>-0.08575000000000001</v>
      </c>
      <c r="O883" s="8" t="n">
        <v>0.7917999999999999</v>
      </c>
      <c r="P883" s="8" t="n">
        <v>-0.07738100000000001</v>
      </c>
      <c r="Q883" s="8" t="n">
        <v>0.027935</v>
      </c>
      <c r="R883" s="8" t="n">
        <v>-0.105316</v>
      </c>
      <c r="S883" s="8" t="n">
        <v>0.2652</v>
      </c>
      <c r="T883" s="8" t="n">
        <v>-0.222223</v>
      </c>
      <c r="U883" s="8" t="n">
        <v>-0.110325</v>
      </c>
      <c r="V883" s="8" t="n">
        <v>-0.111898</v>
      </c>
      <c r="W883" s="8" t="n">
        <v>0.3318</v>
      </c>
      <c r="X883" s="8" t="n">
        <v>0.205357</v>
      </c>
      <c r="Y883" s="8" t="n">
        <v>0.143918</v>
      </c>
      <c r="Z883" s="8" t="n">
        <v>0.061439</v>
      </c>
      <c r="AA883" s="8" t="n">
        <v>0.412</v>
      </c>
    </row>
    <row r="884">
      <c r="A884" s="11" t="inlineStr">
        <is>
          <t>2026-04-15</t>
        </is>
      </c>
      <c r="B884" s="11" t="inlineStr">
        <is>
          <t>高分位</t>
        </is>
      </c>
      <c r="C884" s="15" t="n">
        <v>0.984</v>
      </c>
      <c r="D884" s="13" t="n">
        <v>0.012048</v>
      </c>
      <c r="E884" s="13" t="n">
        <v>0.022504</v>
      </c>
      <c r="F884" s="13" t="n">
        <v>-0.010456</v>
      </c>
      <c r="G884" s="13" t="n">
        <v>0.6513</v>
      </c>
      <c r="H884" s="13" t="n">
        <v>-0.010039</v>
      </c>
      <c r="I884" s="13" t="n">
        <v>0.001406</v>
      </c>
      <c r="J884" s="13" t="n">
        <v>-0.011445</v>
      </c>
      <c r="K884" s="13" t="n">
        <v>0.1228</v>
      </c>
      <c r="L884" s="13" t="n">
        <v>0.006024</v>
      </c>
      <c r="M884" s="13" t="n">
        <v>0.057314</v>
      </c>
      <c r="N884" s="13" t="n">
        <v>-0.05129</v>
      </c>
      <c r="O884" s="13" t="n">
        <v>0.9049</v>
      </c>
      <c r="P884" s="13" t="n">
        <v>-0.05497</v>
      </c>
      <c r="Q884" s="13" t="n">
        <v>0.047468</v>
      </c>
      <c r="R884" s="13" t="n">
        <v>-0.102438</v>
      </c>
      <c r="S884" s="13" t="n">
        <v>0.4634</v>
      </c>
      <c r="T884" s="13" t="n">
        <v>-0.204819</v>
      </c>
      <c r="U884" s="13" t="n">
        <v>-0.074543</v>
      </c>
      <c r="V884" s="13" t="n">
        <v>-0.130276</v>
      </c>
      <c r="W884" s="13" t="n">
        <v>0.2668</v>
      </c>
      <c r="X884" s="13" t="n">
        <v>0.169678</v>
      </c>
      <c r="Y884" s="13" t="n">
        <v>0.146976</v>
      </c>
      <c r="Z884" s="13" t="n">
        <v>0.022702</v>
      </c>
      <c r="AA884" s="13" t="n">
        <v>0.4642</v>
      </c>
    </row>
    <row r="885">
      <c r="A885" s="6" t="inlineStr">
        <is>
          <t>2026-04-16</t>
        </is>
      </c>
      <c r="B885" s="6" t="inlineStr">
        <is>
          <t>高分位</t>
        </is>
      </c>
      <c r="C885" s="10" t="n">
        <v>0.98</v>
      </c>
      <c r="D885" s="8" t="n">
        <v>0.00992</v>
      </c>
      <c r="E885" s="8" t="n">
        <v>0.002751</v>
      </c>
      <c r="F885" s="8" t="n">
        <v>0.007169</v>
      </c>
      <c r="G885" s="8" t="n">
        <v>0.2171</v>
      </c>
      <c r="H885" s="8" t="n">
        <v>-0.030753</v>
      </c>
      <c r="I885" s="8" t="n">
        <v>-0.009972</v>
      </c>
      <c r="J885" s="8" t="n">
        <v>-0.020781</v>
      </c>
      <c r="K885" s="8" t="n">
        <v>0.2449</v>
      </c>
      <c r="L885" s="8" t="n">
        <v>-0.020089</v>
      </c>
      <c r="M885" s="8" t="n">
        <v>0.034732</v>
      </c>
      <c r="N885" s="8" t="n">
        <v>-0.054821</v>
      </c>
      <c r="O885" s="8" t="n">
        <v>0.6336000000000001</v>
      </c>
      <c r="P885" s="8" t="n">
        <v>-0.041667</v>
      </c>
      <c r="Q885" s="8" t="n">
        <v>0.018913</v>
      </c>
      <c r="R885" s="8" t="n">
        <v>-0.06058</v>
      </c>
      <c r="S885" s="8" t="n">
        <v>0.3122</v>
      </c>
      <c r="T885" s="8" t="n">
        <v>-0.184027</v>
      </c>
      <c r="U885" s="8" t="n">
        <v>-0.089409</v>
      </c>
      <c r="V885" s="8" t="n">
        <v>-0.09461799999999999</v>
      </c>
      <c r="W885" s="8" t="n">
        <v>0.327</v>
      </c>
      <c r="X885" s="8" t="n">
        <v>0.190476</v>
      </c>
      <c r="Y885" s="8" t="n">
        <v>0.090096</v>
      </c>
      <c r="Z885" s="8" t="n">
        <v>0.10038</v>
      </c>
      <c r="AA885" s="8" t="n">
        <v>0.3211</v>
      </c>
    </row>
    <row r="886">
      <c r="A886" s="11" t="inlineStr">
        <is>
          <t>2026-04-17</t>
        </is>
      </c>
      <c r="B886" s="11" t="inlineStr">
        <is>
          <t>高分位</t>
        </is>
      </c>
      <c r="C886" s="15" t="n">
        <v>0.98</v>
      </c>
      <c r="D886" s="13" t="n">
        <v>-0.0009810000000000001</v>
      </c>
      <c r="E886" s="13" t="n">
        <v>-0.020576</v>
      </c>
      <c r="F886" s="13" t="n">
        <v>0.019595</v>
      </c>
      <c r="G886" s="13" t="n">
        <v>0.9545</v>
      </c>
      <c r="H886" s="13" t="n">
        <v>-0.040273</v>
      </c>
      <c r="I886" s="13" t="n">
        <v>-0.007202</v>
      </c>
      <c r="J886" s="13" t="n">
        <v>-0.033071</v>
      </c>
      <c r="K886" s="13" t="n">
        <v>0.1517</v>
      </c>
      <c r="L886" s="13" t="n">
        <v>-0.028733</v>
      </c>
      <c r="M886" s="13" t="n">
        <v>0.044239</v>
      </c>
      <c r="N886" s="13" t="n">
        <v>-0.072972</v>
      </c>
      <c r="O886" s="13" t="n">
        <v>0.6062</v>
      </c>
      <c r="P886" s="13" t="n">
        <v>-0.055745</v>
      </c>
      <c r="Q886" s="13" t="n">
        <v>0.017833</v>
      </c>
      <c r="R886" s="13" t="n">
        <v>-0.073578</v>
      </c>
      <c r="S886" s="13" t="n">
        <v>0.2424</v>
      </c>
      <c r="T886" s="13" t="n">
        <v>-0.205303</v>
      </c>
      <c r="U886" s="13" t="n">
        <v>-0.097051</v>
      </c>
      <c r="V886" s="13" t="n">
        <v>-0.108252</v>
      </c>
      <c r="W886" s="13" t="n">
        <v>0.321</v>
      </c>
      <c r="X886" s="13" t="n">
        <v>0.175836</v>
      </c>
      <c r="Y886" s="13" t="n">
        <v>0.09465</v>
      </c>
      <c r="Z886" s="13" t="n">
        <v>0.08118599999999999</v>
      </c>
      <c r="AA886" s="13" t="n">
        <v>0.3499</v>
      </c>
    </row>
    <row r="887">
      <c r="A887" s="6" t="inlineStr">
        <is>
          <t>2026-04-20</t>
        </is>
      </c>
      <c r="B887" s="6" t="inlineStr">
        <is>
          <t>高分位</t>
        </is>
      </c>
      <c r="C887" s="10" t="n">
        <v>0.996</v>
      </c>
      <c r="D887" s="8" t="n">
        <v>-0.012782</v>
      </c>
      <c r="E887" s="8" t="n">
        <v>-0.011204</v>
      </c>
      <c r="F887" s="8" t="n">
        <v>-0.001578</v>
      </c>
      <c r="G887" s="8" t="n">
        <v>0.4671</v>
      </c>
      <c r="H887" s="8" t="n">
        <v>-0.035398</v>
      </c>
      <c r="I887" s="8" t="n">
        <v>0.029062</v>
      </c>
      <c r="J887" s="8" t="n">
        <v>-0.06446</v>
      </c>
      <c r="K887" s="8" t="n">
        <v>0.4509</v>
      </c>
      <c r="L887" s="8" t="n">
        <v>-0.014994</v>
      </c>
      <c r="M887" s="8" t="n">
        <v>0.004902</v>
      </c>
      <c r="N887" s="8" t="n">
        <v>-0.019896</v>
      </c>
      <c r="O887" s="8" t="n">
        <v>0.2464</v>
      </c>
      <c r="P887" s="8" t="n">
        <v>-0.052605</v>
      </c>
      <c r="Q887" s="8" t="n">
        <v>0.037465</v>
      </c>
      <c r="R887" s="8" t="n">
        <v>-0.09007</v>
      </c>
      <c r="S887" s="8" t="n">
        <v>0.416</v>
      </c>
      <c r="T887" s="8" t="n">
        <v>-0.216322</v>
      </c>
      <c r="U887" s="8" t="n">
        <v>-0.07913199999999999</v>
      </c>
      <c r="V887" s="8" t="n">
        <v>-0.13719</v>
      </c>
      <c r="W887" s="8" t="n">
        <v>0.2678</v>
      </c>
      <c r="X887" s="8" t="n">
        <v>0.170109</v>
      </c>
      <c r="Y887" s="8" t="n">
        <v>0.10049</v>
      </c>
      <c r="Z887" s="8" t="n">
        <v>0.069619</v>
      </c>
      <c r="AA887" s="8" t="n">
        <v>0.3714</v>
      </c>
    </row>
    <row r="888">
      <c r="A888" s="11" t="inlineStr">
        <is>
          <t>2026-04-21</t>
        </is>
      </c>
      <c r="B888" s="11" t="inlineStr">
        <is>
          <t>高分位</t>
        </is>
      </c>
      <c r="C888" s="15" t="n">
        <v>0.988</v>
      </c>
      <c r="D888" s="13" t="n">
        <v>-0.017928</v>
      </c>
      <c r="E888" s="13" t="n">
        <v>0.008499</v>
      </c>
      <c r="F888" s="13" t="n">
        <v>-0.026427</v>
      </c>
      <c r="G888" s="13" t="n">
        <v>0.3216</v>
      </c>
      <c r="H888" s="13" t="n">
        <v>-0.013945</v>
      </c>
      <c r="I888" s="13" t="n">
        <v>0.06940499999999999</v>
      </c>
      <c r="J888" s="13" t="n">
        <v>-0.08334999999999999</v>
      </c>
      <c r="K888" s="13" t="n">
        <v>0.8327</v>
      </c>
      <c r="L888" s="13" t="n">
        <v>-0.05279</v>
      </c>
      <c r="M888" s="13" t="n">
        <v>0.010977</v>
      </c>
      <c r="N888" s="13" t="n">
        <v>-0.063767</v>
      </c>
      <c r="O888" s="13" t="n">
        <v>0.1721</v>
      </c>
      <c r="P888" s="13" t="n">
        <v>-0.039096</v>
      </c>
      <c r="Q888" s="13" t="n">
        <v>0.036473</v>
      </c>
      <c r="R888" s="13" t="n">
        <v>-0.075569</v>
      </c>
      <c r="S888" s="13" t="n">
        <v>0.4826</v>
      </c>
      <c r="T888" s="13" t="n">
        <v>-0.211655</v>
      </c>
      <c r="U888" s="13" t="n">
        <v>-0.00779</v>
      </c>
      <c r="V888" s="13" t="n">
        <v>-0.203865</v>
      </c>
      <c r="W888" s="13" t="n">
        <v>0.0355</v>
      </c>
      <c r="X888" s="13" t="n">
        <v>0.185259</v>
      </c>
      <c r="Y888" s="13" t="n">
        <v>0.117918</v>
      </c>
      <c r="Z888" s="13" t="n">
        <v>0.067341</v>
      </c>
      <c r="AA888" s="13" t="n">
        <v>0.3889</v>
      </c>
    </row>
    <row r="889">
      <c r="A889" s="6" t="inlineStr">
        <is>
          <t>2026-04-22</t>
        </is>
      </c>
      <c r="B889" s="6" t="inlineStr">
        <is>
          <t>高分位</t>
        </is>
      </c>
      <c r="C889" s="10" t="n">
        <v>0.964</v>
      </c>
      <c r="D889" s="8" t="n">
        <v>-0.009128000000000001</v>
      </c>
      <c r="E889" s="8" t="n">
        <v>0.010885</v>
      </c>
      <c r="F889" s="8" t="n">
        <v>-0.020013</v>
      </c>
      <c r="G889" s="8" t="n">
        <v>0.5439000000000001</v>
      </c>
      <c r="H889" s="8" t="n">
        <v>0.016226</v>
      </c>
      <c r="I889" s="8" t="n">
        <v>0.055829</v>
      </c>
      <c r="J889" s="8" t="n">
        <v>-0.039603</v>
      </c>
      <c r="K889" s="8" t="n">
        <v>0.7748</v>
      </c>
      <c r="L889" s="8" t="n">
        <v>-0.047668</v>
      </c>
      <c r="M889" s="8" t="n">
        <v>0.011938</v>
      </c>
      <c r="N889" s="8" t="n">
        <v>-0.059606</v>
      </c>
      <c r="O889" s="8" t="n">
        <v>0.2003</v>
      </c>
      <c r="P889" s="8" t="n">
        <v>-0.037527</v>
      </c>
      <c r="Q889" s="8" t="n">
        <v>-0.001404</v>
      </c>
      <c r="R889" s="8" t="n">
        <v>-0.036123</v>
      </c>
      <c r="S889" s="8" t="n">
        <v>0.0361</v>
      </c>
      <c r="T889" s="8" t="n">
        <v>-0.151116</v>
      </c>
      <c r="U889" s="8" t="n">
        <v>-0.049508</v>
      </c>
      <c r="V889" s="8" t="n">
        <v>-0.101608</v>
      </c>
      <c r="W889" s="8" t="n">
        <v>0.2468</v>
      </c>
      <c r="X889" s="8" t="n"/>
      <c r="Y889" s="8" t="n"/>
      <c r="Z889" s="8" t="n"/>
      <c r="AA889" s="8" t="n"/>
    </row>
    <row r="890">
      <c r="A890" s="11" t="inlineStr">
        <is>
          <t>2026-04-23</t>
        </is>
      </c>
      <c r="B890" s="11" t="inlineStr">
        <is>
          <t>高分位</t>
        </is>
      </c>
      <c r="C890" s="15" t="n">
        <v>0.944</v>
      </c>
      <c r="D890" s="13" t="n">
        <v>0</v>
      </c>
      <c r="E890" s="13" t="n">
        <v>0.005557</v>
      </c>
      <c r="F890" s="13" t="n">
        <v>-0.005557</v>
      </c>
      <c r="G890" s="13" t="n">
        <v>1</v>
      </c>
      <c r="H890" s="13" t="n">
        <v>0.011002</v>
      </c>
      <c r="I890" s="13" t="n">
        <v>0.045155</v>
      </c>
      <c r="J890" s="13" t="n">
        <v>-0.034153</v>
      </c>
      <c r="K890" s="13" t="n">
        <v>0.8041</v>
      </c>
      <c r="L890" s="13" t="n">
        <v>-0.041453</v>
      </c>
      <c r="M890" s="13" t="n">
        <v>0.012504</v>
      </c>
      <c r="N890" s="13" t="n">
        <v>-0.053957</v>
      </c>
      <c r="O890" s="13" t="n">
        <v>0.2317</v>
      </c>
      <c r="P890" s="13" t="n">
        <v>-0.024565</v>
      </c>
      <c r="Q890" s="13" t="n">
        <v>-0.014588</v>
      </c>
      <c r="R890" s="13" t="n">
        <v>-0.009977</v>
      </c>
      <c r="S890" s="13" t="n">
        <v>0.3726</v>
      </c>
      <c r="T890" s="13" t="n">
        <v>-0.168884</v>
      </c>
      <c r="U890" s="13" t="n">
        <v>-0.055922</v>
      </c>
      <c r="V890" s="13" t="n">
        <v>-0.112962</v>
      </c>
      <c r="W890" s="13" t="n">
        <v>0.2488</v>
      </c>
      <c r="X890" s="13" t="n"/>
      <c r="Y890" s="13" t="n"/>
      <c r="Z890" s="13" t="n"/>
      <c r="AA890" s="13" t="n"/>
    </row>
    <row r="891">
      <c r="A891" s="6" t="inlineStr">
        <is>
          <t>2026-04-24</t>
        </is>
      </c>
      <c r="B891" s="6" t="inlineStr">
        <is>
          <t>高分位</t>
        </is>
      </c>
      <c r="C891" s="10" t="n">
        <v>0.9399999999999999</v>
      </c>
      <c r="D891" s="8" t="n">
        <v>0.004093</v>
      </c>
      <c r="E891" s="8" t="n">
        <v>0.015199</v>
      </c>
      <c r="F891" s="8" t="n">
        <v>-0.011106</v>
      </c>
      <c r="G891" s="8" t="n">
        <v>0.7877999999999999</v>
      </c>
      <c r="H891" s="8" t="n">
        <v>0.012025</v>
      </c>
      <c r="I891" s="8" t="n">
        <v>0.051813</v>
      </c>
      <c r="J891" s="8" t="n">
        <v>-0.039788</v>
      </c>
      <c r="K891" s="8" t="n">
        <v>0.8116</v>
      </c>
      <c r="L891" s="8" t="n">
        <v>-0.029684</v>
      </c>
      <c r="M891" s="8" t="n">
        <v>0.0038</v>
      </c>
      <c r="N891" s="8" t="n">
        <v>-0.033484</v>
      </c>
      <c r="O891" s="8" t="n">
        <v>0.1135</v>
      </c>
      <c r="P891" s="8" t="n">
        <v>-0.030706</v>
      </c>
      <c r="Q891" s="8" t="n">
        <v>-0.031434</v>
      </c>
      <c r="R891" s="8" t="n">
        <v>0.000728</v>
      </c>
      <c r="S891" s="8" t="n">
        <v>0.5059</v>
      </c>
      <c r="T891" s="8" t="n">
        <v>-0.165304</v>
      </c>
      <c r="U891" s="8" t="n">
        <v>-0.048014</v>
      </c>
      <c r="V891" s="8" t="n">
        <v>-0.11729</v>
      </c>
      <c r="W891" s="8" t="n">
        <v>0.2251</v>
      </c>
      <c r="X891" s="8" t="n"/>
      <c r="Y891" s="8" t="n"/>
      <c r="Z891" s="8" t="n"/>
      <c r="AA891" s="8" t="n"/>
    </row>
    <row r="892">
      <c r="A892" s="11" t="inlineStr">
        <is>
          <t>2026-04-27</t>
        </is>
      </c>
      <c r="B892" s="11" t="inlineStr">
        <is>
          <t>高分位</t>
        </is>
      </c>
      <c r="C892" s="15" t="n">
        <v>0.9320000000000001</v>
      </c>
      <c r="D892" s="13" t="n">
        <v>0.009174</v>
      </c>
      <c r="E892" s="13" t="n">
        <v>0.02756</v>
      </c>
      <c r="F892" s="13" t="n">
        <v>-0.018386</v>
      </c>
      <c r="G892" s="13" t="n">
        <v>0.7503</v>
      </c>
      <c r="H892" s="13" t="n">
        <v>0.021153</v>
      </c>
      <c r="I892" s="13" t="n">
        <v>-0.023477</v>
      </c>
      <c r="J892" s="13" t="n">
        <v>0.04463</v>
      </c>
      <c r="K892" s="13" t="n">
        <v>0.526</v>
      </c>
      <c r="L892" s="13" t="n">
        <v>-0.039245</v>
      </c>
      <c r="M892" s="13" t="n">
        <v>-0.02688</v>
      </c>
      <c r="N892" s="13" t="n">
        <v>-0.012365</v>
      </c>
      <c r="O892" s="13" t="n">
        <v>0.4065</v>
      </c>
      <c r="P892" s="13" t="n">
        <v>-0.047911</v>
      </c>
      <c r="Q892" s="13" t="n">
        <v>-0.038789</v>
      </c>
      <c r="R892" s="13" t="n">
        <v>-0.009122</v>
      </c>
      <c r="S892" s="13" t="n">
        <v>0.4474</v>
      </c>
      <c r="T892" s="13" t="n">
        <v>-0.159021</v>
      </c>
      <c r="U892" s="13" t="n">
        <v>-0.06260599999999999</v>
      </c>
      <c r="V892" s="13" t="n">
        <v>-0.096415</v>
      </c>
      <c r="W892" s="13" t="n">
        <v>0.2825</v>
      </c>
      <c r="X892" s="13" t="n"/>
      <c r="Y892" s="13" t="n"/>
      <c r="Z892" s="13" t="n"/>
      <c r="AA892" s="13" t="n"/>
    </row>
    <row r="893">
      <c r="A893" s="6" t="inlineStr">
        <is>
          <t>2026-04-28</t>
        </is>
      </c>
      <c r="B893" s="6" t="inlineStr">
        <is>
          <t>高分位</t>
        </is>
      </c>
      <c r="C893" s="10" t="n">
        <v>0.904</v>
      </c>
      <c r="D893" s="8" t="n">
        <v>0.012121</v>
      </c>
      <c r="E893" s="8" t="n">
        <v>-0.004305</v>
      </c>
      <c r="F893" s="8" t="n">
        <v>0.016426</v>
      </c>
      <c r="G893" s="8" t="n">
        <v>0.2621</v>
      </c>
      <c r="H893" s="8" t="n">
        <v>-0.039394</v>
      </c>
      <c r="I893" s="8" t="n">
        <v>-0.054636</v>
      </c>
      <c r="J893" s="8" t="n">
        <v>0.015242</v>
      </c>
      <c r="K893" s="8" t="n">
        <v>0.581</v>
      </c>
      <c r="L893" s="8" t="n">
        <v>-0.060606</v>
      </c>
      <c r="M893" s="8" t="n">
        <v>-0.037417</v>
      </c>
      <c r="N893" s="8" t="n">
        <v>-0.023189</v>
      </c>
      <c r="O893" s="8" t="n">
        <v>0.3817</v>
      </c>
      <c r="P893" s="8" t="n">
        <v>-0.052021</v>
      </c>
      <c r="Q893" s="8" t="n">
        <v>-0.075166</v>
      </c>
      <c r="R893" s="8" t="n">
        <v>0.023145</v>
      </c>
      <c r="S893" s="8" t="n">
        <v>0.591</v>
      </c>
      <c r="T893" s="8" t="n">
        <v>-0.165658</v>
      </c>
      <c r="U893" s="8" t="n">
        <v>-0.135762</v>
      </c>
      <c r="V893" s="8" t="n">
        <v>-0.029896</v>
      </c>
      <c r="W893" s="8" t="n">
        <v>0.4504</v>
      </c>
      <c r="X893" s="8" t="n"/>
      <c r="Y893" s="8" t="n"/>
      <c r="Z893" s="8" t="n"/>
      <c r="AA893" s="8" t="n"/>
    </row>
    <row r="894">
      <c r="A894" s="11" t="inlineStr">
        <is>
          <t>2026-04-29</t>
        </is>
      </c>
      <c r="B894" s="11" t="inlineStr">
        <is>
          <t>高分位</t>
        </is>
      </c>
      <c r="C894" s="15" t="n">
        <v>0.924</v>
      </c>
      <c r="D894" s="13" t="n">
        <v>-0.014222</v>
      </c>
      <c r="E894" s="13" t="n">
        <v>0.000665</v>
      </c>
      <c r="F894" s="13" t="n">
        <v>-0.014887</v>
      </c>
      <c r="G894" s="13" t="n">
        <v>0.0447</v>
      </c>
      <c r="H894" s="13" t="n">
        <v>-0.062874</v>
      </c>
      <c r="I894" s="13" t="n">
        <v>-0.04157</v>
      </c>
      <c r="J894" s="13" t="n">
        <v>-0.021304</v>
      </c>
      <c r="K894" s="13" t="n">
        <v>0.398</v>
      </c>
      <c r="L894" s="13" t="n">
        <v>-0.060629</v>
      </c>
      <c r="M894" s="13" t="n">
        <v>-0.009312000000000001</v>
      </c>
      <c r="N894" s="13" t="n">
        <v>-0.051317</v>
      </c>
      <c r="O894" s="13" t="n">
        <v>0.1331</v>
      </c>
      <c r="P894" s="13" t="n">
        <v>-0.073853</v>
      </c>
      <c r="Q894" s="13" t="n">
        <v>-0.047556</v>
      </c>
      <c r="R894" s="13" t="n">
        <v>-0.026297</v>
      </c>
      <c r="S894" s="13" t="n">
        <v>0.3917</v>
      </c>
      <c r="T894" s="13" t="n">
        <v>-0.215069</v>
      </c>
      <c r="U894" s="13" t="n">
        <v>-0.135018</v>
      </c>
      <c r="V894" s="13" t="n">
        <v>-0.080051</v>
      </c>
      <c r="W894" s="13" t="n">
        <v>0.3857</v>
      </c>
      <c r="X894" s="13" t="n"/>
      <c r="Y894" s="13" t="n"/>
      <c r="Z894" s="13" t="n"/>
      <c r="AA894" s="13" t="n"/>
    </row>
    <row r="895">
      <c r="A895" s="6" t="inlineStr">
        <is>
          <t>2026-04-30</t>
        </is>
      </c>
      <c r="B895" s="6" t="inlineStr">
        <is>
          <t>高分位</t>
        </is>
      </c>
      <c r="C895" s="10" t="n">
        <v>0.904</v>
      </c>
      <c r="D895" s="8" t="n">
        <v>0.001011</v>
      </c>
      <c r="E895" s="8" t="n">
        <v>0.011964</v>
      </c>
      <c r="F895" s="8" t="n">
        <v>-0.010953</v>
      </c>
      <c r="G895" s="8" t="n">
        <v>0.9221</v>
      </c>
      <c r="H895" s="8" t="n">
        <v>-0.051885</v>
      </c>
      <c r="I895" s="8" t="n">
        <v>-0.03124</v>
      </c>
      <c r="J895" s="8" t="n">
        <v>-0.020645</v>
      </c>
      <c r="K895" s="8" t="n">
        <v>0.3758</v>
      </c>
      <c r="L895" s="8" t="n">
        <v>-0.02202</v>
      </c>
      <c r="M895" s="8" t="n">
        <v>-0.015287</v>
      </c>
      <c r="N895" s="8" t="n">
        <v>-0.006733</v>
      </c>
      <c r="O895" s="8" t="n">
        <v>0.4098</v>
      </c>
      <c r="P895" s="8" t="n">
        <v>-0.040243</v>
      </c>
      <c r="Q895" s="8" t="n">
        <v>-0.039548</v>
      </c>
      <c r="R895" s="8" t="n">
        <v>-0.000695</v>
      </c>
      <c r="S895" s="8" t="n">
        <v>0.4956</v>
      </c>
      <c r="T895" s="8" t="n">
        <v>-0.206278</v>
      </c>
      <c r="U895" s="8" t="n">
        <v>-0.119641</v>
      </c>
      <c r="V895" s="8" t="n">
        <v>-0.08663700000000001</v>
      </c>
      <c r="W895" s="8" t="n">
        <v>0.3671</v>
      </c>
      <c r="X895" s="8" t="n"/>
      <c r="Y895" s="8" t="n"/>
      <c r="Z895" s="8" t="n"/>
      <c r="AA895" s="8" t="n"/>
    </row>
    <row r="896">
      <c r="A896" s="11" t="inlineStr">
        <is>
          <t>2026-05-06</t>
        </is>
      </c>
      <c r="B896" s="11" t="inlineStr">
        <is>
          <t>中间分位</t>
        </is>
      </c>
      <c r="C896" s="15" t="n">
        <v>0.876</v>
      </c>
      <c r="D896" s="13" t="n">
        <v>0.01315</v>
      </c>
      <c r="E896" s="13" t="n">
        <v>-0.057471</v>
      </c>
      <c r="F896" s="13" t="n">
        <v>0.070621</v>
      </c>
      <c r="G896" s="13" t="n">
        <v>0.8138</v>
      </c>
      <c r="H896" s="13" t="n">
        <v>-0.041213</v>
      </c>
      <c r="I896" s="13" t="n">
        <v>-0.045649</v>
      </c>
      <c r="J896" s="13" t="n">
        <v>0.004436</v>
      </c>
      <c r="K896" s="13" t="n">
        <v>0.5255</v>
      </c>
      <c r="L896" s="13" t="n">
        <v>-0.027811</v>
      </c>
      <c r="M896" s="13" t="n">
        <v>-0.025287</v>
      </c>
      <c r="N896" s="13" t="n">
        <v>-0.002524</v>
      </c>
      <c r="O896" s="13" t="n">
        <v>0.4762</v>
      </c>
      <c r="P896" s="13" t="n">
        <v>-0.036155</v>
      </c>
      <c r="Q896" s="13" t="n">
        <v>-0.03908</v>
      </c>
      <c r="R896" s="13" t="n">
        <v>0.002925</v>
      </c>
      <c r="S896" s="13" t="n">
        <v>0.5194</v>
      </c>
      <c r="T896" s="13" t="n">
        <v>-0.19393</v>
      </c>
      <c r="U896" s="13" t="n">
        <v>-0.127422</v>
      </c>
      <c r="V896" s="13" t="n">
        <v>-0.066508</v>
      </c>
      <c r="W896" s="13" t="n">
        <v>0.3965</v>
      </c>
      <c r="X896" s="13" t="n"/>
      <c r="Y896" s="13" t="n"/>
      <c r="Z896" s="13" t="n"/>
      <c r="AA896" s="13" t="n"/>
    </row>
    <row r="897">
      <c r="A897" s="6" t="inlineStr">
        <is>
          <t>2026-05-07</t>
        </is>
      </c>
      <c r="B897" s="6" t="inlineStr">
        <is>
          <t>高分位</t>
        </is>
      </c>
      <c r="C897" s="10" t="n">
        <v>0.968</v>
      </c>
      <c r="D897" s="8" t="n">
        <v>-0.050662</v>
      </c>
      <c r="E897" s="8" t="n">
        <v>-0.005226</v>
      </c>
      <c r="F897" s="8" t="n">
        <v>-0.045436</v>
      </c>
      <c r="G897" s="8" t="n">
        <v>0.0935</v>
      </c>
      <c r="H897" s="8" t="n">
        <v>-0.059146</v>
      </c>
      <c r="I897" s="8" t="n">
        <v>-0.003484</v>
      </c>
      <c r="J897" s="8" t="n">
        <v>-0.055662</v>
      </c>
      <c r="K897" s="8" t="n">
        <v>0.0556</v>
      </c>
      <c r="L897" s="8" t="n">
        <v>-0.038183</v>
      </c>
      <c r="M897" s="8" t="n">
        <v>0.032404</v>
      </c>
      <c r="N897" s="8" t="n">
        <v>-0.070587</v>
      </c>
      <c r="O897" s="8" t="n">
        <v>0.4591</v>
      </c>
      <c r="P897" s="8" t="n">
        <v>-0.037686</v>
      </c>
      <c r="Q897" s="8" t="n">
        <v>0.002439</v>
      </c>
      <c r="R897" s="8" t="n">
        <v>-0.040125</v>
      </c>
      <c r="S897" s="8" t="n">
        <v>0.0608</v>
      </c>
      <c r="T897" s="8" t="n">
        <v>-0.201897</v>
      </c>
      <c r="U897" s="8" t="n">
        <v>-0.08780499999999999</v>
      </c>
      <c r="V897" s="8" t="n">
        <v>-0.114092</v>
      </c>
      <c r="W897" s="8" t="n">
        <v>0.3031</v>
      </c>
      <c r="X897" s="8" t="n"/>
      <c r="Y897" s="8" t="n"/>
      <c r="Z897" s="8" t="n"/>
      <c r="AA897" s="8" t="n"/>
    </row>
    <row r="898">
      <c r="A898" s="11" t="inlineStr">
        <is>
          <t>2026-05-08</t>
        </is>
      </c>
      <c r="B898" s="11" t="inlineStr">
        <is>
          <t>高分位</t>
        </is>
      </c>
      <c r="C898" s="15" t="n">
        <v>0.916</v>
      </c>
      <c r="D898" s="13" t="n">
        <v>-0.012618</v>
      </c>
      <c r="E898" s="13" t="n">
        <v>0.009457</v>
      </c>
      <c r="F898" s="13" t="n">
        <v>-0.022075</v>
      </c>
      <c r="G898" s="13" t="n">
        <v>0.4284</v>
      </c>
      <c r="H898" s="13" t="n">
        <v>-0.022082</v>
      </c>
      <c r="I898" s="13" t="n">
        <v>0.018214</v>
      </c>
      <c r="J898" s="13" t="n">
        <v>-0.040296</v>
      </c>
      <c r="K898" s="13" t="n">
        <v>0.452</v>
      </c>
      <c r="L898" s="13" t="n">
        <v>0.014457</v>
      </c>
      <c r="M898" s="13" t="n">
        <v>0.025219</v>
      </c>
      <c r="N898" s="13" t="n">
        <v>-0.010762</v>
      </c>
      <c r="O898" s="13" t="n">
        <v>0.6356000000000001</v>
      </c>
      <c r="P898" s="13" t="n">
        <v>0.005259</v>
      </c>
      <c r="Q898" s="13" t="n">
        <v>0.017863</v>
      </c>
      <c r="R898" s="13" t="n">
        <v>-0.012604</v>
      </c>
      <c r="S898" s="13" t="n">
        <v>0.7726</v>
      </c>
      <c r="T898" s="13" t="n">
        <v>-0.170874</v>
      </c>
      <c r="U898" s="13" t="n">
        <v>-0.091419</v>
      </c>
      <c r="V898" s="13" t="n">
        <v>-0.079455</v>
      </c>
      <c r="W898" s="13" t="n">
        <v>0.3485</v>
      </c>
      <c r="X898" s="13" t="n"/>
      <c r="Y898" s="13" t="n"/>
      <c r="Z898" s="13" t="n"/>
      <c r="AA898" s="13" t="n"/>
    </row>
    <row r="899">
      <c r="A899" s="6" t="inlineStr">
        <is>
          <t>2026-05-11</t>
        </is>
      </c>
      <c r="B899" s="6" t="inlineStr">
        <is>
          <t>中间分位</t>
        </is>
      </c>
      <c r="C899" s="10" t="n">
        <v>0.876</v>
      </c>
      <c r="D899" s="8" t="n">
        <v>-0.002661</v>
      </c>
      <c r="E899" s="8" t="n">
        <v>0.01145</v>
      </c>
      <c r="F899" s="8" t="n">
        <v>-0.014111</v>
      </c>
      <c r="G899" s="8" t="n">
        <v>0.8114</v>
      </c>
      <c r="H899" s="8" t="n">
        <v>0.002396</v>
      </c>
      <c r="I899" s="8" t="n">
        <v>0.033657</v>
      </c>
      <c r="J899" s="8" t="n">
        <v>-0.031261</v>
      </c>
      <c r="K899" s="8" t="n">
        <v>0.9335</v>
      </c>
      <c r="L899" s="8" t="n">
        <v>0.010649</v>
      </c>
      <c r="M899" s="8" t="n">
        <v>-0.013185</v>
      </c>
      <c r="N899" s="8" t="n">
        <v>0.023834</v>
      </c>
      <c r="O899" s="8" t="n">
        <v>0.5532</v>
      </c>
      <c r="P899" s="8" t="n">
        <v>0.026623</v>
      </c>
      <c r="Q899" s="8" t="n">
        <v>0.057946</v>
      </c>
      <c r="R899" s="8" t="n">
        <v>-0.031323</v>
      </c>
      <c r="S899" s="8" t="n">
        <v>0.6852</v>
      </c>
      <c r="T899" s="8" t="n">
        <v>-0.162939</v>
      </c>
      <c r="U899" s="8" t="n">
        <v>-0.102706</v>
      </c>
      <c r="V899" s="8" t="n">
        <v>-0.060233</v>
      </c>
      <c r="W899" s="8" t="n">
        <v>0.3866</v>
      </c>
      <c r="X899" s="8" t="n"/>
      <c r="Y899" s="8" t="n"/>
      <c r="Z899" s="8" t="n"/>
      <c r="AA899" s="8" t="n"/>
    </row>
    <row r="900">
      <c r="A900" s="11" t="inlineStr">
        <is>
          <t>2026-05-12</t>
        </is>
      </c>
      <c r="B900" s="11" t="inlineStr">
        <is>
          <t>中间分位</t>
        </is>
      </c>
      <c r="C900" s="15" t="n">
        <v>0.848</v>
      </c>
      <c r="D900" s="13" t="n">
        <v>0.012279</v>
      </c>
      <c r="E900" s="13" t="n">
        <v>-0.003087</v>
      </c>
      <c r="F900" s="13" t="n">
        <v>0.015366</v>
      </c>
      <c r="G900" s="13" t="n">
        <v>0.2009</v>
      </c>
      <c r="H900" s="13" t="n">
        <v>0.031499</v>
      </c>
      <c r="I900" s="13" t="n">
        <v>0.016467</v>
      </c>
      <c r="J900" s="13" t="n">
        <v>0.015032</v>
      </c>
      <c r="K900" s="13" t="n">
        <v>0.3433</v>
      </c>
      <c r="L900" s="13" t="n">
        <v>0.017619</v>
      </c>
      <c r="M900" s="13" t="n">
        <v>-0.026758</v>
      </c>
      <c r="N900" s="13" t="n">
        <v>0.044377</v>
      </c>
      <c r="O900" s="13" t="n">
        <v>0.603</v>
      </c>
      <c r="P900" s="13" t="n">
        <v>0.076347</v>
      </c>
      <c r="Q900" s="13" t="n">
        <v>0.016467</v>
      </c>
      <c r="R900" s="13" t="n">
        <v>0.05988</v>
      </c>
      <c r="S900" s="13" t="n">
        <v>0.1774</v>
      </c>
      <c r="T900" s="13" t="n">
        <v>-0.161772</v>
      </c>
      <c r="U900" s="13" t="n">
        <v>-0.136535</v>
      </c>
      <c r="V900" s="13" t="n">
        <v>-0.025237</v>
      </c>
      <c r="W900" s="13" t="n">
        <v>0.4577</v>
      </c>
      <c r="X900" s="13" t="n"/>
      <c r="Y900" s="13" t="n"/>
      <c r="Z900" s="13" t="n"/>
      <c r="AA900" s="13" t="n"/>
    </row>
    <row r="901">
      <c r="A901" s="6" t="inlineStr">
        <is>
          <t>2026-05-13</t>
        </is>
      </c>
      <c r="B901" s="6" t="inlineStr">
        <is>
          <t>中间分位</t>
        </is>
      </c>
      <c r="C901" s="10" t="n">
        <v>0.88</v>
      </c>
      <c r="D901" s="8" t="n">
        <v>-0.005801</v>
      </c>
      <c r="E901" s="8" t="n">
        <v>-0.015829</v>
      </c>
      <c r="F901" s="8" t="n">
        <v>0.010028</v>
      </c>
      <c r="G901" s="8" t="n">
        <v>0.7318</v>
      </c>
      <c r="H901" s="8" t="n">
        <v>0.013978</v>
      </c>
      <c r="I901" s="8" t="n">
        <v>0.021335</v>
      </c>
      <c r="J901" s="8" t="n">
        <v>-0.007357</v>
      </c>
      <c r="K901" s="8" t="n">
        <v>0.6042</v>
      </c>
      <c r="L901" s="8" t="n">
        <v>-0.001054</v>
      </c>
      <c r="M901" s="8" t="n">
        <v>-0.0351</v>
      </c>
      <c r="N901" s="8" t="n">
        <v>0.034046</v>
      </c>
      <c r="O901" s="8" t="n">
        <v>0.9708</v>
      </c>
      <c r="P901" s="8" t="n">
        <v>0.040085</v>
      </c>
      <c r="Q901" s="8" t="n">
        <v>0.022712</v>
      </c>
      <c r="R901" s="8" t="n">
        <v>0.017373</v>
      </c>
      <c r="S901" s="8" t="n">
        <v>0.3617</v>
      </c>
      <c r="T901" s="8" t="n">
        <v>-0.188291</v>
      </c>
      <c r="U901" s="8" t="n">
        <v>-0.147281</v>
      </c>
      <c r="V901" s="8" t="n">
        <v>-0.04101</v>
      </c>
      <c r="W901" s="8" t="n">
        <v>0.4389</v>
      </c>
      <c r="X901" s="8" t="n"/>
      <c r="Y901" s="8" t="n"/>
      <c r="Z901" s="8" t="n"/>
      <c r="AA901" s="8" t="n"/>
    </row>
    <row r="902">
      <c r="A902" s="11" t="inlineStr">
        <is>
          <t>2026-05-14</t>
        </is>
      </c>
      <c r="B902" s="11" t="inlineStr">
        <is>
          <t>高分位</t>
        </is>
      </c>
      <c r="C902" s="15" t="n">
        <v>0.908</v>
      </c>
      <c r="D902" s="13" t="n">
        <v>-0.013264</v>
      </c>
      <c r="E902" s="13" t="n">
        <v>0.016434</v>
      </c>
      <c r="F902" s="13" t="n">
        <v>-0.029698</v>
      </c>
      <c r="G902" s="13" t="n">
        <v>0.5534</v>
      </c>
      <c r="H902" s="13" t="n">
        <v>0.022281</v>
      </c>
      <c r="I902" s="13" t="n">
        <v>0.036014</v>
      </c>
      <c r="J902" s="13" t="n">
        <v>-0.013733</v>
      </c>
      <c r="K902" s="13" t="n">
        <v>0.6178</v>
      </c>
      <c r="L902" s="13" t="n">
        <v>-0.009021</v>
      </c>
      <c r="M902" s="13" t="n">
        <v>-0.012238</v>
      </c>
      <c r="N902" s="13" t="n">
        <v>0.003217</v>
      </c>
      <c r="O902" s="13" t="n">
        <v>0.5757</v>
      </c>
      <c r="P902" s="13" t="n">
        <v>0.068435</v>
      </c>
      <c r="Q902" s="13" t="n">
        <v>0.057692</v>
      </c>
      <c r="R902" s="13" t="n">
        <v>0.010743</v>
      </c>
      <c r="S902" s="13" t="n">
        <v>0.4574</v>
      </c>
      <c r="T902" s="13" t="n">
        <v>-0.194164</v>
      </c>
      <c r="U902" s="13" t="n">
        <v>-0.125874</v>
      </c>
      <c r="V902" s="13" t="n">
        <v>-0.06829</v>
      </c>
      <c r="W902" s="13" t="n">
        <v>0.3933</v>
      </c>
      <c r="X902" s="13" t="n"/>
      <c r="Y902" s="13" t="n"/>
      <c r="Z902" s="13" t="n"/>
      <c r="AA902" s="13" t="n"/>
    </row>
    <row r="903">
      <c r="A903" s="6" t="inlineStr">
        <is>
          <t>2026-05-15</t>
        </is>
      </c>
      <c r="B903" s="6" t="inlineStr">
        <is>
          <t>中间分位</t>
        </is>
      </c>
      <c r="C903" s="10" t="n">
        <v>0.824</v>
      </c>
      <c r="D903" s="8" t="n">
        <v>0.012097</v>
      </c>
      <c r="E903" s="8" t="n">
        <v>0.024768</v>
      </c>
      <c r="F903" s="8" t="n">
        <v>-0.012671</v>
      </c>
      <c r="G903" s="8" t="n">
        <v>0.6719000000000001</v>
      </c>
      <c r="H903" s="8" t="n">
        <v>0.037365</v>
      </c>
      <c r="I903" s="8" t="n">
        <v>0.00688</v>
      </c>
      <c r="J903" s="8" t="n">
        <v>0.030485</v>
      </c>
      <c r="K903" s="8" t="n">
        <v>0.1555</v>
      </c>
      <c r="L903" s="8" t="n">
        <v>0.009139</v>
      </c>
      <c r="M903" s="8" t="n">
        <v>-0.039216</v>
      </c>
      <c r="N903" s="8" t="n">
        <v>0.048355</v>
      </c>
      <c r="O903" s="8" t="n">
        <v>0.8110000000000001</v>
      </c>
      <c r="P903" s="8" t="n">
        <v>0.110216</v>
      </c>
      <c r="Q903" s="8" t="n">
        <v>0.035432</v>
      </c>
      <c r="R903" s="8" t="n">
        <v>0.074784</v>
      </c>
      <c r="S903" s="8" t="n">
        <v>0.2433</v>
      </c>
      <c r="T903" s="8" t="n">
        <v>-0.174194</v>
      </c>
      <c r="U903" s="8" t="n">
        <v>-0.129343</v>
      </c>
      <c r="V903" s="8" t="n">
        <v>-0.044851</v>
      </c>
      <c r="W903" s="8" t="n">
        <v>0.4261</v>
      </c>
      <c r="X903" s="8" t="n"/>
      <c r="Y903" s="8" t="n"/>
      <c r="Z903" s="8" t="n"/>
      <c r="AA903" s="8" t="n"/>
    </row>
    <row r="904">
      <c r="A904" s="11" t="inlineStr">
        <is>
          <t>2026-05-18</t>
        </is>
      </c>
      <c r="B904" s="11" t="inlineStr">
        <is>
          <t>中间分位</t>
        </is>
      </c>
      <c r="C904" s="15" t="n">
        <v>0.8120000000000001</v>
      </c>
      <c r="D904" s="13" t="n">
        <v>0.026295</v>
      </c>
      <c r="E904" s="13" t="n">
        <v>-0.005371</v>
      </c>
      <c r="F904" s="13" t="n">
        <v>0.031666</v>
      </c>
      <c r="G904" s="13" t="n">
        <v>0.1696</v>
      </c>
      <c r="H904" s="13" t="n">
        <v>0.008233000000000001</v>
      </c>
      <c r="I904" s="13" t="n">
        <v>-0.045317</v>
      </c>
      <c r="J904" s="13" t="n">
        <v>0.05355</v>
      </c>
      <c r="K904" s="13" t="n">
        <v>0.8463000000000001</v>
      </c>
      <c r="L904" s="13" t="n">
        <v>-0.014078</v>
      </c>
      <c r="M904" s="13" t="n">
        <v>-0.038604</v>
      </c>
      <c r="N904" s="13" t="n">
        <v>0.024526</v>
      </c>
      <c r="O904" s="13" t="n">
        <v>0.7328</v>
      </c>
      <c r="P904" s="13" t="n">
        <v>0.09854</v>
      </c>
      <c r="Q904" s="13" t="n">
        <v>-0.070158</v>
      </c>
      <c r="R904" s="13" t="n">
        <v>0.168698</v>
      </c>
      <c r="S904" s="13" t="n">
        <v>0.4159</v>
      </c>
      <c r="T904" s="13" t="n">
        <v>-0.177689</v>
      </c>
      <c r="U904" s="13" t="n">
        <v>-0.116146</v>
      </c>
      <c r="V904" s="13" t="n">
        <v>-0.061543</v>
      </c>
      <c r="W904" s="13" t="n">
        <v>0.3953</v>
      </c>
      <c r="X904" s="13" t="n"/>
      <c r="Y904" s="13" t="n"/>
      <c r="Z904" s="13" t="n"/>
      <c r="AA904" s="13" t="n"/>
    </row>
    <row r="905">
      <c r="A905" s="6" t="inlineStr">
        <is>
          <t>2026-05-19</t>
        </is>
      </c>
      <c r="B905" s="6" t="inlineStr">
        <is>
          <t>中间分位</t>
        </is>
      </c>
      <c r="C905" s="10" t="n">
        <v>0.868</v>
      </c>
      <c r="D905" s="8" t="n">
        <v>-0.004916</v>
      </c>
      <c r="E905" s="8" t="n">
        <v>0.001687</v>
      </c>
      <c r="F905" s="8" t="n">
        <v>-0.006603</v>
      </c>
      <c r="G905" s="8" t="n">
        <v>0.2555</v>
      </c>
      <c r="H905" s="8" t="n">
        <v>-0.013457</v>
      </c>
      <c r="I905" s="8" t="n">
        <v>-0.042524</v>
      </c>
      <c r="J905" s="8" t="n">
        <v>0.029067</v>
      </c>
      <c r="K905" s="8" t="n">
        <v>0.7596000000000001</v>
      </c>
      <c r="L905" s="8" t="n">
        <v>-0.018634</v>
      </c>
      <c r="M905" s="8" t="n">
        <v>-0.024637</v>
      </c>
      <c r="N905" s="8" t="n">
        <v>0.006003</v>
      </c>
      <c r="O905" s="8" t="n">
        <v>0.5694</v>
      </c>
      <c r="P905" s="8" t="n">
        <v>-0.012422</v>
      </c>
      <c r="Q905" s="8" t="n">
        <v>-0.09416099999999999</v>
      </c>
      <c r="R905" s="8" t="n">
        <v>0.08173900000000001</v>
      </c>
      <c r="S905" s="8" t="n">
        <v>0.8835</v>
      </c>
      <c r="T905" s="8" t="n">
        <v>-0.173913</v>
      </c>
      <c r="U905" s="8" t="n">
        <v>-0.120148</v>
      </c>
      <c r="V905" s="8" t="n">
        <v>-0.053765</v>
      </c>
      <c r="W905" s="8" t="n">
        <v>0.4086</v>
      </c>
      <c r="X905" s="8" t="n"/>
      <c r="Y905" s="8" t="n"/>
      <c r="Z905" s="8" t="n"/>
      <c r="AA905" s="8" t="n"/>
    </row>
    <row r="906">
      <c r="A906" s="11" t="inlineStr">
        <is>
          <t>2026-05-20</t>
        </is>
      </c>
      <c r="B906" s="11" t="inlineStr">
        <is>
          <t>中间分位</t>
        </is>
      </c>
      <c r="C906" s="15" t="n">
        <v>0.856</v>
      </c>
      <c r="D906" s="13" t="n">
        <v>0.002341</v>
      </c>
      <c r="E906" s="13" t="n">
        <v>-0.001685</v>
      </c>
      <c r="F906" s="13" t="n">
        <v>0.004026</v>
      </c>
      <c r="G906" s="13" t="n">
        <v>0.4185</v>
      </c>
      <c r="H906" s="13" t="n">
        <v>-0.014824</v>
      </c>
      <c r="I906" s="13" t="n">
        <v>-0.055256</v>
      </c>
      <c r="J906" s="13" t="n">
        <v>0.040432</v>
      </c>
      <c r="K906" s="13" t="n">
        <v>0.7885</v>
      </c>
      <c r="L906" s="13" t="n">
        <v>-0.008583</v>
      </c>
      <c r="M906" s="13" t="n">
        <v>-0.014151</v>
      </c>
      <c r="N906" s="13" t="n">
        <v>0.005568</v>
      </c>
      <c r="O906" s="13" t="n">
        <v>0.6225000000000001</v>
      </c>
      <c r="P906" s="13" t="n">
        <v>-0.023669</v>
      </c>
      <c r="Q906" s="13" t="n">
        <v>-0.119272</v>
      </c>
      <c r="R906" s="13" t="n">
        <v>0.09560299999999999</v>
      </c>
      <c r="S906" s="13" t="n">
        <v>0.8344</v>
      </c>
      <c r="T906" s="13" t="n">
        <v>-0.174513</v>
      </c>
      <c r="U906" s="13" t="n">
        <v>-0.108827</v>
      </c>
      <c r="V906" s="13" t="n">
        <v>-0.06568599999999999</v>
      </c>
      <c r="W906" s="13" t="n">
        <v>0.3841</v>
      </c>
      <c r="X906" s="13" t="n"/>
      <c r="Y906" s="13" t="n"/>
      <c r="Z906" s="13" t="n"/>
      <c r="AA906" s="13" t="n"/>
    </row>
    <row r="907">
      <c r="A907" s="6" t="inlineStr">
        <is>
          <t>2026-05-21</t>
        </is>
      </c>
      <c r="B907" s="6" t="inlineStr">
        <is>
          <t>中间分位</t>
        </is>
      </c>
      <c r="C907" s="10" t="n">
        <v>0.864</v>
      </c>
      <c r="D907" s="8" t="n">
        <v>0.001295</v>
      </c>
      <c r="E907" s="8" t="n">
        <v>-0.01215</v>
      </c>
      <c r="F907" s="8" t="n">
        <v>0.013445</v>
      </c>
      <c r="G907" s="8" t="n">
        <v>0.9036999999999999</v>
      </c>
      <c r="H907" s="8" t="n">
        <v>-0.03062</v>
      </c>
      <c r="I907" s="8" t="n">
        <v>-0.046574</v>
      </c>
      <c r="J907" s="8" t="n">
        <v>0.015954</v>
      </c>
      <c r="K907" s="8" t="n">
        <v>0.6032999999999999</v>
      </c>
      <c r="L907" s="8" t="n">
        <v>0.000517</v>
      </c>
      <c r="M907" s="8" t="n">
        <v>-0.029025</v>
      </c>
      <c r="N907" s="8" t="n">
        <v>0.029542</v>
      </c>
      <c r="O907" s="8" t="n">
        <v>0.9825</v>
      </c>
      <c r="P907" s="8" t="n">
        <v>-0.062273</v>
      </c>
      <c r="Q907" s="8" t="n">
        <v>-0.133986</v>
      </c>
      <c r="R907" s="8" t="n">
        <v>0.071713</v>
      </c>
      <c r="S907" s="8" t="n">
        <v>0.6827</v>
      </c>
      <c r="T907" s="8" t="n">
        <v>-0.169177</v>
      </c>
      <c r="U907" s="8" t="n">
        <v>-0.093149</v>
      </c>
      <c r="V907" s="8" t="n">
        <v>-0.076028</v>
      </c>
      <c r="W907" s="8" t="n">
        <v>0.3551</v>
      </c>
      <c r="X907" s="8" t="n"/>
      <c r="Y907" s="8" t="n"/>
      <c r="Z907" s="8" t="n"/>
      <c r="AA907" s="8" t="n"/>
    </row>
    <row r="908">
      <c r="A908" s="11" t="inlineStr">
        <is>
          <t>2026-05-22</t>
        </is>
      </c>
      <c r="B908" s="11" t="inlineStr">
        <is>
          <t>高分位</t>
        </is>
      </c>
      <c r="C908" s="15" t="n">
        <v>0.912</v>
      </c>
      <c r="D908" s="13" t="n">
        <v>-0.016325</v>
      </c>
      <c r="E908" s="13" t="n">
        <v>-0.028357</v>
      </c>
      <c r="F908" s="13" t="n">
        <v>0.012032</v>
      </c>
      <c r="G908" s="13" t="n">
        <v>0.6346000000000001</v>
      </c>
      <c r="H908" s="13" t="n">
        <v>-0.027209</v>
      </c>
      <c r="I908" s="13" t="n">
        <v>-0.045781</v>
      </c>
      <c r="J908" s="13" t="n">
        <v>0.018572</v>
      </c>
      <c r="K908" s="13" t="n">
        <v>0.6272</v>
      </c>
      <c r="L908" s="13" t="n">
        <v>-0.009068</v>
      </c>
      <c r="M908" s="13" t="n">
        <v>-0.007175</v>
      </c>
      <c r="N908" s="13" t="n">
        <v>-0.001893</v>
      </c>
      <c r="O908" s="13" t="n">
        <v>0.4417</v>
      </c>
      <c r="P908" s="13" t="n">
        <v>-0.093027</v>
      </c>
      <c r="Q908" s="13" t="n">
        <v>-0.136317</v>
      </c>
      <c r="R908" s="13" t="n">
        <v>0.04329</v>
      </c>
      <c r="S908" s="13" t="n">
        <v>0.5944</v>
      </c>
      <c r="T908" s="13" t="n">
        <v>-0.156516</v>
      </c>
      <c r="U908" s="13" t="n">
        <v>-0.065596</v>
      </c>
      <c r="V908" s="13" t="n">
        <v>-0.09092</v>
      </c>
      <c r="W908" s="13" t="n">
        <v>0.2953</v>
      </c>
      <c r="X908" s="13" t="n"/>
      <c r="Y908" s="13" t="n"/>
      <c r="Z908" s="13" t="n"/>
      <c r="AA908" s="13" t="n"/>
    </row>
    <row r="909">
      <c r="A909" s="6" t="inlineStr">
        <is>
          <t>2026-05-25</t>
        </is>
      </c>
      <c r="B909" s="6" t="inlineStr">
        <is>
          <t>高分位</t>
        </is>
      </c>
      <c r="C909" s="10" t="n">
        <v>0.924</v>
      </c>
      <c r="D909" s="8" t="n">
        <v>0.004217</v>
      </c>
      <c r="E909" s="8" t="n">
        <v>-0.002461</v>
      </c>
      <c r="F909" s="8" t="n">
        <v>0.006678</v>
      </c>
      <c r="G909" s="8" t="n">
        <v>0.3685</v>
      </c>
      <c r="H909" s="8" t="n">
        <v>-0.022129</v>
      </c>
      <c r="I909" s="8" t="n">
        <v>0.007032</v>
      </c>
      <c r="J909" s="8" t="n">
        <v>-0.029161</v>
      </c>
      <c r="K909" s="8" t="n">
        <v>0.2411</v>
      </c>
      <c r="L909" s="8" t="n">
        <v>0.015806</v>
      </c>
      <c r="M909" s="8" t="n">
        <v>0.07208199999999999</v>
      </c>
      <c r="N909" s="8" t="n">
        <v>-0.056276</v>
      </c>
      <c r="O909" s="8" t="n">
        <v>0.8202</v>
      </c>
      <c r="P909" s="8" t="n">
        <v>-0.100103</v>
      </c>
      <c r="Q909" s="8" t="n">
        <v>-0.123418</v>
      </c>
      <c r="R909" s="8" t="n">
        <v>0.023315</v>
      </c>
      <c r="S909" s="8" t="n">
        <v>0.5522</v>
      </c>
      <c r="T909" s="8" t="n">
        <v>-0.126974</v>
      </c>
      <c r="U909" s="8" t="n">
        <v>-0.02391</v>
      </c>
      <c r="V909" s="8" t="n">
        <v>-0.103064</v>
      </c>
      <c r="W909" s="8" t="n">
        <v>0.1585</v>
      </c>
      <c r="X909" s="8" t="n"/>
      <c r="Y909" s="8" t="n"/>
      <c r="Z909" s="8" t="n"/>
      <c r="AA909" s="8" t="n"/>
    </row>
    <row r="910">
      <c r="A910" s="11" t="inlineStr">
        <is>
          <t>2026-05-26</t>
        </is>
      </c>
      <c r="B910" s="11" t="inlineStr">
        <is>
          <t>高分位</t>
        </is>
      </c>
      <c r="C910" s="15" t="n">
        <v>0.9320000000000001</v>
      </c>
      <c r="D910" s="13" t="n">
        <v>-0.006296</v>
      </c>
      <c r="E910" s="13" t="n">
        <v>-0.011632</v>
      </c>
      <c r="F910" s="13" t="n">
        <v>0.005336</v>
      </c>
      <c r="G910" s="13" t="n">
        <v>0.6488</v>
      </c>
      <c r="H910" s="13" t="n">
        <v>-0.005248</v>
      </c>
      <c r="I910" s="13" t="n">
        <v>0.018682</v>
      </c>
      <c r="J910" s="13" t="n">
        <v>-0.02393</v>
      </c>
      <c r="K910" s="13" t="n">
        <v>0.7806999999999999</v>
      </c>
      <c r="L910" s="13" t="n">
        <v>0.057711</v>
      </c>
      <c r="M910" s="13" t="n">
        <v>0.044413</v>
      </c>
      <c r="N910" s="13" t="n">
        <v>0.013298</v>
      </c>
      <c r="O910" s="13" t="n">
        <v>0.4349</v>
      </c>
      <c r="P910" s="13" t="n">
        <v>-0.125657</v>
      </c>
      <c r="Q910" s="13" t="n">
        <v>-0.133239</v>
      </c>
      <c r="R910" s="13" t="n">
        <v>0.007582</v>
      </c>
      <c r="S910" s="13" t="n">
        <v>0.5145999999999999</v>
      </c>
      <c r="T910" s="13" t="n">
        <v>-0.115426</v>
      </c>
      <c r="U910" s="13" t="n">
        <v>0.002115</v>
      </c>
      <c r="V910" s="13" t="n">
        <v>-0.117541</v>
      </c>
      <c r="W910" s="13" t="n">
        <v>0.018</v>
      </c>
      <c r="X910" s="13" t="n"/>
      <c r="Y910" s="13" t="n"/>
      <c r="Z910" s="13" t="n"/>
      <c r="AA910" s="13" t="n"/>
    </row>
    <row r="911">
      <c r="A911" s="6" t="inlineStr">
        <is>
          <t>2026-05-27</t>
        </is>
      </c>
      <c r="B911" s="6" t="inlineStr">
        <is>
          <t>高分位</t>
        </is>
      </c>
      <c r="C911" s="10" t="n">
        <v>0.9360000000000001</v>
      </c>
      <c r="D911" s="8" t="n">
        <v>-0.01373</v>
      </c>
      <c r="E911" s="8" t="n">
        <v>0.007489</v>
      </c>
      <c r="F911" s="8" t="n">
        <v>-0.021219</v>
      </c>
      <c r="G911" s="8" t="n">
        <v>0.3529</v>
      </c>
      <c r="H911" s="8" t="n">
        <v>0.006336</v>
      </c>
      <c r="I911" s="8" t="n">
        <v>0.043509</v>
      </c>
      <c r="J911" s="8" t="n">
        <v>-0.037173</v>
      </c>
      <c r="K911" s="8" t="n">
        <v>0.8729</v>
      </c>
      <c r="L911" s="8" t="n">
        <v>0.041183</v>
      </c>
      <c r="M911" s="8" t="n">
        <v>0.059914</v>
      </c>
      <c r="N911" s="8" t="n">
        <v>-0.018731</v>
      </c>
      <c r="O911" s="8" t="n">
        <v>0.5926</v>
      </c>
      <c r="P911" s="8" t="n">
        <v>-0.14546</v>
      </c>
      <c r="Q911" s="8" t="n">
        <v>-0.133738</v>
      </c>
      <c r="R911" s="8" t="n">
        <v>-0.011722</v>
      </c>
      <c r="S911" s="8" t="n">
        <v>0.479</v>
      </c>
      <c r="T911" s="8" t="n">
        <v>-0.087646</v>
      </c>
      <c r="U911" s="8" t="n">
        <v>0.011769</v>
      </c>
      <c r="V911" s="8" t="n">
        <v>-0.099415</v>
      </c>
      <c r="W911" s="8" t="n">
        <v>0.1184</v>
      </c>
      <c r="X911" s="8" t="n"/>
      <c r="Y911" s="8" t="n"/>
      <c r="Z911" s="8" t="n"/>
      <c r="AA911" s="8" t="n"/>
    </row>
    <row r="912">
      <c r="A912" s="11" t="inlineStr">
        <is>
          <t>2026-05-28</t>
        </is>
      </c>
      <c r="B912" s="11" t="inlineStr">
        <is>
          <t>高分位</t>
        </is>
      </c>
      <c r="C912" s="15" t="n">
        <v>0.9</v>
      </c>
      <c r="D912" s="13" t="n">
        <v>0.004818</v>
      </c>
      <c r="E912" s="13" t="n">
        <v>-0.011327</v>
      </c>
      <c r="F912" s="13" t="n">
        <v>0.016145</v>
      </c>
      <c r="G912" s="13" t="n">
        <v>0.7016</v>
      </c>
      <c r="H912" s="13" t="n">
        <v>0.03212</v>
      </c>
      <c r="I912" s="13" t="n">
        <v>0.018407</v>
      </c>
      <c r="J912" s="13" t="n">
        <v>0.013713</v>
      </c>
      <c r="K912" s="13" t="n">
        <v>0.3643</v>
      </c>
      <c r="L912" s="13" t="n">
        <v>0.07816099999999999</v>
      </c>
      <c r="M912" s="13" t="n">
        <v>0.070796</v>
      </c>
      <c r="N912" s="13" t="n">
        <v>0.007365</v>
      </c>
      <c r="O912" s="13" t="n">
        <v>0.4753</v>
      </c>
      <c r="P912" s="13" t="n">
        <v>-0.12848</v>
      </c>
      <c r="Q912" s="13" t="n">
        <v>-0.139823</v>
      </c>
      <c r="R912" s="13" t="n">
        <v>0.011343</v>
      </c>
      <c r="S912" s="13" t="n">
        <v>0.5211</v>
      </c>
      <c r="T912" s="13" t="n">
        <v>-0.07628500000000001</v>
      </c>
      <c r="U912" s="13" t="n">
        <v>0.029735</v>
      </c>
      <c r="V912" s="13" t="n">
        <v>-0.10602</v>
      </c>
      <c r="W912" s="13" t="n">
        <v>0.2805</v>
      </c>
      <c r="X912" s="13" t="n"/>
      <c r="Y912" s="13" t="n"/>
      <c r="Z912" s="13" t="n"/>
      <c r="AA912" s="13" t="n"/>
    </row>
    <row r="913">
      <c r="A913" s="6" t="inlineStr">
        <is>
          <t>2026-05-29</t>
        </is>
      </c>
      <c r="B913" s="6" t="inlineStr">
        <is>
          <t>高分位</t>
        </is>
      </c>
      <c r="C913" s="10" t="n">
        <v>0.928</v>
      </c>
      <c r="D913" s="8" t="n">
        <v>-0.011188</v>
      </c>
      <c r="E913" s="8" t="n">
        <v>0.025421</v>
      </c>
      <c r="F913" s="8" t="n">
        <v>-0.036609</v>
      </c>
      <c r="G913" s="8" t="n">
        <v>0.6944</v>
      </c>
      <c r="H913" s="8" t="n">
        <v>0.018649</v>
      </c>
      <c r="I913" s="8" t="n">
        <v>0.040458</v>
      </c>
      <c r="J913" s="8" t="n">
        <v>-0.021809</v>
      </c>
      <c r="K913" s="8" t="n">
        <v>0.6845</v>
      </c>
      <c r="L913" s="8" t="n">
        <v>0.100162</v>
      </c>
      <c r="M913" s="8" t="n">
        <v>0.077694</v>
      </c>
      <c r="N913" s="8" t="n">
        <v>0.022468</v>
      </c>
      <c r="O913" s="8" t="n">
        <v>0.4368</v>
      </c>
      <c r="P913" s="8" t="n">
        <v>-0.11401</v>
      </c>
      <c r="Q913" s="8" t="n">
        <v>-0.119227</v>
      </c>
      <c r="R913" s="8" t="n">
        <v>0.005217</v>
      </c>
      <c r="S913" s="8" t="n">
        <v>0.5112</v>
      </c>
      <c r="T913" s="8" t="n">
        <v>-0.054873</v>
      </c>
      <c r="U913" s="8" t="n">
        <v>0.043323</v>
      </c>
      <c r="V913" s="8" t="n">
        <v>-0.09819600000000001</v>
      </c>
      <c r="W913" s="8" t="n">
        <v>0.4412</v>
      </c>
      <c r="X913" s="8" t="n"/>
      <c r="Y913" s="8" t="n"/>
      <c r="Z913" s="8" t="n"/>
      <c r="AA913" s="8" t="n"/>
    </row>
    <row r="914">
      <c r="A914" s="11" t="inlineStr">
        <is>
          <t>2026-06-01</t>
        </is>
      </c>
      <c r="B914" s="11" t="inlineStr">
        <is>
          <t>中间分位</t>
        </is>
      </c>
      <c r="C914" s="15" t="n">
        <v>0.84</v>
      </c>
      <c r="D914" s="13" t="n">
        <v>0.021553</v>
      </c>
      <c r="E914" s="13" t="n">
        <v>0.009077999999999999</v>
      </c>
      <c r="F914" s="13" t="n">
        <v>0.012475</v>
      </c>
      <c r="G914" s="13" t="n">
        <v>0.2964</v>
      </c>
      <c r="H914" s="13" t="n">
        <v>0.038793</v>
      </c>
      <c r="I914" s="13" t="n">
        <v>0.064595</v>
      </c>
      <c r="J914" s="13" t="n">
        <v>-0.025802</v>
      </c>
      <c r="K914" s="13" t="n">
        <v>0.6248</v>
      </c>
      <c r="L914" s="13" t="n">
        <v>0.114226</v>
      </c>
      <c r="M914" s="13" t="n">
        <v>-0.032821</v>
      </c>
      <c r="N914" s="13" t="n">
        <v>0.147047</v>
      </c>
      <c r="O914" s="13" t="n">
        <v>0.2232</v>
      </c>
      <c r="P914" s="13" t="n">
        <v>-0.090517</v>
      </c>
      <c r="Q914" s="13" t="n">
        <v>-0.152235</v>
      </c>
      <c r="R914" s="13" t="n">
        <v>0.061718</v>
      </c>
      <c r="S914" s="13" t="n">
        <v>0.6271</v>
      </c>
      <c r="T914" s="13" t="n">
        <v>-0.03556</v>
      </c>
      <c r="U914" s="13" t="n">
        <v>0.021299</v>
      </c>
      <c r="V914" s="13" t="n">
        <v>-0.056859</v>
      </c>
      <c r="W914" s="13" t="n">
        <v>0.3746</v>
      </c>
      <c r="X914" s="13" t="n"/>
      <c r="Y914" s="13" t="n"/>
      <c r="Z914" s="13" t="n"/>
      <c r="AA914" s="13" t="n"/>
    </row>
    <row r="915">
      <c r="A915" s="6" t="inlineStr">
        <is>
          <t>2026-06-02</t>
        </is>
      </c>
      <c r="B915" s="6" t="inlineStr">
        <is>
          <t>中间分位</t>
        </is>
      </c>
      <c r="C915" s="10" t="n">
        <v>0.872</v>
      </c>
      <c r="D915" s="8" t="n">
        <v>0.005275</v>
      </c>
      <c r="E915" s="8" t="n">
        <v>0.012457</v>
      </c>
      <c r="F915" s="8" t="n">
        <v>-0.007182</v>
      </c>
      <c r="G915" s="8" t="n">
        <v>0.7025</v>
      </c>
      <c r="H915" s="8" t="n">
        <v>0.063291</v>
      </c>
      <c r="I915" s="8" t="n">
        <v>0.02526</v>
      </c>
      <c r="J915" s="8" t="n">
        <v>0.038031</v>
      </c>
      <c r="K915" s="8" t="n">
        <v>0.2853</v>
      </c>
      <c r="L915" s="8" t="n">
        <v>0.006329</v>
      </c>
      <c r="M915" s="8" t="n">
        <v>-0.07128</v>
      </c>
      <c r="N915" s="8" t="n">
        <v>0.077609</v>
      </c>
      <c r="O915" s="8" t="n">
        <v>0.9185</v>
      </c>
      <c r="P915" s="8" t="n">
        <v>-0.122889</v>
      </c>
      <c r="Q915" s="8" t="n">
        <v>-0.186851</v>
      </c>
      <c r="R915" s="8" t="n">
        <v>0.063962</v>
      </c>
      <c r="S915" s="8" t="n">
        <v>0.6032999999999999</v>
      </c>
      <c r="T915" s="8" t="n">
        <v>-0.053797</v>
      </c>
      <c r="U915" s="8" t="n">
        <v>-0.041869</v>
      </c>
      <c r="V915" s="8" t="n">
        <v>-0.011928</v>
      </c>
      <c r="W915" s="8" t="n">
        <v>0.4377</v>
      </c>
      <c r="X915" s="8" t="n"/>
      <c r="Y915" s="8" t="n"/>
      <c r="Z915" s="8" t="n"/>
      <c r="AA915" s="8" t="n"/>
    </row>
    <row r="916">
      <c r="A916" s="11" t="inlineStr">
        <is>
          <t>2026-06-03</t>
        </is>
      </c>
      <c r="B916" s="11" t="inlineStr">
        <is>
          <t>中间分位</t>
        </is>
      </c>
      <c r="C916" s="15" t="n">
        <v>0.844</v>
      </c>
      <c r="D916" s="13" t="n">
        <v>0.01154</v>
      </c>
      <c r="E916" s="13" t="n">
        <v>-0.016746</v>
      </c>
      <c r="F916" s="13" t="n">
        <v>0.028286</v>
      </c>
      <c r="G916" s="13" t="n">
        <v>0.592</v>
      </c>
      <c r="H916" s="13" t="n">
        <v>0.034627</v>
      </c>
      <c r="I916" s="13" t="n">
        <v>0.015721</v>
      </c>
      <c r="J916" s="13" t="n">
        <v>0.018906</v>
      </c>
      <c r="K916" s="13" t="n">
        <v>0.3122</v>
      </c>
      <c r="L916" s="13" t="n">
        <v>-0.015217</v>
      </c>
      <c r="M916" s="13" t="n">
        <v>-0.10663</v>
      </c>
      <c r="N916" s="13" t="n">
        <v>0.09141299999999999</v>
      </c>
      <c r="O916" s="13" t="n">
        <v>0.8751</v>
      </c>
      <c r="P916" s="13" t="n">
        <v>-0.183633</v>
      </c>
      <c r="Q916" s="13" t="n">
        <v>-0.197881</v>
      </c>
      <c r="R916" s="13" t="n">
        <v>0.014248</v>
      </c>
      <c r="S916" s="13" t="n">
        <v>0.5187</v>
      </c>
      <c r="T916" s="13" t="n">
        <v>-0.103882</v>
      </c>
      <c r="U916" s="13" t="n">
        <v>-0.050581</v>
      </c>
      <c r="V916" s="13" t="n">
        <v>-0.053301</v>
      </c>
      <c r="W916" s="13" t="n">
        <v>0.3275</v>
      </c>
      <c r="X916" s="13" t="n"/>
      <c r="Y916" s="13" t="n"/>
      <c r="Z916" s="13" t="n"/>
      <c r="AA916" s="13" t="n"/>
    </row>
    <row r="917">
      <c r="A917" s="6" t="inlineStr">
        <is>
          <t>2026-06-04</t>
        </is>
      </c>
      <c r="B917" s="6" t="inlineStr">
        <is>
          <t>高分位</t>
        </is>
      </c>
      <c r="C917" s="10" t="n">
        <v>0.92</v>
      </c>
      <c r="D917" s="8" t="n">
        <v>-0.008297000000000001</v>
      </c>
      <c r="E917" s="8" t="n">
        <v>0.01008</v>
      </c>
      <c r="F917" s="8" t="n">
        <v>-0.018377</v>
      </c>
      <c r="G917" s="8" t="n">
        <v>0.5485</v>
      </c>
      <c r="H917" s="8" t="n">
        <v>0.044608</v>
      </c>
      <c r="I917" s="8" t="n">
        <v>0.051442</v>
      </c>
      <c r="J917" s="8" t="n">
        <v>-0.006834</v>
      </c>
      <c r="K917" s="8" t="n">
        <v>0.5356</v>
      </c>
      <c r="L917" s="8" t="n">
        <v>-0.06275699999999999</v>
      </c>
      <c r="M917" s="8" t="n">
        <v>-0.108099</v>
      </c>
      <c r="N917" s="8" t="n">
        <v>0.045342</v>
      </c>
      <c r="O917" s="8" t="n">
        <v>0.6327</v>
      </c>
      <c r="P917" s="8" t="n">
        <v>-0.207728</v>
      </c>
      <c r="Q917" s="8" t="n">
        <v>-0.173792</v>
      </c>
      <c r="R917" s="8" t="n">
        <v>-0.033936</v>
      </c>
      <c r="S917" s="8" t="n">
        <v>0.4555</v>
      </c>
      <c r="T917" s="8" t="n">
        <v>-0.112811</v>
      </c>
      <c r="U917" s="8" t="n">
        <v>-0.012861</v>
      </c>
      <c r="V917" s="8" t="n">
        <v>-0.09995</v>
      </c>
      <c r="W917" s="8" t="n">
        <v>0.1023</v>
      </c>
      <c r="X917" s="8" t="n"/>
      <c r="Y917" s="8" t="n"/>
      <c r="Z917" s="8" t="n"/>
      <c r="AA917" s="8" t="n"/>
    </row>
    <row r="918">
      <c r="A918" s="11" t="inlineStr">
        <is>
          <t>2026-06-05</t>
        </is>
      </c>
      <c r="B918" s="11" t="inlineStr">
        <is>
          <t>中间分位</t>
        </is>
      </c>
      <c r="C918" s="15" t="n">
        <v>0.876</v>
      </c>
      <c r="D918" s="13" t="n">
        <v>0.008366</v>
      </c>
      <c r="E918" s="13" t="n">
        <v>0.049209</v>
      </c>
      <c r="F918" s="13" t="n">
        <v>-0.040843</v>
      </c>
      <c r="G918" s="13" t="n">
        <v>0.8547</v>
      </c>
      <c r="H918" s="13" t="n">
        <v>0.08002099999999999</v>
      </c>
      <c r="I918" s="13" t="n">
        <v>0.035788</v>
      </c>
      <c r="J918" s="13" t="n">
        <v>0.044233</v>
      </c>
      <c r="K918" s="13" t="n">
        <v>0.309</v>
      </c>
      <c r="L918" s="13" t="n">
        <v>-0.084728</v>
      </c>
      <c r="M918" s="13" t="n">
        <v>-0.130076</v>
      </c>
      <c r="N918" s="13" t="n">
        <v>0.045348</v>
      </c>
      <c r="O918" s="13" t="n">
        <v>0.6056</v>
      </c>
      <c r="P918" s="13" t="n">
        <v>-0.20973</v>
      </c>
      <c r="Q918" s="13" t="n">
        <v>-0.186855</v>
      </c>
      <c r="R918" s="13" t="n">
        <v>-0.022875</v>
      </c>
      <c r="S918" s="13" t="n">
        <v>0.4712</v>
      </c>
      <c r="T918" s="13" t="n">
        <v>-0.083159</v>
      </c>
      <c r="U918" s="13" t="n">
        <v>0.026497</v>
      </c>
      <c r="V918" s="13" t="n">
        <v>-0.109656</v>
      </c>
      <c r="W918" s="13" t="n">
        <v>0.2416</v>
      </c>
      <c r="X918" s="13" t="n"/>
      <c r="Y918" s="13" t="n"/>
      <c r="Z918" s="13" t="n"/>
      <c r="AA918" s="13" t="n"/>
    </row>
    <row r="919">
      <c r="A919" s="6" t="inlineStr">
        <is>
          <t>2026-06-08</t>
        </is>
      </c>
      <c r="B919" s="6" t="inlineStr">
        <is>
          <t>中间分位</t>
        </is>
      </c>
      <c r="C919" s="10" t="n">
        <v>0.792</v>
      </c>
      <c r="D919" s="8" t="n">
        <v>0.045644</v>
      </c>
      <c r="E919" s="8" t="n">
        <v>-0.028206</v>
      </c>
      <c r="F919" s="8" t="n">
        <v>0.07385</v>
      </c>
      <c r="G919" s="8" t="n">
        <v>0.3819</v>
      </c>
      <c r="H919" s="8" t="n">
        <v>0.072616</v>
      </c>
      <c r="I919" s="8" t="n">
        <v>-0.091505</v>
      </c>
      <c r="J919" s="8" t="n">
        <v>0.164121</v>
      </c>
      <c r="K919" s="8" t="n">
        <v>0.5575</v>
      </c>
      <c r="L919" s="8" t="n">
        <v>-0.114106</v>
      </c>
      <c r="M919" s="8" t="n">
        <v>-0.182355</v>
      </c>
      <c r="N919" s="8" t="n">
        <v>0.068249</v>
      </c>
      <c r="O919" s="8" t="n">
        <v>0.6151</v>
      </c>
      <c r="P919" s="8" t="n">
        <v>-0.212913</v>
      </c>
      <c r="Q919" s="8" t="n">
        <v>-0.211545</v>
      </c>
      <c r="R919" s="8" t="n">
        <v>-0.001368</v>
      </c>
      <c r="S919" s="8" t="n">
        <v>0.4984</v>
      </c>
      <c r="T919" s="8" t="n">
        <v>-0.036305</v>
      </c>
      <c r="U919" s="8" t="n">
        <v>0.00656</v>
      </c>
      <c r="V919" s="8" t="n">
        <v>-0.042865</v>
      </c>
      <c r="W919" s="8" t="n">
        <v>0.153</v>
      </c>
      <c r="X919" s="8" t="n"/>
      <c r="Y919" s="8" t="n"/>
      <c r="Z919" s="8" t="n"/>
      <c r="AA919" s="8" t="n"/>
    </row>
    <row r="920">
      <c r="A920" s="11" t="inlineStr">
        <is>
          <t>2026-06-09</t>
        </is>
      </c>
      <c r="B920" s="11" t="inlineStr">
        <is>
          <t>高分位</t>
        </is>
      </c>
      <c r="C920" s="15" t="n">
        <v>0.9399999999999999</v>
      </c>
      <c r="D920" s="13" t="n">
        <v>-0.021824</v>
      </c>
      <c r="E920" s="13" t="n">
        <v>0.003037</v>
      </c>
      <c r="F920" s="13" t="n">
        <v>-0.024861</v>
      </c>
      <c r="G920" s="13" t="n">
        <v>0.1222</v>
      </c>
      <c r="H920" s="13" t="n">
        <v>-0.053571</v>
      </c>
      <c r="I920" s="13" t="n">
        <v>-0.09416099999999999</v>
      </c>
      <c r="J920" s="13" t="n">
        <v>0.04059</v>
      </c>
      <c r="K920" s="13" t="n">
        <v>0.6374</v>
      </c>
      <c r="L920" s="13" t="n">
        <v>-0.173363</v>
      </c>
      <c r="M920" s="13" t="n">
        <v>-0.170098</v>
      </c>
      <c r="N920" s="13" t="n">
        <v>-0.003265</v>
      </c>
      <c r="O920" s="13" t="n">
        <v>0.4952</v>
      </c>
      <c r="P920" s="13" t="n">
        <v>-0.245783</v>
      </c>
      <c r="Q920" s="13" t="n">
        <v>-0.16031</v>
      </c>
      <c r="R920" s="13" t="n">
        <v>-0.08547299999999999</v>
      </c>
      <c r="S920" s="13" t="n">
        <v>0.3948</v>
      </c>
      <c r="T920" s="13" t="n">
        <v>-0.032738</v>
      </c>
      <c r="U920" s="13" t="n">
        <v>0.074249</v>
      </c>
      <c r="V920" s="13" t="n">
        <v>-0.106987</v>
      </c>
      <c r="W920" s="13" t="n">
        <v>0.694</v>
      </c>
      <c r="X920" s="13" t="n"/>
      <c r="Y920" s="13" t="n"/>
      <c r="Z920" s="13" t="n"/>
      <c r="AA920" s="13" t="n"/>
    </row>
    <row r="921">
      <c r="A921" s="6" t="inlineStr">
        <is>
          <t>2026-06-10</t>
        </is>
      </c>
      <c r="B921" s="6" t="inlineStr">
        <is>
          <t>中间分位</t>
        </is>
      </c>
      <c r="C921" s="10" t="n">
        <v>0.888</v>
      </c>
      <c r="D921" s="8" t="n">
        <v>0.021298</v>
      </c>
      <c r="E921" s="8" t="n">
        <v>0.017833</v>
      </c>
      <c r="F921" s="8" t="n">
        <v>0.003465</v>
      </c>
      <c r="G921" s="8" t="n">
        <v>0.4557</v>
      </c>
      <c r="H921" s="8" t="n">
        <v>-0.048176</v>
      </c>
      <c r="I921" s="8" t="n">
        <v>-0.120458</v>
      </c>
      <c r="J921" s="8" t="n">
        <v>0.072282</v>
      </c>
      <c r="K921" s="8" t="n">
        <v>0.7143</v>
      </c>
      <c r="L921" s="8" t="n">
        <v>-0.17926</v>
      </c>
      <c r="M921" s="8" t="n">
        <v>-0.182705</v>
      </c>
      <c r="N921" s="8" t="n">
        <v>0.003445</v>
      </c>
      <c r="O921" s="8" t="n">
        <v>0.5048</v>
      </c>
      <c r="P921" s="8" t="n">
        <v>-0.202841</v>
      </c>
      <c r="Q921" s="8" t="n">
        <v>-0.162853</v>
      </c>
      <c r="R921" s="8" t="n">
        <v>-0.039988</v>
      </c>
      <c r="S921" s="8" t="n">
        <v>0.4453</v>
      </c>
      <c r="T921" s="8" t="n">
        <v>0.027383</v>
      </c>
      <c r="U921" s="8" t="n">
        <v>0.062584</v>
      </c>
      <c r="V921" s="8" t="n">
        <v>-0.035201</v>
      </c>
      <c r="W921" s="8" t="n">
        <v>0.6956</v>
      </c>
      <c r="X921" s="8" t="n"/>
      <c r="Y921" s="8" t="n"/>
      <c r="Z921" s="8" t="n"/>
      <c r="AA921" s="8" t="n"/>
    </row>
    <row r="922">
      <c r="A922" s="11" t="inlineStr">
        <is>
          <t>2026-06-11</t>
        </is>
      </c>
      <c r="B922" s="11" t="inlineStr">
        <is>
          <t>中间分位</t>
        </is>
      </c>
      <c r="C922" s="15" t="n">
        <v>0.888</v>
      </c>
      <c r="D922" s="13" t="n">
        <v>0.025323</v>
      </c>
      <c r="E922" s="13" t="n">
        <v>-0.004959</v>
      </c>
      <c r="F922" s="13" t="n">
        <v>0.030282</v>
      </c>
      <c r="G922" s="13" t="n">
        <v>0.1638</v>
      </c>
      <c r="H922" s="13" t="n">
        <v>-0.10278</v>
      </c>
      <c r="I922" s="13" t="n">
        <v>-0.151736</v>
      </c>
      <c r="J922" s="13" t="n">
        <v>0.048956</v>
      </c>
      <c r="K922" s="13" t="n">
        <v>0.5962</v>
      </c>
      <c r="L922" s="13" t="n">
        <v>-0.19166</v>
      </c>
      <c r="M922" s="13" t="n">
        <v>-0.196694</v>
      </c>
      <c r="N922" s="13" t="n">
        <v>0.005034</v>
      </c>
      <c r="O922" s="13" t="n">
        <v>0.5065</v>
      </c>
      <c r="P922" s="13" t="n">
        <v>-0.210527</v>
      </c>
      <c r="Q922" s="13" t="n">
        <v>-0.180165</v>
      </c>
      <c r="R922" s="13" t="n">
        <v>-0.030362</v>
      </c>
      <c r="S922" s="13" t="n">
        <v>0.4611</v>
      </c>
      <c r="T922" s="13" t="n">
        <v>-0.002234</v>
      </c>
      <c r="U922" s="13" t="n">
        <v>0.049587</v>
      </c>
      <c r="V922" s="13" t="n">
        <v>-0.051821</v>
      </c>
      <c r="W922" s="13" t="n">
        <v>0.9569</v>
      </c>
      <c r="X922" s="13" t="n"/>
      <c r="Y922" s="13" t="n"/>
      <c r="Z922" s="13" t="n"/>
      <c r="AA922" s="13" t="n"/>
    </row>
    <row r="923">
      <c r="A923" s="6" t="inlineStr">
        <is>
          <t>2026-06-12</t>
        </is>
      </c>
      <c r="B923" s="6" t="inlineStr">
        <is>
          <t>高分位</t>
        </is>
      </c>
      <c r="C923" s="10" t="n">
        <v>0.944</v>
      </c>
      <c r="D923" s="8" t="n">
        <v>0.001453</v>
      </c>
      <c r="E923" s="8" t="n">
        <v>-0.079734</v>
      </c>
      <c r="F923" s="8" t="n">
        <v>0.081187</v>
      </c>
      <c r="G923" s="8" t="n">
        <v>0.9821</v>
      </c>
      <c r="H923" s="8" t="n">
        <v>-0.152542</v>
      </c>
      <c r="I923" s="8" t="n">
        <v>-0.160133</v>
      </c>
      <c r="J923" s="8" t="n">
        <v>0.007591</v>
      </c>
      <c r="K923" s="8" t="n">
        <v>0.5121</v>
      </c>
      <c r="L923" s="8" t="n">
        <v>-0.194673</v>
      </c>
      <c r="M923" s="8" t="n">
        <v>-0.182724</v>
      </c>
      <c r="N923" s="8" t="n">
        <v>-0.011949</v>
      </c>
      <c r="O923" s="8" t="n">
        <v>0.4842</v>
      </c>
      <c r="P923" s="8" t="n">
        <v>-0.24068</v>
      </c>
      <c r="Q923" s="8" t="n">
        <v>-0.16412</v>
      </c>
      <c r="R923" s="8" t="n">
        <v>-0.07656</v>
      </c>
      <c r="S923" s="8" t="n">
        <v>0.4054</v>
      </c>
      <c r="T923" s="8" t="n">
        <v>-0.024941</v>
      </c>
      <c r="U923" s="8" t="n">
        <v>0.06711</v>
      </c>
      <c r="V923" s="8" t="n">
        <v>-0.09205099999999999</v>
      </c>
      <c r="W923" s="8" t="n">
        <v>0.7291</v>
      </c>
      <c r="X923" s="8" t="n"/>
      <c r="Y923" s="8" t="n"/>
      <c r="Z923" s="8" t="n"/>
      <c r="AA923" s="8" t="n"/>
    </row>
    <row r="924">
      <c r="A924" s="11" t="inlineStr">
        <is>
          <t>2026-06-15</t>
        </is>
      </c>
      <c r="B924" s="11" t="inlineStr">
        <is>
          <t>高分位</t>
        </is>
      </c>
      <c r="C924" s="15" t="n">
        <v>0.998</v>
      </c>
      <c r="D924" s="13" t="n">
        <v>-0.07736999999999999</v>
      </c>
      <c r="E924" s="13" t="n">
        <v>-0.031047</v>
      </c>
      <c r="F924" s="13" t="n">
        <v>-0.046323</v>
      </c>
      <c r="G924" s="13" t="n">
        <v>0.2864</v>
      </c>
      <c r="H924" s="13" t="n">
        <v>-0.174081</v>
      </c>
      <c r="I924" s="13" t="n">
        <v>-0.1</v>
      </c>
      <c r="J924" s="13" t="n">
        <v>-0.07408099999999999</v>
      </c>
      <c r="K924" s="13" t="n">
        <v>0.3649</v>
      </c>
      <c r="L924" s="13" t="n">
        <v>-0.183754</v>
      </c>
      <c r="M924" s="13" t="n">
        <v>-0.123466</v>
      </c>
      <c r="N924" s="13" t="n">
        <v>-0.060288</v>
      </c>
      <c r="O924" s="13" t="n">
        <v>0.4019</v>
      </c>
      <c r="P924" s="13" t="n">
        <v>-0.234043</v>
      </c>
      <c r="Q924" s="13" t="n">
        <v>-0.049819</v>
      </c>
      <c r="R924" s="13" t="n">
        <v>-0.184224</v>
      </c>
      <c r="S924" s="13" t="n">
        <v>0.1755</v>
      </c>
      <c r="T924" s="13" t="n">
        <v>-0.016201</v>
      </c>
      <c r="U924" s="13" t="n">
        <v>0.212635</v>
      </c>
      <c r="V924" s="13" t="n">
        <v>-0.228836</v>
      </c>
      <c r="W924" s="13" t="n">
        <v>0.9292</v>
      </c>
      <c r="X924" s="13" t="n"/>
      <c r="Y924" s="13" t="n"/>
      <c r="Z924" s="13" t="n"/>
      <c r="AA924" s="13" t="n"/>
    </row>
    <row r="925">
      <c r="A925" s="6" t="inlineStr">
        <is>
          <t>2026-06-16</t>
        </is>
      </c>
      <c r="B925" s="6" t="inlineStr">
        <is>
          <t>高分位</t>
        </is>
      </c>
      <c r="C925" s="10" t="n">
        <v>0.98</v>
      </c>
      <c r="D925" s="8" t="n">
        <v>-0.016248</v>
      </c>
      <c r="E925" s="8" t="n">
        <v>-0.02608</v>
      </c>
      <c r="F925" s="8" t="n">
        <v>0.009832</v>
      </c>
      <c r="G925" s="8" t="n">
        <v>0.6161</v>
      </c>
      <c r="H925" s="8" t="n">
        <v>-0.126572</v>
      </c>
      <c r="I925" s="8" t="n">
        <v>-0.08383</v>
      </c>
      <c r="J925" s="8" t="n">
        <v>-0.042742</v>
      </c>
      <c r="K925" s="8" t="n">
        <v>0.3984</v>
      </c>
      <c r="L925" s="8" t="n">
        <v>-0.128406</v>
      </c>
      <c r="M925" s="8" t="n">
        <v>-0.124441</v>
      </c>
      <c r="N925" s="8" t="n">
        <v>-0.003965</v>
      </c>
      <c r="O925" s="8" t="n">
        <v>0.4922</v>
      </c>
      <c r="P925" s="8" t="n">
        <v>-0.13784</v>
      </c>
      <c r="Q925" s="8" t="n">
        <v>-0.013413</v>
      </c>
      <c r="R925" s="8" t="n">
        <v>-0.124427</v>
      </c>
      <c r="S925" s="8" t="n">
        <v>0.0887</v>
      </c>
      <c r="T925" s="8" t="n">
        <v>0.131028</v>
      </c>
      <c r="U925" s="8" t="n">
        <v>0.270864</v>
      </c>
      <c r="V925" s="8" t="n">
        <v>-0.139836</v>
      </c>
      <c r="W925" s="8" t="n">
        <v>0.674</v>
      </c>
      <c r="X925" s="8" t="n"/>
      <c r="Y925" s="8" t="n"/>
      <c r="Z925" s="8" t="n"/>
      <c r="AA925" s="8" t="n"/>
    </row>
    <row r="926">
      <c r="A926" s="11" t="inlineStr">
        <is>
          <t>2026-06-17</t>
        </is>
      </c>
      <c r="B926" s="11" t="inlineStr">
        <is>
          <t>高分位</t>
        </is>
      </c>
      <c r="C926" s="15" t="n">
        <v>0.996</v>
      </c>
      <c r="D926" s="13" t="n">
        <v>-0.037291</v>
      </c>
      <c r="E926" s="13" t="n">
        <v>-0.018363</v>
      </c>
      <c r="F926" s="13" t="n">
        <v>-0.018928</v>
      </c>
      <c r="G926" s="13" t="n">
        <v>0.3299</v>
      </c>
      <c r="H926" s="13" t="n">
        <v>-0.137719</v>
      </c>
      <c r="I926" s="13" t="n">
        <v>-0.070773</v>
      </c>
      <c r="J926" s="13" t="n">
        <v>-0.06694600000000001</v>
      </c>
      <c r="K926" s="13" t="n">
        <v>0.3395</v>
      </c>
      <c r="L926" s="13" t="n">
        <v>-0.171018</v>
      </c>
      <c r="M926" s="13" t="n">
        <v>-0.102142</v>
      </c>
      <c r="N926" s="13" t="n">
        <v>-0.06887600000000001</v>
      </c>
      <c r="O926" s="13" t="n">
        <v>0.3739</v>
      </c>
      <c r="P926" s="13" t="n">
        <v>-0.137984</v>
      </c>
      <c r="Q926" s="13" t="n">
        <v>0.007269</v>
      </c>
      <c r="R926" s="13" t="n">
        <v>-0.145253</v>
      </c>
      <c r="S926" s="13" t="n">
        <v>0.05</v>
      </c>
      <c r="T926" s="13" t="n">
        <v>0.184872</v>
      </c>
      <c r="U926" s="13" t="n">
        <v>0.164116</v>
      </c>
      <c r="V926" s="13" t="n">
        <v>0.020756</v>
      </c>
      <c r="W926" s="13" t="n">
        <v>0.4703</v>
      </c>
      <c r="X926" s="13" t="n"/>
      <c r="Y926" s="13" t="n"/>
      <c r="Z926" s="13" t="n"/>
      <c r="AA926" s="13" t="n"/>
    </row>
    <row r="927">
      <c r="A927" s="6" t="inlineStr">
        <is>
          <t>2026-06-18</t>
        </is>
      </c>
      <c r="B927" s="6" t="inlineStr">
        <is>
          <t>高分位</t>
        </is>
      </c>
      <c r="C927" s="10" t="n">
        <v>0.968</v>
      </c>
      <c r="D927" s="8" t="n">
        <v>-0.031544</v>
      </c>
      <c r="E927" s="8" t="n">
        <v>-0.014809</v>
      </c>
      <c r="F927" s="8" t="n">
        <v>-0.016735</v>
      </c>
      <c r="G927" s="8" t="n">
        <v>0.3195</v>
      </c>
      <c r="H927" s="8" t="n">
        <v>-0.099061</v>
      </c>
      <c r="I927" s="8" t="n">
        <v>-0.053001</v>
      </c>
      <c r="J927" s="8" t="n">
        <v>-0.04606</v>
      </c>
      <c r="K927" s="8" t="n">
        <v>0.3485</v>
      </c>
      <c r="L927" s="8" t="n">
        <v>-0.154678</v>
      </c>
      <c r="M927" s="8" t="n">
        <v>-0.073655</v>
      </c>
      <c r="N927" s="8" t="n">
        <v>-0.081023</v>
      </c>
      <c r="O927" s="8" t="n">
        <v>0.3226</v>
      </c>
      <c r="P927" s="8" t="n">
        <v>-0.117875</v>
      </c>
      <c r="Q927" s="8" t="n">
        <v>0.024942</v>
      </c>
      <c r="R927" s="8" t="n">
        <v>-0.142817</v>
      </c>
      <c r="S927" s="8" t="n">
        <v>0.1746</v>
      </c>
      <c r="T927" s="8" t="n">
        <v>0.23741</v>
      </c>
      <c r="U927" s="8" t="n">
        <v>0.17537</v>
      </c>
      <c r="V927" s="8" t="n">
        <v>0.06204</v>
      </c>
      <c r="W927" s="8" t="n">
        <v>0.4249</v>
      </c>
      <c r="X927" s="8" t="n"/>
      <c r="Y927" s="8" t="n"/>
      <c r="Z927" s="8" t="n"/>
      <c r="AA927" s="8" t="n"/>
    </row>
    <row r="928">
      <c r="A928" s="11" t="inlineStr">
        <is>
          <t>2026-06-22</t>
        </is>
      </c>
      <c r="B928" s="11" t="inlineStr">
        <is>
          <t>高分位</t>
        </is>
      </c>
      <c r="C928" s="15" t="n">
        <v>0.9399999999999999</v>
      </c>
      <c r="D928" s="13" t="n">
        <v>-0.024</v>
      </c>
      <c r="E928" s="13" t="n">
        <v>-0.013845</v>
      </c>
      <c r="F928" s="13" t="n">
        <v>-0.010155</v>
      </c>
      <c r="G928" s="13" t="n">
        <v>0.3658</v>
      </c>
      <c r="H928" s="13" t="n">
        <v>-0.049714</v>
      </c>
      <c r="I928" s="13" t="n">
        <v>-0.026899</v>
      </c>
      <c r="J928" s="13" t="n">
        <v>-0.022815</v>
      </c>
      <c r="K928" s="13" t="n">
        <v>0.3511</v>
      </c>
      <c r="L928" s="13" t="n">
        <v>-0.136574</v>
      </c>
      <c r="M928" s="13" t="n">
        <v>-0.06526899999999999</v>
      </c>
      <c r="N928" s="13" t="n">
        <v>-0.07130499999999999</v>
      </c>
      <c r="O928" s="13" t="n">
        <v>0.3234</v>
      </c>
      <c r="P928" s="13" t="n">
        <v>-0.095431</v>
      </c>
      <c r="Q928" s="13" t="n">
        <v>0.108386</v>
      </c>
      <c r="R928" s="13" t="n">
        <v>-0.203817</v>
      </c>
      <c r="S928" s="13" t="n">
        <v>0.5318000000000001</v>
      </c>
      <c r="T928" s="13" t="n">
        <v>0.264</v>
      </c>
      <c r="U928" s="13" t="n">
        <v>0.193038</v>
      </c>
      <c r="V928" s="13" t="n">
        <v>0.070962</v>
      </c>
      <c r="W928" s="13" t="n">
        <v>0.4224</v>
      </c>
      <c r="X928" s="13" t="n"/>
      <c r="Y928" s="13" t="n"/>
      <c r="Z928" s="13" t="n"/>
      <c r="AA928" s="13" t="n"/>
    </row>
    <row r="929">
      <c r="A929" s="6" t="inlineStr">
        <is>
          <t>2026-06-23</t>
        </is>
      </c>
      <c r="B929" s="6" t="inlineStr">
        <is>
          <t>高分位</t>
        </is>
      </c>
      <c r="C929" s="10" t="n">
        <v>0.916</v>
      </c>
      <c r="D929" s="8" t="n">
        <v>-0.024299</v>
      </c>
      <c r="E929" s="8" t="n">
        <v>-0.013638</v>
      </c>
      <c r="F929" s="8" t="n">
        <v>-0.010661</v>
      </c>
      <c r="G929" s="8" t="n">
        <v>0.3595</v>
      </c>
      <c r="H929" s="8" t="n">
        <v>-0.011712</v>
      </c>
      <c r="I929" s="8" t="n">
        <v>-0.026073</v>
      </c>
      <c r="J929" s="8" t="n">
        <v>0.014361</v>
      </c>
      <c r="K929" s="8" t="n">
        <v>0.6899999999999999</v>
      </c>
      <c r="L929" s="8" t="n">
        <v>-0.111534</v>
      </c>
      <c r="M929" s="8" t="n">
        <v>-0.0357</v>
      </c>
      <c r="N929" s="8" t="n">
        <v>-0.075834</v>
      </c>
      <c r="O929" s="8" t="n">
        <v>0.2425</v>
      </c>
      <c r="P929" s="8" t="n">
        <v>-0.019907</v>
      </c>
      <c r="Q929" s="8" t="n">
        <v>0.08584</v>
      </c>
      <c r="R929" s="8" t="n">
        <v>-0.105747</v>
      </c>
      <c r="S929" s="8" t="n">
        <v>0.8117</v>
      </c>
      <c r="T929" s="8" t="n">
        <v>0.328454</v>
      </c>
      <c r="U929" s="8" t="n">
        <v>0.209787</v>
      </c>
      <c r="V929" s="8" t="n">
        <v>0.118667</v>
      </c>
      <c r="W929" s="8" t="n">
        <v>0.3898</v>
      </c>
      <c r="X929" s="8" t="n"/>
      <c r="Y929" s="8" t="n"/>
      <c r="Z929" s="8" t="n"/>
      <c r="AA929" s="8" t="n"/>
    </row>
    <row r="930">
      <c r="A930" s="11" t="inlineStr">
        <is>
          <t>2026-06-24</t>
        </is>
      </c>
      <c r="B930" s="11" t="inlineStr">
        <is>
          <t>高分位</t>
        </is>
      </c>
      <c r="C930" s="15" t="n">
        <v>0.904</v>
      </c>
      <c r="D930" s="13" t="n">
        <v>-0.028803</v>
      </c>
      <c r="E930" s="13" t="n">
        <v>-0.0122</v>
      </c>
      <c r="F930" s="13" t="n">
        <v>-0.016603</v>
      </c>
      <c r="G930" s="13" t="n">
        <v>0.2975</v>
      </c>
      <c r="H930" s="13" t="n">
        <v>-0.002099</v>
      </c>
      <c r="I930" s="13" t="n">
        <v>-0.044327</v>
      </c>
      <c r="J930" s="13" t="n">
        <v>0.042228</v>
      </c>
      <c r="K930" s="13" t="n">
        <v>0.9548</v>
      </c>
      <c r="L930" s="13" t="n">
        <v>-0.08760800000000001</v>
      </c>
      <c r="M930" s="13" t="n">
        <v>0.011793</v>
      </c>
      <c r="N930" s="13" t="n">
        <v>-0.099401</v>
      </c>
      <c r="O930" s="13" t="n">
        <v>0.1186</v>
      </c>
      <c r="P930" s="13" t="n">
        <v>-0.025501</v>
      </c>
      <c r="Q930" s="13" t="n">
        <v>0.105327</v>
      </c>
      <c r="R930" s="13" t="n">
        <v>-0.130828</v>
      </c>
      <c r="S930" s="13" t="n">
        <v>0.8051</v>
      </c>
      <c r="T930" s="13" t="n">
        <v>0.375338</v>
      </c>
      <c r="U930" s="13" t="n">
        <v>0.241155</v>
      </c>
      <c r="V930" s="13" t="n">
        <v>0.134183</v>
      </c>
      <c r="W930" s="13" t="n">
        <v>0.3912</v>
      </c>
      <c r="X930" s="13" t="n"/>
      <c r="Y930" s="13" t="n"/>
      <c r="Z930" s="13" t="n"/>
      <c r="AA930" s="13" t="n"/>
    </row>
    <row r="931">
      <c r="A931" s="6" t="inlineStr">
        <is>
          <t>2026-06-25</t>
        </is>
      </c>
      <c r="B931" s="6" t="inlineStr">
        <is>
          <t>中间分位</t>
        </is>
      </c>
      <c r="C931" s="10" t="n">
        <v>0.86</v>
      </c>
      <c r="D931" s="8" t="n">
        <v>0.005868</v>
      </c>
      <c r="E931" s="8" t="n">
        <v>0.000412</v>
      </c>
      <c r="F931" s="8" t="n">
        <v>0.005456</v>
      </c>
      <c r="G931" s="8" t="n">
        <v>0.06560000000000001</v>
      </c>
      <c r="H931" s="8" t="n">
        <v>-0.038617</v>
      </c>
      <c r="I931" s="8" t="n">
        <v>-0.033759</v>
      </c>
      <c r="J931" s="8" t="n">
        <v>-0.004858</v>
      </c>
      <c r="K931" s="8" t="n">
        <v>0.4664</v>
      </c>
      <c r="L931" s="8" t="n">
        <v>-0.02873</v>
      </c>
      <c r="M931" s="8" t="n">
        <v>0.02429</v>
      </c>
      <c r="N931" s="8" t="n">
        <v>-0.05302</v>
      </c>
      <c r="O931" s="8" t="n">
        <v>0.4581</v>
      </c>
      <c r="P931" s="8" t="n">
        <v>0.007722</v>
      </c>
      <c r="Q931" s="8" t="n">
        <v>0.134623</v>
      </c>
      <c r="R931" s="8" t="n">
        <v>-0.126901</v>
      </c>
      <c r="S931" s="8" t="n">
        <v>0.9458</v>
      </c>
      <c r="T931" s="8" t="n">
        <v>0.482854</v>
      </c>
      <c r="U931" s="8" t="n">
        <v>0.233018</v>
      </c>
      <c r="V931" s="8" t="n">
        <v>0.249836</v>
      </c>
      <c r="W931" s="8" t="n">
        <v>0.3255</v>
      </c>
      <c r="X931" s="8" t="n"/>
      <c r="Y931" s="8" t="n"/>
      <c r="Z931" s="8" t="n"/>
      <c r="AA931" s="8" t="n"/>
    </row>
    <row r="932">
      <c r="A932" s="11" t="inlineStr">
        <is>
          <t>2026-06-26</t>
        </is>
      </c>
      <c r="B932" s="11" t="inlineStr">
        <is>
          <t>中间分位</t>
        </is>
      </c>
      <c r="C932" s="15" t="n">
        <v>0.88</v>
      </c>
      <c r="D932" s="13" t="n">
        <v>0.021501</v>
      </c>
      <c r="E932" s="13" t="n">
        <v>0.012346</v>
      </c>
      <c r="F932" s="13" t="n">
        <v>0.009155</v>
      </c>
      <c r="G932" s="13" t="n">
        <v>0.3648</v>
      </c>
      <c r="H932" s="13" t="n">
        <v>-0.061732</v>
      </c>
      <c r="I932" s="13" t="n">
        <v>-0.021811</v>
      </c>
      <c r="J932" s="13" t="n">
        <v>-0.039921</v>
      </c>
      <c r="K932" s="13" t="n">
        <v>0.2611</v>
      </c>
      <c r="L932" s="13" t="n">
        <v>-0.02334</v>
      </c>
      <c r="M932" s="13" t="n">
        <v>0.020576</v>
      </c>
      <c r="N932" s="13" t="n">
        <v>-0.043916</v>
      </c>
      <c r="O932" s="13" t="n">
        <v>0.4685</v>
      </c>
      <c r="P932" s="13" t="n">
        <v>0.013515</v>
      </c>
      <c r="Q932" s="13" t="n">
        <v>0.133745</v>
      </c>
      <c r="R932" s="13" t="n">
        <v>-0.12023</v>
      </c>
      <c r="S932" s="13" t="n">
        <v>0.9082</v>
      </c>
      <c r="T932" s="13" t="n">
        <v>0.48526</v>
      </c>
      <c r="U932" s="13" t="n">
        <v>0.214815</v>
      </c>
      <c r="V932" s="13" t="n">
        <v>0.270445</v>
      </c>
      <c r="W932" s="13" t="n">
        <v>0.3068</v>
      </c>
      <c r="X932" s="13" t="n"/>
      <c r="Y932" s="13" t="n"/>
      <c r="Z932" s="13" t="n"/>
      <c r="AA932" s="13" t="n"/>
    </row>
    <row r="933">
      <c r="A933" s="6" t="inlineStr">
        <is>
          <t>2026-06-29</t>
        </is>
      </c>
      <c r="B933" s="6" t="inlineStr">
        <is>
          <t>高分位</t>
        </is>
      </c>
      <c r="C933" s="10" t="n">
        <v>0.9</v>
      </c>
      <c r="D933" s="8" t="n">
        <v>0.015031</v>
      </c>
      <c r="E933" s="8" t="n">
        <v>-0.013008</v>
      </c>
      <c r="F933" s="8" t="n">
        <v>0.028039</v>
      </c>
      <c r="G933" s="8" t="n">
        <v>0.4639</v>
      </c>
      <c r="H933" s="8" t="n">
        <v>-0.091403</v>
      </c>
      <c r="I933" s="8" t="n">
        <v>-0.039431</v>
      </c>
      <c r="J933" s="8" t="n">
        <v>-0.051972</v>
      </c>
      <c r="K933" s="8" t="n">
        <v>0.3014</v>
      </c>
      <c r="L933" s="8" t="n">
        <v>-0.057128</v>
      </c>
      <c r="M933" s="8" t="n">
        <v>0.022764</v>
      </c>
      <c r="N933" s="8" t="n">
        <v>-0.079892</v>
      </c>
      <c r="O933" s="8" t="n">
        <v>0.2849</v>
      </c>
      <c r="P933" s="8" t="n">
        <v>-0.006617</v>
      </c>
      <c r="Q933" s="8" t="n">
        <v>0.060976</v>
      </c>
      <c r="R933" s="8" t="n">
        <v>-0.067593</v>
      </c>
      <c r="S933" s="8" t="n">
        <v>0.9021</v>
      </c>
      <c r="T933" s="8" t="n">
        <v>0.473238</v>
      </c>
      <c r="U933" s="8" t="n">
        <v>0.195935</v>
      </c>
      <c r="V933" s="8" t="n">
        <v>0.277303</v>
      </c>
      <c r="W933" s="8" t="n">
        <v>0.2928</v>
      </c>
      <c r="X933" s="8" t="n"/>
      <c r="Y933" s="8" t="n"/>
      <c r="Z933" s="8" t="n"/>
      <c r="AA933" s="8" t="n"/>
    </row>
    <row r="934">
      <c r="A934" s="11" t="inlineStr">
        <is>
          <t>2026-06-30</t>
        </is>
      </c>
      <c r="B934" s="11" t="inlineStr">
        <is>
          <t>高分位</t>
        </is>
      </c>
      <c r="C934" s="15" t="n">
        <v>0.948</v>
      </c>
      <c r="D934" s="13" t="n">
        <v>-0.014808</v>
      </c>
      <c r="E934" s="13" t="n">
        <v>-0.032125</v>
      </c>
      <c r="F934" s="13" t="n">
        <v>0.017317</v>
      </c>
      <c r="G934" s="13" t="n">
        <v>0.6845</v>
      </c>
      <c r="H934" s="13" t="n">
        <v>-0.101005</v>
      </c>
      <c r="I934" s="13" t="n">
        <v>-0.009885</v>
      </c>
      <c r="J934" s="13" t="n">
        <v>-0.09112000000000001</v>
      </c>
      <c r="K934" s="13" t="n">
        <v>0.0891</v>
      </c>
      <c r="L934" s="13" t="n">
        <v>-0.06161</v>
      </c>
      <c r="M934" s="13" t="n">
        <v>0.08402</v>
      </c>
      <c r="N934" s="13" t="n">
        <v>-0.14563</v>
      </c>
      <c r="O934" s="13" t="n">
        <v>0.5769</v>
      </c>
      <c r="P934" s="13" t="n">
        <v>-0.06812600000000001</v>
      </c>
      <c r="Q934" s="13" t="n">
        <v>0.071252</v>
      </c>
      <c r="R934" s="13" t="n">
        <v>-0.139378</v>
      </c>
      <c r="S934" s="13" t="n">
        <v>0.5112</v>
      </c>
      <c r="T934" s="13" t="n">
        <v>0.440759</v>
      </c>
      <c r="U934" s="13" t="n">
        <v>0.212521</v>
      </c>
      <c r="V934" s="13" t="n">
        <v>0.228238</v>
      </c>
      <c r="W934" s="13" t="n">
        <v>0.3253</v>
      </c>
      <c r="X934" s="13" t="n"/>
      <c r="Y934" s="13" t="n"/>
      <c r="Z934" s="13" t="n"/>
      <c r="AA934" s="13" t="n"/>
    </row>
    <row r="935">
      <c r="A935" s="6" t="inlineStr">
        <is>
          <t>2026-07-01</t>
        </is>
      </c>
      <c r="B935" s="6" t="inlineStr">
        <is>
          <t>高分位</t>
        </is>
      </c>
      <c r="C935" s="10" t="n">
        <v>0.972</v>
      </c>
      <c r="D935" s="8" t="n">
        <v>-0.064344</v>
      </c>
      <c r="E935" s="8" t="n">
        <v>-0.001277</v>
      </c>
      <c r="F935" s="8" t="n">
        <v>-0.063067</v>
      </c>
      <c r="G935" s="8" t="n">
        <v>0.0195</v>
      </c>
      <c r="H935" s="8" t="n">
        <v>-0.085688</v>
      </c>
      <c r="I935" s="8" t="n">
        <v>0.058723</v>
      </c>
      <c r="J935" s="8" t="n">
        <v>-0.144411</v>
      </c>
      <c r="K935" s="8" t="n">
        <v>0.4066</v>
      </c>
      <c r="L935" s="8" t="n">
        <v>-0.010824</v>
      </c>
      <c r="M935" s="8" t="n">
        <v>0.126809</v>
      </c>
      <c r="N935" s="8" t="n">
        <v>-0.137633</v>
      </c>
      <c r="O935" s="8" t="n">
        <v>0.9214</v>
      </c>
      <c r="P935" s="8" t="n">
        <v>-0.057128</v>
      </c>
      <c r="Q935" s="8" t="n">
        <v>0.127234</v>
      </c>
      <c r="R935" s="8" t="n">
        <v>-0.184362</v>
      </c>
      <c r="S935" s="8" t="n">
        <v>0.6901</v>
      </c>
      <c r="T935" s="8" t="n">
        <v>0.466625</v>
      </c>
      <c r="U935" s="8" t="n">
        <v>0.205532</v>
      </c>
      <c r="V935" s="8" t="n">
        <v>0.261093</v>
      </c>
      <c r="W935" s="8" t="n">
        <v>0.3058</v>
      </c>
      <c r="X935" s="8" t="n"/>
      <c r="Y935" s="8" t="n"/>
      <c r="Z935" s="8" t="n"/>
      <c r="AA935" s="8" t="n"/>
    </row>
    <row r="936">
      <c r="A936" s="11" t="inlineStr">
        <is>
          <t>2026-07-02</t>
        </is>
      </c>
      <c r="B936" s="11" t="inlineStr">
        <is>
          <t>中间分位</t>
        </is>
      </c>
      <c r="C936" s="15" t="n">
        <v>0.828</v>
      </c>
      <c r="D936" s="13" t="n">
        <v>-0.018316</v>
      </c>
      <c r="E936" s="13" t="n">
        <v>0.012782</v>
      </c>
      <c r="F936" s="13" t="n">
        <v>-0.031098</v>
      </c>
      <c r="G936" s="13" t="n">
        <v>0.411</v>
      </c>
      <c r="H936" s="13" t="n">
        <v>0.010284</v>
      </c>
      <c r="I936" s="13" t="n">
        <v>0.060077</v>
      </c>
      <c r="J936" s="13" t="n">
        <v>-0.049793</v>
      </c>
      <c r="K936" s="13" t="n">
        <v>0.8538</v>
      </c>
      <c r="L936" s="13" t="n">
        <v>0.039848</v>
      </c>
      <c r="M936" s="13" t="n">
        <v>0.121858</v>
      </c>
      <c r="N936" s="13" t="n">
        <v>-0.08201</v>
      </c>
      <c r="O936" s="13" t="n">
        <v>0.7536</v>
      </c>
      <c r="P936" s="13" t="n">
        <v>0.024424</v>
      </c>
      <c r="Q936" s="13" t="n">
        <v>0.132084</v>
      </c>
      <c r="R936" s="13" t="n">
        <v>-0.10766</v>
      </c>
      <c r="S936" s="13" t="n">
        <v>0.8439</v>
      </c>
      <c r="T936" s="13" t="n">
        <v>0.5488459999999999</v>
      </c>
      <c r="U936" s="13" t="n">
        <v>0.261184</v>
      </c>
      <c r="V936" s="13" t="n">
        <v>0.287662</v>
      </c>
      <c r="W936" s="13" t="n">
        <v>0.3224</v>
      </c>
      <c r="X936" s="13" t="n"/>
      <c r="Y936" s="13" t="n"/>
      <c r="Z936" s="13" t="n"/>
      <c r="AA936" s="13" t="n"/>
    </row>
    <row r="937">
      <c r="A937" s="6" t="inlineStr">
        <is>
          <t>2026-07-03</t>
        </is>
      </c>
      <c r="B937" s="6" t="inlineStr">
        <is>
          <t>中间分位</t>
        </is>
      </c>
      <c r="C937" s="10" t="n">
        <v>0.748</v>
      </c>
      <c r="D937" s="8" t="n">
        <v>-0.010802</v>
      </c>
      <c r="E937" s="8" t="n">
        <v>-0.00589</v>
      </c>
      <c r="F937" s="8" t="n">
        <v>-0.004912</v>
      </c>
      <c r="G937" s="8" t="n">
        <v>0.3529</v>
      </c>
      <c r="H937" s="8" t="n">
        <v>0.040918</v>
      </c>
      <c r="I937" s="8" t="n">
        <v>0.043332</v>
      </c>
      <c r="J937" s="8" t="n">
        <v>-0.002414</v>
      </c>
      <c r="K937" s="8" t="n">
        <v>0.5143</v>
      </c>
      <c r="L937" s="8" t="n">
        <v>0.043538</v>
      </c>
      <c r="M937" s="8" t="n">
        <v>0.106437</v>
      </c>
      <c r="N937" s="8" t="n">
        <v>-0.062899</v>
      </c>
      <c r="O937" s="8" t="n">
        <v>0.7097</v>
      </c>
      <c r="P937" s="8" t="n">
        <v>0.04681</v>
      </c>
      <c r="Q937" s="8" t="n">
        <v>0.101388</v>
      </c>
      <c r="R937" s="8" t="n">
        <v>-0.054578</v>
      </c>
      <c r="S937" s="8" t="n">
        <v>0.6841</v>
      </c>
      <c r="T937" s="8" t="n">
        <v>0.745336</v>
      </c>
      <c r="U937" s="8" t="n">
        <v>0.237274</v>
      </c>
      <c r="V937" s="8" t="n">
        <v>0.508062</v>
      </c>
      <c r="W937" s="8" t="n">
        <v>0.2415</v>
      </c>
      <c r="X937" s="8" t="n"/>
      <c r="Y937" s="8" t="n"/>
      <c r="Z937" s="8" t="n"/>
      <c r="AA937" s="8" t="n"/>
    </row>
    <row r="938">
      <c r="A938" s="11" t="inlineStr">
        <is>
          <t>2026-07-06</t>
        </is>
      </c>
      <c r="B938" s="11" t="inlineStr">
        <is>
          <t>中间分位</t>
        </is>
      </c>
      <c r="C938" s="15" t="n">
        <v>0.736</v>
      </c>
      <c r="D938" s="13" t="n">
        <v>0.004304</v>
      </c>
      <c r="E938" s="13" t="n">
        <v>0.017351</v>
      </c>
      <c r="F938" s="13" t="n">
        <v>-0.013047</v>
      </c>
      <c r="G938" s="13" t="n">
        <v>0.8012</v>
      </c>
      <c r="H938" s="13" t="n">
        <v>0.037723</v>
      </c>
      <c r="I938" s="13" t="n">
        <v>0.064748</v>
      </c>
      <c r="J938" s="13" t="n">
        <v>-0.027025</v>
      </c>
      <c r="K938" s="13" t="n">
        <v>0.6319</v>
      </c>
      <c r="L938" s="13" t="n">
        <v>0.047651</v>
      </c>
      <c r="M938" s="13" t="n">
        <v>0.185781</v>
      </c>
      <c r="N938" s="13" t="n">
        <v>-0.13813</v>
      </c>
      <c r="O938" s="13" t="n">
        <v>0.7959000000000001</v>
      </c>
      <c r="P938" s="13" t="n">
        <v>0.04368</v>
      </c>
      <c r="Q938" s="13" t="n">
        <v>0.097757</v>
      </c>
      <c r="R938" s="13" t="n">
        <v>-0.054077</v>
      </c>
      <c r="S938" s="13" t="n">
        <v>0.6912</v>
      </c>
      <c r="T938" s="13" t="n">
        <v>0.826607</v>
      </c>
      <c r="U938" s="13" t="n">
        <v>0.249683</v>
      </c>
      <c r="V938" s="13" t="n">
        <v>0.576924</v>
      </c>
      <c r="W938" s="13" t="n">
        <v>0.232</v>
      </c>
      <c r="X938" s="13" t="n"/>
      <c r="Y938" s="13" t="n"/>
      <c r="Z938" s="13" t="n"/>
      <c r="AA938" s="13" t="n"/>
    </row>
    <row r="939">
      <c r="A939" s="6" t="inlineStr">
        <is>
          <t>2026-07-07</t>
        </is>
      </c>
      <c r="B939" s="6" t="inlineStr">
        <is>
          <t>中间分位</t>
        </is>
      </c>
      <c r="C939" s="10" t="n">
        <v>0.724</v>
      </c>
      <c r="D939" s="8" t="n">
        <v>0.001977</v>
      </c>
      <c r="E939" s="8" t="n">
        <v>0.034942</v>
      </c>
      <c r="F939" s="8" t="n">
        <v>-0.032965</v>
      </c>
      <c r="G939" s="8" t="n">
        <v>0.9465</v>
      </c>
      <c r="H939" s="8" t="n">
        <v>0.043821</v>
      </c>
      <c r="I939" s="8" t="n">
        <v>0.094842</v>
      </c>
      <c r="J939" s="8" t="n">
        <v>-0.051021</v>
      </c>
      <c r="K939" s="8" t="n">
        <v>0.6840000000000001</v>
      </c>
      <c r="L939" s="8" t="n">
        <v>0.103129</v>
      </c>
      <c r="M939" s="8" t="n">
        <v>0.12604</v>
      </c>
      <c r="N939" s="8" t="n">
        <v>-0.022911</v>
      </c>
      <c r="O939" s="8" t="n">
        <v>0.55</v>
      </c>
      <c r="P939" s="8" t="n">
        <v>0.035913</v>
      </c>
      <c r="Q939" s="8" t="n">
        <v>0.075707</v>
      </c>
      <c r="R939" s="8" t="n">
        <v>-0.039794</v>
      </c>
      <c r="S939" s="8" t="n">
        <v>0.6783</v>
      </c>
      <c r="T939" s="8" t="n">
        <v>0.812848</v>
      </c>
      <c r="U939" s="8" t="n">
        <v>0.236273</v>
      </c>
      <c r="V939" s="8" t="n">
        <v>0.5765749999999999</v>
      </c>
      <c r="W939" s="8" t="n">
        <v>0.2252</v>
      </c>
      <c r="X939" s="8" t="n"/>
      <c r="Y939" s="8" t="n"/>
      <c r="Z939" s="8" t="n"/>
      <c r="AA939" s="8" t="n"/>
    </row>
    <row r="940">
      <c r="A940" s="11" t="inlineStr">
        <is>
          <t>2026-07-08</t>
        </is>
      </c>
      <c r="B940" s="11" t="inlineStr">
        <is>
          <t>中间分位</t>
        </is>
      </c>
      <c r="C940" s="15" t="n">
        <v>0.676</v>
      </c>
      <c r="D940" s="13" t="n">
        <v>0.033869</v>
      </c>
      <c r="E940" s="13" t="n">
        <v>0</v>
      </c>
      <c r="F940" s="13" t="n">
        <v>0.033869</v>
      </c>
      <c r="G940" s="13" t="n">
        <v>0</v>
      </c>
      <c r="H940" s="13" t="n">
        <v>0.081881</v>
      </c>
      <c r="I940" s="13" t="n">
        <v>0.06430900000000001</v>
      </c>
      <c r="J940" s="13" t="n">
        <v>0.017572</v>
      </c>
      <c r="K940" s="13" t="n">
        <v>0.4399</v>
      </c>
      <c r="L940" s="13" t="n">
        <v>0.06807000000000001</v>
      </c>
      <c r="M940" s="13" t="n">
        <v>0.092444</v>
      </c>
      <c r="N940" s="13" t="n">
        <v>-0.024374</v>
      </c>
      <c r="O940" s="13" t="n">
        <v>0.5759</v>
      </c>
      <c r="P940" s="13" t="n">
        <v>0.032555</v>
      </c>
      <c r="Q940" s="13" t="n">
        <v>0.011656</v>
      </c>
      <c r="R940" s="13" t="n">
        <v>0.020899</v>
      </c>
      <c r="S940" s="13" t="n">
        <v>0.2636</v>
      </c>
      <c r="T940" s="13" t="n">
        <v>0.773097</v>
      </c>
      <c r="U940" s="13" t="n">
        <v>0.286174</v>
      </c>
      <c r="V940" s="13" t="n">
        <v>0.486923</v>
      </c>
      <c r="W940" s="13" t="n">
        <v>0.2702</v>
      </c>
      <c r="X940" s="13" t="n"/>
      <c r="Y940" s="13" t="n"/>
      <c r="Z940" s="13" t="n"/>
      <c r="AA940" s="13" t="n"/>
    </row>
    <row r="941">
      <c r="A941" s="6" t="inlineStr">
        <is>
          <t>2026-07-09</t>
        </is>
      </c>
      <c r="B941" s="6" t="inlineStr">
        <is>
          <t>中间分位</t>
        </is>
      </c>
      <c r="C941" s="10" t="n">
        <v>0.736</v>
      </c>
      <c r="D941" s="8" t="n">
        <v>0.01145</v>
      </c>
      <c r="E941" s="8" t="n">
        <v>-0.003215</v>
      </c>
      <c r="F941" s="8" t="n">
        <v>0.014665</v>
      </c>
      <c r="G941" s="8" t="n">
        <v>0.2192</v>
      </c>
      <c r="H941" s="8" t="n">
        <v>0.029263</v>
      </c>
      <c r="I941" s="8" t="n">
        <v>0.05828</v>
      </c>
      <c r="J941" s="8" t="n">
        <v>-0.029017</v>
      </c>
      <c r="K941" s="8" t="n">
        <v>0.6657</v>
      </c>
      <c r="L941" s="8" t="n">
        <v>0.037531</v>
      </c>
      <c r="M941" s="8" t="n">
        <v>0.107717</v>
      </c>
      <c r="N941" s="8" t="n">
        <v>-0.070186</v>
      </c>
      <c r="O941" s="8" t="n">
        <v>0.7416</v>
      </c>
      <c r="P941" s="8" t="n">
        <v>-0.020992</v>
      </c>
      <c r="Q941" s="8" t="n">
        <v>-0.004019</v>
      </c>
      <c r="R941" s="8" t="n">
        <v>-0.016973</v>
      </c>
      <c r="S941" s="8" t="n">
        <v>0.1607</v>
      </c>
      <c r="T941" s="8" t="n">
        <v>0.806615</v>
      </c>
      <c r="U941" s="8" t="n">
        <v>0.34164</v>
      </c>
      <c r="V941" s="8" t="n">
        <v>0.464975</v>
      </c>
      <c r="W941" s="8" t="n">
        <v>0.2975</v>
      </c>
      <c r="X941" s="8" t="n"/>
      <c r="Y941" s="8" t="n"/>
      <c r="Z941" s="8" t="n"/>
      <c r="AA941" s="8" t="n"/>
    </row>
    <row r="942">
      <c r="A942" s="11" t="inlineStr">
        <is>
          <t>2026-07-10</t>
        </is>
      </c>
      <c r="B942" s="11" t="inlineStr">
        <is>
          <t>中间分位</t>
        </is>
      </c>
      <c r="C942" s="15" t="n">
        <v>0.756</v>
      </c>
      <c r="D942" s="13" t="n">
        <v>-0.013838</v>
      </c>
      <c r="E942" s="13" t="n">
        <v>0.014516</v>
      </c>
      <c r="F942" s="13" t="n">
        <v>-0.028354</v>
      </c>
      <c r="G942" s="13" t="n">
        <v>0.512</v>
      </c>
      <c r="H942" s="13" t="n">
        <v>0.002517</v>
      </c>
      <c r="I942" s="13" t="n">
        <v>0.060484</v>
      </c>
      <c r="J942" s="13" t="n">
        <v>-0.057967</v>
      </c>
      <c r="K942" s="13" t="n">
        <v>0.96</v>
      </c>
      <c r="L942" s="13" t="n">
        <v>0.037736</v>
      </c>
      <c r="M942" s="13" t="n">
        <v>0.110887</v>
      </c>
      <c r="N942" s="13" t="n">
        <v>-0.07315099999999999</v>
      </c>
      <c r="O942" s="13" t="n">
        <v>0.7461</v>
      </c>
      <c r="P942" s="13" t="n">
        <v>-0.044653</v>
      </c>
      <c r="Q942" s="13" t="n">
        <v>0.008064999999999999</v>
      </c>
      <c r="R942" s="13" t="n">
        <v>-0.052718</v>
      </c>
      <c r="S942" s="13" t="n">
        <v>0.153</v>
      </c>
      <c r="T942" s="13" t="n">
        <v>0.7522</v>
      </c>
      <c r="U942" s="13" t="n">
        <v>0.302016</v>
      </c>
      <c r="V942" s="13" t="n">
        <v>0.450184</v>
      </c>
      <c r="W942" s="13" t="n">
        <v>0.2865</v>
      </c>
      <c r="X942" s="13" t="n"/>
      <c r="Y942" s="13" t="n"/>
      <c r="Z942" s="13" t="n"/>
      <c r="AA942" s="13" t="n"/>
    </row>
    <row r="943">
      <c r="A943" s="6" t="inlineStr">
        <is>
          <t>2026-07-13</t>
        </is>
      </c>
      <c r="B943" s="6" t="inlineStr">
        <is>
          <t>中间分位</t>
        </is>
      </c>
      <c r="C943" s="10" t="n">
        <v>0.728</v>
      </c>
      <c r="D943" s="8" t="n">
        <v>0.010205</v>
      </c>
      <c r="E943" s="8" t="n">
        <v>0.046105</v>
      </c>
      <c r="F943" s="8" t="n">
        <v>-0.0359</v>
      </c>
      <c r="G943" s="8" t="n">
        <v>0.8188</v>
      </c>
      <c r="H943" s="8" t="n">
        <v>0.009566</v>
      </c>
      <c r="I943" s="8" t="n">
        <v>0.113672</v>
      </c>
      <c r="J943" s="8" t="n">
        <v>-0.104106</v>
      </c>
      <c r="K943" s="8" t="n">
        <v>0.9224</v>
      </c>
      <c r="L943" s="8" t="n">
        <v>0.053571</v>
      </c>
      <c r="M943" s="8" t="n">
        <v>0.037361</v>
      </c>
      <c r="N943" s="8" t="n">
        <v>0.01621</v>
      </c>
      <c r="O943" s="8" t="n">
        <v>0.4109</v>
      </c>
      <c r="P943" s="8" t="n">
        <v>-0.020407</v>
      </c>
      <c r="Q943" s="8" t="n">
        <v>0.005962</v>
      </c>
      <c r="R943" s="8" t="n">
        <v>-0.026369</v>
      </c>
      <c r="S943" s="8" t="n">
        <v>0.2261</v>
      </c>
      <c r="T943" s="8" t="n">
        <v>0.549747</v>
      </c>
      <c r="U943" s="8" t="n">
        <v>0.285771</v>
      </c>
      <c r="V943" s="8" t="n">
        <v>0.263976</v>
      </c>
      <c r="W943" s="8" t="n">
        <v>0.342</v>
      </c>
      <c r="X943" s="8" t="n"/>
      <c r="Y943" s="8" t="n"/>
      <c r="Z943" s="8" t="n"/>
      <c r="AA943" s="8" t="n"/>
    </row>
    <row r="944">
      <c r="A944" s="11" t="inlineStr">
        <is>
          <t>2026-07-14</t>
        </is>
      </c>
      <c r="B944" s="11" t="inlineStr">
        <is>
          <t>中间分位</t>
        </is>
      </c>
      <c r="C944" s="15" t="n">
        <v>0.576</v>
      </c>
      <c r="D944" s="13" t="n">
        <v>0.038511</v>
      </c>
      <c r="E944" s="13" t="n">
        <v>0.006079</v>
      </c>
      <c r="F944" s="13" t="n">
        <v>0.032432</v>
      </c>
      <c r="G944" s="13" t="n">
        <v>0.1363</v>
      </c>
      <c r="H944" s="13" t="n">
        <v>0.056818</v>
      </c>
      <c r="I944" s="13" t="n">
        <v>0.028495</v>
      </c>
      <c r="J944" s="13" t="n">
        <v>0.028323</v>
      </c>
      <c r="K944" s="13" t="n">
        <v>0.334</v>
      </c>
      <c r="L944" s="13" t="n">
        <v>-0.006943</v>
      </c>
      <c r="M944" s="13" t="n">
        <v>-0.011778</v>
      </c>
      <c r="N944" s="13" t="n">
        <v>0.004835</v>
      </c>
      <c r="O944" s="13" t="n">
        <v>0.6291</v>
      </c>
      <c r="P944" s="13" t="n">
        <v>-0.022727</v>
      </c>
      <c r="Q944" s="13" t="n">
        <v>0.00038</v>
      </c>
      <c r="R944" s="13" t="n">
        <v>-0.023107</v>
      </c>
      <c r="S944" s="13" t="n">
        <v>0.0164</v>
      </c>
      <c r="T944" s="13" t="n">
        <v>0.470958</v>
      </c>
      <c r="U944" s="13" t="n">
        <v>0.239362</v>
      </c>
      <c r="V944" s="13" t="n">
        <v>0.231596</v>
      </c>
      <c r="W944" s="13" t="n">
        <v>0.337</v>
      </c>
      <c r="X944" s="13" t="n"/>
      <c r="Y944" s="13" t="n"/>
      <c r="Z944" s="13" t="n"/>
      <c r="AA944" s="13" t="n"/>
    </row>
    <row r="945">
      <c r="A945" s="6" t="inlineStr">
        <is>
          <t>2026-07-15</t>
        </is>
      </c>
      <c r="B945" s="6" t="inlineStr">
        <is>
          <t>中间分位</t>
        </is>
      </c>
      <c r="C945" s="10" t="n">
        <v>0.732</v>
      </c>
      <c r="D945" s="8" t="n">
        <v>-0.016413</v>
      </c>
      <c r="E945" s="8" t="n">
        <v>-0.005665</v>
      </c>
      <c r="F945" s="8" t="n">
        <v>-0.010748</v>
      </c>
      <c r="G945" s="8" t="n">
        <v>0.2566</v>
      </c>
      <c r="H945" s="8" t="n">
        <v>-0.012766</v>
      </c>
      <c r="I945" s="8" t="n">
        <v>0.026435</v>
      </c>
      <c r="J945" s="8" t="n">
        <v>-0.039201</v>
      </c>
      <c r="K945" s="8" t="n">
        <v>0.6743</v>
      </c>
      <c r="L945" s="8" t="n">
        <v>-0.046811</v>
      </c>
      <c r="M945" s="8" t="n">
        <v>0.000378</v>
      </c>
      <c r="N945" s="8" t="n">
        <v>-0.047189</v>
      </c>
      <c r="O945" s="8" t="n">
        <v>0.008</v>
      </c>
      <c r="P945" s="8" t="n">
        <v>-0.029788</v>
      </c>
      <c r="Q945" s="8" t="n">
        <v>-0.015483</v>
      </c>
      <c r="R945" s="8" t="n">
        <v>-0.014305</v>
      </c>
      <c r="S945" s="8" t="n">
        <v>0.342</v>
      </c>
      <c r="T945" s="8" t="n">
        <v>0.458965</v>
      </c>
      <c r="U945" s="8" t="n">
        <v>0.19713</v>
      </c>
      <c r="V945" s="8" t="n">
        <v>0.261835</v>
      </c>
      <c r="W945" s="8" t="n">
        <v>0.3005</v>
      </c>
      <c r="X945" s="8" t="n"/>
      <c r="Y945" s="8" t="n"/>
      <c r="Z945" s="8" t="n"/>
      <c r="AA945" s="8" t="n"/>
    </row>
    <row r="946">
      <c r="A946" s="11" t="inlineStr">
        <is>
          <t>2026-07-16</t>
        </is>
      </c>
      <c r="B946" s="11" t="inlineStr">
        <is>
          <t>中间分位</t>
        </is>
      </c>
      <c r="C946" s="15" t="n">
        <v>0.704</v>
      </c>
      <c r="D946" s="13" t="n">
        <v>-0.014833</v>
      </c>
      <c r="E946" s="13" t="n">
        <v>-0.001139</v>
      </c>
      <c r="F946" s="13" t="n">
        <v>-0.013694</v>
      </c>
      <c r="G946" s="13" t="n">
        <v>0.0713</v>
      </c>
      <c r="H946" s="13" t="n">
        <v>0.008031999999999999</v>
      </c>
      <c r="I946" s="13" t="n">
        <v>0.046715</v>
      </c>
      <c r="J946" s="13" t="n">
        <v>-0.038683</v>
      </c>
      <c r="K946" s="13" t="n">
        <v>0.8532999999999999</v>
      </c>
      <c r="L946" s="13" t="n">
        <v>-0.014833</v>
      </c>
      <c r="M946" s="13" t="n">
        <v>0.009115</v>
      </c>
      <c r="N946" s="13" t="n">
        <v>-0.023948</v>
      </c>
      <c r="O946" s="13" t="n">
        <v>0.3806</v>
      </c>
      <c r="P946" s="13" t="n">
        <v>-0.019161</v>
      </c>
      <c r="Q946" s="13" t="n">
        <v>0.004558</v>
      </c>
      <c r="R946" s="13" t="n">
        <v>-0.023719</v>
      </c>
      <c r="S946" s="13" t="n">
        <v>0.1922</v>
      </c>
      <c r="T946" s="13" t="n">
        <v>0.479603</v>
      </c>
      <c r="U946" s="13" t="n">
        <v>0.212305</v>
      </c>
      <c r="V946" s="13" t="n">
        <v>0.267298</v>
      </c>
      <c r="W946" s="13" t="n">
        <v>0.3068</v>
      </c>
      <c r="X946" s="13" t="n"/>
      <c r="Y946" s="13" t="n"/>
      <c r="Z946" s="13" t="n"/>
      <c r="AA946" s="13" t="n"/>
    </row>
    <row r="947">
      <c r="A947" s="6" t="inlineStr">
        <is>
          <t>2026-07-17</t>
        </is>
      </c>
      <c r="B947" s="6" t="inlineStr">
        <is>
          <t>中间分位</t>
        </is>
      </c>
      <c r="C947" s="10" t="n">
        <v>0.644</v>
      </c>
      <c r="D947" s="8" t="n">
        <v>-0.006903</v>
      </c>
      <c r="E947" s="8" t="n">
        <v>0.065399</v>
      </c>
      <c r="F947" s="8" t="n">
        <v>-0.07230200000000001</v>
      </c>
      <c r="G947" s="8" t="n">
        <v>0.9045</v>
      </c>
      <c r="H947" s="8" t="n">
        <v>0.03513</v>
      </c>
      <c r="I947" s="8" t="n">
        <v>0.047529</v>
      </c>
      <c r="J947" s="8" t="n">
        <v>-0.012399</v>
      </c>
      <c r="K947" s="8" t="n">
        <v>0.575</v>
      </c>
      <c r="L947" s="8" t="n">
        <v>0.003136</v>
      </c>
      <c r="M947" s="8" t="n">
        <v>-0.004563</v>
      </c>
      <c r="N947" s="8" t="n">
        <v>0.007699</v>
      </c>
      <c r="O947" s="8" t="n">
        <v>0.5927</v>
      </c>
      <c r="P947" s="8" t="n">
        <v>0.004389</v>
      </c>
      <c r="Q947" s="8" t="n">
        <v>0.021673</v>
      </c>
      <c r="R947" s="8" t="n">
        <v>-0.017284</v>
      </c>
      <c r="S947" s="8" t="n">
        <v>0.8316</v>
      </c>
      <c r="T947" s="8" t="n">
        <v>0.493099</v>
      </c>
      <c r="U947" s="8" t="n">
        <v>0.195057</v>
      </c>
      <c r="V947" s="8" t="n">
        <v>0.298042</v>
      </c>
      <c r="W947" s="8" t="n">
        <v>0.2834</v>
      </c>
      <c r="X947" s="8" t="n"/>
      <c r="Y947" s="8" t="n"/>
      <c r="Z947" s="8" t="n"/>
      <c r="AA947" s="8" t="n"/>
    </row>
    <row r="948">
      <c r="A948" s="11" t="inlineStr">
        <is>
          <t>2026-07-20</t>
        </is>
      </c>
      <c r="B948" s="11" t="inlineStr">
        <is>
          <t>低分位</t>
        </is>
      </c>
      <c r="C948" s="15" t="n">
        <v>0.032</v>
      </c>
      <c r="D948" s="13" t="n">
        <v>0.057487</v>
      </c>
      <c r="E948" s="13" t="n">
        <v>-0.033904</v>
      </c>
      <c r="F948" s="13" t="n">
        <v>0.091391</v>
      </c>
      <c r="G948" s="13" t="n">
        <v>0.371</v>
      </c>
      <c r="H948" s="13" t="n">
        <v>0.043588</v>
      </c>
      <c r="I948" s="13" t="n">
        <v>-0.068522</v>
      </c>
      <c r="J948" s="13" t="n">
        <v>0.11211</v>
      </c>
      <c r="K948" s="13" t="n">
        <v>0.6112</v>
      </c>
      <c r="L948" s="13" t="n">
        <v>-0.00379</v>
      </c>
      <c r="M948" s="13" t="n">
        <v>-0.07423299999999999</v>
      </c>
      <c r="N948" s="13" t="n">
        <v>0.07044300000000001</v>
      </c>
      <c r="O948" s="13" t="n">
        <v>0.9514</v>
      </c>
      <c r="P948" s="13" t="n">
        <v>0.028112</v>
      </c>
      <c r="Q948" s="13" t="n">
        <v>-0.023911</v>
      </c>
      <c r="R948" s="13" t="n">
        <v>0.052023</v>
      </c>
      <c r="S948" s="13" t="n">
        <v>0.4596</v>
      </c>
      <c r="T948" s="13" t="n">
        <v>0.503478</v>
      </c>
      <c r="U948" s="13" t="n">
        <v>0.126695</v>
      </c>
      <c r="V948" s="13" t="n">
        <v>0.376783</v>
      </c>
      <c r="W948" s="13" t="n">
        <v>0.201</v>
      </c>
      <c r="X948" s="13" t="n"/>
      <c r="Y948" s="13" t="n"/>
      <c r="Z948" s="13" t="n"/>
      <c r="AA948" s="13" t="n"/>
    </row>
    <row r="949">
      <c r="A949" s="6" t="inlineStr">
        <is>
          <t>2026-07-21</t>
        </is>
      </c>
      <c r="B949" s="6" t="inlineStr">
        <is>
          <t>中间分位</t>
        </is>
      </c>
      <c r="C949" s="10" t="n">
        <v>0.72</v>
      </c>
      <c r="D949" s="8" t="n">
        <v>-0.029867</v>
      </c>
      <c r="E949" s="8" t="n">
        <v>0.004064</v>
      </c>
      <c r="F949" s="8" t="n">
        <v>-0.033931</v>
      </c>
      <c r="G949" s="8" t="n">
        <v>0.1198</v>
      </c>
      <c r="H949" s="8" t="n">
        <v>-0.060333</v>
      </c>
      <c r="I949" s="8" t="n">
        <v>-0.039158</v>
      </c>
      <c r="J949" s="8" t="n">
        <v>-0.021175</v>
      </c>
      <c r="K949" s="8" t="n">
        <v>0.3936</v>
      </c>
      <c r="L949" s="8" t="n">
        <v>-0.060932</v>
      </c>
      <c r="M949" s="8" t="n">
        <v>-0.044699</v>
      </c>
      <c r="N949" s="8" t="n">
        <v>-0.016233</v>
      </c>
      <c r="O949" s="8" t="n">
        <v>0.4232</v>
      </c>
      <c r="P949" s="8" t="n">
        <v>-0.010154</v>
      </c>
      <c r="Q949" s="8" t="n">
        <v>0.025489</v>
      </c>
      <c r="R949" s="8" t="n">
        <v>-0.035643</v>
      </c>
      <c r="S949" s="8" t="n">
        <v>0.7151</v>
      </c>
      <c r="T949" s="8" t="n"/>
      <c r="U949" s="8" t="n"/>
      <c r="V949" s="8" t="n"/>
      <c r="W949" s="8" t="n"/>
      <c r="X949" s="8" t="n"/>
      <c r="Y949" s="8" t="n"/>
      <c r="Z949" s="8" t="n"/>
      <c r="AA949" s="8" t="n"/>
    </row>
    <row r="950">
      <c r="A950" s="11" t="inlineStr">
        <is>
          <t>2026-07-22</t>
        </is>
      </c>
      <c r="B950" s="11" t="inlineStr">
        <is>
          <t>中间分位</t>
        </is>
      </c>
      <c r="C950" s="15" t="n">
        <v>0.464</v>
      </c>
      <c r="D950" s="13" t="n">
        <v>0.004308</v>
      </c>
      <c r="E950" s="13" t="n">
        <v>0.013981</v>
      </c>
      <c r="F950" s="13" t="n">
        <v>-0.009672999999999999</v>
      </c>
      <c r="G950" s="13" t="n">
        <v>0.7644</v>
      </c>
      <c r="H950" s="13" t="n">
        <v>-0.034485</v>
      </c>
      <c r="I950" s="13" t="n">
        <v>-0.025386</v>
      </c>
      <c r="J950" s="13" t="n">
        <v>-0.009098999999999999</v>
      </c>
      <c r="K950" s="13" t="n">
        <v>0.424</v>
      </c>
      <c r="L950" s="13" t="n">
        <v>-0.033251</v>
      </c>
      <c r="M950" s="13" t="n">
        <v>-0.073951</v>
      </c>
      <c r="N950" s="13" t="n">
        <v>0.0407</v>
      </c>
      <c r="O950" s="13" t="n">
        <v>0.6898</v>
      </c>
      <c r="P950" s="13" t="n">
        <v>0.038176</v>
      </c>
      <c r="Q950" s="13" t="n">
        <v>0.04599</v>
      </c>
      <c r="R950" s="13" t="n">
        <v>-0.007814</v>
      </c>
      <c r="S950" s="13" t="n">
        <v>0.5464</v>
      </c>
      <c r="T950" s="13" t="n"/>
      <c r="U950" s="13" t="n"/>
      <c r="V950" s="13" t="n"/>
      <c r="W950" s="13" t="n"/>
      <c r="X950" s="13" t="n"/>
      <c r="Y950" s="13" t="n"/>
      <c r="Z950" s="13" t="n"/>
      <c r="AA950" s="13" t="n"/>
    </row>
    <row r="951">
      <c r="A951" s="6" t="inlineStr">
        <is>
          <t>2026-07-23</t>
        </is>
      </c>
      <c r="B951" s="6" t="inlineStr">
        <is>
          <t>中间分位</t>
        </is>
      </c>
      <c r="C951" s="10" t="n">
        <v>0.34</v>
      </c>
      <c r="D951" s="8" t="n">
        <v>0.011651</v>
      </c>
      <c r="E951" s="8" t="n">
        <v>-0.000363</v>
      </c>
      <c r="F951" s="8" t="n">
        <v>0.012014</v>
      </c>
      <c r="G951" s="8" t="n">
        <v>0.0302</v>
      </c>
      <c r="H951" s="8" t="n">
        <v>-0.022683</v>
      </c>
      <c r="I951" s="8" t="n">
        <v>-0.035922</v>
      </c>
      <c r="J951" s="8" t="n">
        <v>0.013239</v>
      </c>
      <c r="K951" s="8" t="n">
        <v>0.613</v>
      </c>
      <c r="L951" s="8" t="n">
        <v>-0.056406</v>
      </c>
      <c r="M951" s="8" t="n">
        <v>-0.100871</v>
      </c>
      <c r="N951" s="8" t="n">
        <v>0.044465</v>
      </c>
      <c r="O951" s="8" t="n">
        <v>0.6414</v>
      </c>
      <c r="P951" s="8" t="n">
        <v>0.059474</v>
      </c>
      <c r="Q951" s="8" t="n">
        <v>0.02939</v>
      </c>
      <c r="R951" s="8" t="n">
        <v>0.030084</v>
      </c>
      <c r="S951" s="8" t="n">
        <v>0.3307</v>
      </c>
      <c r="T951" s="8" t="n"/>
      <c r="U951" s="8" t="n"/>
      <c r="V951" s="8" t="n"/>
      <c r="W951" s="8" t="n"/>
      <c r="X951" s="8" t="n"/>
      <c r="Y951" s="8" t="n"/>
      <c r="Z951" s="8" t="n"/>
      <c r="AA951" s="8" t="n"/>
    </row>
    <row r="952">
      <c r="A952" s="11" t="inlineStr">
        <is>
          <t>2026-07-24</t>
        </is>
      </c>
      <c r="B952" s="11" t="inlineStr">
        <is>
          <t>中间分位</t>
        </is>
      </c>
      <c r="C952" s="15" t="n">
        <v>0.508</v>
      </c>
      <c r="D952" s="13" t="n">
        <v>0.001211</v>
      </c>
      <c r="E952" s="13" t="n">
        <v>-0.052632</v>
      </c>
      <c r="F952" s="13" t="n">
        <v>0.053843</v>
      </c>
      <c r="G952" s="13" t="n">
        <v>0.9775</v>
      </c>
      <c r="H952" s="13" t="n">
        <v>-0.030909</v>
      </c>
      <c r="I952" s="13" t="n">
        <v>-0.049728</v>
      </c>
      <c r="J952" s="13" t="n">
        <v>0.018819</v>
      </c>
      <c r="K952" s="13" t="n">
        <v>0.6167</v>
      </c>
      <c r="L952" s="13" t="n">
        <v>-0.07939300000000001</v>
      </c>
      <c r="M952" s="13" t="n">
        <v>-0.092559</v>
      </c>
      <c r="N952" s="13" t="n">
        <v>0.013166</v>
      </c>
      <c r="O952" s="13" t="n">
        <v>0.5383</v>
      </c>
      <c r="P952" s="13" t="n">
        <v>0.045756</v>
      </c>
      <c r="Q952" s="13" t="n">
        <v>0.055898</v>
      </c>
      <c r="R952" s="13" t="n">
        <v>-0.010142</v>
      </c>
      <c r="S952" s="13" t="n">
        <v>0.5499000000000001</v>
      </c>
      <c r="T952" s="13" t="n"/>
      <c r="U952" s="13" t="n"/>
      <c r="V952" s="13" t="n"/>
      <c r="W952" s="13" t="n"/>
      <c r="X952" s="13" t="n"/>
      <c r="Y952" s="13" t="n"/>
      <c r="Z952" s="13" t="n"/>
      <c r="AA952" s="13" t="n"/>
    </row>
    <row r="953">
      <c r="A953" s="6" t="inlineStr">
        <is>
          <t>2026-07-27</t>
        </is>
      </c>
      <c r="B953" s="6" t="inlineStr">
        <is>
          <t>中间分位</t>
        </is>
      </c>
      <c r="C953" s="10" t="n">
        <v>0.752</v>
      </c>
      <c r="D953" s="8" t="n">
        <v>-0.047818</v>
      </c>
      <c r="E953" s="8" t="n">
        <v>-0.003448</v>
      </c>
      <c r="F953" s="8" t="n">
        <v>-0.04437</v>
      </c>
      <c r="G953" s="8" t="n">
        <v>0.0673</v>
      </c>
      <c r="H953" s="8" t="n">
        <v>-0.0454</v>
      </c>
      <c r="I953" s="8" t="n">
        <v>-0.00613</v>
      </c>
      <c r="J953" s="8" t="n">
        <v>-0.03927</v>
      </c>
      <c r="K953" s="8" t="n">
        <v>0.119</v>
      </c>
      <c r="L953" s="8" t="n">
        <v>-0.070217</v>
      </c>
      <c r="M953" s="8" t="n">
        <v>-0.030268</v>
      </c>
      <c r="N953" s="8" t="n">
        <v>-0.039949</v>
      </c>
      <c r="O953" s="8" t="n">
        <v>0.3012</v>
      </c>
      <c r="P953" s="8" t="n">
        <v>0.073852</v>
      </c>
      <c r="Q953" s="8" t="n">
        <v>0.116475</v>
      </c>
      <c r="R953" s="8" t="n">
        <v>-0.042623</v>
      </c>
      <c r="S953" s="8" t="n">
        <v>0.612</v>
      </c>
      <c r="T953" s="8" t="n"/>
      <c r="U953" s="8" t="n"/>
      <c r="V953" s="8" t="n"/>
      <c r="W953" s="8" t="n"/>
      <c r="X953" s="8" t="n"/>
      <c r="Y953" s="8" t="n"/>
      <c r="Z953" s="8" t="n"/>
      <c r="AA953" s="8" t="n"/>
    </row>
    <row r="954">
      <c r="A954" s="11" t="inlineStr">
        <is>
          <t>2026-07-28</t>
        </is>
      </c>
      <c r="B954" s="11" t="inlineStr">
        <is>
          <t>中间分位</t>
        </is>
      </c>
      <c r="C954" s="15" t="n">
        <v>0.636</v>
      </c>
      <c r="D954" s="13" t="n">
        <v>-0.003181</v>
      </c>
      <c r="E954" s="13" t="n">
        <v>0.018454</v>
      </c>
      <c r="F954" s="13" t="n">
        <v>-0.021635</v>
      </c>
      <c r="G954" s="13" t="n">
        <v>0.853</v>
      </c>
      <c r="H954" s="13" t="n">
        <v>-0.000637</v>
      </c>
      <c r="I954" s="13" t="n">
        <v>-0.005767</v>
      </c>
      <c r="J954" s="13" t="n">
        <v>0.00513</v>
      </c>
      <c r="K954" s="13" t="n">
        <v>0.9005</v>
      </c>
      <c r="L954" s="13" t="n">
        <v>-0.015894</v>
      </c>
      <c r="M954" s="13" t="n">
        <v>0.012303</v>
      </c>
      <c r="N954" s="13" t="n">
        <v>-0.028197</v>
      </c>
      <c r="O954" s="13" t="n">
        <v>0.4363</v>
      </c>
      <c r="P954" s="13" t="n">
        <v>0.13795</v>
      </c>
      <c r="Q954" s="13" t="n">
        <v>0.124567</v>
      </c>
      <c r="R954" s="13" t="n">
        <v>0.013383</v>
      </c>
      <c r="S954" s="13" t="n">
        <v>0.4745</v>
      </c>
      <c r="T954" s="13" t="n"/>
      <c r="U954" s="13" t="n"/>
      <c r="V954" s="13" t="n"/>
      <c r="W954" s="13" t="n"/>
      <c r="X954" s="13" t="n"/>
      <c r="Y954" s="13" t="n"/>
      <c r="Z954" s="13" t="n"/>
      <c r="AA954" s="13" t="n"/>
    </row>
    <row r="955">
      <c r="A955" s="6" t="inlineStr">
        <is>
          <t>2026-07-29</t>
        </is>
      </c>
      <c r="B955" s="6" t="inlineStr">
        <is>
          <t>中间分位</t>
        </is>
      </c>
      <c r="C955" s="10" t="n">
        <v>0.344</v>
      </c>
      <c r="D955" s="8" t="n">
        <v>0.016584</v>
      </c>
      <c r="E955" s="8" t="n">
        <v>0.00302</v>
      </c>
      <c r="F955" s="8" t="n">
        <v>0.013564</v>
      </c>
      <c r="G955" s="8" t="n">
        <v>0.1541</v>
      </c>
      <c r="H955" s="8" t="n">
        <v>0.001278</v>
      </c>
      <c r="I955" s="8" t="n">
        <v>-0.04983</v>
      </c>
      <c r="J955" s="8" t="n">
        <v>0.051108</v>
      </c>
      <c r="K955" s="8" t="n">
        <v>0.975</v>
      </c>
      <c r="L955" s="8" t="n">
        <v>0.017858</v>
      </c>
      <c r="M955" s="8" t="n">
        <v>-0.015855</v>
      </c>
      <c r="N955" s="8" t="n">
        <v>0.033713</v>
      </c>
      <c r="O955" s="8" t="n">
        <v>0.4703</v>
      </c>
      <c r="P955" s="8" t="n">
        <v>0.144134</v>
      </c>
      <c r="Q955" s="8" t="n">
        <v>0.0453</v>
      </c>
      <c r="R955" s="8" t="n">
        <v>0.09883400000000001</v>
      </c>
      <c r="S955" s="8" t="n">
        <v>0.2391</v>
      </c>
      <c r="T955" s="8" t="n"/>
      <c r="U955" s="8" t="n"/>
      <c r="V955" s="8" t="n"/>
      <c r="W955" s="8" t="n"/>
      <c r="X955" s="8" t="n"/>
      <c r="Y955" s="8" t="n"/>
      <c r="Z955" s="8" t="n"/>
      <c r="AA955" s="8" t="n"/>
    </row>
    <row r="956">
      <c r="A956" s="11" t="inlineStr">
        <is>
          <t>2026-07-30</t>
        </is>
      </c>
      <c r="B956" s="11" t="inlineStr">
        <is>
          <t>中间分位</t>
        </is>
      </c>
      <c r="C956" s="15" t="n">
        <v>0.548</v>
      </c>
      <c r="D956" s="13" t="n">
        <v>0.003136</v>
      </c>
      <c r="E956" s="13" t="n">
        <v>-0.014678</v>
      </c>
      <c r="F956" s="13" t="n">
        <v>0.017814</v>
      </c>
      <c r="G956" s="13" t="n">
        <v>0.824</v>
      </c>
      <c r="H956" s="13" t="n">
        <v>-0.034506</v>
      </c>
      <c r="I956" s="13" t="n">
        <v>-0.067369</v>
      </c>
      <c r="J956" s="13" t="n">
        <v>0.032863</v>
      </c>
      <c r="K956" s="13" t="n">
        <v>0.6613</v>
      </c>
      <c r="L956" s="13" t="n">
        <v>-0.004393</v>
      </c>
      <c r="M956" s="13" t="n">
        <v>-0.004516</v>
      </c>
      <c r="N956" s="13" t="n">
        <v>0.000123</v>
      </c>
      <c r="O956" s="13" t="n">
        <v>0.5069</v>
      </c>
      <c r="P956" s="13" t="n">
        <v>0.071518</v>
      </c>
      <c r="Q956" s="13" t="n">
        <v>0.04554</v>
      </c>
      <c r="R956" s="13" t="n">
        <v>0.025978</v>
      </c>
      <c r="S956" s="13" t="n">
        <v>0.389</v>
      </c>
      <c r="T956" s="13" t="n"/>
      <c r="U956" s="13" t="n"/>
      <c r="V956" s="13" t="n"/>
      <c r="W956" s="13" t="n"/>
      <c r="X956" s="13" t="n"/>
      <c r="Y956" s="13" t="n"/>
      <c r="Z956" s="13" t="n"/>
      <c r="AA956" s="13" t="n"/>
    </row>
    <row r="957">
      <c r="A957" s="6" t="inlineStr">
        <is>
          <t>2026-07-31</t>
        </is>
      </c>
      <c r="B957" s="6" t="inlineStr">
        <is>
          <t>中间分位</t>
        </is>
      </c>
      <c r="C957" s="10" t="n">
        <v>0.68</v>
      </c>
      <c r="D957" s="8" t="n">
        <v>-0.01376</v>
      </c>
      <c r="E957" s="8" t="n">
        <v>-0.009167</v>
      </c>
      <c r="F957" s="8" t="n">
        <v>-0.004593</v>
      </c>
      <c r="G957" s="8" t="n">
        <v>0.3998</v>
      </c>
      <c r="H957" s="8" t="n">
        <v>-0.05003</v>
      </c>
      <c r="I957" s="8" t="n">
        <v>-0.045073</v>
      </c>
      <c r="J957" s="8" t="n">
        <v>-0.004957</v>
      </c>
      <c r="K957" s="8" t="n">
        <v>0.4739</v>
      </c>
      <c r="L957" s="8" t="n">
        <v>0.00125</v>
      </c>
      <c r="M957" s="8" t="n">
        <v>0.026356</v>
      </c>
      <c r="N957" s="8" t="n">
        <v>-0.025106</v>
      </c>
      <c r="O957" s="8" t="n">
        <v>0.9547</v>
      </c>
      <c r="P957" s="8" t="n">
        <v>0.06973</v>
      </c>
      <c r="Q957" s="8" t="n">
        <v>0.084798</v>
      </c>
      <c r="R957" s="8" t="n">
        <v>-0.015068</v>
      </c>
      <c r="S957" s="8" t="n">
        <v>0.5488</v>
      </c>
      <c r="T957" s="8" t="n"/>
      <c r="U957" s="8" t="n"/>
      <c r="V957" s="8" t="n"/>
      <c r="W957" s="8" t="n"/>
      <c r="X957" s="8" t="n"/>
      <c r="Y957" s="8" t="n"/>
      <c r="Z957" s="8" t="n"/>
      <c r="AA957" s="8" t="n"/>
    </row>
    <row r="958">
      <c r="A958" s="11" t="inlineStr">
        <is>
          <t>2026-08-03</t>
        </is>
      </c>
      <c r="B958" s="11" t="inlineStr">
        <is>
          <t>中间分位</t>
        </is>
      </c>
      <c r="C958" s="15" t="n">
        <v>0.668</v>
      </c>
      <c r="D958" s="13" t="n">
        <v>-0.003169</v>
      </c>
      <c r="E958" s="13" t="n">
        <v>-0.003084</v>
      </c>
      <c r="F958" s="13" t="n">
        <v>-8.500000000000001e-05</v>
      </c>
      <c r="G958" s="13" t="n">
        <v>0.4932</v>
      </c>
      <c r="H958" s="13" t="n">
        <v>-0.025997</v>
      </c>
      <c r="I958" s="13" t="n">
        <v>-0.024287</v>
      </c>
      <c r="J958" s="13" t="n">
        <v>-0.00171</v>
      </c>
      <c r="K958" s="13" t="n">
        <v>0.483</v>
      </c>
      <c r="L958" s="13" t="n">
        <v>0.032024</v>
      </c>
      <c r="M958" s="13" t="n">
        <v>0.054356</v>
      </c>
      <c r="N958" s="13" t="n">
        <v>-0.022332</v>
      </c>
      <c r="O958" s="13" t="n">
        <v>0.6293</v>
      </c>
      <c r="P958" s="13" t="n">
        <v>0.111607</v>
      </c>
      <c r="Q958" s="13" t="n">
        <v>0.149961</v>
      </c>
      <c r="R958" s="13" t="n">
        <v>-0.038354</v>
      </c>
      <c r="S958" s="13" t="n">
        <v>0.5733</v>
      </c>
      <c r="T958" s="13" t="n"/>
      <c r="U958" s="13" t="n"/>
      <c r="V958" s="13" t="n"/>
      <c r="W958" s="13" t="n"/>
      <c r="X958" s="13" t="n"/>
      <c r="Y958" s="13" t="n"/>
      <c r="Z958" s="13" t="n"/>
      <c r="AA958" s="13" t="n"/>
    </row>
    <row r="959">
      <c r="A959" s="6" t="inlineStr">
        <is>
          <t>2026-08-04</t>
        </is>
      </c>
      <c r="B959" s="6" t="inlineStr">
        <is>
          <t>中间分位</t>
        </is>
      </c>
      <c r="C959" s="10" t="n">
        <v>0.664</v>
      </c>
      <c r="D959" s="8" t="n">
        <v>-0.001271</v>
      </c>
      <c r="E959" s="8" t="n">
        <v>-0.026682</v>
      </c>
      <c r="F959" s="8" t="n">
        <v>0.025411</v>
      </c>
      <c r="G959" s="8" t="n">
        <v>0.9545</v>
      </c>
      <c r="H959" s="8" t="n">
        <v>-0.015267</v>
      </c>
      <c r="I959" s="8" t="n">
        <v>0.018175</v>
      </c>
      <c r="J959" s="8" t="n">
        <v>-0.033442</v>
      </c>
      <c r="K959" s="8" t="n">
        <v>0.5435</v>
      </c>
      <c r="L959" s="8" t="n">
        <v>0.054073</v>
      </c>
      <c r="M959" s="8" t="n">
        <v>0.073473</v>
      </c>
      <c r="N959" s="8" t="n">
        <v>-0.0194</v>
      </c>
      <c r="O959" s="8" t="n">
        <v>0.5760999999999999</v>
      </c>
      <c r="P959" s="8" t="n">
        <v>0.181935</v>
      </c>
      <c r="Q959" s="8" t="n">
        <v>0.186775</v>
      </c>
      <c r="R959" s="8" t="n">
        <v>-0.00484</v>
      </c>
      <c r="S959" s="8" t="n">
        <v>0.5066000000000001</v>
      </c>
      <c r="T959" s="8" t="n"/>
      <c r="U959" s="8" t="n"/>
      <c r="V959" s="8" t="n"/>
      <c r="W959" s="8" t="n"/>
      <c r="X959" s="8" t="n"/>
      <c r="Y959" s="8" t="n"/>
      <c r="Z959" s="8" t="n"/>
      <c r="AA959" s="8" t="n"/>
    </row>
    <row r="960">
      <c r="A960" s="11" t="inlineStr">
        <is>
          <t>2026-08-05</t>
        </is>
      </c>
      <c r="B960" s="11" t="inlineStr">
        <is>
          <t>中间分位</t>
        </is>
      </c>
      <c r="C960" s="15" t="n">
        <v>0.732</v>
      </c>
      <c r="D960" s="13" t="n">
        <v>-0.019746</v>
      </c>
      <c r="E960" s="13" t="n">
        <v>-0.015495</v>
      </c>
      <c r="F960" s="13" t="n">
        <v>-0.004251</v>
      </c>
      <c r="G960" s="13" t="n">
        <v>0.4397</v>
      </c>
      <c r="H960" s="13" t="n">
        <v>0.016559</v>
      </c>
      <c r="I960" s="13" t="n">
        <v>0.035757</v>
      </c>
      <c r="J960" s="13" t="n">
        <v>-0.019198</v>
      </c>
      <c r="K960" s="13" t="n">
        <v>0.6835</v>
      </c>
      <c r="L960" s="13" t="n">
        <v>0.07388400000000001</v>
      </c>
      <c r="M960" s="13" t="n">
        <v>0.129519</v>
      </c>
      <c r="N960" s="13" t="n">
        <v>-0.055635</v>
      </c>
      <c r="O960" s="13" t="n">
        <v>0.6368</v>
      </c>
      <c r="P960" s="13" t="n">
        <v>0.242037</v>
      </c>
      <c r="Q960" s="13" t="n">
        <v>0.264601</v>
      </c>
      <c r="R960" s="13" t="n">
        <v>-0.022564</v>
      </c>
      <c r="S960" s="13" t="n">
        <v>0.5223</v>
      </c>
      <c r="T960" s="13" t="n"/>
      <c r="U960" s="13" t="n"/>
      <c r="V960" s="13" t="n"/>
      <c r="W960" s="13" t="n"/>
      <c r="X960" s="13" t="n"/>
      <c r="Y960" s="13" t="n"/>
      <c r="Z960" s="13" t="n"/>
      <c r="AA960" s="13" t="n"/>
    </row>
    <row r="961">
      <c r="A961" s="6" t="inlineStr">
        <is>
          <t>2026-08-06</t>
        </is>
      </c>
      <c r="B961" s="6" t="inlineStr">
        <is>
          <t>中间分位</t>
        </is>
      </c>
      <c r="C961" s="10" t="n">
        <v>0.72</v>
      </c>
      <c r="D961" s="8" t="n">
        <v>-0.012994</v>
      </c>
      <c r="E961" s="8" t="n">
        <v>0.008878</v>
      </c>
      <c r="F961" s="8" t="n">
        <v>-0.021872</v>
      </c>
      <c r="G961" s="8" t="n">
        <v>0.4059</v>
      </c>
      <c r="H961" s="8" t="n">
        <v>0.031189</v>
      </c>
      <c r="I961" s="8" t="n">
        <v>0.06739299999999999</v>
      </c>
      <c r="J961" s="8" t="n">
        <v>-0.036204</v>
      </c>
      <c r="K961" s="8" t="n">
        <v>0.6836</v>
      </c>
      <c r="L961" s="8" t="n">
        <v>0.122807</v>
      </c>
      <c r="M961" s="8" t="n">
        <v>0.144875</v>
      </c>
      <c r="N961" s="8" t="n">
        <v>-0.022068</v>
      </c>
      <c r="O961" s="8" t="n">
        <v>0.5412</v>
      </c>
      <c r="P961" s="8" t="n">
        <v>0.316441</v>
      </c>
      <c r="Q961" s="8" t="n">
        <v>0.274415</v>
      </c>
      <c r="R961" s="8" t="n">
        <v>0.042026</v>
      </c>
      <c r="S961" s="8" t="n">
        <v>0.4644</v>
      </c>
      <c r="T961" s="8" t="n"/>
      <c r="U961" s="8" t="n"/>
      <c r="V961" s="8" t="n"/>
      <c r="W961" s="8" t="n"/>
      <c r="X961" s="8" t="n"/>
      <c r="Y961" s="8" t="n"/>
      <c r="Z961" s="8" t="n"/>
      <c r="AA961" s="8" t="n"/>
    </row>
    <row r="962">
      <c r="A962" s="11" t="inlineStr">
        <is>
          <t>2026-08-07</t>
        </is>
      </c>
      <c r="B962" s="11" t="inlineStr">
        <is>
          <t>中间分位</t>
        </is>
      </c>
      <c r="C962" s="15" t="n">
        <v>0.652</v>
      </c>
      <c r="D962" s="13" t="n">
        <v>0.01119</v>
      </c>
      <c r="E962" s="13" t="n">
        <v>0.0124</v>
      </c>
      <c r="F962" s="13" t="n">
        <v>-0.00121</v>
      </c>
      <c r="G962" s="13" t="n">
        <v>0.5256</v>
      </c>
      <c r="H962" s="13" t="n">
        <v>0.05398</v>
      </c>
      <c r="I962" s="13" t="n">
        <v>0.07480000000000001</v>
      </c>
      <c r="J962" s="13" t="n">
        <v>-0.02082</v>
      </c>
      <c r="K962" s="13" t="n">
        <v>0.5808</v>
      </c>
      <c r="L962" s="13" t="n">
        <v>0.135942</v>
      </c>
      <c r="M962" s="13" t="n">
        <v>0.1636</v>
      </c>
      <c r="N962" s="13" t="n">
        <v>-0.027658</v>
      </c>
      <c r="O962" s="13" t="n">
        <v>0.5462</v>
      </c>
      <c r="P962" s="13" t="n">
        <v>0.322909</v>
      </c>
      <c r="Q962" s="13" t="n">
        <v>0.27</v>
      </c>
      <c r="R962" s="13" t="n">
        <v>0.052909</v>
      </c>
      <c r="S962" s="13" t="n">
        <v>0.4554</v>
      </c>
      <c r="T962" s="13" t="n"/>
      <c r="U962" s="13" t="n"/>
      <c r="V962" s="13" t="n"/>
      <c r="W962" s="13" t="n"/>
      <c r="X962" s="13" t="n"/>
      <c r="Y962" s="13" t="n"/>
      <c r="Z962" s="13" t="n"/>
      <c r="AA962" s="13" t="n"/>
    </row>
    <row r="963">
      <c r="A963" s="6" t="inlineStr">
        <is>
          <t>2026-08-10</t>
        </is>
      </c>
      <c r="B963" s="6" t="inlineStr">
        <is>
          <t>中间分位</t>
        </is>
      </c>
      <c r="C963" s="10" t="n">
        <v>0.644</v>
      </c>
      <c r="D963" s="8" t="n">
        <v>0.007812</v>
      </c>
      <c r="E963" s="8" t="n">
        <v>0.0403</v>
      </c>
      <c r="F963" s="8" t="n">
        <v>-0.032488</v>
      </c>
      <c r="G963" s="8" t="n">
        <v>0.8376</v>
      </c>
      <c r="H963" s="8" t="n">
        <v>0.05957</v>
      </c>
      <c r="I963" s="8" t="n">
        <v>0.08060100000000001</v>
      </c>
      <c r="J963" s="8" t="n">
        <v>-0.021031</v>
      </c>
      <c r="K963" s="8" t="n">
        <v>0.575</v>
      </c>
      <c r="L963" s="8" t="n">
        <v>0.154949</v>
      </c>
      <c r="M963" s="8" t="n">
        <v>0.151324</v>
      </c>
      <c r="N963" s="8" t="n">
        <v>0.003625</v>
      </c>
      <c r="O963" s="8" t="n">
        <v>0.4941</v>
      </c>
      <c r="P963" s="8" t="n">
        <v>0.310871</v>
      </c>
      <c r="Q963" s="8" t="n">
        <v>0.269064</v>
      </c>
      <c r="R963" s="8" t="n">
        <v>0.041807</v>
      </c>
      <c r="S963" s="8" t="n">
        <v>0.464</v>
      </c>
      <c r="T963" s="8" t="n"/>
      <c r="U963" s="8" t="n"/>
      <c r="V963" s="8" t="n"/>
      <c r="W963" s="8" t="n"/>
      <c r="X963" s="8" t="n"/>
      <c r="Y963" s="8" t="n"/>
      <c r="Z963" s="8" t="n"/>
      <c r="AA963" s="8" t="n"/>
    </row>
    <row r="964">
      <c r="A964" s="11" t="inlineStr">
        <is>
          <t>2026-08-11</t>
        </is>
      </c>
      <c r="B964" s="11" t="inlineStr">
        <is>
          <t>中间分位</t>
        </is>
      </c>
      <c r="C964" s="15" t="n">
        <v>0.26</v>
      </c>
      <c r="D964" s="13" t="n">
        <v>0.031008</v>
      </c>
      <c r="E964" s="13" t="n">
        <v>-0.009875</v>
      </c>
      <c r="F964" s="13" t="n">
        <v>0.040883</v>
      </c>
      <c r="G964" s="13" t="n">
        <v>0.2415</v>
      </c>
      <c r="H964" s="13" t="n">
        <v>0.07041500000000001</v>
      </c>
      <c r="I964" s="13" t="n">
        <v>0.054311</v>
      </c>
      <c r="J964" s="13" t="n">
        <v>0.016104</v>
      </c>
      <c r="K964" s="13" t="n">
        <v>0.4354</v>
      </c>
      <c r="L964" s="13" t="n">
        <v>0.156329</v>
      </c>
      <c r="M964" s="13" t="n">
        <v>0.1109</v>
      </c>
      <c r="N964" s="13" t="n">
        <v>0.045429</v>
      </c>
      <c r="O964" s="13" t="n">
        <v>0.415</v>
      </c>
      <c r="P964" s="13" t="n">
        <v>0.314275</v>
      </c>
      <c r="Q964" s="13" t="n">
        <v>0.275731</v>
      </c>
      <c r="R964" s="13" t="n">
        <v>0.038544</v>
      </c>
      <c r="S964" s="13" t="n">
        <v>0.4673</v>
      </c>
      <c r="T964" s="13" t="n"/>
      <c r="U964" s="13" t="n"/>
      <c r="V964" s="13" t="n"/>
      <c r="W964" s="13" t="n"/>
      <c r="X964" s="13" t="n"/>
      <c r="Y964" s="13" t="n"/>
      <c r="Z964" s="13" t="n"/>
      <c r="AA964" s="13" t="n"/>
    </row>
    <row r="965">
      <c r="A965" s="6" t="inlineStr">
        <is>
          <t>2026-08-12</t>
        </is>
      </c>
      <c r="B965" s="6" t="inlineStr">
        <is>
          <t>中间分位</t>
        </is>
      </c>
      <c r="C965" s="10" t="n">
        <v>0.6840000000000001</v>
      </c>
      <c r="D965" s="8" t="n">
        <v>-0.005639</v>
      </c>
      <c r="E965" s="8" t="n">
        <v>0.014576</v>
      </c>
      <c r="F965" s="8" t="n">
        <v>-0.020215</v>
      </c>
      <c r="G965" s="8" t="n">
        <v>0.721</v>
      </c>
      <c r="H965" s="8" t="n">
        <v>0.056391</v>
      </c>
      <c r="I965" s="8" t="n">
        <v>0.090526</v>
      </c>
      <c r="J965" s="8" t="n">
        <v>-0.034135</v>
      </c>
      <c r="K965" s="8" t="n">
        <v>0.6162</v>
      </c>
      <c r="L965" s="8" t="n">
        <v>0.12406</v>
      </c>
      <c r="M965" s="8" t="n">
        <v>0.06214</v>
      </c>
      <c r="N965" s="8" t="n">
        <v>0.06192</v>
      </c>
      <c r="O965" s="8" t="n">
        <v>0.3337</v>
      </c>
      <c r="P965" s="8" t="n">
        <v>0.352132</v>
      </c>
      <c r="Q965" s="8" t="n">
        <v>0.3084</v>
      </c>
      <c r="R965" s="8" t="n">
        <v>0.043732</v>
      </c>
      <c r="S965" s="8" t="n">
        <v>0.4669</v>
      </c>
      <c r="T965" s="8" t="n"/>
      <c r="U965" s="8" t="n"/>
      <c r="V965" s="8" t="n"/>
      <c r="W965" s="8" t="n"/>
      <c r="X965" s="8" t="n"/>
      <c r="Y965" s="8" t="n"/>
      <c r="Z965" s="8" t="n"/>
      <c r="AA965" s="8" t="n"/>
    </row>
    <row r="966">
      <c r="A966" s="11" t="inlineStr">
        <is>
          <t>2026-08-13</t>
        </is>
      </c>
      <c r="B966" s="11" t="inlineStr">
        <is>
          <t>中间分位</t>
        </is>
      </c>
      <c r="C966" s="15" t="n">
        <v>0.532</v>
      </c>
      <c r="D966" s="13" t="n">
        <v>0.00882</v>
      </c>
      <c r="E966" s="13" t="n">
        <v>0.015879</v>
      </c>
      <c r="F966" s="13" t="n">
        <v>-0.007059</v>
      </c>
      <c r="G966" s="13" t="n">
        <v>0.6429</v>
      </c>
      <c r="H966" s="13" t="n">
        <v>0.088847</v>
      </c>
      <c r="I966" s="13" t="n">
        <v>0.07259</v>
      </c>
      <c r="J966" s="13" t="n">
        <v>0.016257</v>
      </c>
      <c r="K966" s="13" t="n">
        <v>0.4496</v>
      </c>
      <c r="L966" s="13" t="n">
        <v>0.07624599999999999</v>
      </c>
      <c r="M966" s="13" t="n">
        <v>0.050284</v>
      </c>
      <c r="N966" s="13" t="n">
        <v>0.025962</v>
      </c>
      <c r="O966" s="13" t="n">
        <v>0.3974</v>
      </c>
      <c r="P966" s="13" t="n">
        <v>0.401388</v>
      </c>
      <c r="Q966" s="13" t="n">
        <v>0.150473</v>
      </c>
      <c r="R966" s="13" t="n">
        <v>0.250915</v>
      </c>
      <c r="S966" s="13" t="n">
        <v>0.2727</v>
      </c>
      <c r="T966" s="13" t="n"/>
      <c r="U966" s="13" t="n"/>
      <c r="V966" s="13" t="n"/>
      <c r="W966" s="13" t="n"/>
      <c r="X966" s="13" t="n"/>
      <c r="Y966" s="13" t="n"/>
      <c r="Z966" s="13" t="n"/>
      <c r="AA966" s="13" t="n"/>
    </row>
    <row r="967">
      <c r="A967" s="6" t="inlineStr">
        <is>
          <t>2026-08-14</t>
        </is>
      </c>
      <c r="B967" s="6" t="inlineStr">
        <is>
          <t>中间分位</t>
        </is>
      </c>
      <c r="C967" s="10" t="n">
        <v>0.404</v>
      </c>
      <c r="D967" s="8" t="n">
        <v>0.016553</v>
      </c>
      <c r="E967" s="8" t="n">
        <v>0.017864</v>
      </c>
      <c r="F967" s="8" t="n">
        <v>-0.001311</v>
      </c>
      <c r="G967" s="8" t="n">
        <v>0.519</v>
      </c>
      <c r="H967" s="8" t="n">
        <v>0.077764</v>
      </c>
      <c r="I967" s="8" t="n">
        <v>0.08262</v>
      </c>
      <c r="J967" s="8" t="n">
        <v>-0.004856</v>
      </c>
      <c r="K967" s="8" t="n">
        <v>0.5151</v>
      </c>
      <c r="L967" s="8" t="n">
        <v>0.068395</v>
      </c>
      <c r="M967" s="8" t="n">
        <v>0.056941</v>
      </c>
      <c r="N967" s="8" t="n">
        <v>0.011454</v>
      </c>
      <c r="O967" s="8" t="n">
        <v>0.4543</v>
      </c>
      <c r="P967" s="8" t="n">
        <v>0.39663</v>
      </c>
      <c r="Q967" s="8" t="n">
        <v>0.122441</v>
      </c>
      <c r="R967" s="8" t="n">
        <v>0.274189</v>
      </c>
      <c r="S967" s="8" t="n">
        <v>0.2359</v>
      </c>
      <c r="T967" s="8" t="n"/>
      <c r="U967" s="8" t="n"/>
      <c r="V967" s="8" t="n"/>
      <c r="W967" s="8" t="n"/>
      <c r="X967" s="8" t="n"/>
      <c r="Y967" s="8" t="n"/>
      <c r="Z967" s="8" t="n"/>
      <c r="AA967" s="8" t="n"/>
    </row>
    <row r="968">
      <c r="A968" s="11" t="inlineStr">
        <is>
          <t>2026-08-17</t>
        </is>
      </c>
      <c r="B968" s="11" t="inlineStr">
        <is>
          <t>中间分位</t>
        </is>
      </c>
      <c r="C968" s="15" t="n">
        <v>0.376</v>
      </c>
      <c r="D968" s="13" t="n">
        <v>0.018127</v>
      </c>
      <c r="E968" s="13" t="n">
        <v>0.014991</v>
      </c>
      <c r="F968" s="13" t="n">
        <v>0.003136</v>
      </c>
      <c r="G968" s="13" t="n">
        <v>0.4527</v>
      </c>
      <c r="H968" s="13" t="n">
        <v>0.090017</v>
      </c>
      <c r="I968" s="13" t="n">
        <v>0.06544800000000001</v>
      </c>
      <c r="J968" s="13" t="n">
        <v>0.024569</v>
      </c>
      <c r="K968" s="13" t="n">
        <v>0.421</v>
      </c>
      <c r="L968" s="13" t="n">
        <v>0.077113</v>
      </c>
      <c r="M968" s="13" t="n">
        <v>0.09067600000000001</v>
      </c>
      <c r="N968" s="13" t="n">
        <v>-0.013563</v>
      </c>
      <c r="O968" s="13" t="n">
        <v>0.5404</v>
      </c>
      <c r="P968" s="13" t="n">
        <v>0.359141</v>
      </c>
      <c r="Q968" s="13" t="n">
        <v>0.102742</v>
      </c>
      <c r="R968" s="13" t="n">
        <v>0.256399</v>
      </c>
      <c r="S968" s="13" t="n">
        <v>0.2224</v>
      </c>
      <c r="T968" s="13" t="n"/>
      <c r="U968" s="13" t="n"/>
      <c r="V968" s="13" t="n"/>
      <c r="W968" s="13" t="n"/>
      <c r="X968" s="13" t="n"/>
      <c r="Y968" s="13" t="n"/>
      <c r="Z968" s="13" t="n"/>
      <c r="AA968" s="13" t="n"/>
    </row>
    <row r="969">
      <c r="A969" s="6" t="inlineStr">
        <is>
          <t>2026-08-18</t>
        </is>
      </c>
      <c r="B969" s="6" t="inlineStr">
        <is>
          <t>中间分位</t>
        </is>
      </c>
      <c r="C969" s="10" t="n">
        <v>0.428</v>
      </c>
      <c r="D969" s="8" t="n">
        <v>0.0175</v>
      </c>
      <c r="E969" s="8" t="n">
        <v>0.024135</v>
      </c>
      <c r="F969" s="8" t="n">
        <v>-0.006635</v>
      </c>
      <c r="G969" s="8" t="n">
        <v>0.5797</v>
      </c>
      <c r="H969" s="8" t="n">
        <v>0.080263</v>
      </c>
      <c r="I969" s="8" t="n">
        <v>0.053674</v>
      </c>
      <c r="J969" s="8" t="n">
        <v>0.026589</v>
      </c>
      <c r="K969" s="8" t="n">
        <v>0.4007</v>
      </c>
      <c r="L969" s="8" t="n">
        <v>0.121303</v>
      </c>
      <c r="M969" s="8" t="n">
        <v>0.105548</v>
      </c>
      <c r="N969" s="8" t="n">
        <v>0.015755</v>
      </c>
      <c r="O969" s="8" t="n">
        <v>0.4653</v>
      </c>
      <c r="P969" s="8" t="n">
        <v>0.369342</v>
      </c>
      <c r="Q969" s="8" t="n">
        <v>0.086455</v>
      </c>
      <c r="R969" s="8" t="n">
        <v>0.282887</v>
      </c>
      <c r="S969" s="8" t="n">
        <v>0.1897</v>
      </c>
      <c r="T969" s="8" t="n"/>
      <c r="U969" s="8" t="n"/>
      <c r="V969" s="8" t="n"/>
      <c r="W969" s="8" t="n"/>
      <c r="X969" s="8" t="n"/>
      <c r="Y969" s="8" t="n"/>
      <c r="Z969" s="8" t="n"/>
      <c r="AA969" s="8" t="n"/>
    </row>
    <row r="970">
      <c r="A970" s="11" t="inlineStr">
        <is>
          <t>2026-08-19</t>
        </is>
      </c>
      <c r="B970" s="11" t="inlineStr">
        <is>
          <t>中间分位</t>
        </is>
      </c>
      <c r="C970" s="15" t="n">
        <v>0.352</v>
      </c>
      <c r="D970" s="13" t="n">
        <v>0.024911</v>
      </c>
      <c r="E970" s="13" t="n">
        <v>-0.00211</v>
      </c>
      <c r="F970" s="13" t="n">
        <v>0.027021</v>
      </c>
      <c r="G970" s="13" t="n">
        <v>0.0781</v>
      </c>
      <c r="H970" s="13" t="n">
        <v>0.064057</v>
      </c>
      <c r="I970" s="13" t="n">
        <v>-0.026029</v>
      </c>
      <c r="J970" s="13" t="n">
        <v>0.090086</v>
      </c>
      <c r="K970" s="13" t="n">
        <v>0.2889</v>
      </c>
      <c r="L970" s="13" t="n">
        <v>0.156584</v>
      </c>
      <c r="M970" s="13" t="n">
        <v>0.119592</v>
      </c>
      <c r="N970" s="13" t="n">
        <v>0.036992</v>
      </c>
      <c r="O970" s="13" t="n">
        <v>0.433</v>
      </c>
      <c r="P970" s="13" t="n">
        <v>0.359431</v>
      </c>
      <c r="Q970" s="13" t="n">
        <v>0.073514</v>
      </c>
      <c r="R970" s="13" t="n">
        <v>0.285917</v>
      </c>
      <c r="S970" s="13" t="n">
        <v>0.1698</v>
      </c>
      <c r="T970" s="13" t="n"/>
      <c r="U970" s="13" t="n"/>
      <c r="V970" s="13" t="n"/>
      <c r="W970" s="13" t="n"/>
      <c r="X970" s="13" t="n"/>
      <c r="Y970" s="13" t="n"/>
      <c r="Z970" s="13" t="n"/>
      <c r="AA970" s="13" t="n"/>
    </row>
    <row r="971">
      <c r="A971" s="6" t="inlineStr">
        <is>
          <t>2026-08-20</t>
        </is>
      </c>
      <c r="B971" s="6" t="inlineStr">
        <is>
          <t>中间分位</t>
        </is>
      </c>
      <c r="C971" s="10" t="n">
        <v>0.664</v>
      </c>
      <c r="D971" s="8" t="n">
        <v>-0.001448</v>
      </c>
      <c r="E971" s="8" t="n">
        <v>0.025379</v>
      </c>
      <c r="F971" s="8" t="n">
        <v>-0.026827</v>
      </c>
      <c r="G971" s="8" t="n">
        <v>0.946</v>
      </c>
      <c r="H971" s="8" t="n">
        <v>-0.011573</v>
      </c>
      <c r="I971" s="8" t="n">
        <v>-0.020797</v>
      </c>
      <c r="J971" s="8" t="n">
        <v>0.009224</v>
      </c>
      <c r="K971" s="8" t="n">
        <v>0.6425</v>
      </c>
      <c r="L971" s="8" t="n">
        <v>0.172455</v>
      </c>
      <c r="M971" s="8" t="n">
        <v>0.113148</v>
      </c>
      <c r="N971" s="8" t="n">
        <v>0.059307</v>
      </c>
      <c r="O971" s="8" t="n">
        <v>0.3962</v>
      </c>
      <c r="P971" s="8" t="n">
        <v>0.388889</v>
      </c>
      <c r="Q971" s="8" t="n">
        <v>0.055693</v>
      </c>
      <c r="R971" s="8" t="n">
        <v>0.333196</v>
      </c>
      <c r="S971" s="8" t="n">
        <v>0.1253</v>
      </c>
      <c r="T971" s="8" t="n"/>
      <c r="U971" s="8" t="n"/>
      <c r="V971" s="8" t="n"/>
      <c r="W971" s="8" t="n"/>
      <c r="X971" s="8" t="n"/>
      <c r="Y971" s="8" t="n"/>
      <c r="Z971" s="8" t="n"/>
      <c r="AA971" s="8" t="n"/>
    </row>
    <row r="972">
      <c r="A972" s="11" t="inlineStr">
        <is>
          <t>2026-08-21</t>
        </is>
      </c>
      <c r="B972" s="11" t="inlineStr">
        <is>
          <t>中间分位</t>
        </is>
      </c>
      <c r="C972" s="15" t="n">
        <v>0.356</v>
      </c>
      <c r="D972" s="13" t="n">
        <v>0.02811</v>
      </c>
      <c r="E972" s="13" t="n">
        <v>0.001719</v>
      </c>
      <c r="F972" s="13" t="n">
        <v>0.026391</v>
      </c>
      <c r="G972" s="13" t="n">
        <v>0.0576</v>
      </c>
      <c r="H972" s="13" t="n">
        <v>-0.008692999999999999</v>
      </c>
      <c r="I972" s="13" t="n">
        <v>-0.023719</v>
      </c>
      <c r="J972" s="13" t="n">
        <v>0.015026</v>
      </c>
      <c r="K972" s="13" t="n">
        <v>0.7318</v>
      </c>
      <c r="L972" s="13" t="n">
        <v>0.164592</v>
      </c>
      <c r="M972" s="13" t="n">
        <v>0.09143999999999999</v>
      </c>
      <c r="N972" s="13" t="n">
        <v>0.07315199999999999</v>
      </c>
      <c r="O972" s="13" t="n">
        <v>0.3571</v>
      </c>
      <c r="P972" s="13" t="n">
        <v>0.401335</v>
      </c>
      <c r="Q972" s="13" t="n">
        <v>0.014782</v>
      </c>
      <c r="R972" s="13" t="n">
        <v>0.386553</v>
      </c>
      <c r="S972" s="13" t="n">
        <v>0.0355</v>
      </c>
      <c r="T972" s="13" t="n"/>
      <c r="U972" s="13" t="n"/>
      <c r="V972" s="13" t="n"/>
      <c r="W972" s="13" t="n"/>
      <c r="X972" s="13" t="n"/>
      <c r="Y972" s="13" t="n"/>
      <c r="Z972" s="13" t="n"/>
      <c r="AA972" s="13" t="n"/>
    </row>
    <row r="973">
      <c r="A973" s="6" t="inlineStr">
        <is>
          <t>2026-08-24</t>
        </is>
      </c>
      <c r="B973" s="6" t="inlineStr">
        <is>
          <t>中间分位</t>
        </is>
      </c>
      <c r="C973" s="10" t="n">
        <v>0.66</v>
      </c>
      <c r="D973" s="8" t="n">
        <v>0.009017000000000001</v>
      </c>
      <c r="E973" s="8" t="n">
        <v>0.003775</v>
      </c>
      <c r="F973" s="8" t="n">
        <v>0.005242</v>
      </c>
      <c r="G973" s="8" t="n">
        <v>0.2951</v>
      </c>
      <c r="H973" s="8" t="n">
        <v>-0.011838</v>
      </c>
      <c r="I973" s="8" t="n">
        <v>0.023679</v>
      </c>
      <c r="J973" s="8" t="n">
        <v>-0.035517</v>
      </c>
      <c r="K973" s="8" t="n">
        <v>0.6667</v>
      </c>
      <c r="L973" s="8" t="n">
        <v>0.135003</v>
      </c>
      <c r="M973" s="8" t="n">
        <v>0.102265</v>
      </c>
      <c r="N973" s="8" t="n">
        <v>0.032738</v>
      </c>
      <c r="O973" s="8" t="n">
        <v>0.431</v>
      </c>
      <c r="P973" s="8" t="n">
        <v>0.381057</v>
      </c>
      <c r="Q973" s="8" t="n">
        <v>0.009608999999999999</v>
      </c>
      <c r="R973" s="8" t="n">
        <v>0.371448</v>
      </c>
      <c r="S973" s="8" t="n">
        <v>0.0246</v>
      </c>
      <c r="T973" s="8" t="n"/>
      <c r="U973" s="8" t="n"/>
      <c r="V973" s="8" t="n"/>
      <c r="W973" s="8" t="n"/>
      <c r="X973" s="8" t="n"/>
      <c r="Y973" s="8" t="n"/>
      <c r="Z973" s="8" t="n"/>
      <c r="AA973" s="8" t="n"/>
    </row>
    <row r="974">
      <c r="A974" s="11" t="inlineStr">
        <is>
          <t>2026-08-25</t>
        </is>
      </c>
      <c r="B974" s="11" t="inlineStr">
        <is>
          <t>中间分位</t>
        </is>
      </c>
      <c r="C974" s="15" t="n">
        <v>0.676</v>
      </c>
      <c r="D974" s="13" t="n">
        <v>0.002236</v>
      </c>
      <c r="E974" s="13" t="n">
        <v>-0.053333</v>
      </c>
      <c r="F974" s="13" t="n">
        <v>0.055569</v>
      </c>
      <c r="G974" s="13" t="n">
        <v>0.9598</v>
      </c>
      <c r="H974" s="13" t="n">
        <v>0.037991</v>
      </c>
      <c r="I974" s="13" t="n">
        <v>0.049231</v>
      </c>
      <c r="J974" s="13" t="n">
        <v>-0.01124</v>
      </c>
      <c r="K974" s="13" t="n">
        <v>0.5644</v>
      </c>
      <c r="L974" s="13" t="n">
        <v>0.136592</v>
      </c>
      <c r="M974" s="13" t="n">
        <v>0.148376</v>
      </c>
      <c r="N974" s="13" t="n">
        <v>-0.011784</v>
      </c>
      <c r="O974" s="13" t="n">
        <v>0.5207000000000001</v>
      </c>
      <c r="P974" s="13" t="n">
        <v>0.35866</v>
      </c>
      <c r="Q974" s="13" t="n">
        <v>0.006496</v>
      </c>
      <c r="R974" s="13" t="n">
        <v>0.352164</v>
      </c>
      <c r="S974" s="13" t="n">
        <v>0.0178</v>
      </c>
      <c r="T974" s="13" t="n"/>
      <c r="U974" s="13" t="n"/>
      <c r="V974" s="13" t="n"/>
      <c r="W974" s="13" t="n"/>
      <c r="X974" s="13" t="n"/>
      <c r="Y974" s="13" t="n"/>
      <c r="Z974" s="13" t="n"/>
      <c r="AA974" s="13" t="n"/>
    </row>
    <row r="975">
      <c r="A975" s="6" t="inlineStr">
        <is>
          <t>2026-08-26</t>
        </is>
      </c>
      <c r="B975" s="6" t="inlineStr">
        <is>
          <t>中间分位</t>
        </is>
      </c>
      <c r="C975" s="10" t="n">
        <v>0.784</v>
      </c>
      <c r="D975" s="8" t="n">
        <v>-0.047936</v>
      </c>
      <c r="E975" s="8" t="n">
        <v>0.00325</v>
      </c>
      <c r="F975" s="8" t="n">
        <v>-0.051186</v>
      </c>
      <c r="G975" s="8" t="n">
        <v>0.0635</v>
      </c>
      <c r="H975" s="8" t="n">
        <v>0.08695700000000001</v>
      </c>
      <c r="I975" s="8" t="n">
        <v>0.149512</v>
      </c>
      <c r="J975" s="8" t="n">
        <v>-0.062555</v>
      </c>
      <c r="K975" s="8" t="n">
        <v>0.6323</v>
      </c>
      <c r="L975" s="8" t="n">
        <v>0.2029</v>
      </c>
      <c r="M975" s="8" t="n">
        <v>0.231853</v>
      </c>
      <c r="N975" s="8" t="n">
        <v>-0.028953</v>
      </c>
      <c r="O975" s="8" t="n">
        <v>0.5333</v>
      </c>
      <c r="P975" s="8" t="n">
        <v>0.359532</v>
      </c>
      <c r="Q975" s="8" t="n">
        <v>0.023113</v>
      </c>
      <c r="R975" s="8" t="n">
        <v>0.336419</v>
      </c>
      <c r="S975" s="8" t="n">
        <v>0.0604</v>
      </c>
      <c r="T975" s="8" t="n"/>
      <c r="U975" s="8" t="n"/>
      <c r="V975" s="8" t="n"/>
      <c r="W975" s="8" t="n"/>
      <c r="X975" s="8" t="n"/>
      <c r="Y975" s="8" t="n"/>
      <c r="Z975" s="8" t="n"/>
      <c r="AA975" s="8" t="n"/>
    </row>
    <row r="976">
      <c r="A976" s="11" t="inlineStr">
        <is>
          <t>2026-08-27</t>
        </is>
      </c>
      <c r="B976" s="11" t="inlineStr">
        <is>
          <t>中间分位</t>
        </is>
      </c>
      <c r="C976" s="15" t="n">
        <v>0.6919999999999999</v>
      </c>
      <c r="D976" s="13" t="n">
        <v>0.001461</v>
      </c>
      <c r="E976" s="13" t="n">
        <v>0.022318</v>
      </c>
      <c r="F976" s="13" t="n">
        <v>-0.020857</v>
      </c>
      <c r="G976" s="13" t="n">
        <v>0.9386</v>
      </c>
      <c r="H976" s="13" t="n">
        <v>0.186182</v>
      </c>
      <c r="I976" s="13" t="n">
        <v>0.136789</v>
      </c>
      <c r="J976" s="13" t="n">
        <v>0.049393</v>
      </c>
      <c r="K976" s="13" t="n">
        <v>0.4235</v>
      </c>
      <c r="L976" s="13" t="n">
        <v>0.302107</v>
      </c>
      <c r="M976" s="13" t="n">
        <v>0.095392</v>
      </c>
      <c r="N976" s="13" t="n">
        <v>0.206715</v>
      </c>
      <c r="O976" s="13" t="n">
        <v>0.24</v>
      </c>
      <c r="P976" s="13" t="n">
        <v>0.411007</v>
      </c>
      <c r="Q976" s="13" t="n">
        <v>0.065515</v>
      </c>
      <c r="R976" s="13" t="n">
        <v>0.345492</v>
      </c>
      <c r="S976" s="13" t="n">
        <v>0.1375</v>
      </c>
      <c r="T976" s="13" t="n"/>
      <c r="U976" s="13" t="n"/>
      <c r="V976" s="13" t="n"/>
      <c r="W976" s="13" t="n"/>
      <c r="X976" s="13" t="n"/>
      <c r="Y976" s="13" t="n"/>
      <c r="Z976" s="13" t="n"/>
      <c r="AA976" s="13" t="n"/>
    </row>
    <row r="977">
      <c r="A977" s="6" t="inlineStr">
        <is>
          <t>2026-08-28</t>
        </is>
      </c>
      <c r="B977" s="6" t="inlineStr">
        <is>
          <t>中间分位</t>
        </is>
      </c>
      <c r="C977" s="10" t="n">
        <v>0.5600000000000001</v>
      </c>
      <c r="D977" s="8" t="n">
        <v>0.024849</v>
      </c>
      <c r="E977" s="8" t="n">
        <v>0.050352</v>
      </c>
      <c r="F977" s="8" t="n">
        <v>-0.025503</v>
      </c>
      <c r="G977" s="8" t="n">
        <v>0.6696</v>
      </c>
      <c r="H977" s="8" t="n">
        <v>0.174805</v>
      </c>
      <c r="I977" s="8" t="n">
        <v>0.117958</v>
      </c>
      <c r="J977" s="8" t="n">
        <v>0.056847</v>
      </c>
      <c r="K977" s="8" t="n">
        <v>0.4029</v>
      </c>
      <c r="L977" s="8" t="n">
        <v>0.307223</v>
      </c>
      <c r="M977" s="8" t="n">
        <v>0.061972</v>
      </c>
      <c r="N977" s="8" t="n">
        <v>0.245251</v>
      </c>
      <c r="O977" s="8" t="n">
        <v>0.1679</v>
      </c>
      <c r="P977" s="8" t="n">
        <v>0.558609</v>
      </c>
      <c r="Q977" s="8" t="n">
        <v>0.035563</v>
      </c>
      <c r="R977" s="8" t="n">
        <v>0.523046</v>
      </c>
      <c r="S977" s="8" t="n">
        <v>0.0599</v>
      </c>
      <c r="T977" s="8" t="n"/>
      <c r="U977" s="8" t="n"/>
      <c r="V977" s="8" t="n"/>
      <c r="W977" s="8" t="n"/>
      <c r="X977" s="8" t="n"/>
      <c r="Y977" s="8" t="n"/>
      <c r="Z977" s="8" t="n"/>
      <c r="AA977" s="8" t="n"/>
    </row>
    <row r="978">
      <c r="A978" s="11" t="inlineStr">
        <is>
          <t>2026-08-31</t>
        </is>
      </c>
      <c r="B978" s="11" t="inlineStr">
        <is>
          <t>中间分位</t>
        </is>
      </c>
      <c r="C978" s="15" t="n">
        <v>0.236</v>
      </c>
      <c r="D978" s="13" t="n">
        <v>0.059897</v>
      </c>
      <c r="E978" s="13" t="n">
        <v>0.02883</v>
      </c>
      <c r="F978" s="13" t="n">
        <v>0.031067</v>
      </c>
      <c r="G978" s="13" t="n">
        <v>0.3249</v>
      </c>
      <c r="H978" s="13" t="n">
        <v>0.1486</v>
      </c>
      <c r="I978" s="13" t="n">
        <v>0.076768</v>
      </c>
      <c r="J978" s="13" t="n">
        <v>0.07183199999999999</v>
      </c>
      <c r="K978" s="13" t="n">
        <v>0.3406</v>
      </c>
      <c r="L978" s="13" t="n">
        <v>0.261837</v>
      </c>
      <c r="M978" s="13" t="n">
        <v>0.011063</v>
      </c>
      <c r="N978" s="13" t="n">
        <v>0.250774</v>
      </c>
      <c r="O978" s="13" t="n">
        <v>0.0405</v>
      </c>
      <c r="P978" s="13" t="n">
        <v>0.574442</v>
      </c>
      <c r="Q978" s="13" t="n">
        <v>-0.010057</v>
      </c>
      <c r="R978" s="13" t="n">
        <v>0.584499</v>
      </c>
      <c r="S978" s="13" t="n">
        <v>0.0172</v>
      </c>
      <c r="T978" s="13" t="n"/>
      <c r="U978" s="13" t="n"/>
      <c r="V978" s="13" t="n"/>
      <c r="W978" s="13" t="n"/>
      <c r="X978" s="13" t="n"/>
      <c r="Y978" s="13" t="n"/>
      <c r="Z978" s="13" t="n"/>
      <c r="AA978" s="13" t="n"/>
    </row>
    <row r="979">
      <c r="A979" s="6" t="inlineStr">
        <is>
          <t>2026-09-01</t>
        </is>
      </c>
      <c r="B979" s="6" t="inlineStr">
        <is>
          <t>中间分位</t>
        </is>
      </c>
      <c r="C979" s="10" t="n">
        <v>0.6</v>
      </c>
      <c r="D979" s="8" t="n">
        <v>0.049514</v>
      </c>
      <c r="E979" s="8" t="n">
        <v>0.037146</v>
      </c>
      <c r="F979" s="8" t="n">
        <v>0.012368</v>
      </c>
      <c r="G979" s="8" t="n">
        <v>0.4286</v>
      </c>
      <c r="H979" s="8" t="n">
        <v>0.09499199999999999</v>
      </c>
      <c r="I979" s="8" t="n">
        <v>0.09449299999999999</v>
      </c>
      <c r="J979" s="8" t="n">
        <v>0.000499</v>
      </c>
      <c r="K979" s="8" t="n">
        <v>0.4987</v>
      </c>
      <c r="L979" s="8" t="n">
        <v>0.221205</v>
      </c>
      <c r="M979" s="8" t="n">
        <v>-0.017269</v>
      </c>
      <c r="N979" s="8" t="n">
        <v>0.238474</v>
      </c>
      <c r="O979" s="8" t="n">
        <v>0.07240000000000001</v>
      </c>
      <c r="P979" s="8" t="n">
        <v>0.480623</v>
      </c>
      <c r="Q979" s="8" t="n">
        <v>-0.031606</v>
      </c>
      <c r="R979" s="8" t="n">
        <v>0.512229</v>
      </c>
      <c r="S979" s="8" t="n">
        <v>0.0617</v>
      </c>
      <c r="T979" s="8" t="n"/>
      <c r="U979" s="8" t="n"/>
      <c r="V979" s="8" t="n"/>
      <c r="W979" s="8" t="n"/>
      <c r="X979" s="8" t="n"/>
      <c r="Y979" s="8" t="n"/>
      <c r="Z979" s="8" t="n"/>
      <c r="AA979" s="8" t="n"/>
    </row>
    <row r="980">
      <c r="A980" s="11" t="inlineStr">
        <is>
          <t>2026-09-02</t>
        </is>
      </c>
      <c r="B980" s="11" t="inlineStr">
        <is>
          <t>中间分位</t>
        </is>
      </c>
      <c r="C980" s="15" t="n">
        <v>0.68</v>
      </c>
      <c r="D980" s="13" t="n">
        <v>0.038975</v>
      </c>
      <c r="E980" s="13" t="n">
        <v>-0.007854</v>
      </c>
      <c r="F980" s="13" t="n">
        <v>0.046829</v>
      </c>
      <c r="G980" s="13" t="n">
        <v>0.1677</v>
      </c>
      <c r="H980" s="13" t="n">
        <v>0.106668</v>
      </c>
      <c r="I980" s="13" t="n">
        <v>0.071631</v>
      </c>
      <c r="J980" s="13" t="n">
        <v>0.035037</v>
      </c>
      <c r="K980" s="13" t="n">
        <v>0.4017</v>
      </c>
      <c r="L980" s="13" t="n">
        <v>0.175385</v>
      </c>
      <c r="M980" s="13" t="n">
        <v>-0.041156</v>
      </c>
      <c r="N980" s="13" t="n">
        <v>0.216541</v>
      </c>
      <c r="O980" s="13" t="n">
        <v>0.1901</v>
      </c>
      <c r="P980" s="13" t="n">
        <v>0.382563</v>
      </c>
      <c r="Q980" s="13" t="n">
        <v>0.005341</v>
      </c>
      <c r="R980" s="13" t="n">
        <v>0.377222</v>
      </c>
      <c r="S980" s="13" t="n">
        <v>0.0138</v>
      </c>
      <c r="T980" s="13" t="n"/>
      <c r="U980" s="13" t="n"/>
      <c r="V980" s="13" t="n"/>
      <c r="W980" s="13" t="n"/>
      <c r="X980" s="13" t="n"/>
      <c r="Y980" s="13" t="n"/>
      <c r="Z980" s="13" t="n"/>
      <c r="AA980" s="13" t="n"/>
    </row>
    <row r="981">
      <c r="A981" s="6" t="inlineStr">
        <is>
          <t>2026-09-03</t>
        </is>
      </c>
      <c r="B981" s="6" t="inlineStr">
        <is>
          <t>中间分位</t>
        </is>
      </c>
      <c r="C981" s="10" t="n">
        <v>0.76</v>
      </c>
      <c r="D981" s="8" t="n">
        <v>-0.008144</v>
      </c>
      <c r="E981" s="8" t="n">
        <v>0.005383</v>
      </c>
      <c r="F981" s="8" t="n">
        <v>-0.013527</v>
      </c>
      <c r="G981" s="8" t="n">
        <v>0.3979</v>
      </c>
      <c r="H981" s="8" t="n">
        <v>0.097729</v>
      </c>
      <c r="I981" s="8" t="n">
        <v>-0.036415</v>
      </c>
      <c r="J981" s="8" t="n">
        <v>0.134144</v>
      </c>
      <c r="K981" s="8" t="n">
        <v>0.2715</v>
      </c>
      <c r="L981" s="8" t="n">
        <v>0.184599</v>
      </c>
      <c r="M981" s="8" t="n">
        <v>-0.051615</v>
      </c>
      <c r="N981" s="8" t="n">
        <v>0.236214</v>
      </c>
      <c r="O981" s="8" t="n">
        <v>0.2185</v>
      </c>
      <c r="P981" s="8" t="n">
        <v>0.401775</v>
      </c>
      <c r="Q981" s="8" t="n">
        <v>0.056998</v>
      </c>
      <c r="R981" s="8" t="n">
        <v>0.344777</v>
      </c>
      <c r="S981" s="8" t="n">
        <v>0.1242</v>
      </c>
      <c r="T981" s="8" t="n"/>
      <c r="U981" s="8" t="n"/>
      <c r="V981" s="8" t="n"/>
      <c r="W981" s="8" t="n"/>
      <c r="X981" s="8" t="n"/>
      <c r="Y981" s="8" t="n"/>
      <c r="Z981" s="8" t="n"/>
      <c r="AA981" s="8" t="n"/>
    </row>
    <row r="982">
      <c r="A982" s="11" t="inlineStr">
        <is>
          <t>2026-09-04</t>
        </is>
      </c>
      <c r="B982" s="11" t="inlineStr">
        <is>
          <t>中间分位</t>
        </is>
      </c>
      <c r="C982" s="15" t="n">
        <v>0.74</v>
      </c>
      <c r="D982" s="13" t="n">
        <v>0.001989</v>
      </c>
      <c r="E982" s="13" t="n">
        <v>0.011654</v>
      </c>
      <c r="F982" s="13" t="n">
        <v>-0.009665</v>
      </c>
      <c r="G982" s="13" t="n">
        <v>0.8542</v>
      </c>
      <c r="H982" s="13" t="n">
        <v>0.112714</v>
      </c>
      <c r="I982" s="13" t="n">
        <v>-0.050079</v>
      </c>
      <c r="J982" s="13" t="n">
        <v>0.162793</v>
      </c>
      <c r="K982" s="13" t="n">
        <v>0.3076</v>
      </c>
      <c r="L982" s="13" t="n">
        <v>0.203283</v>
      </c>
      <c r="M982" s="13" t="n">
        <v>-0.07023600000000001</v>
      </c>
      <c r="N982" s="13" t="n">
        <v>0.273519</v>
      </c>
      <c r="O982" s="13" t="n">
        <v>0.2568</v>
      </c>
      <c r="P982" s="13" t="n">
        <v>0.386412</v>
      </c>
      <c r="Q982" s="13" t="n">
        <v>0.017008</v>
      </c>
      <c r="R982" s="13" t="n">
        <v>0.369404</v>
      </c>
      <c r="S982" s="13" t="n">
        <v>0.0422</v>
      </c>
      <c r="T982" s="13" t="n"/>
      <c r="U982" s="13" t="n"/>
      <c r="V982" s="13" t="n"/>
      <c r="W982" s="13" t="n"/>
      <c r="X982" s="13" t="n"/>
      <c r="Y982" s="13" t="n"/>
      <c r="Z982" s="13" t="n"/>
      <c r="AA982" s="13" t="n"/>
    </row>
    <row r="983">
      <c r="A983" s="6" t="inlineStr">
        <is>
          <t>2026-09-07</t>
        </is>
      </c>
      <c r="B983" s="6" t="inlineStr">
        <is>
          <t>中间分位</t>
        </is>
      </c>
      <c r="C983" s="10" t="n">
        <v>0.72</v>
      </c>
      <c r="D983" s="8" t="n">
        <v>0.01043</v>
      </c>
      <c r="E983" s="8" t="n">
        <v>0.045766</v>
      </c>
      <c r="F983" s="8" t="n">
        <v>-0.035336</v>
      </c>
      <c r="G983" s="8" t="n">
        <v>0.8144</v>
      </c>
      <c r="H983" s="8" t="n">
        <v>0.09858699999999999</v>
      </c>
      <c r="I983" s="8" t="n">
        <v>-0.061021</v>
      </c>
      <c r="J983" s="8" t="n">
        <v>0.159608</v>
      </c>
      <c r="K983" s="8" t="n">
        <v>0.3823</v>
      </c>
      <c r="L983" s="8" t="n">
        <v>0.216787</v>
      </c>
      <c r="M983" s="8" t="n">
        <v>-0.08406</v>
      </c>
      <c r="N983" s="8" t="n">
        <v>0.300847</v>
      </c>
      <c r="O983" s="8" t="n">
        <v>0.2794</v>
      </c>
      <c r="P983" s="8" t="n">
        <v>0.206855</v>
      </c>
      <c r="Q983" s="8" t="n">
        <v>0.007161</v>
      </c>
      <c r="R983" s="8" t="n">
        <v>0.199694</v>
      </c>
      <c r="S983" s="8" t="n">
        <v>0.0335</v>
      </c>
      <c r="T983" s="8" t="n"/>
      <c r="U983" s="8" t="n"/>
      <c r="V983" s="8" t="n"/>
      <c r="W983" s="8" t="n"/>
      <c r="X983" s="8" t="n"/>
      <c r="Y983" s="8" t="n"/>
      <c r="Z983" s="8" t="n"/>
      <c r="AA983" s="8" t="n"/>
    </row>
    <row r="984">
      <c r="A984" s="11" t="inlineStr">
        <is>
          <t>2026-09-08</t>
        </is>
      </c>
      <c r="B984" s="11" t="inlineStr">
        <is>
          <t>中间分位</t>
        </is>
      </c>
      <c r="C984" s="15" t="n">
        <v>0.584</v>
      </c>
      <c r="D984" s="13" t="n">
        <v>0.060705</v>
      </c>
      <c r="E984" s="13" t="n">
        <v>0.015481</v>
      </c>
      <c r="F984" s="13" t="n">
        <v>0.045224</v>
      </c>
      <c r="G984" s="13" t="n">
        <v>0.2032</v>
      </c>
      <c r="H984" s="13" t="n">
        <v>0.115264</v>
      </c>
      <c r="I984" s="13" t="n">
        <v>-0.102114</v>
      </c>
      <c r="J984" s="13" t="n">
        <v>0.217378</v>
      </c>
      <c r="K984" s="13" t="n">
        <v>0.4698</v>
      </c>
      <c r="L984" s="13" t="n">
        <v>0.19538</v>
      </c>
      <c r="M984" s="13" t="n">
        <v>-0.123549</v>
      </c>
      <c r="N984" s="13" t="n">
        <v>0.318929</v>
      </c>
      <c r="O984" s="13" t="n">
        <v>0.3874</v>
      </c>
      <c r="P984" s="13" t="n">
        <v>0.145245</v>
      </c>
      <c r="Q984" s="13" t="n">
        <v>-0.028878</v>
      </c>
      <c r="R984" s="13" t="n">
        <v>0.174123</v>
      </c>
      <c r="S984" s="13" t="n">
        <v>0.1658</v>
      </c>
      <c r="T984" s="13" t="n"/>
      <c r="U984" s="13" t="n"/>
      <c r="V984" s="13" t="n"/>
      <c r="W984" s="13" t="n"/>
      <c r="X984" s="13" t="n"/>
      <c r="Y984" s="13" t="n"/>
      <c r="Z984" s="13" t="n"/>
      <c r="AA984" s="13" t="n"/>
    </row>
    <row r="985">
      <c r="A985" s="6" t="inlineStr">
        <is>
          <t>2026-09-09</t>
        </is>
      </c>
      <c r="B985" s="6" t="inlineStr">
        <is>
          <t>中间分位</t>
        </is>
      </c>
      <c r="C985" s="10" t="n">
        <v>0.736</v>
      </c>
      <c r="D985" s="8" t="n">
        <v>0.030584</v>
      </c>
      <c r="E985" s="8" t="n">
        <v>-0.107886</v>
      </c>
      <c r="F985" s="8" t="n">
        <v>0.13847</v>
      </c>
      <c r="G985" s="8" t="n">
        <v>0.7791</v>
      </c>
      <c r="H985" s="8" t="n">
        <v>0.062094</v>
      </c>
      <c r="I985" s="8" t="n">
        <v>-0.105248</v>
      </c>
      <c r="J985" s="8" t="n">
        <v>0.167342</v>
      </c>
      <c r="K985" s="8" t="n">
        <v>0.6289</v>
      </c>
      <c r="L985" s="8" t="n">
        <v>0.130212</v>
      </c>
      <c r="M985" s="8" t="n">
        <v>-0.169452</v>
      </c>
      <c r="N985" s="8" t="n">
        <v>0.299664</v>
      </c>
      <c r="O985" s="8" t="n">
        <v>0.5655</v>
      </c>
      <c r="P985" s="8" t="n">
        <v>0.11214</v>
      </c>
      <c r="Q985" s="8" t="n">
        <v>-0.07065399999999999</v>
      </c>
      <c r="R985" s="8" t="n">
        <v>0.182794</v>
      </c>
      <c r="S985" s="8" t="n">
        <v>0.3865</v>
      </c>
      <c r="T985" s="8" t="n"/>
      <c r="U985" s="8" t="n"/>
      <c r="V985" s="8" t="n"/>
      <c r="W985" s="8" t="n"/>
      <c r="X985" s="8" t="n"/>
      <c r="Y985" s="8" t="n"/>
      <c r="Z985" s="8" t="n"/>
      <c r="AA985" s="8" t="n"/>
    </row>
    <row r="986">
      <c r="A986" s="11" t="inlineStr">
        <is>
          <t>2026-09-10</t>
        </is>
      </c>
      <c r="B986" s="11" t="inlineStr">
        <is>
          <t>高分位</t>
        </is>
      </c>
      <c r="C986" s="15" t="n">
        <v>0.996</v>
      </c>
      <c r="D986" s="13" t="n">
        <v>0.005396</v>
      </c>
      <c r="E986" s="13" t="n">
        <v>-0.008873000000000001</v>
      </c>
      <c r="F986" s="13" t="n">
        <v>0.014269</v>
      </c>
      <c r="G986" s="13" t="n">
        <v>0.6218</v>
      </c>
      <c r="H986" s="13" t="n">
        <v>0.079136</v>
      </c>
      <c r="I986" s="13" t="n">
        <v>-0.015774</v>
      </c>
      <c r="J986" s="13" t="n">
        <v>0.09490999999999999</v>
      </c>
      <c r="K986" s="13" t="n">
        <v>0.1662</v>
      </c>
      <c r="L986" s="13" t="n">
        <v>0.083633</v>
      </c>
      <c r="M986" s="13" t="n">
        <v>-0.027276</v>
      </c>
      <c r="N986" s="13" t="n">
        <v>0.110909</v>
      </c>
      <c r="O986" s="13" t="n">
        <v>0.2459</v>
      </c>
      <c r="P986" s="13" t="n">
        <v>0.07643800000000001</v>
      </c>
      <c r="Q986" s="13" t="n">
        <v>0.048965</v>
      </c>
      <c r="R986" s="13" t="n">
        <v>0.027473</v>
      </c>
      <c r="S986" s="13" t="n">
        <v>0.3905</v>
      </c>
      <c r="T986" s="13" t="n"/>
      <c r="U986" s="13" t="n"/>
      <c r="V986" s="13" t="n"/>
      <c r="W986" s="13" t="n"/>
      <c r="X986" s="13" t="n"/>
      <c r="Y986" s="13" t="n"/>
      <c r="Z986" s="13" t="n"/>
      <c r="AA986" s="13" t="n"/>
    </row>
    <row r="987">
      <c r="A987" s="6" t="inlineStr">
        <is>
          <t>2026-09-11</t>
        </is>
      </c>
      <c r="B987" s="6" t="inlineStr">
        <is>
          <t>高分位</t>
        </is>
      </c>
      <c r="C987" s="10" t="n">
        <v>0.996</v>
      </c>
      <c r="D987" s="8" t="n">
        <v>-0.010733</v>
      </c>
      <c r="E987" s="8" t="n">
        <v>0</v>
      </c>
      <c r="F987" s="8" t="n">
        <v>-0.010733</v>
      </c>
      <c r="G987" s="8" t="n">
        <v>0</v>
      </c>
      <c r="H987" s="8" t="n">
        <v>0.08139399999999999</v>
      </c>
      <c r="I987" s="8" t="n">
        <v>-0.02122</v>
      </c>
      <c r="J987" s="8" t="n">
        <v>0.102614</v>
      </c>
      <c r="K987" s="8" t="n">
        <v>0.2068</v>
      </c>
      <c r="L987" s="8" t="n">
        <v>0.192306</v>
      </c>
      <c r="M987" s="8" t="n">
        <v>-0.024867</v>
      </c>
      <c r="N987" s="8" t="n">
        <v>0.217173</v>
      </c>
      <c r="O987" s="8" t="n">
        <v>0.1145</v>
      </c>
      <c r="P987" s="8" t="n">
        <v>0.064401</v>
      </c>
      <c r="Q987" s="8" t="n">
        <v>0.042109</v>
      </c>
      <c r="R987" s="8" t="n">
        <v>0.022292</v>
      </c>
      <c r="S987" s="8" t="n">
        <v>0.3954</v>
      </c>
      <c r="T987" s="8" t="n"/>
      <c r="U987" s="8" t="n"/>
      <c r="V987" s="8" t="n"/>
      <c r="W987" s="8" t="n"/>
      <c r="X987" s="8" t="n"/>
      <c r="Y987" s="8" t="n"/>
      <c r="Z987" s="8" t="n"/>
      <c r="AA987" s="8" t="n"/>
    </row>
    <row r="988">
      <c r="A988" s="11" t="inlineStr">
        <is>
          <t>2026-09-14</t>
        </is>
      </c>
      <c r="B988" s="11" t="inlineStr">
        <is>
          <t>高分位</t>
        </is>
      </c>
      <c r="C988" s="15" t="n">
        <v>0.992</v>
      </c>
      <c r="D988" s="13" t="n">
        <v>0.025769</v>
      </c>
      <c r="E988" s="13" t="n">
        <v>0</v>
      </c>
      <c r="F988" s="13" t="n">
        <v>0.025769</v>
      </c>
      <c r="G988" s="13" t="n">
        <v>0</v>
      </c>
      <c r="H988" s="13" t="n">
        <v>0.107593</v>
      </c>
      <c r="I988" s="13" t="n">
        <v>-0.024536</v>
      </c>
      <c r="J988" s="13" t="n">
        <v>0.132129</v>
      </c>
      <c r="K988" s="13" t="n">
        <v>0.1857</v>
      </c>
      <c r="L988" s="13" t="n">
        <v>0.247738</v>
      </c>
      <c r="M988" s="13" t="n">
        <v>-0.020889</v>
      </c>
      <c r="N988" s="13" t="n">
        <v>0.268627</v>
      </c>
      <c r="O988" s="13" t="n">
        <v>0.07779999999999999</v>
      </c>
      <c r="P988" s="13" t="n">
        <v>0.075949</v>
      </c>
      <c r="Q988" s="13" t="n">
        <v>0.046751</v>
      </c>
      <c r="R988" s="13" t="n">
        <v>0.029198</v>
      </c>
      <c r="S988" s="13" t="n">
        <v>0.381</v>
      </c>
      <c r="T988" s="13" t="n"/>
      <c r="U988" s="13" t="n"/>
      <c r="V988" s="13" t="n"/>
      <c r="W988" s="13" t="n"/>
      <c r="X988" s="13" t="n"/>
      <c r="Y988" s="13" t="n"/>
      <c r="Z988" s="13" t="n"/>
      <c r="AA988" s="13" t="n"/>
    </row>
    <row r="989">
      <c r="A989" s="6" t="inlineStr">
        <is>
          <t>2026-09-15</t>
        </is>
      </c>
      <c r="B989" s="6" t="inlineStr">
        <is>
          <t>高分位</t>
        </is>
      </c>
      <c r="C989" s="10" t="n">
        <v>0.998</v>
      </c>
      <c r="D989" s="8" t="n">
        <v>0.010136</v>
      </c>
      <c r="E989" s="8" t="n">
        <v>0.011936</v>
      </c>
      <c r="F989" s="8" t="n">
        <v>-0.0018</v>
      </c>
      <c r="G989" s="8" t="n">
        <v>0.5407999999999999</v>
      </c>
      <c r="H989" s="8" t="n">
        <v>0.071836</v>
      </c>
      <c r="I989" s="8" t="n">
        <v>-0.023873</v>
      </c>
      <c r="J989" s="8" t="n">
        <v>0.095709</v>
      </c>
      <c r="K989" s="8" t="n">
        <v>0.2494</v>
      </c>
      <c r="L989" s="8" t="n">
        <v>0.212427</v>
      </c>
      <c r="M989" s="8" t="n">
        <v>-0.014589</v>
      </c>
      <c r="N989" s="8" t="n">
        <v>0.227016</v>
      </c>
      <c r="O989" s="8" t="n">
        <v>0.0643</v>
      </c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</row>
    <row r="990">
      <c r="A990" s="11" t="inlineStr">
        <is>
          <t>2026-09-16</t>
        </is>
      </c>
      <c r="B990" s="11" t="inlineStr">
        <is>
          <t>高分位</t>
        </is>
      </c>
      <c r="C990" s="15" t="n">
        <v>0.996</v>
      </c>
      <c r="D990" s="13" t="n">
        <v>0.04712</v>
      </c>
      <c r="E990" s="13" t="n">
        <v>-0.018676</v>
      </c>
      <c r="F990" s="13" t="n">
        <v>0.06579599999999999</v>
      </c>
      <c r="G990" s="13" t="n">
        <v>0.2838</v>
      </c>
      <c r="H990" s="13" t="n">
        <v>0.064136</v>
      </c>
      <c r="I990" s="13" t="n">
        <v>-0.071756</v>
      </c>
      <c r="J990" s="13" t="n">
        <v>0.135892</v>
      </c>
      <c r="K990" s="13" t="n">
        <v>0.528</v>
      </c>
      <c r="L990" s="13" t="n">
        <v>0.176264</v>
      </c>
      <c r="M990" s="13" t="n">
        <v>0.048493</v>
      </c>
      <c r="N990" s="13" t="n">
        <v>0.127771</v>
      </c>
      <c r="O990" s="13" t="n">
        <v>0.2158</v>
      </c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</row>
    <row r="991">
      <c r="A991" s="6" t="inlineStr">
        <is>
          <t>2026-09-17</t>
        </is>
      </c>
      <c r="B991" s="6" t="inlineStr">
        <is>
          <t>高分位</t>
        </is>
      </c>
      <c r="C991" s="10" t="n">
        <v>0.998</v>
      </c>
      <c r="D991" s="8" t="n">
        <v>0.0075</v>
      </c>
      <c r="E991" s="8" t="n">
        <v>-0.014357</v>
      </c>
      <c r="F991" s="8" t="n">
        <v>0.021857</v>
      </c>
      <c r="G991" s="8" t="n">
        <v>0.6569</v>
      </c>
      <c r="H991" s="8" t="n">
        <v>0.004168</v>
      </c>
      <c r="I991" s="8" t="n">
        <v>-0.011686</v>
      </c>
      <c r="J991" s="8" t="n">
        <v>0.015854</v>
      </c>
      <c r="K991" s="8" t="n">
        <v>0.7371</v>
      </c>
      <c r="L991" s="8" t="n">
        <v>0.183332</v>
      </c>
      <c r="M991" s="8" t="n">
        <v>0.114524</v>
      </c>
      <c r="N991" s="8" t="n">
        <v>0.06880799999999999</v>
      </c>
      <c r="O991" s="8" t="n">
        <v>0.3845</v>
      </c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</row>
    <row r="992">
      <c r="A992" s="11" t="inlineStr">
        <is>
          <t>2026-09-18</t>
        </is>
      </c>
      <c r="B992" s="11" t="inlineStr">
        <is>
          <t>高分位</t>
        </is>
      </c>
      <c r="C992" s="15" t="n">
        <v>0.998</v>
      </c>
      <c r="D992" s="13" t="n">
        <v>0.013233</v>
      </c>
      <c r="E992" s="13" t="n">
        <v>-0.003388</v>
      </c>
      <c r="F992" s="13" t="n">
        <v>0.016621</v>
      </c>
      <c r="G992" s="13" t="n">
        <v>0.2038</v>
      </c>
      <c r="H992" s="13" t="n">
        <v>0.102563</v>
      </c>
      <c r="I992" s="13" t="n">
        <v>-0.003726</v>
      </c>
      <c r="J992" s="13" t="n">
        <v>0.106289</v>
      </c>
      <c r="K992" s="13" t="n">
        <v>0.0351</v>
      </c>
      <c r="L992" s="13" t="n">
        <v>0.152191</v>
      </c>
      <c r="M992" s="13" t="n">
        <v>0.093835</v>
      </c>
      <c r="N992" s="13" t="n">
        <v>0.058356</v>
      </c>
      <c r="O992" s="13" t="n">
        <v>0.3814</v>
      </c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</row>
    <row r="993">
      <c r="A993" s="6" t="inlineStr">
        <is>
          <t>2026-09-21</t>
        </is>
      </c>
      <c r="B993" s="6" t="inlineStr">
        <is>
          <t>高分位</t>
        </is>
      </c>
      <c r="C993" s="10" t="n">
        <v>0.998</v>
      </c>
      <c r="D993" s="8" t="n">
        <v>-0.007347</v>
      </c>
      <c r="E993" s="8" t="n">
        <v>0.00068</v>
      </c>
      <c r="F993" s="8" t="n">
        <v>-0.008026999999999999</v>
      </c>
      <c r="G993" s="8" t="n">
        <v>0.0847</v>
      </c>
      <c r="H993" s="8" t="n">
        <v>0.126532</v>
      </c>
      <c r="I993" s="8" t="n">
        <v>0.003739</v>
      </c>
      <c r="J993" s="8" t="n">
        <v>0.122793</v>
      </c>
      <c r="K993" s="8" t="n">
        <v>0.0287</v>
      </c>
      <c r="L993" s="8" t="n">
        <v>-0.008162000000000001</v>
      </c>
      <c r="M993" s="8" t="n">
        <v>0.099592</v>
      </c>
      <c r="N993" s="8" t="n">
        <v>-0.107754</v>
      </c>
      <c r="O993" s="8" t="n">
        <v>0.9243</v>
      </c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</row>
    <row r="994">
      <c r="A994" s="11" t="inlineStr">
        <is>
          <t>2026-09-22</t>
        </is>
      </c>
      <c r="B994" s="11" t="inlineStr">
        <is>
          <t>高分位</t>
        </is>
      </c>
      <c r="C994" s="15" t="n">
        <v>0.996</v>
      </c>
      <c r="D994" s="13" t="n">
        <v>0.002879</v>
      </c>
      <c r="E994" s="13" t="n">
        <v>-0.037704</v>
      </c>
      <c r="F994" s="13" t="n">
        <v>0.040583</v>
      </c>
      <c r="G994" s="13" t="n">
        <v>0.9291</v>
      </c>
      <c r="H994" s="13" t="n">
        <v>0.131169</v>
      </c>
      <c r="I994" s="13" t="n">
        <v>0.009511</v>
      </c>
      <c r="J994" s="13" t="n">
        <v>0.121658</v>
      </c>
      <c r="K994" s="13" t="n">
        <v>0.06759999999999999</v>
      </c>
      <c r="L994" s="13" t="n">
        <v>-0.041941</v>
      </c>
      <c r="M994" s="13" t="n">
        <v>0.108016</v>
      </c>
      <c r="N994" s="13" t="n">
        <v>-0.149957</v>
      </c>
      <c r="O994" s="13" t="n">
        <v>0.7203000000000001</v>
      </c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</row>
    <row r="995">
      <c r="A995" s="6" t="inlineStr">
        <is>
          <t>2026-09-23</t>
        </is>
      </c>
      <c r="B995" s="6" t="inlineStr">
        <is>
          <t>高分位</t>
        </is>
      </c>
      <c r="C995" s="10" t="n">
        <v>0.998</v>
      </c>
      <c r="D995" s="8" t="n">
        <v>-0.011889</v>
      </c>
      <c r="E995" s="8" t="n">
        <v>0.044829</v>
      </c>
      <c r="F995" s="8" t="n">
        <v>-0.056718</v>
      </c>
      <c r="G995" s="8" t="n">
        <v>0.7904</v>
      </c>
      <c r="H995" s="8" t="n">
        <v>0.10537</v>
      </c>
      <c r="I995" s="8" t="n">
        <v>0.129545</v>
      </c>
      <c r="J995" s="8" t="n">
        <v>-0.024175</v>
      </c>
      <c r="K995" s="8" t="n">
        <v>0.5515</v>
      </c>
      <c r="L995" s="8" t="n">
        <v>-0.01599</v>
      </c>
      <c r="M995" s="8" t="n">
        <v>0.118955</v>
      </c>
      <c r="N995" s="8" t="n">
        <v>-0.134945</v>
      </c>
      <c r="O995" s="8" t="n">
        <v>0.8815</v>
      </c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</row>
    <row r="996">
      <c r="A996" s="11" t="inlineStr">
        <is>
          <t>2026-09-24</t>
        </is>
      </c>
      <c r="B996" s="11" t="inlineStr">
        <is>
          <t>高分位</t>
        </is>
      </c>
      <c r="C996" s="15" t="n">
        <v>0.984</v>
      </c>
      <c r="D996" s="13" t="n">
        <v>0.106222</v>
      </c>
      <c r="E996" s="13" t="n">
        <v>-0.006419</v>
      </c>
      <c r="F996" s="13" t="n">
        <v>0.112641</v>
      </c>
      <c r="G996" s="13" t="n">
        <v>0.057</v>
      </c>
      <c r="H996" s="13" t="n">
        <v>0.178421</v>
      </c>
      <c r="I996" s="13" t="n">
        <v>0.127703</v>
      </c>
      <c r="J996" s="13" t="n">
        <v>0.050718</v>
      </c>
      <c r="K996" s="13" t="n">
        <v>0.4172</v>
      </c>
      <c r="L996" s="13" t="n">
        <v>-0.00664</v>
      </c>
      <c r="M996" s="13" t="n">
        <v>0.078378</v>
      </c>
      <c r="N996" s="13" t="n">
        <v>-0.085018</v>
      </c>
      <c r="O996" s="13" t="n">
        <v>0.9219000000000001</v>
      </c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</row>
    <row r="997">
      <c r="A997" s="6" t="inlineStr">
        <is>
          <t>2026-09-28</t>
        </is>
      </c>
      <c r="B997" s="6" t="inlineStr">
        <is>
          <t>高分位</t>
        </is>
      </c>
      <c r="C997" s="10" t="n">
        <v>0.998</v>
      </c>
      <c r="D997" s="8" t="n">
        <v>0.03526</v>
      </c>
      <c r="E997" s="8" t="n">
        <v>0.00408</v>
      </c>
      <c r="F997" s="8" t="n">
        <v>0.03118</v>
      </c>
      <c r="G997" s="8" t="n">
        <v>0.1037</v>
      </c>
      <c r="H997" s="8" t="n">
        <v>0.045011</v>
      </c>
      <c r="I997" s="8" t="n">
        <v>0.097926</v>
      </c>
      <c r="J997" s="8" t="n">
        <v>-0.052915</v>
      </c>
      <c r="K997" s="8" t="n">
        <v>0.6851</v>
      </c>
      <c r="L997" s="8" t="n">
        <v>-0.107275</v>
      </c>
      <c r="M997" s="8" t="n">
        <v>0.068684</v>
      </c>
      <c r="N997" s="8" t="n">
        <v>-0.175959</v>
      </c>
      <c r="O997" s="8" t="n">
        <v>0.3903</v>
      </c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</row>
    <row r="998">
      <c r="A998" s="11" t="inlineStr">
        <is>
          <t>2026-09-29</t>
        </is>
      </c>
      <c r="B998" s="11" t="inlineStr">
        <is>
          <t>高分位</t>
        </is>
      </c>
      <c r="C998" s="15" t="n">
        <v>0.998</v>
      </c>
      <c r="D998" s="13" t="n">
        <v>-0.003261</v>
      </c>
      <c r="E998" s="13" t="n">
        <v>0.006434</v>
      </c>
      <c r="F998" s="13" t="n">
        <v>-0.009695</v>
      </c>
      <c r="G998" s="13" t="n">
        <v>0.6636</v>
      </c>
      <c r="H998" s="13" t="n">
        <v>-0.119565</v>
      </c>
      <c r="I998" s="13" t="n">
        <v>0.095496</v>
      </c>
      <c r="J998" s="13" t="n">
        <v>-0.215061</v>
      </c>
      <c r="K998" s="13" t="n">
        <v>0.444</v>
      </c>
      <c r="L998" s="13" t="n">
        <v>-0.13768</v>
      </c>
      <c r="M998" s="13" t="n">
        <v>0.069082</v>
      </c>
      <c r="N998" s="13" t="n">
        <v>-0.206762</v>
      </c>
      <c r="O998" s="13" t="n">
        <v>0.3341</v>
      </c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</row>
    <row r="999">
      <c r="A999" s="6" t="inlineStr">
        <is>
          <t>2026-09-30</t>
        </is>
      </c>
      <c r="B999" s="6" t="inlineStr">
        <is>
          <t>高分位</t>
        </is>
      </c>
      <c r="C999" s="10" t="n">
        <v>0.996</v>
      </c>
      <c r="D999" s="8" t="n">
        <v>-0.019993</v>
      </c>
      <c r="E999" s="8" t="n">
        <v>0.07671600000000001</v>
      </c>
      <c r="F999" s="8" t="n">
        <v>-0.096709</v>
      </c>
      <c r="G999" s="8" t="n">
        <v>0.7933</v>
      </c>
      <c r="H999" s="8" t="n">
        <v>-0.153036</v>
      </c>
      <c r="I999" s="8" t="n">
        <v>0.097577</v>
      </c>
      <c r="J999" s="8" t="n">
        <v>-0.250613</v>
      </c>
      <c r="K999" s="8" t="n">
        <v>0.3894</v>
      </c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  <c r="AA999" s="8" t="n"/>
    </row>
    <row r="1000">
      <c r="A1000" s="11" t="inlineStr">
        <is>
          <t>2026-10-08</t>
        </is>
      </c>
      <c r="B1000" s="11" t="inlineStr">
        <is>
          <t>高分位</t>
        </is>
      </c>
      <c r="C1000" s="15" t="n">
        <v>0.984</v>
      </c>
      <c r="D1000" s="13" t="n">
        <v>0.053413</v>
      </c>
      <c r="E1000" s="13" t="n">
        <v>0.043125</v>
      </c>
      <c r="F1000" s="13" t="n">
        <v>0.010288</v>
      </c>
      <c r="G1000" s="13" t="n">
        <v>0.4467</v>
      </c>
      <c r="H1000" s="13" t="n">
        <v>-0.109792</v>
      </c>
      <c r="I1000" s="13" t="n">
        <v>-0.009375</v>
      </c>
      <c r="J1000" s="13" t="n">
        <v>-0.100417</v>
      </c>
      <c r="K1000" s="13" t="n">
        <v>0.07870000000000001</v>
      </c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  <c r="AA1000" s="13" t="n"/>
    </row>
    <row r="1001">
      <c r="A1001" s="6" t="inlineStr">
        <is>
          <t>2026-10-09</t>
        </is>
      </c>
      <c r="B1001" s="6" t="inlineStr">
        <is>
          <t>高分位</t>
        </is>
      </c>
      <c r="C1001" s="10" t="n">
        <v>0.984</v>
      </c>
      <c r="D1001" s="8" t="n">
        <v>-0.019014</v>
      </c>
      <c r="E1001" s="8" t="n">
        <v>-0.032654</v>
      </c>
      <c r="F1001" s="8" t="n">
        <v>0.01364</v>
      </c>
      <c r="G1001" s="8" t="n">
        <v>0.632</v>
      </c>
      <c r="H1001" s="8" t="n">
        <v>-0.157042</v>
      </c>
      <c r="I1001" s="8" t="n">
        <v>-0.043739</v>
      </c>
      <c r="J1001" s="8" t="n">
        <v>-0.113303</v>
      </c>
      <c r="K1001" s="8" t="n">
        <v>0.2178</v>
      </c>
      <c r="L1001" s="8" t="n"/>
      <c r="M1001" s="8" t="n"/>
      <c r="N1001" s="8" t="n"/>
      <c r="O1001" s="8" t="n"/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  <c r="Z1001" s="8" t="n"/>
      <c r="AA1001" s="8" t="n"/>
    </row>
    <row r="1002">
      <c r="A1002" s="11" t="inlineStr">
        <is>
          <t>2026-10-12</t>
        </is>
      </c>
      <c r="B1002" s="11" t="inlineStr">
        <is>
          <t>高分位</t>
        </is>
      </c>
      <c r="C1002" s="15" t="n">
        <v>0.988</v>
      </c>
      <c r="D1002" s="13" t="n">
        <v>-0.127781</v>
      </c>
      <c r="E1002" s="13" t="n">
        <v>0.001858</v>
      </c>
      <c r="F1002" s="13" t="n">
        <v>-0.129639</v>
      </c>
      <c r="G1002" s="13" t="n">
        <v>0.0143</v>
      </c>
      <c r="H1002" s="13" t="n">
        <v>-0.145727</v>
      </c>
      <c r="I1002" s="13" t="n">
        <v>-0.026634</v>
      </c>
      <c r="J1002" s="13" t="n">
        <v>-0.119093</v>
      </c>
      <c r="K1002" s="13" t="n">
        <v>0.1545</v>
      </c>
      <c r="L1002" s="13" t="n"/>
      <c r="M1002" s="13" t="n"/>
      <c r="N1002" s="13" t="n"/>
      <c r="O1002" s="13" t="n"/>
      <c r="P1002" s="13" t="n"/>
      <c r="Q1002" s="13" t="n"/>
      <c r="R1002" s="13" t="n"/>
      <c r="S1002" s="13" t="n"/>
      <c r="T1002" s="13" t="n"/>
      <c r="U1002" s="13" t="n"/>
      <c r="V1002" s="13" t="n"/>
      <c r="W1002" s="13" t="n"/>
      <c r="X1002" s="13" t="n"/>
      <c r="Y1002" s="13" t="n"/>
      <c r="Z1002" s="13" t="n"/>
      <c r="AA1002" s="13" t="n"/>
    </row>
    <row r="1003">
      <c r="A1003" s="6" t="inlineStr">
        <is>
          <t>2026-10-13</t>
        </is>
      </c>
      <c r="B1003" s="6" t="inlineStr">
        <is>
          <t>高分位</t>
        </is>
      </c>
      <c r="C1003" s="10" t="n">
        <v>0.948</v>
      </c>
      <c r="D1003" s="8" t="n">
        <v>-0.041153</v>
      </c>
      <c r="E1003" s="8" t="n">
        <v>0.008345999999999999</v>
      </c>
      <c r="F1003" s="8" t="n">
        <v>-0.049499</v>
      </c>
      <c r="G1003" s="8" t="n">
        <v>0.1686</v>
      </c>
      <c r="H1003" s="8" t="n">
        <v>-0.020575</v>
      </c>
      <c r="I1003" s="8" t="n">
        <v>-0.024111</v>
      </c>
      <c r="J1003" s="8" t="n">
        <v>0.003536</v>
      </c>
      <c r="K1003" s="8" t="n">
        <v>0.5396</v>
      </c>
      <c r="L1003" s="8" t="n"/>
      <c r="M1003" s="8" t="n"/>
      <c r="N1003" s="8" t="n"/>
      <c r="O1003" s="8" t="n"/>
      <c r="P1003" s="8" t="n"/>
      <c r="Q1003" s="8" t="n"/>
      <c r="R1003" s="8" t="n"/>
      <c r="S1003" s="8" t="n"/>
      <c r="T1003" s="8" t="n"/>
      <c r="U1003" s="8" t="n"/>
      <c r="V1003" s="8" t="n"/>
      <c r="W1003" s="8" t="n"/>
      <c r="X1003" s="8" t="n"/>
      <c r="Y1003" s="8" t="n"/>
      <c r="Z1003" s="8" t="n"/>
      <c r="AA1003" s="8" t="n"/>
    </row>
    <row r="1004">
      <c r="A1004" s="11" t="inlineStr">
        <is>
          <t>2026-10-14</t>
        </is>
      </c>
      <c r="B1004" s="11" t="inlineStr">
        <is>
          <t>高分位</t>
        </is>
      </c>
      <c r="C1004" s="15" t="n">
        <v>0.92</v>
      </c>
      <c r="D1004" s="13" t="n">
        <v>0.030044</v>
      </c>
      <c r="E1004" s="13" t="n">
        <v>-0.028204</v>
      </c>
      <c r="F1004" s="13" t="n">
        <v>0.058248</v>
      </c>
      <c r="G1004" s="13" t="n">
        <v>0.4842</v>
      </c>
      <c r="H1004" s="13" t="n"/>
      <c r="I1004" s="13" t="n"/>
      <c r="J1004" s="13" t="n"/>
      <c r="K1004" s="13" t="n"/>
      <c r="L1004" s="13" t="n"/>
      <c r="M1004" s="13" t="n"/>
      <c r="N1004" s="13" t="n"/>
      <c r="O1004" s="13" t="n"/>
      <c r="P1004" s="13" t="n"/>
      <c r="Q1004" s="13" t="n"/>
      <c r="R1004" s="13" t="n"/>
      <c r="S1004" s="13" t="n"/>
      <c r="T1004" s="13" t="n"/>
      <c r="U1004" s="13" t="n"/>
      <c r="V1004" s="13" t="n"/>
      <c r="W1004" s="13" t="n"/>
      <c r="X1004" s="13" t="n"/>
      <c r="Y1004" s="13" t="n"/>
      <c r="Z1004" s="13" t="n"/>
      <c r="AA1004" s="13" t="n"/>
    </row>
    <row r="1005">
      <c r="A1005" s="6" t="inlineStr">
        <is>
          <t>2026-10-15</t>
        </is>
      </c>
      <c r="B1005" s="6" t="inlineStr">
        <is>
          <t>高分位</t>
        </is>
      </c>
      <c r="C1005" s="10" t="n">
        <v>0.952</v>
      </c>
      <c r="D1005" s="8" t="n">
        <v>-0.0025</v>
      </c>
      <c r="E1005" s="8" t="n">
        <v>0.00694</v>
      </c>
      <c r="F1005" s="8" t="n">
        <v>-0.00944</v>
      </c>
      <c r="G1005" s="8" t="n">
        <v>0.7352</v>
      </c>
      <c r="H1005" s="8" t="n"/>
      <c r="I1005" s="8" t="n"/>
      <c r="J1005" s="8" t="n"/>
      <c r="K1005" s="8" t="n"/>
      <c r="L1005" s="8" t="n"/>
      <c r="M1005" s="8" t="n"/>
      <c r="N1005" s="8" t="n"/>
      <c r="O1005" s="8" t="n"/>
      <c r="P1005" s="8" t="n"/>
      <c r="Q1005" s="8" t="n"/>
      <c r="R1005" s="8" t="n"/>
      <c r="S1005" s="8" t="n"/>
      <c r="T1005" s="8" t="n"/>
      <c r="U1005" s="8" t="n"/>
      <c r="V1005" s="8" t="n"/>
      <c r="W1005" s="8" t="n"/>
      <c r="X1005" s="8" t="n"/>
      <c r="Y1005" s="8" t="n"/>
      <c r="Z1005" s="8" t="n"/>
      <c r="AA1005" s="8" t="n"/>
    </row>
    <row r="1006">
      <c r="A1006" s="11" t="inlineStr">
        <is>
          <t>2026-10-16</t>
        </is>
      </c>
      <c r="B1006" s="11" t="inlineStr">
        <is>
          <t>高分位</t>
        </is>
      </c>
      <c r="C1006" s="15" t="n">
        <v>0.9360000000000001</v>
      </c>
      <c r="D1006" s="13" t="n">
        <v>-0.005847</v>
      </c>
      <c r="E1006" s="13" t="n">
        <v>-0.015351</v>
      </c>
      <c r="F1006" s="13" t="n">
        <v>0.009504</v>
      </c>
      <c r="G1006" s="13" t="n">
        <v>0.7242</v>
      </c>
      <c r="H1006" s="13" t="n"/>
      <c r="I1006" s="13" t="n"/>
      <c r="J1006" s="13" t="n"/>
      <c r="K1006" s="13" t="n"/>
      <c r="L1006" s="13" t="n"/>
      <c r="M1006" s="13" t="n"/>
      <c r="N1006" s="13" t="n"/>
      <c r="O1006" s="13" t="n"/>
      <c r="P1006" s="13" t="n"/>
      <c r="Q1006" s="13" t="n"/>
      <c r="R1006" s="13" t="n"/>
      <c r="S1006" s="13" t="n"/>
      <c r="T1006" s="13" t="n"/>
      <c r="U1006" s="13" t="n"/>
      <c r="V1006" s="13" t="n"/>
      <c r="W1006" s="13" t="n"/>
      <c r="X1006" s="13" t="n"/>
      <c r="Y1006" s="13" t="n"/>
      <c r="Z1006" s="13" t="n"/>
      <c r="AA1006" s="13" t="n"/>
    </row>
    <row r="1007">
      <c r="A1007" s="6" t="inlineStr">
        <is>
          <t>2026-10-19</t>
        </is>
      </c>
      <c r="B1007" s="6" t="inlineStr">
        <is>
          <t>高分位</t>
        </is>
      </c>
      <c r="C1007" s="10" t="n">
        <v>0.952</v>
      </c>
      <c r="D1007" s="8" t="n">
        <v>0</v>
      </c>
      <c r="E1007" s="8" t="n">
        <v>0.004454</v>
      </c>
      <c r="F1007" s="8" t="n">
        <v>-0.004454</v>
      </c>
      <c r="G1007" s="8" t="n">
        <v>1</v>
      </c>
      <c r="H1007" s="8" t="n"/>
      <c r="I1007" s="8" t="n"/>
      <c r="J1007" s="8" t="n"/>
      <c r="K1007" s="8" t="n"/>
      <c r="L1007" s="8" t="n"/>
      <c r="M1007" s="8" t="n"/>
      <c r="N1007" s="8" t="n"/>
      <c r="O1007" s="8" t="n"/>
      <c r="P1007" s="8" t="n"/>
      <c r="Q1007" s="8" t="n"/>
      <c r="R1007" s="8" t="n"/>
      <c r="S1007" s="8" t="n"/>
      <c r="T1007" s="8" t="n"/>
      <c r="U1007" s="8" t="n"/>
      <c r="V1007" s="8" t="n"/>
      <c r="W1007" s="8" t="n"/>
      <c r="X1007" s="8" t="n"/>
      <c r="Y1007" s="8" t="n"/>
      <c r="Z1007" s="8" t="n"/>
      <c r="AA1007" s="8" t="n"/>
    </row>
    <row r="1008">
      <c r="A1008" s="11" t="inlineStr">
        <is>
          <t>2026-10-20</t>
        </is>
      </c>
      <c r="B1008" s="11" t="inlineStr">
        <is>
          <t>高分位</t>
        </is>
      </c>
      <c r="C1008" s="15" t="n">
        <v>0.944</v>
      </c>
      <c r="D1008" s="13" t="n"/>
      <c r="E1008" s="13" t="n"/>
      <c r="F1008" s="13" t="n"/>
      <c r="G1008" s="13" t="n"/>
      <c r="H1008" s="13" t="n"/>
      <c r="I1008" s="13" t="n"/>
      <c r="J1008" s="13" t="n"/>
      <c r="K1008" s="13" t="n"/>
      <c r="L1008" s="13" t="n"/>
      <c r="M1008" s="13" t="n"/>
      <c r="N1008" s="13" t="n"/>
      <c r="O1008" s="13" t="n"/>
      <c r="P1008" s="13" t="n"/>
      <c r="Q1008" s="13" t="n"/>
      <c r="R1008" s="13" t="n"/>
      <c r="S1008" s="13" t="n"/>
      <c r="T1008" s="13" t="n"/>
      <c r="U1008" s="13" t="n"/>
      <c r="V1008" s="13" t="n"/>
      <c r="W1008" s="13" t="n"/>
      <c r="X1008" s="13" t="n"/>
      <c r="Y1008" s="13" t="n"/>
      <c r="Z1008" s="13" t="n"/>
      <c r="AA1008" s="13" t="n"/>
    </row>
  </sheetData>
  <autoFilter ref="A4:AA1008"/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11" customWidth="1" min="16" max="16"/>
    <col width="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9" customWidth="1" min="23" max="23"/>
    <col width="9" customWidth="1" min="24" max="24"/>
  </cols>
  <sheetData>
    <row r="1" ht="24" customHeight="1">
      <c r="A1" s="1" t="inlineStr">
        <is>
          <t>04 分组统计：低/中/高分位 × 观察期</t>
        </is>
      </c>
    </row>
    <row r="2">
      <c r="A2" s="2" t="inlineStr">
        <is>
          <t>均值/中位/离散度/分位数/样本量。信息检验口径。</t>
        </is>
      </c>
    </row>
    <row r="4" ht="30" customHeight="1">
      <c r="A4" s="3" t="inlineStr">
        <is>
          <t>分组</t>
        </is>
      </c>
      <c r="B4" s="3" t="inlineStr">
        <is>
          <t>观察期</t>
        </is>
      </c>
      <c r="C4" s="3" t="inlineStr">
        <is>
          <t>观察期(日)</t>
        </is>
      </c>
      <c r="D4" s="3" t="inlineStr">
        <is>
          <t>样本量</t>
        </is>
      </c>
      <c r="E4" s="3" t="inlineStr">
        <is>
          <t>基差-均值</t>
        </is>
      </c>
      <c r="F4" s="3" t="inlineStr">
        <is>
          <t>基差-中位</t>
        </is>
      </c>
      <c r="G4" s="3" t="inlineStr">
        <is>
          <t>基差-标准差</t>
        </is>
      </c>
      <c r="H4" s="3" t="inlineStr">
        <is>
          <t>基差-P10</t>
        </is>
      </c>
      <c r="I4" s="3" t="inlineStr">
        <is>
          <t>基差-P25</t>
        </is>
      </c>
      <c r="J4" s="3" t="inlineStr">
        <is>
          <t>基差-P75</t>
        </is>
      </c>
      <c r="K4" s="3" t="inlineStr">
        <is>
          <t>基差-P90</t>
        </is>
      </c>
      <c r="L4" s="3" t="inlineStr">
        <is>
          <t>偏度</t>
        </is>
      </c>
      <c r="M4" s="3" t="inlineStr">
        <is>
          <t>超额峰度</t>
        </is>
      </c>
      <c r="N4" s="3" t="inlineStr">
        <is>
          <t>正收益占比</t>
        </is>
      </c>
      <c r="O4" s="3" t="inlineStr">
        <is>
          <t>负收益占比</t>
        </is>
      </c>
      <c r="P4" s="3" t="inlineStr">
        <is>
          <t>均值抽样偏度</t>
        </is>
      </c>
      <c r="Q4" s="3" t="inlineStr">
        <is>
          <t>正部占比</t>
        </is>
      </c>
      <c r="R4" s="3" t="inlineStr">
        <is>
          <t>现货-均值</t>
        </is>
      </c>
      <c r="S4" s="3" t="inlineStr">
        <is>
          <t>现货-中位</t>
        </is>
      </c>
      <c r="T4" s="3" t="inlineStr">
        <is>
          <t>期货-均值</t>
        </is>
      </c>
      <c r="U4" s="3" t="inlineStr">
        <is>
          <t>期货-中位</t>
        </is>
      </c>
      <c r="V4" s="3" t="inlineStr">
        <is>
          <t>换月日占比</t>
        </is>
      </c>
      <c r="W4" s="3" t="inlineStr">
        <is>
          <t>最小</t>
        </is>
      </c>
      <c r="X4" s="3" t="inlineStr">
        <is>
          <t>最大</t>
        </is>
      </c>
    </row>
    <row r="5">
      <c r="A5" s="6" t="inlineStr">
        <is>
          <t>低分位</t>
        </is>
      </c>
      <c r="B5" s="6" t="inlineStr">
        <is>
          <t>1周</t>
        </is>
      </c>
      <c r="C5" s="6" t="n">
        <v>5</v>
      </c>
      <c r="D5" s="6" t="n">
        <v>108</v>
      </c>
      <c r="E5" s="8" t="n">
        <v>0.01557761111111111</v>
      </c>
      <c r="F5" s="8" t="n">
        <v>0.009798000000000001</v>
      </c>
      <c r="G5" s="8" t="n">
        <v>0.03237069826819799</v>
      </c>
      <c r="H5" s="8" t="n">
        <v>-0.0126588</v>
      </c>
      <c r="I5" s="8" t="n">
        <v>-0.00137425</v>
      </c>
      <c r="J5" s="8" t="n">
        <v>0.0260095</v>
      </c>
      <c r="K5" s="8" t="n">
        <v>0.042239</v>
      </c>
      <c r="L5" s="6" t="n">
        <v>3.436513992100706</v>
      </c>
      <c r="M5" s="6" t="n">
        <v>19.56010670111111</v>
      </c>
      <c r="N5" s="8" t="n">
        <v>0.7314814814814815</v>
      </c>
      <c r="O5" s="8" t="n">
        <v>0.2685185185185185</v>
      </c>
      <c r="P5" s="6" t="n">
        <v>0.3306787130688763</v>
      </c>
      <c r="Q5" s="8" t="n">
        <v>0.8596336417528353</v>
      </c>
      <c r="R5" s="8" t="n">
        <v>0.01564164814814815</v>
      </c>
      <c r="S5" s="8" t="n">
        <v>0.009615499999999999</v>
      </c>
      <c r="T5" s="8" t="n">
        <v>6.403703703703676e-05</v>
      </c>
      <c r="U5" s="8" t="n">
        <v>-0.0039795</v>
      </c>
      <c r="V5" s="8" t="n">
        <v>0.03703703703703703</v>
      </c>
      <c r="W5" s="8" t="n">
        <v>-0.030871</v>
      </c>
      <c r="X5" s="8" t="n">
        <v>0.237306</v>
      </c>
    </row>
    <row r="6">
      <c r="A6" s="11" t="inlineStr">
        <is>
          <t>中间分位</t>
        </is>
      </c>
      <c r="B6" s="11" t="inlineStr">
        <is>
          <t>1周</t>
        </is>
      </c>
      <c r="C6" s="11" t="n">
        <v>5</v>
      </c>
      <c r="D6" s="11" t="n">
        <v>718</v>
      </c>
      <c r="E6" s="13" t="n">
        <v>0.002042151810584958</v>
      </c>
      <c r="F6" s="13" t="n">
        <v>-0.001046</v>
      </c>
      <c r="G6" s="13" t="n">
        <v>0.03086440537514083</v>
      </c>
      <c r="H6" s="13" t="n">
        <v>-0.0291681</v>
      </c>
      <c r="I6" s="13" t="n">
        <v>-0.01493975</v>
      </c>
      <c r="J6" s="13" t="n">
        <v>0.01646925</v>
      </c>
      <c r="K6" s="13" t="n">
        <v>0.03199180000000001</v>
      </c>
      <c r="L6" s="11" t="n">
        <v>1.905368360816397</v>
      </c>
      <c r="M6" s="11" t="n">
        <v>9.108007234216922</v>
      </c>
      <c r="N6" s="13" t="n">
        <v>0.4749303621169916</v>
      </c>
      <c r="O6" s="13" t="n">
        <v>0.5250696378830083</v>
      </c>
      <c r="P6" s="11" t="n">
        <v>0.07110771567818495</v>
      </c>
      <c r="Q6" s="13" t="n">
        <v>0.549119864777955</v>
      </c>
      <c r="R6" s="13" t="n">
        <v>0.004549745125348189</v>
      </c>
      <c r="S6" s="13" t="n">
        <v>0</v>
      </c>
      <c r="T6" s="13" t="n">
        <v>0.002507593314763231</v>
      </c>
      <c r="U6" s="13" t="n">
        <v>-0.000627</v>
      </c>
      <c r="V6" s="13" t="n">
        <v>0.008356545961002786</v>
      </c>
      <c r="W6" s="13" t="n">
        <v>-0.104106</v>
      </c>
      <c r="X6" s="13" t="n">
        <v>0.217378</v>
      </c>
    </row>
    <row r="7">
      <c r="A7" s="6" t="inlineStr">
        <is>
          <t>高分位</t>
        </is>
      </c>
      <c r="B7" s="6" t="inlineStr">
        <is>
          <t>1周</t>
        </is>
      </c>
      <c r="C7" s="6" t="n">
        <v>5</v>
      </c>
      <c r="D7" s="6" t="n">
        <v>153</v>
      </c>
      <c r="E7" s="8" t="n">
        <v>-0.01328163398692811</v>
      </c>
      <c r="F7" s="8" t="n">
        <v>-0.013733</v>
      </c>
      <c r="G7" s="8" t="n">
        <v>0.05586766331436512</v>
      </c>
      <c r="H7" s="8" t="n">
        <v>-0.0664488</v>
      </c>
      <c r="I7" s="8" t="n">
        <v>-0.035435</v>
      </c>
      <c r="J7" s="8" t="n">
        <v>0.01289</v>
      </c>
      <c r="K7" s="8" t="n">
        <v>0.04414960000000003</v>
      </c>
      <c r="L7" s="6" t="n">
        <v>-0.4917225063358117</v>
      </c>
      <c r="M7" s="6" t="n">
        <v>3.110889354975881</v>
      </c>
      <c r="N7" s="8" t="n">
        <v>0.3529411764705883</v>
      </c>
      <c r="O7" s="8" t="n">
        <v>0.6470588235294118</v>
      </c>
      <c r="P7" s="6" t="n">
        <v>-0.03975340847286276</v>
      </c>
      <c r="Q7" s="8" t="n">
        <v>0.3339781102643717</v>
      </c>
      <c r="R7" s="8" t="n">
        <v>-0.01508443137254902</v>
      </c>
      <c r="S7" s="8" t="n">
        <v>-0.012829</v>
      </c>
      <c r="T7" s="8" t="n">
        <v>-0.001802797385620915</v>
      </c>
      <c r="U7" s="8" t="n">
        <v>-0.001596</v>
      </c>
      <c r="V7" s="8" t="n">
        <v>0.0196078431372549</v>
      </c>
      <c r="W7" s="8" t="n">
        <v>-0.250613</v>
      </c>
      <c r="X7" s="8" t="n">
        <v>0.135892</v>
      </c>
    </row>
    <row r="8">
      <c r="A8" s="11" t="inlineStr">
        <is>
          <t>低分位</t>
        </is>
      </c>
      <c r="B8" s="11" t="inlineStr">
        <is>
          <t>2周</t>
        </is>
      </c>
      <c r="C8" s="11" t="n">
        <v>10</v>
      </c>
      <c r="D8" s="11" t="n">
        <v>108</v>
      </c>
      <c r="E8" s="13" t="n">
        <v>0.01718069444444445</v>
      </c>
      <c r="F8" s="13" t="n">
        <v>0.0143945</v>
      </c>
      <c r="G8" s="13" t="n">
        <v>0.0256680875904424</v>
      </c>
      <c r="H8" s="13" t="n">
        <v>-0.01180669999999999</v>
      </c>
      <c r="I8" s="13" t="n">
        <v>-0.0005957499999999999</v>
      </c>
      <c r="J8" s="13" t="n">
        <v>0.033259</v>
      </c>
      <c r="K8" s="13" t="n">
        <v>0.0504756</v>
      </c>
      <c r="L8" s="11" t="n">
        <v>0.3595732026375816</v>
      </c>
      <c r="M8" s="11" t="n">
        <v>0.06325497698257987</v>
      </c>
      <c r="N8" s="13" t="n">
        <v>0.7407407407407407</v>
      </c>
      <c r="O8" s="13" t="n">
        <v>0.2592592592592592</v>
      </c>
      <c r="P8" s="11" t="n">
        <v>0.0345999475560306</v>
      </c>
      <c r="Q8" s="13" t="n">
        <v>0.857679571813497</v>
      </c>
      <c r="R8" s="13" t="n">
        <v>0.02003335185185185</v>
      </c>
      <c r="S8" s="13" t="n">
        <v>0.0168275</v>
      </c>
      <c r="T8" s="13" t="n">
        <v>0.002852657407407407</v>
      </c>
      <c r="U8" s="13" t="n">
        <v>-0.0042445</v>
      </c>
      <c r="V8" s="13" t="n">
        <v>0.03703703703703703</v>
      </c>
      <c r="W8" s="13" t="n">
        <v>-0.040313</v>
      </c>
      <c r="X8" s="13" t="n">
        <v>0.087923</v>
      </c>
    </row>
    <row r="9">
      <c r="A9" s="6" t="inlineStr">
        <is>
          <t>中间分位</t>
        </is>
      </c>
      <c r="B9" s="6" t="inlineStr">
        <is>
          <t>2周</t>
        </is>
      </c>
      <c r="C9" s="6" t="n">
        <v>10</v>
      </c>
      <c r="D9" s="6" t="n">
        <v>718</v>
      </c>
      <c r="E9" s="8" t="n">
        <v>0.005661615598885793</v>
      </c>
      <c r="F9" s="8" t="n">
        <v>2.65e-05</v>
      </c>
      <c r="G9" s="8" t="n">
        <v>0.04616725260523555</v>
      </c>
      <c r="H9" s="8" t="n">
        <v>-0.0322092</v>
      </c>
      <c r="I9" s="8" t="n">
        <v>-0.0180995</v>
      </c>
      <c r="J9" s="8" t="n">
        <v>0.0161905</v>
      </c>
      <c r="K9" s="8" t="n">
        <v>0.04248890000000001</v>
      </c>
      <c r="L9" s="6" t="n">
        <v>2.893761558882215</v>
      </c>
      <c r="M9" s="6" t="n">
        <v>14.09201475674865</v>
      </c>
      <c r="N9" s="8" t="n">
        <v>0.5013927576601671</v>
      </c>
      <c r="O9" s="8" t="n">
        <v>0.4986072423398329</v>
      </c>
      <c r="P9" s="6" t="n">
        <v>0.1079942222202596</v>
      </c>
      <c r="Q9" s="8" t="n">
        <v>0.6042779231469264</v>
      </c>
      <c r="R9" s="8" t="n">
        <v>0.009765864902506964</v>
      </c>
      <c r="S9" s="8" t="n">
        <v>0.000399</v>
      </c>
      <c r="T9" s="8" t="n">
        <v>0.00410424930362117</v>
      </c>
      <c r="U9" s="8" t="n">
        <v>0.001933</v>
      </c>
      <c r="V9" s="8" t="n">
        <v>0.008356545961002786</v>
      </c>
      <c r="W9" s="8" t="n">
        <v>-0.13813</v>
      </c>
      <c r="X9" s="8" t="n">
        <v>0.318929</v>
      </c>
    </row>
    <row r="10">
      <c r="A10" s="11" t="inlineStr">
        <is>
          <t>高分位</t>
        </is>
      </c>
      <c r="B10" s="11" t="inlineStr">
        <is>
          <t>2周</t>
        </is>
      </c>
      <c r="C10" s="11" t="n">
        <v>10</v>
      </c>
      <c r="D10" s="11" t="n">
        <v>148</v>
      </c>
      <c r="E10" s="13" t="n">
        <v>-0.02050789189189189</v>
      </c>
      <c r="F10" s="13" t="n">
        <v>-0.018894</v>
      </c>
      <c r="G10" s="13" t="n">
        <v>0.06525136353371201</v>
      </c>
      <c r="H10" s="13" t="n">
        <v>-0.0849375</v>
      </c>
      <c r="I10" s="13" t="n">
        <v>-0.05423525</v>
      </c>
      <c r="J10" s="13" t="n">
        <v>0.006492</v>
      </c>
      <c r="K10" s="13" t="n">
        <v>0.03729110000000004</v>
      </c>
      <c r="L10" s="11" t="n">
        <v>0.9406383471184731</v>
      </c>
      <c r="M10" s="11" t="n">
        <v>4.252663238181499</v>
      </c>
      <c r="N10" s="13" t="n">
        <v>0.3040540540540541</v>
      </c>
      <c r="O10" s="13" t="n">
        <v>0.6959459459459459</v>
      </c>
      <c r="P10" s="11" t="n">
        <v>0.07731999584343106</v>
      </c>
      <c r="Q10" s="13" t="n">
        <v>0.2870792680702522</v>
      </c>
      <c r="R10" s="13" t="n">
        <v>-0.02202002027027027</v>
      </c>
      <c r="S10" s="13" t="n">
        <v>-0.0175305</v>
      </c>
      <c r="T10" s="13" t="n">
        <v>-0.001512128378378378</v>
      </c>
      <c r="U10" s="13" t="n">
        <v>-0.000839</v>
      </c>
      <c r="V10" s="13" t="n">
        <v>0.02027027027027027</v>
      </c>
      <c r="W10" s="13" t="n">
        <v>-0.206762</v>
      </c>
      <c r="X10" s="13" t="n">
        <v>0.268627</v>
      </c>
    </row>
    <row r="11">
      <c r="A11" s="6" t="inlineStr">
        <is>
          <t>低分位</t>
        </is>
      </c>
      <c r="B11" s="6" t="inlineStr">
        <is>
          <t>4周</t>
        </is>
      </c>
      <c r="C11" s="6" t="n">
        <v>20</v>
      </c>
      <c r="D11" s="6" t="n">
        <v>108</v>
      </c>
      <c r="E11" s="8" t="n">
        <v>0.02926867592592593</v>
      </c>
      <c r="F11" s="8" t="n">
        <v>0.02427</v>
      </c>
      <c r="G11" s="8" t="n">
        <v>0.04200030325698901</v>
      </c>
      <c r="H11" s="8" t="n">
        <v>-0.0103606</v>
      </c>
      <c r="I11" s="8" t="n">
        <v>0.005756499999999999</v>
      </c>
      <c r="J11" s="8" t="n">
        <v>0.0385155</v>
      </c>
      <c r="K11" s="8" t="n">
        <v>0.0592758</v>
      </c>
      <c r="L11" s="6" t="n">
        <v>2.692284570323153</v>
      </c>
      <c r="M11" s="6" t="n">
        <v>9.848853049801606</v>
      </c>
      <c r="N11" s="8" t="n">
        <v>0.7962962962962963</v>
      </c>
      <c r="O11" s="8" t="n">
        <v>0.2037037037037037</v>
      </c>
      <c r="P11" s="6" t="n">
        <v>0.2590652035685247</v>
      </c>
      <c r="Q11" s="8" t="n">
        <v>0.9325534914309438</v>
      </c>
      <c r="R11" s="8" t="n">
        <v>0.02996192592592593</v>
      </c>
      <c r="S11" s="8" t="n">
        <v>0.012578</v>
      </c>
      <c r="T11" s="8" t="n">
        <v>0.0006932499999999999</v>
      </c>
      <c r="U11" s="8" t="n">
        <v>-0.017159</v>
      </c>
      <c r="V11" s="8" t="n">
        <v>0.03703703703703703</v>
      </c>
      <c r="W11" s="8" t="n">
        <v>-0.024067</v>
      </c>
      <c r="X11" s="8" t="n">
        <v>0.232579</v>
      </c>
    </row>
    <row r="12">
      <c r="A12" s="11" t="inlineStr">
        <is>
          <t>中间分位</t>
        </is>
      </c>
      <c r="B12" s="11" t="inlineStr">
        <is>
          <t>4周</t>
        </is>
      </c>
      <c r="C12" s="11" t="n">
        <v>20</v>
      </c>
      <c r="D12" s="11" t="n">
        <v>718</v>
      </c>
      <c r="E12" s="13" t="n">
        <v>0.01179766991643454</v>
      </c>
      <c r="F12" s="13" t="n">
        <v>0.000577</v>
      </c>
      <c r="G12" s="13" t="n">
        <v>0.0704318610363146</v>
      </c>
      <c r="H12" s="13" t="n">
        <v>-0.042504</v>
      </c>
      <c r="I12" s="13" t="n">
        <v>-0.0195055</v>
      </c>
      <c r="J12" s="13" t="n">
        <v>0.02426325</v>
      </c>
      <c r="K12" s="13" t="n">
        <v>0.04956880000000002</v>
      </c>
      <c r="L12" s="11" t="n">
        <v>3.764600011046351</v>
      </c>
      <c r="M12" s="11" t="n">
        <v>20.05547338494558</v>
      </c>
      <c r="N12" s="13" t="n">
        <v>0.5041782729805014</v>
      </c>
      <c r="O12" s="13" t="n">
        <v>0.4958217270194986</v>
      </c>
      <c r="P12" s="11" t="n">
        <v>0.1404936246096147</v>
      </c>
      <c r="Q12" s="13" t="n">
        <v>0.6576243343641615</v>
      </c>
      <c r="R12" s="13" t="n">
        <v>0.02132282451253482</v>
      </c>
      <c r="S12" s="13" t="n">
        <v>-0.0010195</v>
      </c>
      <c r="T12" s="13" t="n">
        <v>0.009525154596100279</v>
      </c>
      <c r="U12" s="13" t="n">
        <v>0.0024675</v>
      </c>
      <c r="V12" s="13" t="n">
        <v>0.008356545961002786</v>
      </c>
      <c r="W12" s="13" t="n">
        <v>-0.126901</v>
      </c>
      <c r="X12" s="13" t="n">
        <v>0.584499</v>
      </c>
    </row>
    <row r="13">
      <c r="A13" s="6" t="inlineStr">
        <is>
          <t>高分位</t>
        </is>
      </c>
      <c r="B13" s="6" t="inlineStr">
        <is>
          <t>4周</t>
        </is>
      </c>
      <c r="C13" s="6" t="n">
        <v>20</v>
      </c>
      <c r="D13" s="6" t="n">
        <v>138</v>
      </c>
      <c r="E13" s="8" t="n">
        <v>-0.03542608695652174</v>
      </c>
      <c r="F13" s="8" t="n">
        <v>-0.030451</v>
      </c>
      <c r="G13" s="8" t="n">
        <v>0.05921313539376433</v>
      </c>
      <c r="H13" s="8" t="n">
        <v>-0.1093299</v>
      </c>
      <c r="I13" s="8" t="n">
        <v>-0.06933825</v>
      </c>
      <c r="J13" s="8" t="n">
        <v>-5.999999999999999e-05</v>
      </c>
      <c r="K13" s="8" t="n">
        <v>0.0341129</v>
      </c>
      <c r="L13" s="6" t="n">
        <v>-0.2981021246968509</v>
      </c>
      <c r="M13" s="6" t="n">
        <v>0.2255412166551585</v>
      </c>
      <c r="N13" s="8" t="n">
        <v>0.2463768115942029</v>
      </c>
      <c r="O13" s="8" t="n">
        <v>0.7536231884057971</v>
      </c>
      <c r="P13" s="6" t="n">
        <v>-0.02537613804812532</v>
      </c>
      <c r="Q13" s="8" t="n">
        <v>0.1671451693155887</v>
      </c>
      <c r="R13" s="8" t="n">
        <v>-0.04726567391304348</v>
      </c>
      <c r="S13" s="8" t="n">
        <v>-0.0423025</v>
      </c>
      <c r="T13" s="8" t="n">
        <v>-0.01183958695652174</v>
      </c>
      <c r="U13" s="8" t="n">
        <v>-0.008422000000000001</v>
      </c>
      <c r="V13" s="8" t="n">
        <v>0.02173913043478261</v>
      </c>
      <c r="W13" s="8" t="n">
        <v>-0.203817</v>
      </c>
      <c r="X13" s="8" t="n">
        <v>0.110028</v>
      </c>
    </row>
    <row r="14">
      <c r="A14" s="11" t="inlineStr">
        <is>
          <t>低分位</t>
        </is>
      </c>
      <c r="B14" s="11" t="inlineStr">
        <is>
          <t>3月</t>
        </is>
      </c>
      <c r="C14" s="11" t="n">
        <v>60</v>
      </c>
      <c r="D14" s="11" t="n">
        <v>108</v>
      </c>
      <c r="E14" s="13" t="n">
        <v>0.04662442592592592</v>
      </c>
      <c r="F14" s="13" t="n">
        <v>0.03572649999999999</v>
      </c>
      <c r="G14" s="13" t="n">
        <v>0.05295818517537424</v>
      </c>
      <c r="H14" s="13" t="n">
        <v>0.0135121</v>
      </c>
      <c r="I14" s="13" t="n">
        <v>0.022778</v>
      </c>
      <c r="J14" s="13" t="n">
        <v>0.05272</v>
      </c>
      <c r="K14" s="13" t="n">
        <v>0.06459719999999998</v>
      </c>
      <c r="L14" s="11" t="n">
        <v>3.646786709673391</v>
      </c>
      <c r="M14" s="11" t="n">
        <v>16.14743669600974</v>
      </c>
      <c r="N14" s="13" t="n">
        <v>0.9722222222222222</v>
      </c>
      <c r="O14" s="13" t="n">
        <v>0.02777777777777778</v>
      </c>
      <c r="P14" s="11" t="n">
        <v>0.3509122147511803</v>
      </c>
      <c r="Q14" s="13" t="n">
        <v>0.9923828592527461</v>
      </c>
      <c r="R14" s="13" t="n">
        <v>0.01124356481481481</v>
      </c>
      <c r="S14" s="13" t="n">
        <v>-0.008210499999999999</v>
      </c>
      <c r="T14" s="13" t="n">
        <v>-0.03538086111111111</v>
      </c>
      <c r="U14" s="13" t="n">
        <v>-0.0444245</v>
      </c>
      <c r="V14" s="13" t="n">
        <v>0.03703703703703703</v>
      </c>
      <c r="W14" s="13" t="n">
        <v>-0.025596</v>
      </c>
      <c r="X14" s="13" t="n">
        <v>0.376783</v>
      </c>
    </row>
    <row r="15">
      <c r="A15" s="6" t="inlineStr">
        <is>
          <t>中间分位</t>
        </is>
      </c>
      <c r="B15" s="6" t="inlineStr">
        <is>
          <t>3月</t>
        </is>
      </c>
      <c r="C15" s="6" t="n">
        <v>60</v>
      </c>
      <c r="D15" s="6" t="n">
        <v>681</v>
      </c>
      <c r="E15" s="8" t="n">
        <v>0.01468108957415565</v>
      </c>
      <c r="F15" s="8" t="n">
        <v>0.004134</v>
      </c>
      <c r="G15" s="8" t="n">
        <v>0.08058060620028369</v>
      </c>
      <c r="H15" s="8" t="n">
        <v>-0.06112</v>
      </c>
      <c r="I15" s="8" t="n">
        <v>-0.027298</v>
      </c>
      <c r="J15" s="8" t="n">
        <v>0.032671</v>
      </c>
      <c r="K15" s="8" t="n">
        <v>0.083316</v>
      </c>
      <c r="L15" s="6" t="n">
        <v>2.774399774170697</v>
      </c>
      <c r="M15" s="6" t="n">
        <v>13.16236298569619</v>
      </c>
      <c r="N15" s="8" t="n">
        <v>0.540381791483113</v>
      </c>
      <c r="O15" s="8" t="n">
        <v>0.459618208516887</v>
      </c>
      <c r="P15" s="6" t="n">
        <v>0.1063152303482046</v>
      </c>
      <c r="Q15" s="8" t="n">
        <v>0.6497177056693375</v>
      </c>
      <c r="R15" s="8" t="n">
        <v>0.03878628781204112</v>
      </c>
      <c r="S15" s="8" t="n">
        <v>-0.006256</v>
      </c>
      <c r="T15" s="8" t="n">
        <v>0.02410519823788546</v>
      </c>
      <c r="U15" s="8" t="n">
        <v>0.005052</v>
      </c>
      <c r="V15" s="8" t="n">
        <v>0.007342143906020558</v>
      </c>
      <c r="W15" s="8" t="n">
        <v>-0.143991</v>
      </c>
      <c r="X15" s="8" t="n">
        <v>0.576924</v>
      </c>
    </row>
    <row r="16">
      <c r="A16" s="11" t="inlineStr">
        <is>
          <t>高分位</t>
        </is>
      </c>
      <c r="B16" s="11" t="inlineStr">
        <is>
          <t>3月</t>
        </is>
      </c>
      <c r="C16" s="11" t="n">
        <v>60</v>
      </c>
      <c r="D16" s="11" t="n">
        <v>135</v>
      </c>
      <c r="E16" s="13" t="n">
        <v>-0.05955959259259259</v>
      </c>
      <c r="F16" s="13" t="n">
        <v>-0.078955</v>
      </c>
      <c r="G16" s="13" t="n">
        <v>0.07655413105685475</v>
      </c>
      <c r="H16" s="13" t="n">
        <v>-0.1284892</v>
      </c>
      <c r="I16" s="13" t="n">
        <v>-0.100779</v>
      </c>
      <c r="J16" s="13" t="n">
        <v>-0.033275</v>
      </c>
      <c r="K16" s="13" t="n">
        <v>0.02430860000000001</v>
      </c>
      <c r="L16" s="11" t="n">
        <v>1.778110404512571</v>
      </c>
      <c r="M16" s="11" t="n">
        <v>5.170746784279535</v>
      </c>
      <c r="N16" s="13" t="n">
        <v>0.1407407407407407</v>
      </c>
      <c r="O16" s="13" t="n">
        <v>0.8592592592592593</v>
      </c>
      <c r="P16" s="11" t="n">
        <v>0.1530353774310072</v>
      </c>
      <c r="Q16" s="13" t="n">
        <v>0.1425521769541979</v>
      </c>
      <c r="R16" s="13" t="n">
        <v>-0.0517752074074074</v>
      </c>
      <c r="S16" s="13" t="n">
        <v>-0.054545</v>
      </c>
      <c r="T16" s="13" t="n">
        <v>0.007784385185185184</v>
      </c>
      <c r="U16" s="13" t="n">
        <v>0.003542</v>
      </c>
      <c r="V16" s="13" t="n">
        <v>0.01481481481481482</v>
      </c>
      <c r="W16" s="13" t="n">
        <v>-0.228836</v>
      </c>
      <c r="X16" s="13" t="n">
        <v>0.277303</v>
      </c>
    </row>
    <row r="17">
      <c r="A17" s="6" t="inlineStr">
        <is>
          <t>低分位</t>
        </is>
      </c>
      <c r="B17" s="6" t="inlineStr">
        <is>
          <t>6月</t>
        </is>
      </c>
      <c r="C17" s="6" t="n">
        <v>120</v>
      </c>
      <c r="D17" s="6" t="n">
        <v>107</v>
      </c>
      <c r="E17" s="8" t="n">
        <v>0.06592217757009346</v>
      </c>
      <c r="F17" s="8" t="n">
        <v>0.052346</v>
      </c>
      <c r="G17" s="8" t="n">
        <v>0.05859379101722347</v>
      </c>
      <c r="H17" s="8" t="n">
        <v>0.013556</v>
      </c>
      <c r="I17" s="8" t="n">
        <v>0.031001</v>
      </c>
      <c r="J17" s="8" t="n">
        <v>0.0896835</v>
      </c>
      <c r="K17" s="8" t="n">
        <v>0.112802</v>
      </c>
      <c r="L17" s="6" t="n">
        <v>1.375226424766542</v>
      </c>
      <c r="M17" s="6" t="n">
        <v>3.50595090435438</v>
      </c>
      <c r="N17" s="8" t="n">
        <v>0.9439252336448598</v>
      </c>
      <c r="O17" s="8" t="n">
        <v>0.05607476635514019</v>
      </c>
      <c r="P17" s="6" t="n">
        <v>0.1329481565521627</v>
      </c>
      <c r="Q17" s="8" t="n">
        <v>0.9699325181862455</v>
      </c>
      <c r="R17" s="8" t="n">
        <v>0.1094912990654206</v>
      </c>
      <c r="S17" s="8" t="n">
        <v>0.086045</v>
      </c>
      <c r="T17" s="8" t="n">
        <v>0.0435691214953271</v>
      </c>
      <c r="U17" s="8" t="n">
        <v>0.006768</v>
      </c>
      <c r="V17" s="8" t="n">
        <v>0.03738317757009346</v>
      </c>
      <c r="W17" s="8" t="n">
        <v>-0.047873</v>
      </c>
      <c r="X17" s="8" t="n">
        <v>0.298765</v>
      </c>
    </row>
    <row r="18">
      <c r="A18" s="11" t="inlineStr">
        <is>
          <t>中间分位</t>
        </is>
      </c>
      <c r="B18" s="11" t="inlineStr">
        <is>
          <t>6月</t>
        </is>
      </c>
      <c r="C18" s="11" t="n">
        <v>120</v>
      </c>
      <c r="D18" s="11" t="n">
        <v>651</v>
      </c>
      <c r="E18" s="13" t="n">
        <v>0.01529278494623656</v>
      </c>
      <c r="F18" s="13" t="n">
        <v>-0.002013</v>
      </c>
      <c r="G18" s="13" t="n">
        <v>0.07879324746546293</v>
      </c>
      <c r="H18" s="13" t="n">
        <v>-0.059749</v>
      </c>
      <c r="I18" s="13" t="n">
        <v>-0.0355355</v>
      </c>
      <c r="J18" s="13" t="n">
        <v>0.044529</v>
      </c>
      <c r="K18" s="13" t="n">
        <v>0.110612</v>
      </c>
      <c r="L18" s="11" t="n">
        <v>1.924797804095238</v>
      </c>
      <c r="M18" s="11" t="n">
        <v>5.689314963065696</v>
      </c>
      <c r="N18" s="13" t="n">
        <v>0.4869431643625192</v>
      </c>
      <c r="O18" s="13" t="n">
        <v>0.5130568356374808</v>
      </c>
      <c r="P18" s="11" t="n">
        <v>0.07543877372839111</v>
      </c>
      <c r="Q18" s="13" t="n">
        <v>0.6395806972218885</v>
      </c>
      <c r="R18" s="13" t="n">
        <v>0.03818184024577573</v>
      </c>
      <c r="S18" s="13" t="n">
        <v>0.013962</v>
      </c>
      <c r="T18" s="13" t="n">
        <v>0.02288905529953917</v>
      </c>
      <c r="U18" s="13" t="n">
        <v>0.008045</v>
      </c>
      <c r="V18" s="13" t="n">
        <v>0.007680491551459293</v>
      </c>
      <c r="W18" s="13" t="n">
        <v>-0.114922</v>
      </c>
      <c r="X18" s="13" t="n">
        <v>0.486923</v>
      </c>
    </row>
    <row r="19">
      <c r="A19" s="6" t="inlineStr">
        <is>
          <t>高分位</t>
        </is>
      </c>
      <c r="B19" s="6" t="inlineStr">
        <is>
          <t>6月</t>
        </is>
      </c>
      <c r="C19" s="6" t="n">
        <v>120</v>
      </c>
      <c r="D19" s="6" t="n">
        <v>106</v>
      </c>
      <c r="E19" s="8" t="n">
        <v>-0.04140988679245283</v>
      </c>
      <c r="F19" s="8" t="n">
        <v>-0.0689555</v>
      </c>
      <c r="G19" s="8" t="n">
        <v>0.08913010308952284</v>
      </c>
      <c r="H19" s="8" t="n">
        <v>-0.105117</v>
      </c>
      <c r="I19" s="8" t="n">
        <v>-0.08785274999999999</v>
      </c>
      <c r="J19" s="8" t="n">
        <v>-0.035361</v>
      </c>
      <c r="K19" s="8" t="n">
        <v>0.0493585</v>
      </c>
      <c r="L19" s="6" t="n">
        <v>2.483464324131616</v>
      </c>
      <c r="M19" s="6" t="n">
        <v>6.435107171623793</v>
      </c>
      <c r="N19" s="8" t="n">
        <v>0.1509433962264151</v>
      </c>
      <c r="O19" s="8" t="n">
        <v>0.8490566037735849</v>
      </c>
      <c r="P19" s="6" t="n">
        <v>0.2412153787697677</v>
      </c>
      <c r="Q19" s="8" t="n">
        <v>0.2423194494734672</v>
      </c>
      <c r="R19" s="8" t="n">
        <v>-0.07379224528301886</v>
      </c>
      <c r="S19" s="8" t="n">
        <v>-0.10257</v>
      </c>
      <c r="T19" s="8" t="n">
        <v>-0.03238235849056604</v>
      </c>
      <c r="U19" s="8" t="n">
        <v>-0.044227</v>
      </c>
      <c r="V19" s="8" t="n">
        <v>0.01886792452830189</v>
      </c>
      <c r="W19" s="8" t="n">
        <v>-0.145311</v>
      </c>
      <c r="X19" s="8" t="n">
        <v>0.325702</v>
      </c>
    </row>
  </sheetData>
  <mergeCells count="1"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4" customHeight="1">
      <c r="A1" s="1" t="inlineStr">
        <is>
          <t>05 低分位 − 高分位 差值与自助推断</t>
        </is>
      </c>
    </row>
    <row r="2">
      <c r="A2" s="2" t="inlineStr">
        <is>
          <t>块自助（块长=h）处理重叠样本；t = 差值/自助标准差；退化情形不给 p。</t>
        </is>
      </c>
    </row>
    <row r="4" ht="30" customHeight="1">
      <c r="A4" s="3" t="inlineStr">
        <is>
          <t>观察期</t>
        </is>
      </c>
      <c r="B4" s="3" t="inlineStr">
        <is>
          <t>n低</t>
        </is>
      </c>
      <c r="C4" s="3" t="inlineStr">
        <is>
          <t>n高</t>
        </is>
      </c>
      <c r="D4" s="3" t="inlineStr">
        <is>
          <t>低均值</t>
        </is>
      </c>
      <c r="E4" s="3" t="inlineStr">
        <is>
          <t>高均值</t>
        </is>
      </c>
      <c r="F4" s="3" t="inlineStr">
        <is>
          <t>低−高</t>
        </is>
      </c>
      <c r="G4" s="3" t="inlineStr">
        <is>
          <t>95%下界</t>
        </is>
      </c>
      <c r="H4" s="3" t="inlineStr">
        <is>
          <t>95%上界</t>
        </is>
      </c>
      <c r="I4" s="3" t="inlineStr">
        <is>
          <t>块自助 p</t>
        </is>
      </c>
      <c r="J4" s="3" t="inlineStr">
        <is>
          <t>经验 p</t>
        </is>
      </c>
      <c r="K4" s="3" t="inlineStr">
        <is>
          <t>t=差值/sd</t>
        </is>
      </c>
      <c r="L4" s="3" t="inlineStr">
        <is>
          <t>块长</t>
        </is>
      </c>
      <c r="M4" s="3" t="inlineStr">
        <is>
          <t>退化?</t>
        </is>
      </c>
      <c r="N4" s="3" t="inlineStr">
        <is>
          <t>现货差</t>
        </is>
      </c>
      <c r="O4" s="3" t="inlineStr">
        <is>
          <t>现货 p</t>
        </is>
      </c>
      <c r="P4" s="3" t="inlineStr">
        <is>
          <t>期货差</t>
        </is>
      </c>
      <c r="Q4" s="3" t="inlineStr">
        <is>
          <t>期货 p</t>
        </is>
      </c>
    </row>
    <row r="5">
      <c r="A5" s="6" t="inlineStr">
        <is>
          <t>1周</t>
        </is>
      </c>
      <c r="B5" s="6" t="n">
        <v>108</v>
      </c>
      <c r="C5" s="6" t="n">
        <v>153</v>
      </c>
      <c r="D5" s="8" t="n">
        <v>0.01557761111111111</v>
      </c>
      <c r="E5" s="8" t="n">
        <v>-0.01328163398692811</v>
      </c>
      <c r="F5" s="8" t="n">
        <v>0.02885924509803922</v>
      </c>
      <c r="G5" s="8" t="n">
        <v>0.01247199361383442</v>
      </c>
      <c r="H5" s="8" t="n">
        <v>0.0457482030909586</v>
      </c>
      <c r="I5" s="6" t="n">
        <v>0.0007063287458390622</v>
      </c>
      <c r="J5" s="6" t="n">
        <v>0.000875</v>
      </c>
      <c r="K5" s="6" t="n">
        <v>3.387110726255857</v>
      </c>
      <c r="L5" s="6" t="n"/>
      <c r="M5" s="6" t="inlineStr">
        <is>
          <t>否</t>
        </is>
      </c>
      <c r="N5" s="8" t="n">
        <v>0.03072607952069717</v>
      </c>
      <c r="O5" s="6" t="n">
        <v>0.001723039976540999</v>
      </c>
      <c r="P5" s="8" t="n">
        <v>0.001866834422657952</v>
      </c>
      <c r="Q5" s="6" t="n">
        <v>0.7678962092099441</v>
      </c>
    </row>
    <row r="6">
      <c r="A6" s="11" t="inlineStr">
        <is>
          <t>2周</t>
        </is>
      </c>
      <c r="B6" s="11" t="n">
        <v>108</v>
      </c>
      <c r="C6" s="11" t="n">
        <v>148</v>
      </c>
      <c r="D6" s="13" t="n">
        <v>0.01718069444444445</v>
      </c>
      <c r="E6" s="13" t="n">
        <v>-0.02050789189189189</v>
      </c>
      <c r="F6" s="13" t="n">
        <v>0.03768858633633634</v>
      </c>
      <c r="G6" s="13" t="n">
        <v>0.01795668457207207</v>
      </c>
      <c r="H6" s="13" t="n">
        <v>0.05614643863238238</v>
      </c>
      <c r="I6" s="11" t="n">
        <v>0.0001106213440865479</v>
      </c>
      <c r="J6" s="11" t="n">
        <v>0</v>
      </c>
      <c r="K6" s="11" t="n">
        <v>3.866029983561714</v>
      </c>
      <c r="L6" s="11" t="n"/>
      <c r="M6" s="11" t="inlineStr">
        <is>
          <t>否</t>
        </is>
      </c>
      <c r="N6" s="13" t="n">
        <v>0.04205337212212212</v>
      </c>
      <c r="O6" s="11" t="n">
        <v>0.004990527985827789</v>
      </c>
      <c r="P6" s="13" t="n">
        <v>0.004364785785785786</v>
      </c>
      <c r="Q6" s="11" t="n">
        <v>0.6890707722834208</v>
      </c>
    </row>
    <row r="7">
      <c r="A7" s="6" t="inlineStr">
        <is>
          <t>4周</t>
        </is>
      </c>
      <c r="B7" s="6" t="n">
        <v>108</v>
      </c>
      <c r="C7" s="6" t="n">
        <v>138</v>
      </c>
      <c r="D7" s="8" t="n">
        <v>0.02926867592592593</v>
      </c>
      <c r="E7" s="8" t="n">
        <v>-0.03542608695652174</v>
      </c>
      <c r="F7" s="8" t="n">
        <v>0.06469476288244766</v>
      </c>
      <c r="G7" s="8" t="n">
        <v>0.03782591280193237</v>
      </c>
      <c r="H7" s="8" t="n">
        <v>0.09010120866545893</v>
      </c>
      <c r="I7" s="6" t="n">
        <v>1.101872680957633e-06</v>
      </c>
      <c r="J7" s="6" t="n">
        <v>0</v>
      </c>
      <c r="K7" s="6" t="n">
        <v>4.872513600523118</v>
      </c>
      <c r="L7" s="6" t="n"/>
      <c r="M7" s="6" t="inlineStr">
        <is>
          <t>否</t>
        </is>
      </c>
      <c r="N7" s="8" t="n">
        <v>0.0772275998389694</v>
      </c>
      <c r="O7" s="6" t="n">
        <v>0.0001126235470045652</v>
      </c>
      <c r="P7" s="8" t="n">
        <v>0.01253283695652174</v>
      </c>
      <c r="Q7" s="6" t="n">
        <v>0.4428985523064464</v>
      </c>
    </row>
    <row r="8">
      <c r="A8" s="11" t="inlineStr">
        <is>
          <t>3月</t>
        </is>
      </c>
      <c r="B8" s="11" t="n">
        <v>108</v>
      </c>
      <c r="C8" s="11" t="n">
        <v>135</v>
      </c>
      <c r="D8" s="13" t="n">
        <v>0.04662442592592592</v>
      </c>
      <c r="E8" s="13" t="n">
        <v>-0.05955959259259259</v>
      </c>
      <c r="F8" s="13" t="n">
        <v>0.1061840185185185</v>
      </c>
      <c r="G8" s="13" t="n"/>
      <c r="H8" s="13" t="n"/>
      <c r="I8" s="11" t="n"/>
      <c r="J8" s="11" t="n"/>
      <c r="K8" s="11" t="n"/>
      <c r="L8" s="11" t="n"/>
      <c r="M8" s="11" t="inlineStr">
        <is>
          <t>是：样本 108/135 ≤ 2×块长 60，循环块自助退化</t>
        </is>
      </c>
      <c r="N8" s="13" t="n">
        <v>0.06301877222222221</v>
      </c>
      <c r="O8" s="11" t="n"/>
      <c r="P8" s="13" t="n">
        <v>-0.0431652462962963</v>
      </c>
      <c r="Q8" s="11" t="n"/>
    </row>
    <row r="9">
      <c r="A9" s="6" t="inlineStr">
        <is>
          <t>6月</t>
        </is>
      </c>
      <c r="B9" s="6" t="n">
        <v>107</v>
      </c>
      <c r="C9" s="6" t="n">
        <v>106</v>
      </c>
      <c r="D9" s="8" t="n">
        <v>0.06592217757009346</v>
      </c>
      <c r="E9" s="8" t="n">
        <v>-0.04140988679245283</v>
      </c>
      <c r="F9" s="8" t="n">
        <v>0.1073320643625463</v>
      </c>
      <c r="G9" s="8" t="n"/>
      <c r="H9" s="8" t="n"/>
      <c r="I9" s="6" t="n"/>
      <c r="J9" s="6" t="n"/>
      <c r="K9" s="6" t="n"/>
      <c r="L9" s="6" t="n"/>
      <c r="M9" s="6" t="inlineStr">
        <is>
          <t>是：样本 107/106 ≤ 2×块长 120，循环块自助退化</t>
        </is>
      </c>
      <c r="N9" s="8" t="n">
        <v>0.1832835443484394</v>
      </c>
      <c r="O9" s="6" t="n"/>
      <c r="P9" s="8" t="n">
        <v>0.07595147998589313</v>
      </c>
      <c r="Q9" s="6" t="n"/>
    </row>
    <row r="12">
      <c r="A12" s="18" t="inlineStr">
        <is>
          <t>非重叠子样本复核（每 h 日取一个，块长=1）</t>
        </is>
      </c>
    </row>
    <row r="13" ht="30" customHeight="1">
      <c r="A13" s="19" t="inlineStr">
        <is>
          <t>观察期</t>
        </is>
      </c>
      <c r="B13" s="19" t="inlineStr">
        <is>
          <t>n低</t>
        </is>
      </c>
      <c r="C13" s="19" t="inlineStr">
        <is>
          <t>n高</t>
        </is>
      </c>
      <c r="D13" s="19" t="inlineStr">
        <is>
          <t>低均值</t>
        </is>
      </c>
      <c r="E13" s="19" t="inlineStr">
        <is>
          <t>高均值</t>
        </is>
      </c>
      <c r="F13" s="19" t="inlineStr">
        <is>
          <t>低−高</t>
        </is>
      </c>
      <c r="G13" s="19" t="inlineStr">
        <is>
          <t>p</t>
        </is>
      </c>
    </row>
    <row r="14">
      <c r="A14" t="inlineStr">
        <is>
          <t>1周</t>
        </is>
      </c>
      <c r="B14" t="n">
        <v>19</v>
      </c>
      <c r="C14" t="n">
        <v>33</v>
      </c>
      <c r="D14" s="20" t="n">
        <v>0.01225847368421053</v>
      </c>
      <c r="E14" s="20" t="n">
        <v>-0.01497933333333333</v>
      </c>
      <c r="F14" s="20" t="n">
        <v>0.02723780701754386</v>
      </c>
      <c r="G14" t="n">
        <v>0.003806862313453596</v>
      </c>
    </row>
    <row r="15">
      <c r="A15" t="inlineStr">
        <is>
          <t>2周</t>
        </is>
      </c>
      <c r="B15" t="n">
        <v>9</v>
      </c>
      <c r="C15" t="n">
        <v>17</v>
      </c>
      <c r="D15" s="20" t="n">
        <v>0.01642744444444445</v>
      </c>
      <c r="E15" s="20" t="n">
        <v>-0.02660988235294118</v>
      </c>
      <c r="F15" s="20" t="n">
        <v>0.04303732679738562</v>
      </c>
      <c r="G15" t="n">
        <v>0.005091111054702465</v>
      </c>
    </row>
    <row r="16">
      <c r="A16" t="inlineStr">
        <is>
          <t>4周</t>
        </is>
      </c>
      <c r="B16" t="n">
        <v>6</v>
      </c>
      <c r="C16" t="n">
        <v>9</v>
      </c>
      <c r="D16" s="20" t="n">
        <v>0.0249925</v>
      </c>
      <c r="E16" s="20" t="n">
        <v>-0.04685988888888889</v>
      </c>
      <c r="F16" s="20" t="n">
        <v>0.0718523888888889</v>
      </c>
      <c r="G16" t="n">
        <v>0.004394180252373143</v>
      </c>
    </row>
    <row r="17">
      <c r="A17" t="inlineStr">
        <is>
          <t>3月</t>
        </is>
      </c>
      <c r="B17" t="n">
        <v>2</v>
      </c>
      <c r="C17" t="n">
        <v>3</v>
      </c>
      <c r="D17" s="20" t="n">
        <v>0.027771</v>
      </c>
      <c r="E17" s="20" t="n">
        <v>-0.04926966666666668</v>
      </c>
      <c r="F17" s="20" t="n">
        <v>0.07704066666666667</v>
      </c>
    </row>
    <row r="18">
      <c r="A18" t="inlineStr">
        <is>
          <t>6月</t>
        </is>
      </c>
      <c r="B18" t="n">
        <v>2</v>
      </c>
      <c r="C18" t="n">
        <v>1</v>
      </c>
      <c r="D18" s="20" t="n">
        <v>0.060579</v>
      </c>
      <c r="E18" s="20" t="n">
        <v>-0.089019</v>
      </c>
      <c r="F18" s="20" t="n">
        <v>0.149598</v>
      </c>
    </row>
  </sheetData>
  <mergeCells count="1"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06 敏感性：阈值 × 滚动窗口 × 观察期</t>
        </is>
      </c>
    </row>
    <row r="2">
      <c r="A2" s="2" t="inlineStr">
        <is>
          <t>单元格为「低分位均值 − 高分位均值」，括号内为块自助 p 值。</t>
        </is>
      </c>
    </row>
    <row r="4">
      <c r="A4" s="21" t="inlineStr">
        <is>
          <t>滚动窗口 W = 250 交易日</t>
        </is>
      </c>
    </row>
    <row r="5" ht="30" customHeight="1">
      <c r="A5" s="19" t="inlineStr">
        <is>
          <t>阈值 k</t>
        </is>
      </c>
      <c r="B5" s="19" t="inlineStr">
        <is>
          <t>样本量 低/高</t>
        </is>
      </c>
      <c r="C5" s="19" t="inlineStr">
        <is>
          <t>1周 低−高(p)</t>
        </is>
      </c>
      <c r="D5" s="19" t="inlineStr">
        <is>
          <t>2周 低−高(p)</t>
        </is>
      </c>
      <c r="E5" s="19" t="inlineStr">
        <is>
          <t>4周 低−高(p)</t>
        </is>
      </c>
      <c r="F5" s="19" t="inlineStr">
        <is>
          <t>3月 低−高(p)</t>
        </is>
      </c>
      <c r="G5" s="19" t="inlineStr">
        <is>
          <t>6月 低−高(p)</t>
        </is>
      </c>
    </row>
    <row r="6">
      <c r="A6" t="inlineStr">
        <is>
          <t>10% / 90%</t>
        </is>
      </c>
      <c r="B6" t="inlineStr">
        <is>
          <t>108 / 153</t>
        </is>
      </c>
      <c r="C6" s="20" t="n">
        <v>0.02885924509803922</v>
      </c>
      <c r="D6" s="20" t="n">
        <v>0.03768858633633634</v>
      </c>
      <c r="E6" s="20" t="n">
        <v>0.06469476288244766</v>
      </c>
      <c r="F6" s="20" t="n">
        <v>0.1061840185185185</v>
      </c>
      <c r="G6" s="20" t="n">
        <v>0.1073320643625463</v>
      </c>
    </row>
    <row r="7">
      <c r="A7" t="inlineStr">
        <is>
          <t>20% / 80%</t>
        </is>
      </c>
      <c r="B7" t="inlineStr">
        <is>
          <t>200 / 232</t>
        </is>
      </c>
      <c r="C7" s="20" t="n">
        <v>0.01965071603448276</v>
      </c>
      <c r="D7" s="20" t="n">
        <v>0.02814802669603524</v>
      </c>
      <c r="E7" s="20" t="n">
        <v>0.04399017108294931</v>
      </c>
      <c r="F7" s="20" t="n">
        <v>0.08898621785046729</v>
      </c>
      <c r="G7" s="20" t="n">
        <v>0.1088593746577197</v>
      </c>
    </row>
    <row r="8">
      <c r="A8" t="inlineStr">
        <is>
          <t>30% / 70%</t>
        </is>
      </c>
      <c r="B8" t="inlineStr">
        <is>
          <t>315 / 307</t>
        </is>
      </c>
      <c r="C8" s="20" t="n">
        <v>0.01336601037174913</v>
      </c>
      <c r="D8" s="20" t="n">
        <v>0.0196219258698623</v>
      </c>
      <c r="E8" s="20" t="n">
        <v>0.03140649626005654</v>
      </c>
      <c r="F8" s="20" t="n">
        <v>0.06631121969420356</v>
      </c>
      <c r="G8" s="20" t="n">
        <v>0.1041783735119048</v>
      </c>
    </row>
    <row r="9">
      <c r="A9" t="inlineStr">
        <is>
          <t>40% / 60%</t>
        </is>
      </c>
      <c r="B9" t="inlineStr">
        <is>
          <t>413 / 392</t>
        </is>
      </c>
      <c r="C9" s="20" t="n">
        <v>0.01154607376340367</v>
      </c>
      <c r="D9" s="20" t="n">
        <v>0.01466287242775181</v>
      </c>
      <c r="E9" s="20" t="n">
        <v>0.02106358349657356</v>
      </c>
      <c r="F9" s="20" t="n">
        <v>0.05487624647335423</v>
      </c>
      <c r="G9" s="20" t="n">
        <v>0.09406301252204585</v>
      </c>
    </row>
    <row r="11">
      <c r="A11" s="21" t="inlineStr">
        <is>
          <t>滚动窗口 W = 500 交易日</t>
        </is>
      </c>
    </row>
    <row r="12" ht="30" customHeight="1">
      <c r="A12" s="19" t="inlineStr">
        <is>
          <t>阈值 k</t>
        </is>
      </c>
      <c r="B12" s="19" t="inlineStr">
        <is>
          <t>样本量 低/高</t>
        </is>
      </c>
      <c r="C12" s="19" t="inlineStr">
        <is>
          <t>1周 低−高(p)</t>
        </is>
      </c>
      <c r="D12" s="19" t="inlineStr">
        <is>
          <t>2周 低−高(p)</t>
        </is>
      </c>
      <c r="E12" s="19" t="inlineStr">
        <is>
          <t>4周 低−高(p)</t>
        </is>
      </c>
      <c r="F12" s="19" t="inlineStr">
        <is>
          <t>3月 低−高(p)</t>
        </is>
      </c>
      <c r="G12" s="19" t="inlineStr">
        <is>
          <t>6月 低−高(p)</t>
        </is>
      </c>
    </row>
    <row r="13">
      <c r="A13" t="inlineStr">
        <is>
          <t>10% / 90%</t>
        </is>
      </c>
      <c r="B13" t="inlineStr">
        <is>
          <t>125 / 151</t>
        </is>
      </c>
      <c r="C13" s="20" t="n">
        <v>0.02773802670198676</v>
      </c>
      <c r="D13" s="20" t="n">
        <v>0.03930120060273973</v>
      </c>
      <c r="E13" s="20" t="n">
        <v>0.06366832858823529</v>
      </c>
      <c r="F13" s="20" t="n">
        <v>0.106181713443609</v>
      </c>
      <c r="G13" s="20" t="n">
        <v>0.1102004600358423</v>
      </c>
    </row>
    <row r="14">
      <c r="A14" t="inlineStr">
        <is>
          <t>20% / 80%</t>
        </is>
      </c>
      <c r="B14" t="inlineStr">
        <is>
          <t>227 / 221</t>
        </is>
      </c>
      <c r="C14" s="20" t="n">
        <v>0.02120616498893695</v>
      </c>
      <c r="D14" s="20" t="n">
        <v>0.03133175762767173</v>
      </c>
      <c r="E14" s="20" t="n">
        <v>0.0469546555322698</v>
      </c>
      <c r="F14" s="20" t="n">
        <v>0.08666919166666667</v>
      </c>
      <c r="G14" s="20" t="n">
        <v>0.1185901849232982</v>
      </c>
    </row>
    <row r="15">
      <c r="A15" t="inlineStr">
        <is>
          <t>30% / 70%</t>
        </is>
      </c>
      <c r="B15" t="inlineStr">
        <is>
          <t>341 / 290</t>
        </is>
      </c>
      <c r="C15" s="20" t="n">
        <v>0.01332077143290525</v>
      </c>
      <c r="D15" s="20" t="n">
        <v>0.01938856495343932</v>
      </c>
      <c r="E15" s="20" t="n">
        <v>0.03593447214076246</v>
      </c>
      <c r="F15" s="20" t="n">
        <v>0.06584894601419601</v>
      </c>
      <c r="G15" s="20" t="n">
        <v>0.107284031676947</v>
      </c>
    </row>
    <row r="16">
      <c r="A16" t="inlineStr">
        <is>
          <t>40% / 60%</t>
        </is>
      </c>
      <c r="B16" t="inlineStr">
        <is>
          <t>435 / 367</t>
        </is>
      </c>
      <c r="C16" s="20" t="n">
        <v>0.01074474185223465</v>
      </c>
      <c r="D16" s="20" t="n">
        <v>0.01632654364005843</v>
      </c>
      <c r="E16" s="20" t="n">
        <v>0.02754133928944619</v>
      </c>
      <c r="F16" s="20" t="n">
        <v>0.05790175372430301</v>
      </c>
      <c r="G16" s="20" t="n">
        <v>0.0983643697722673</v>
      </c>
    </row>
    <row r="18">
      <c r="A18" s="21" t="inlineStr">
        <is>
          <t>滚动窗口 W = 750 交易日</t>
        </is>
      </c>
    </row>
    <row r="19" ht="30" customHeight="1">
      <c r="A19" s="19" t="inlineStr">
        <is>
          <t>阈值 k</t>
        </is>
      </c>
      <c r="B19" s="19" t="inlineStr">
        <is>
          <t>样本量 低/高</t>
        </is>
      </c>
      <c r="C19" s="19" t="inlineStr">
        <is>
          <t>1周 低−高(p)</t>
        </is>
      </c>
      <c r="D19" s="19" t="inlineStr">
        <is>
          <t>2周 低−高(p)</t>
        </is>
      </c>
      <c r="E19" s="19" t="inlineStr">
        <is>
          <t>4周 低−高(p)</t>
        </is>
      </c>
      <c r="F19" s="19" t="inlineStr">
        <is>
          <t>3月 低−高(p)</t>
        </is>
      </c>
      <c r="G19" s="19" t="inlineStr">
        <is>
          <t>6月 低−高(p)</t>
        </is>
      </c>
    </row>
    <row r="20">
      <c r="A20" t="inlineStr">
        <is>
          <t>10% / 90%</t>
        </is>
      </c>
      <c r="B20" t="inlineStr">
        <is>
          <t>125 / 146</t>
        </is>
      </c>
      <c r="C20" s="20" t="n">
        <v>0.02790905391780822</v>
      </c>
      <c r="D20" s="20" t="n">
        <v>0.03761662161702127</v>
      </c>
      <c r="E20" s="20" t="n">
        <v>0.06255211945038169</v>
      </c>
      <c r="F20" s="20" t="n">
        <v>0.1056778531875</v>
      </c>
      <c r="G20" s="20" t="n">
        <v>0.1072053063544501</v>
      </c>
    </row>
    <row r="21">
      <c r="A21" t="inlineStr">
        <is>
          <t>20% / 80%</t>
        </is>
      </c>
      <c r="B21" t="inlineStr">
        <is>
          <t>233 / 214</t>
        </is>
      </c>
      <c r="C21" s="20" t="n">
        <v>0.02015879100316875</v>
      </c>
      <c r="D21" s="20" t="n">
        <v>0.02899981202127441</v>
      </c>
      <c r="E21" s="20" t="n">
        <v>0.0443150827528199</v>
      </c>
      <c r="F21" s="20" t="n">
        <v>0.08751806595944123</v>
      </c>
      <c r="G21" s="20" t="n">
        <v>0.1187058785714286</v>
      </c>
    </row>
    <row r="22">
      <c r="A22" t="inlineStr">
        <is>
          <t>30% / 70%</t>
        </is>
      </c>
      <c r="B22" t="inlineStr">
        <is>
          <t>358 / 281</t>
        </is>
      </c>
      <c r="C22" s="20" t="n">
        <v>0.01271005024950794</v>
      </c>
      <c r="D22" s="20" t="n">
        <v>0.01954819856691766</v>
      </c>
      <c r="E22" s="20" t="n">
        <v>0.03699309931952787</v>
      </c>
      <c r="F22" s="20" t="n">
        <v>0.06770185108181204</v>
      </c>
      <c r="G22" s="20" t="n">
        <v>0.1111596187752161</v>
      </c>
    </row>
    <row r="23">
      <c r="A23" t="inlineStr">
        <is>
          <t>40% / 60%</t>
        </is>
      </c>
      <c r="B23" t="inlineStr">
        <is>
          <t>451 / 351</t>
        </is>
      </c>
      <c r="C23" s="20" t="n">
        <v>0.01044203023354243</v>
      </c>
      <c r="D23" s="20" t="n">
        <v>0.01642354920984838</v>
      </c>
      <c r="E23" s="20" t="n">
        <v>0.03052097587371978</v>
      </c>
      <c r="F23" s="20" t="n">
        <v>0.06082921957391464</v>
      </c>
      <c r="G23" s="20" t="n">
        <v>0.09642167444013061</v>
      </c>
    </row>
  </sheetData>
  <mergeCells count="1"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4" customHeight="1">
      <c r="A1" s="1" t="inlineStr">
        <is>
          <t>07 稳定性：年度 / 月份 / 期限结构</t>
        </is>
      </c>
    </row>
    <row r="2">
      <c r="A2" s="2" t="inlineStr">
        <is>
          <t>年度与前两列剔除末端回填样本；4 周观察期。</t>
        </is>
      </c>
    </row>
    <row r="4">
      <c r="A4" s="21" t="inlineStr">
        <is>
          <t>按年度（全样本）</t>
        </is>
      </c>
    </row>
    <row r="5" ht="30" customHeight="1">
      <c r="A5" s="19" t="inlineStr">
        <is>
          <t>年份</t>
        </is>
      </c>
      <c r="B5" s="19" t="inlineStr">
        <is>
          <t>样本</t>
        </is>
      </c>
      <c r="C5" s="19" t="inlineStr">
        <is>
          <t>基差均值</t>
        </is>
      </c>
      <c r="D5" s="19" t="inlineStr">
        <is>
          <t>基差中位</t>
        </is>
      </c>
      <c r="E5" s="19" t="inlineStr">
        <is>
          <t>现货均值</t>
        </is>
      </c>
      <c r="F5" s="19" t="inlineStr">
        <is>
          <t>期货均值</t>
        </is>
      </c>
      <c r="G5" s="19" t="inlineStr">
        <is>
          <t>正收益占比</t>
        </is>
      </c>
    </row>
    <row r="6">
      <c r="A6" t="inlineStr">
        <is>
          <t>2022</t>
        </is>
      </c>
      <c r="B6" t="n">
        <v>90</v>
      </c>
      <c r="C6" s="20" t="n">
        <v>0.004628344444444444</v>
      </c>
      <c r="D6" s="20" t="n">
        <v>-0.006975</v>
      </c>
      <c r="E6" s="20" t="n">
        <v>0.01353792222222222</v>
      </c>
      <c r="F6" s="20" t="n">
        <v>0.008909577777777778</v>
      </c>
      <c r="G6" s="20" t="n">
        <v>0.4555555555555555</v>
      </c>
    </row>
    <row r="7">
      <c r="A7" t="inlineStr">
        <is>
          <t>2023</t>
        </is>
      </c>
      <c r="B7" t="n">
        <v>241</v>
      </c>
      <c r="C7" s="20" t="n">
        <v>0.001578261410788382</v>
      </c>
      <c r="D7" s="20" t="n">
        <v>0.004786</v>
      </c>
      <c r="E7" s="20" t="n">
        <v>-0.005911780082987552</v>
      </c>
      <c r="F7" s="20" t="n">
        <v>-0.007490041493775934</v>
      </c>
      <c r="G7" s="20" t="n">
        <v>0.5435684647302904</v>
      </c>
    </row>
    <row r="8">
      <c r="A8" t="inlineStr">
        <is>
          <t>2024</t>
        </is>
      </c>
      <c r="B8" t="n">
        <v>242</v>
      </c>
      <c r="C8" s="20" t="n">
        <v>0.0009627148760330581</v>
      </c>
      <c r="D8" s="20" t="n">
        <v>0.0018815</v>
      </c>
      <c r="E8" s="20" t="n">
        <v>0.008686987603305784</v>
      </c>
      <c r="F8" s="20" t="n">
        <v>0.007724272727272727</v>
      </c>
      <c r="G8" s="20" t="n">
        <v>0.5289256198347108</v>
      </c>
    </row>
    <row r="9">
      <c r="A9" t="inlineStr">
        <is>
          <t>2025</t>
        </is>
      </c>
      <c r="B9" t="n">
        <v>181</v>
      </c>
      <c r="C9" s="20" t="n">
        <v>-0.003857955801104972</v>
      </c>
      <c r="D9" s="20" t="n">
        <v>-0.003188</v>
      </c>
      <c r="E9" s="20" t="n">
        <v>-0.01855587845303867</v>
      </c>
      <c r="F9" s="20" t="n">
        <v>-0.0146979226519337</v>
      </c>
      <c r="G9" s="20" t="n">
        <v>0.4419889502762431</v>
      </c>
    </row>
    <row r="11">
      <c r="A11" s="21" t="inlineStr">
        <is>
          <t>按自然月（全样本，4 周）</t>
        </is>
      </c>
    </row>
    <row r="12" ht="30" customHeight="1">
      <c r="A12" s="19" t="inlineStr">
        <is>
          <t>月份</t>
        </is>
      </c>
      <c r="B12" s="19" t="inlineStr">
        <is>
          <t>样本</t>
        </is>
      </c>
      <c r="C12" s="19" t="inlineStr">
        <is>
          <t>基差均值</t>
        </is>
      </c>
      <c r="D12" s="19" t="inlineStr">
        <is>
          <t>基差中位</t>
        </is>
      </c>
    </row>
    <row r="13">
      <c r="A13" t="inlineStr">
        <is>
          <t>1月</t>
        </is>
      </c>
      <c r="B13" t="n">
        <v>56</v>
      </c>
      <c r="C13" s="20" t="n">
        <v>0.0169815</v>
      </c>
      <c r="D13" s="20" t="n">
        <v>0.021495</v>
      </c>
    </row>
    <row r="14">
      <c r="A14" t="inlineStr">
        <is>
          <t>2月</t>
        </is>
      </c>
      <c r="B14" t="n">
        <v>53</v>
      </c>
      <c r="C14" s="20" t="n">
        <v>0.009276547169811321</v>
      </c>
      <c r="D14" s="20" t="n">
        <v>0.011919</v>
      </c>
    </row>
    <row r="15">
      <c r="A15" t="inlineStr">
        <is>
          <t>3月</t>
        </is>
      </c>
      <c r="B15" t="n">
        <v>65</v>
      </c>
      <c r="C15" s="20" t="n">
        <v>0.0003762923076923077</v>
      </c>
      <c r="D15" s="20" t="n">
        <v>-0.00196</v>
      </c>
    </row>
    <row r="16">
      <c r="A16" t="inlineStr">
        <is>
          <t>4月</t>
        </is>
      </c>
      <c r="B16" t="n">
        <v>58</v>
      </c>
      <c r="C16" s="20" t="n">
        <v>0.00865503448275862</v>
      </c>
      <c r="D16" s="20" t="n">
        <v>0.009858499999999999</v>
      </c>
    </row>
    <row r="17">
      <c r="A17" t="inlineStr">
        <is>
          <t>5月</t>
        </is>
      </c>
      <c r="B17" t="n">
        <v>58</v>
      </c>
      <c r="C17" s="20" t="n">
        <v>-0.02284548275862069</v>
      </c>
      <c r="D17" s="20" t="n">
        <v>-0.038991</v>
      </c>
    </row>
    <row r="18">
      <c r="A18" t="inlineStr">
        <is>
          <t>6月</t>
        </is>
      </c>
      <c r="B18" t="n">
        <v>59</v>
      </c>
      <c r="C18" s="20" t="n">
        <v>-0.02654447457627119</v>
      </c>
      <c r="D18" s="20" t="n">
        <v>-0.022151</v>
      </c>
    </row>
    <row r="19">
      <c r="A19" t="inlineStr">
        <is>
          <t>7月</t>
        </is>
      </c>
      <c r="B19" t="n">
        <v>67</v>
      </c>
      <c r="C19" s="20" t="n">
        <v>-0.02083292537313433</v>
      </c>
      <c r="D19" s="20" t="n">
        <v>-0.019852</v>
      </c>
    </row>
    <row r="20">
      <c r="A20" t="inlineStr">
        <is>
          <t>8月</t>
        </is>
      </c>
      <c r="B20" t="n">
        <v>77</v>
      </c>
      <c r="C20" s="20" t="n">
        <v>0.009545805194805194</v>
      </c>
      <c r="D20" s="20" t="n">
        <v>0.011047</v>
      </c>
    </row>
    <row r="21">
      <c r="A21" t="inlineStr">
        <is>
          <t>9月</t>
        </is>
      </c>
      <c r="B21" t="n">
        <v>81</v>
      </c>
      <c r="C21" s="20" t="n">
        <v>0.03056650617283951</v>
      </c>
      <c r="D21" s="20" t="n">
        <v>0.029381</v>
      </c>
    </row>
    <row r="22">
      <c r="A22" t="inlineStr">
        <is>
          <t>10月</t>
        </is>
      </c>
      <c r="B22" t="n">
        <v>50</v>
      </c>
      <c r="C22" s="20" t="n">
        <v>-0.0072497</v>
      </c>
      <c r="D22" s="20" t="n">
        <v>-0.008284</v>
      </c>
    </row>
    <row r="23">
      <c r="A23" t="inlineStr">
        <is>
          <t>11月</t>
        </is>
      </c>
      <c r="B23" t="n">
        <v>65</v>
      </c>
      <c r="C23" s="20" t="n">
        <v>-0.0068396</v>
      </c>
      <c r="D23" s="20" t="n">
        <v>-0.000412</v>
      </c>
    </row>
    <row r="24">
      <c r="A24" t="inlineStr">
        <is>
          <t>12月</t>
        </is>
      </c>
      <c r="B24" t="n">
        <v>65</v>
      </c>
      <c r="C24" s="20" t="n">
        <v>0.003779076923076924</v>
      </c>
      <c r="D24" s="20" t="n">
        <v>0.008732</v>
      </c>
    </row>
    <row r="26">
      <c r="A26" s="21" t="inlineStr">
        <is>
          <t>按期限结构（全样本，4 周）</t>
        </is>
      </c>
    </row>
    <row r="27" ht="30" customHeight="1">
      <c r="A27" s="19" t="inlineStr">
        <is>
          <t>期限结构</t>
        </is>
      </c>
      <c r="B27" s="19" t="inlineStr">
        <is>
          <t>样本</t>
        </is>
      </c>
      <c r="C27" s="19" t="inlineStr">
        <is>
          <t>基差均值</t>
        </is>
      </c>
      <c r="D27" s="19" t="inlineStr">
        <is>
          <t>基差中位</t>
        </is>
      </c>
      <c r="E27" s="19" t="inlineStr">
        <is>
          <t>现货均值</t>
        </is>
      </c>
      <c r="F27" s="19" t="inlineStr">
        <is>
          <t>期货均值</t>
        </is>
      </c>
    </row>
    <row r="28">
      <c r="A28" t="inlineStr">
        <is>
          <t>Back(近强)</t>
        </is>
      </c>
      <c r="B28" t="n">
        <v>336</v>
      </c>
      <c r="C28" s="20" t="n">
        <v>0.001147541666666667</v>
      </c>
      <c r="D28" s="20" t="n">
        <v>0.0019005</v>
      </c>
      <c r="E28" s="20" t="n">
        <v>0.006001345238095239</v>
      </c>
      <c r="F28" s="20" t="n">
        <v>0.004853803571428571</v>
      </c>
    </row>
    <row r="29">
      <c r="A29" t="inlineStr">
        <is>
          <t>Contango(远强)</t>
        </is>
      </c>
      <c r="B29" t="n">
        <v>291</v>
      </c>
      <c r="C29" s="20" t="n">
        <v>-0.001385261168384879</v>
      </c>
      <c r="D29" s="20" t="n">
        <v>-0.000601</v>
      </c>
      <c r="E29" s="20" t="n">
        <v>-0.01249025429553265</v>
      </c>
      <c r="F29" s="20" t="n">
        <v>-0.01110499312714777</v>
      </c>
    </row>
    <row r="30">
      <c r="A30" t="inlineStr">
        <is>
          <t>结构不明</t>
        </is>
      </c>
      <c r="B30" t="n">
        <v>127</v>
      </c>
      <c r="C30" s="20" t="n">
        <v>0.002749102362204724</v>
      </c>
      <c r="D30" s="20" t="n">
        <v>-0.001842</v>
      </c>
      <c r="E30" s="20" t="n">
        <v>0.001224590551181103</v>
      </c>
      <c r="F30" s="20" t="n">
        <v>-0.001524511811023622</v>
      </c>
    </row>
    <row r="32">
      <c r="A32" s="21" t="inlineStr">
        <is>
          <t>按年度 × 分组（4 周）</t>
        </is>
      </c>
    </row>
    <row r="33" ht="30" customHeight="1">
      <c r="A33" s="19" t="inlineStr">
        <is>
          <t>分组</t>
        </is>
      </c>
      <c r="B33" s="19" t="inlineStr">
        <is>
          <t>年份</t>
        </is>
      </c>
      <c r="C33" s="19" t="inlineStr">
        <is>
          <t>样本</t>
        </is>
      </c>
      <c r="D33" s="19" t="inlineStr">
        <is>
          <t>基差均值</t>
        </is>
      </c>
      <c r="E33" s="19" t="inlineStr">
        <is>
          <t>基差中位</t>
        </is>
      </c>
    </row>
    <row r="34">
      <c r="A34" t="inlineStr">
        <is>
          <t>低分位</t>
        </is>
      </c>
      <c r="B34" t="inlineStr">
        <is>
          <t>2022</t>
        </is>
      </c>
      <c r="C34" t="n">
        <v>0</v>
      </c>
      <c r="D34" s="20" t="n"/>
      <c r="E34" s="20" t="n"/>
    </row>
    <row r="35">
      <c r="A35" t="inlineStr">
        <is>
          <t>低分位</t>
        </is>
      </c>
      <c r="B35" t="inlineStr">
        <is>
          <t>2023</t>
        </is>
      </c>
      <c r="C35" t="n">
        <v>38</v>
      </c>
      <c r="D35" s="20" t="n">
        <v>0.02081055263157895</v>
      </c>
      <c r="E35" s="20" t="n">
        <v>0.0216905</v>
      </c>
    </row>
    <row r="36">
      <c r="A36" t="inlineStr">
        <is>
          <t>低分位</t>
        </is>
      </c>
      <c r="B36" t="inlineStr">
        <is>
          <t>2024</t>
        </is>
      </c>
      <c r="C36" t="n">
        <v>22</v>
      </c>
      <c r="D36" s="20" t="n">
        <v>0.03217063636363637</v>
      </c>
      <c r="E36" s="20" t="n">
        <v>0.0270415</v>
      </c>
    </row>
    <row r="37">
      <c r="A37" t="inlineStr">
        <is>
          <t>低分位</t>
        </is>
      </c>
      <c r="B37" t="inlineStr">
        <is>
          <t>2025</t>
        </is>
      </c>
      <c r="C37" t="n">
        <v>39</v>
      </c>
      <c r="D37" s="20" t="n">
        <v>0.01584953846153846</v>
      </c>
      <c r="E37" s="20" t="n">
        <v>0.014532</v>
      </c>
    </row>
    <row r="38">
      <c r="A38" t="inlineStr">
        <is>
          <t>中间分位</t>
        </is>
      </c>
      <c r="B38" t="inlineStr">
        <is>
          <t>2022</t>
        </is>
      </c>
      <c r="C38" t="n">
        <v>42</v>
      </c>
      <c r="D38" s="20" t="n">
        <v>-0.02711802380952381</v>
      </c>
      <c r="E38" s="20" t="n">
        <v>-0.0327135</v>
      </c>
    </row>
    <row r="39">
      <c r="A39" t="inlineStr">
        <is>
          <t>中间分位</t>
        </is>
      </c>
      <c r="B39" t="inlineStr">
        <is>
          <t>2023</t>
        </is>
      </c>
      <c r="C39" t="n">
        <v>201</v>
      </c>
      <c r="D39" s="20" t="n">
        <v>-0.001159388059701493</v>
      </c>
      <c r="E39" s="20" t="n">
        <v>-0.0009810000000000001</v>
      </c>
    </row>
    <row r="40">
      <c r="A40" t="inlineStr">
        <is>
          <t>中间分位</t>
        </is>
      </c>
      <c r="B40" t="inlineStr">
        <is>
          <t>2024</t>
        </is>
      </c>
      <c r="C40" t="n">
        <v>189</v>
      </c>
      <c r="D40" s="20" t="n">
        <v>0.003936116402116402</v>
      </c>
      <c r="E40" s="20" t="n">
        <v>0.00292</v>
      </c>
    </row>
    <row r="41">
      <c r="A41" t="inlineStr">
        <is>
          <t>中间分位</t>
        </is>
      </c>
      <c r="B41" t="inlineStr">
        <is>
          <t>2025</t>
        </is>
      </c>
      <c r="C41" t="n">
        <v>110</v>
      </c>
      <c r="D41" s="20" t="n">
        <v>0.003917309090909091</v>
      </c>
      <c r="E41" s="20" t="n">
        <v>-0.0010595</v>
      </c>
    </row>
    <row r="42">
      <c r="A42" t="inlineStr">
        <is>
          <t>高分位</t>
        </is>
      </c>
      <c r="B42" t="inlineStr">
        <is>
          <t>2022</t>
        </is>
      </c>
      <c r="C42" t="n">
        <v>28</v>
      </c>
      <c r="D42" s="20" t="n">
        <v>0.01162214285714286</v>
      </c>
      <c r="E42" s="20" t="n">
        <v>0.003642499999999999</v>
      </c>
    </row>
    <row r="43">
      <c r="A43" t="inlineStr">
        <is>
          <t>高分位</t>
        </is>
      </c>
      <c r="B43" t="inlineStr">
        <is>
          <t>2023</t>
        </is>
      </c>
      <c r="C43" t="n">
        <v>2</v>
      </c>
      <c r="D43" s="20" t="n">
        <v>-0.0887015</v>
      </c>
      <c r="E43" s="20" t="n">
        <v>-0.0887015</v>
      </c>
    </row>
    <row r="44">
      <c r="A44" t="inlineStr">
        <is>
          <t>高分位</t>
        </is>
      </c>
      <c r="B44" t="inlineStr">
        <is>
          <t>2024</t>
        </is>
      </c>
      <c r="C44" t="n">
        <v>31</v>
      </c>
      <c r="D44" s="20" t="n">
        <v>-0.039313</v>
      </c>
      <c r="E44" s="20" t="n">
        <v>-0.034248</v>
      </c>
    </row>
    <row r="45">
      <c r="A45" t="inlineStr">
        <is>
          <t>高分位</t>
        </is>
      </c>
      <c r="B45" t="inlineStr">
        <is>
          <t>2025</t>
        </is>
      </c>
      <c r="C45" t="n">
        <v>32</v>
      </c>
      <c r="D45" s="20" t="n">
        <v>-0.0546039375</v>
      </c>
      <c r="E45" s="20" t="n">
        <v>-0.050983</v>
      </c>
    </row>
  </sheetData>
  <mergeCells count="1"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08 偏差清单：换月 / 交割临近 / 口径核验 / 样本重叠</t>
        </is>
      </c>
    </row>
    <row r="2">
      <c r="A2" s="2" t="inlineStr">
        <is>
          <t>每一项都给实测数字，避免“已注意”式空话。</t>
        </is>
      </c>
    </row>
    <row r="4">
      <c r="A4" s="22" t="inlineStr">
        <is>
          <t>① 换月污染</t>
        </is>
      </c>
    </row>
    <row r="5" ht="30" customHeight="1">
      <c r="A5" s="19" t="inlineStr">
        <is>
          <t>观察期</t>
        </is>
      </c>
      <c r="B5" s="19" t="inlineStr">
        <is>
          <t>换月日|Δ|中位</t>
        </is>
      </c>
      <c r="C5" s="19" t="inlineStr">
        <is>
          <t>非换月|Δ|中位</t>
        </is>
      </c>
      <c r="D5" s="19" t="inlineStr">
        <is>
          <t>倍数</t>
        </is>
      </c>
      <c r="E5" s="19" t="inlineStr">
        <is>
          <t>换月日占比</t>
        </is>
      </c>
      <c r="F5" s="19" t="inlineStr">
        <is>
          <t>单日换月|Δ|中位</t>
        </is>
      </c>
      <c r="G5" s="19" t="inlineStr">
        <is>
          <t>单日非换月|Δ|中位</t>
        </is>
      </c>
    </row>
    <row r="6">
      <c r="A6" t="n">
        <v>5</v>
      </c>
      <c r="B6" s="20" t="n">
        <v>43.83</v>
      </c>
      <c r="C6" s="20" t="n">
        <v>42</v>
      </c>
      <c r="D6" t="n">
        <v>1.043571428571429</v>
      </c>
      <c r="E6" s="23" t="n">
        <v>0.01288148494968653</v>
      </c>
      <c r="F6" s="20" t="n">
        <v>33</v>
      </c>
      <c r="G6" s="20" t="n">
        <v>30.42</v>
      </c>
    </row>
    <row r="7">
      <c r="A7" t="n">
        <v>10</v>
      </c>
      <c r="B7" s="20" t="n">
        <v>48.16</v>
      </c>
      <c r="C7" s="20" t="n">
        <v>47.83</v>
      </c>
      <c r="D7" t="n">
        <v>1.006899435500732</v>
      </c>
      <c r="E7" s="23" t="n">
        <v>0.01297323484477363</v>
      </c>
      <c r="F7" s="20" t="n">
        <v>33</v>
      </c>
      <c r="G7" s="20" t="n">
        <v>30.42</v>
      </c>
    </row>
    <row r="8">
      <c r="A8" t="n">
        <v>20</v>
      </c>
      <c r="B8" s="20" t="n">
        <v>72.5</v>
      </c>
      <c r="C8" s="20" t="n">
        <v>61.67</v>
      </c>
      <c r="D8" t="n">
        <v>1.175612129074104</v>
      </c>
      <c r="E8" s="23" t="n">
        <v>0.00963078027875165</v>
      </c>
      <c r="F8" s="20" t="n">
        <v>33</v>
      </c>
      <c r="G8" s="20" t="n">
        <v>30.42</v>
      </c>
    </row>
    <row r="9">
      <c r="A9" t="n">
        <v>60</v>
      </c>
      <c r="B9" s="20" t="n">
        <v>91.67</v>
      </c>
      <c r="C9" s="20" t="n">
        <v>92.84</v>
      </c>
      <c r="D9" t="n">
        <v>0.9873976734166308</v>
      </c>
      <c r="E9" s="23" t="n">
        <v>0.009629363405257819</v>
      </c>
      <c r="F9" s="20" t="n">
        <v>33</v>
      </c>
      <c r="G9" s="20" t="n">
        <v>30.42</v>
      </c>
    </row>
    <row r="10">
      <c r="A10" t="n">
        <v>120</v>
      </c>
      <c r="B10" s="20" t="n">
        <v>100.84</v>
      </c>
      <c r="C10" s="20" t="n">
        <v>113.67</v>
      </c>
      <c r="D10" t="n">
        <v>0.8871294096947304</v>
      </c>
      <c r="E10" s="23" t="n">
        <v>0.01752992859586068</v>
      </c>
      <c r="F10" s="20" t="n">
        <v>33</v>
      </c>
      <c r="G10" s="20" t="n">
        <v>30.42</v>
      </c>
    </row>
    <row r="11">
      <c r="A11" s="22" t="inlineStr">
        <is>
          <t>③ 口径核验：重建基差率 vs 100ppi 公布值</t>
        </is>
      </c>
    </row>
    <row r="13">
      <c r="A13" s="24" t="inlineStr">
        <is>
          <t>重合交易日</t>
        </is>
      </c>
      <c r="B13" s="24" t="n">
        <v>1002</v>
      </c>
    </row>
    <row r="14">
      <c r="A14" s="24" t="inlineStr">
        <is>
          <t>±0.5pp 一致率</t>
        </is>
      </c>
      <c r="B14" s="24" t="n">
        <v>0.3932135728542914</v>
      </c>
    </row>
    <row r="15">
      <c r="A15" s="24" t="inlineStr">
        <is>
          <t>±1.0pp 一致率</t>
        </is>
      </c>
      <c r="B15" s="24" t="n">
        <v>0.624750499001996</v>
      </c>
    </row>
    <row r="16">
      <c r="A16" s="24" t="inlineStr">
        <is>
          <t>偏差中位|·|(pp)</t>
        </is>
      </c>
      <c r="B16" s="24" t="n">
        <v>0.7242500000000001</v>
      </c>
    </row>
    <row r="17">
      <c r="A17" s="24" t="inlineStr">
        <is>
          <t>偏差P90|·|(pp)</t>
        </is>
      </c>
      <c r="B17" s="24" t="n">
        <v>2.41427</v>
      </c>
    </row>
    <row r="18">
      <c r="A18" s="24" t="inlineStr">
        <is>
          <t>隐含水平差中位(元/吨)</t>
        </is>
      </c>
      <c r="B18" s="24" t="n">
        <v>0.004544802867963007</v>
      </c>
    </row>
    <row r="19">
      <c r="A19" s="24" t="inlineStr">
        <is>
          <t>水平差P25</t>
        </is>
      </c>
      <c r="B19" s="24" t="n">
        <v>-18.40985618173166</v>
      </c>
    </row>
    <row r="20">
      <c r="A20" s="24" t="inlineStr">
        <is>
          <t>水平差P75</t>
        </is>
      </c>
      <c r="B20" s="24" t="n">
        <v>19.33464280051455</v>
      </c>
    </row>
    <row r="22">
      <c r="A22" s="22" t="inlineStr">
        <is>
          <t>水平平移后分组稳健性</t>
        </is>
      </c>
    </row>
    <row r="23" ht="30" customHeight="1">
      <c r="A23" s="19" t="inlineStr">
        <is>
          <t>观察期</t>
        </is>
      </c>
      <c r="B23" s="19" t="inlineStr">
        <is>
          <t>低分位均值</t>
        </is>
      </c>
      <c r="C23" s="19" t="inlineStr">
        <is>
          <t>中间均值</t>
        </is>
      </c>
      <c r="D23" s="19" t="inlineStr">
        <is>
          <t>高分位均值</t>
        </is>
      </c>
      <c r="E23" s="19" t="inlineStr">
        <is>
          <t>低−高</t>
        </is>
      </c>
    </row>
    <row r="24">
      <c r="A24" t="n">
        <v>5</v>
      </c>
      <c r="B24" s="20" t="n">
        <v>0.01439944285714286</v>
      </c>
      <c r="C24" s="20" t="n">
        <v>0.0005556279809220985</v>
      </c>
      <c r="D24" s="20" t="n">
        <v>-0.005759421800947868</v>
      </c>
      <c r="E24" s="20" t="n">
        <v>0.02015886465809072</v>
      </c>
    </row>
    <row r="25">
      <c r="A25" t="n">
        <v>10</v>
      </c>
      <c r="B25" s="20" t="n">
        <v>0.01673705</v>
      </c>
      <c r="C25" s="20" t="n">
        <v>0.0029212144</v>
      </c>
      <c r="D25" s="20" t="n">
        <v>-0.005723609523809525</v>
      </c>
      <c r="E25" s="20" t="n">
        <v>0.02246065952380952</v>
      </c>
    </row>
    <row r="26">
      <c r="A26" t="n">
        <v>20</v>
      </c>
      <c r="B26" s="20" t="n">
        <v>0.02468436428571428</v>
      </c>
      <c r="C26" s="20" t="n">
        <v>0.007128844551282052</v>
      </c>
      <c r="D26" s="20" t="n">
        <v>-0.005307741293532339</v>
      </c>
      <c r="E26" s="20" t="n">
        <v>0.02999210557924662</v>
      </c>
    </row>
    <row r="27">
      <c r="A27" t="n">
        <v>60</v>
      </c>
      <c r="B27" s="20" t="n">
        <v>0.04402325</v>
      </c>
      <c r="C27" s="20" t="n">
        <v>0.008360790268456375</v>
      </c>
      <c r="D27" s="20" t="n">
        <v>-0.02049964248704663</v>
      </c>
      <c r="E27" s="20" t="n">
        <v>0.06452289248704662</v>
      </c>
    </row>
    <row r="28">
      <c r="A28" t="n">
        <v>120</v>
      </c>
      <c r="B28" s="20" t="n">
        <v>0.02756415573770492</v>
      </c>
      <c r="C28" s="20" t="n">
        <v>0.01711225985663082</v>
      </c>
      <c r="D28" s="20" t="n">
        <v>-0.001404016216216216</v>
      </c>
      <c r="E28" s="20" t="n">
        <v>0.02896817195392114</v>
      </c>
    </row>
    <row r="30">
      <c r="A30" s="22" t="inlineStr">
        <is>
          <t>④ 样本重叠</t>
        </is>
      </c>
    </row>
    <row r="31" ht="30" customHeight="1">
      <c r="A31" s="19" t="inlineStr">
        <is>
          <t>观察期</t>
        </is>
      </c>
      <c r="B31" s="19" t="inlineStr">
        <is>
          <t>日度样本</t>
        </is>
      </c>
      <c r="C31" s="19" t="inlineStr">
        <is>
          <t>重叠倍数</t>
        </is>
      </c>
      <c r="D31" s="19" t="inlineStr">
        <is>
          <t>独立期间数</t>
        </is>
      </c>
      <c r="E31" s="19" t="inlineStr">
        <is>
          <t>非重叠低−高</t>
        </is>
      </c>
      <c r="F31" s="19" t="inlineStr">
        <is>
          <t>非重叠p</t>
        </is>
      </c>
    </row>
    <row r="32">
      <c r="A32" t="n">
        <v>5</v>
      </c>
      <c r="B32" t="n">
        <v>1004</v>
      </c>
      <c r="C32" t="n">
        <v>5</v>
      </c>
      <c r="D32" t="n">
        <v>201</v>
      </c>
      <c r="E32" s="20" t="n">
        <v>0.02723780701754386</v>
      </c>
      <c r="F32" t="n">
        <v>0.003806862313453596</v>
      </c>
    </row>
    <row r="33">
      <c r="A33" t="n">
        <v>10</v>
      </c>
      <c r="B33" t="n">
        <v>1004</v>
      </c>
      <c r="C33" t="n">
        <v>10</v>
      </c>
      <c r="D33" t="n">
        <v>101</v>
      </c>
      <c r="E33" s="20" t="n">
        <v>0.04303732679738562</v>
      </c>
      <c r="F33" t="n">
        <v>0.005091111054702465</v>
      </c>
    </row>
    <row r="34">
      <c r="A34" t="n">
        <v>20</v>
      </c>
      <c r="B34" t="n">
        <v>1004</v>
      </c>
      <c r="C34" t="n">
        <v>20</v>
      </c>
      <c r="D34" t="n">
        <v>51</v>
      </c>
      <c r="E34" s="20" t="n">
        <v>0.0718523888888889</v>
      </c>
      <c r="F34" t="n">
        <v>0.004394180252373143</v>
      </c>
    </row>
    <row r="35">
      <c r="A35" t="n">
        <v>60</v>
      </c>
      <c r="B35" t="n">
        <v>1004</v>
      </c>
      <c r="C35" t="n">
        <v>60</v>
      </c>
      <c r="D35" t="n">
        <v>17</v>
      </c>
      <c r="E35" s="20" t="n">
        <v>0.07704066666666667</v>
      </c>
    </row>
    <row r="36">
      <c r="A36" t="n">
        <v>120</v>
      </c>
      <c r="B36" t="n">
        <v>1004</v>
      </c>
      <c r="C36" t="n">
        <v>120</v>
      </c>
      <c r="D36" t="n">
        <v>9</v>
      </c>
      <c r="E36" s="20" t="n">
        <v>0.149598</v>
      </c>
    </row>
    <row r="38">
      <c r="A38" s="22" t="inlineStr">
        <is>
          <t>② 交割临近</t>
        </is>
      </c>
    </row>
    <row r="39" ht="30" customHeight="1">
      <c r="A39" s="19" t="inlineStr">
        <is>
          <t>距最后交易日</t>
        </is>
      </c>
      <c r="B39" s="19" t="inlineStr">
        <is>
          <t>样本</t>
        </is>
      </c>
      <c r="C39" s="19" t="inlineStr">
        <is>
          <t>1周|Δ|中位</t>
        </is>
      </c>
      <c r="D39" s="19" t="inlineStr">
        <is>
          <t>2周|Δ|中位</t>
        </is>
      </c>
      <c r="E39" s="19" t="inlineStr">
        <is>
          <t>4周|Δ|中位</t>
        </is>
      </c>
      <c r="F39" s="19" t="inlineStr">
        <is>
          <t>3月|Δ|中位</t>
        </is>
      </c>
      <c r="G39" s="19" t="inlineStr">
        <is>
          <t>6月|Δ|中位</t>
        </is>
      </c>
    </row>
    <row r="40">
      <c r="A40" t="inlineStr">
        <is>
          <t>0-5</t>
        </is>
      </c>
      <c r="B40" t="n">
        <v>6</v>
      </c>
      <c r="C40" s="20" t="n">
        <v>5.33</v>
      </c>
      <c r="D40" s="20" t="n"/>
      <c r="E40" s="20" t="n"/>
      <c r="F40" s="20" t="n"/>
      <c r="G40" s="20" t="n"/>
    </row>
    <row r="41">
      <c r="A41" t="inlineStr">
        <is>
          <t>6-10</t>
        </is>
      </c>
      <c r="B41" t="n">
        <v>5</v>
      </c>
      <c r="C41" s="20" t="n">
        <v>597.33</v>
      </c>
      <c r="D41" s="20" t="n">
        <v>837.33</v>
      </c>
      <c r="E41" s="20" t="n"/>
      <c r="F41" s="20" t="n"/>
      <c r="G41" s="20" t="n"/>
    </row>
    <row r="42">
      <c r="A42" t="inlineStr">
        <is>
          <t>11-20</t>
        </is>
      </c>
      <c r="B42" t="n">
        <v>10</v>
      </c>
      <c r="C42" s="20" t="n">
        <v>383.995</v>
      </c>
      <c r="D42" s="20" t="n">
        <v>445</v>
      </c>
      <c r="E42" s="20" t="n">
        <v>139</v>
      </c>
      <c r="F42" s="20" t="n"/>
      <c r="G42" s="20" t="n"/>
    </row>
    <row r="43">
      <c r="A43" t="inlineStr">
        <is>
          <t>21-40</t>
        </is>
      </c>
      <c r="B43" t="n">
        <v>213</v>
      </c>
      <c r="C43" s="20" t="n">
        <v>43</v>
      </c>
      <c r="D43" s="20" t="n">
        <v>51.17</v>
      </c>
      <c r="E43" s="20" t="n">
        <v>63.67</v>
      </c>
      <c r="F43" s="20" t="n">
        <v>79</v>
      </c>
      <c r="G43" s="20" t="n">
        <v>115.5</v>
      </c>
    </row>
    <row r="44">
      <c r="A44" t="inlineStr">
        <is>
          <t>&gt;40日</t>
        </is>
      </c>
      <c r="B44" t="n">
        <v>770</v>
      </c>
      <c r="C44" s="20" t="n">
        <v>41.16</v>
      </c>
      <c r="D44" s="20" t="n">
        <v>46</v>
      </c>
      <c r="E44" s="20" t="n">
        <v>59.915</v>
      </c>
      <c r="F44" s="20" t="n">
        <v>95.5</v>
      </c>
      <c r="G44" s="20" t="n">
        <v>113.165</v>
      </c>
    </row>
  </sheetData>
  <mergeCells count="1"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3" customWidth="1" min="5" max="5"/>
    <col width="11" customWidth="1" min="6" max="6"/>
    <col width="12" customWidth="1" min="7" max="7"/>
    <col width="15" customWidth="1" min="8" max="8"/>
    <col width="14" customWidth="1" min="9" max="9"/>
  </cols>
  <sheetData>
    <row r="1" ht="24" customHeight="1">
      <c r="A1" s="1" t="inlineStr">
        <is>
          <t>09 逐日合约映射与换月标记</t>
        </is>
      </c>
    </row>
    <row r="2">
      <c r="A2" s="2" t="inlineStr">
        <is>
          <t>主力连续 = 当日持仓量最大且未到期合约；roll_day=1 表示当日发生了合约切换。</t>
        </is>
      </c>
    </row>
    <row r="4" ht="30" customHeight="1">
      <c r="A4" s="3" t="inlineStr">
        <is>
          <t>日期</t>
        </is>
      </c>
      <c r="B4" s="3" t="inlineStr">
        <is>
          <t>采用合约</t>
        </is>
      </c>
      <c r="C4" s="3" t="inlineStr">
        <is>
          <t>交割月</t>
        </is>
      </c>
      <c r="D4" s="3" t="inlineStr">
        <is>
          <t>持仓量</t>
        </is>
      </c>
      <c r="E4" s="3" t="inlineStr">
        <is>
          <t>距最后交易日</t>
        </is>
      </c>
      <c r="F4" s="3" t="inlineStr">
        <is>
          <t>当日换月?</t>
        </is>
      </c>
      <c r="G4" s="3" t="inlineStr">
        <is>
          <t>次日将换月?</t>
        </is>
      </c>
      <c r="H4" s="3" t="inlineStr">
        <is>
          <t>主-次价差(元/吨)</t>
        </is>
      </c>
      <c r="I4" s="3" t="inlineStr">
        <is>
          <t>期限结构</t>
        </is>
      </c>
    </row>
    <row r="5">
      <c r="A5" s="6" t="inlineStr">
        <is>
          <t>2022-08-17</t>
        </is>
      </c>
      <c r="B5" s="6" t="inlineStr">
        <is>
          <t>MA2301</t>
        </is>
      </c>
      <c r="C5" s="6" t="inlineStr">
        <is>
          <t>2023-01</t>
        </is>
      </c>
      <c r="D5" s="9" t="n">
        <v>1054279</v>
      </c>
      <c r="E5" s="6" t="n">
        <v>100</v>
      </c>
      <c r="F5" s="6" t="n">
        <v>0</v>
      </c>
      <c r="G5" s="6" t="n">
        <v>0</v>
      </c>
      <c r="H5" s="7" t="n">
        <v>-3</v>
      </c>
      <c r="I5" s="6" t="inlineStr">
        <is>
          <t>结构不明</t>
        </is>
      </c>
    </row>
    <row r="6">
      <c r="A6" s="11" t="inlineStr">
        <is>
          <t>2022-08-18</t>
        </is>
      </c>
      <c r="B6" s="11" t="inlineStr">
        <is>
          <t>MA2301</t>
        </is>
      </c>
      <c r="C6" s="11" t="inlineStr">
        <is>
          <t>2023-01</t>
        </is>
      </c>
      <c r="D6" s="14" t="n">
        <v>1007268</v>
      </c>
      <c r="E6" s="11" t="n">
        <v>99</v>
      </c>
      <c r="F6" s="11" t="n">
        <v>0</v>
      </c>
      <c r="G6" s="11" t="n">
        <v>0</v>
      </c>
      <c r="H6" s="12" t="n">
        <v>-14</v>
      </c>
      <c r="I6" s="11" t="inlineStr">
        <is>
          <t>结构不明</t>
        </is>
      </c>
    </row>
    <row r="7">
      <c r="A7" s="6" t="inlineStr">
        <is>
          <t>2022-08-19</t>
        </is>
      </c>
      <c r="B7" s="6" t="inlineStr">
        <is>
          <t>MA2301</t>
        </is>
      </c>
      <c r="C7" s="6" t="inlineStr">
        <is>
          <t>2023-01</t>
        </is>
      </c>
      <c r="D7" s="9" t="n">
        <v>1215579</v>
      </c>
      <c r="E7" s="6" t="n">
        <v>98</v>
      </c>
      <c r="F7" s="6" t="n">
        <v>0</v>
      </c>
      <c r="G7" s="6" t="n">
        <v>0</v>
      </c>
      <c r="H7" s="7" t="n">
        <v>3</v>
      </c>
      <c r="I7" s="6" t="inlineStr">
        <is>
          <t>结构不明</t>
        </is>
      </c>
    </row>
    <row r="8">
      <c r="A8" s="11" t="inlineStr">
        <is>
          <t>2022-08-22</t>
        </is>
      </c>
      <c r="B8" s="11" t="inlineStr">
        <is>
          <t>MA2301</t>
        </is>
      </c>
      <c r="C8" s="11" t="inlineStr">
        <is>
          <t>2023-01</t>
        </is>
      </c>
      <c r="D8" s="14" t="n">
        <v>1029496</v>
      </c>
      <c r="E8" s="11" t="n">
        <v>97</v>
      </c>
      <c r="F8" s="11" t="n">
        <v>0</v>
      </c>
      <c r="G8" s="11" t="n">
        <v>0</v>
      </c>
      <c r="H8" s="12" t="n">
        <v>20</v>
      </c>
      <c r="I8" s="11" t="inlineStr">
        <is>
          <t>结构不明</t>
        </is>
      </c>
    </row>
    <row r="9">
      <c r="A9" s="6" t="inlineStr">
        <is>
          <t>2022-08-23</t>
        </is>
      </c>
      <c r="B9" s="6" t="inlineStr">
        <is>
          <t>MA2301</t>
        </is>
      </c>
      <c r="C9" s="6" t="inlineStr">
        <is>
          <t>2023-01</t>
        </is>
      </c>
      <c r="D9" s="9" t="n">
        <v>1119103</v>
      </c>
      <c r="E9" s="6" t="n">
        <v>96</v>
      </c>
      <c r="F9" s="6" t="n">
        <v>0</v>
      </c>
      <c r="G9" s="6" t="n">
        <v>0</v>
      </c>
      <c r="H9" s="7" t="n">
        <v>36</v>
      </c>
      <c r="I9" s="6" t="inlineStr">
        <is>
          <t>结构不明</t>
        </is>
      </c>
    </row>
    <row r="10">
      <c r="A10" s="11" t="inlineStr">
        <is>
          <t>2022-08-24</t>
        </is>
      </c>
      <c r="B10" s="11" t="inlineStr">
        <is>
          <t>MA2301</t>
        </is>
      </c>
      <c r="C10" s="11" t="inlineStr">
        <is>
          <t>2023-01</t>
        </is>
      </c>
      <c r="D10" s="14" t="n">
        <v>967858</v>
      </c>
      <c r="E10" s="11" t="n">
        <v>95</v>
      </c>
      <c r="F10" s="11" t="n">
        <v>0</v>
      </c>
      <c r="G10" s="11" t="n">
        <v>0</v>
      </c>
      <c r="H10" s="12" t="n">
        <v>43</v>
      </c>
      <c r="I10" s="11" t="inlineStr">
        <is>
          <t>结构不明</t>
        </is>
      </c>
    </row>
    <row r="11">
      <c r="A11" s="6" t="inlineStr">
        <is>
          <t>2022-08-25</t>
        </is>
      </c>
      <c r="B11" s="6" t="inlineStr">
        <is>
          <t>MA2301</t>
        </is>
      </c>
      <c r="C11" s="6" t="inlineStr">
        <is>
          <t>2023-01</t>
        </is>
      </c>
      <c r="D11" s="9" t="n">
        <v>1100653</v>
      </c>
      <c r="E11" s="6" t="n">
        <v>94</v>
      </c>
      <c r="F11" s="6" t="n">
        <v>0</v>
      </c>
      <c r="G11" s="6" t="n">
        <v>0</v>
      </c>
      <c r="H11" s="7" t="n">
        <v>49</v>
      </c>
      <c r="I11" s="6" t="inlineStr">
        <is>
          <t>结构不明</t>
        </is>
      </c>
    </row>
    <row r="12">
      <c r="A12" s="11" t="inlineStr">
        <is>
          <t>2022-08-26</t>
        </is>
      </c>
      <c r="B12" s="11" t="inlineStr">
        <is>
          <t>MA2301</t>
        </is>
      </c>
      <c r="C12" s="11" t="inlineStr">
        <is>
          <t>2023-01</t>
        </is>
      </c>
      <c r="D12" s="14" t="n">
        <v>1046575</v>
      </c>
      <c r="E12" s="11" t="n">
        <v>93</v>
      </c>
      <c r="F12" s="11" t="n">
        <v>0</v>
      </c>
      <c r="G12" s="11" t="n">
        <v>0</v>
      </c>
      <c r="H12" s="12" t="n">
        <v>70</v>
      </c>
      <c r="I12" s="11" t="inlineStr">
        <is>
          <t>结构不明</t>
        </is>
      </c>
    </row>
    <row r="13">
      <c r="A13" s="6" t="inlineStr">
        <is>
          <t>2022-08-29</t>
        </is>
      </c>
      <c r="B13" s="6" t="inlineStr">
        <is>
          <t>MA2301</t>
        </is>
      </c>
      <c r="C13" s="6" t="inlineStr">
        <is>
          <t>2023-01</t>
        </is>
      </c>
      <c r="D13" s="9" t="n">
        <v>1087635</v>
      </c>
      <c r="E13" s="6" t="n">
        <v>92</v>
      </c>
      <c r="F13" s="6" t="n">
        <v>0</v>
      </c>
      <c r="G13" s="6" t="n">
        <v>0</v>
      </c>
      <c r="H13" s="7" t="n">
        <v>50</v>
      </c>
      <c r="I13" s="6" t="inlineStr">
        <is>
          <t>结构不明</t>
        </is>
      </c>
    </row>
    <row r="14">
      <c r="A14" s="11" t="inlineStr">
        <is>
          <t>2022-08-30</t>
        </is>
      </c>
      <c r="B14" s="11" t="inlineStr">
        <is>
          <t>MA2301</t>
        </is>
      </c>
      <c r="C14" s="11" t="inlineStr">
        <is>
          <t>2023-01</t>
        </is>
      </c>
      <c r="D14" s="14" t="n">
        <v>1043019</v>
      </c>
      <c r="E14" s="11" t="n">
        <v>91</v>
      </c>
      <c r="F14" s="11" t="n">
        <v>0</v>
      </c>
      <c r="G14" s="11" t="n">
        <v>0</v>
      </c>
      <c r="H14" s="12" t="n">
        <v>47</v>
      </c>
      <c r="I14" s="11" t="inlineStr">
        <is>
          <t>结构不明</t>
        </is>
      </c>
    </row>
    <row r="15">
      <c r="A15" s="6" t="inlineStr">
        <is>
          <t>2022-08-31</t>
        </is>
      </c>
      <c r="B15" s="6" t="inlineStr">
        <is>
          <t>MA2301</t>
        </is>
      </c>
      <c r="C15" s="6" t="inlineStr">
        <is>
          <t>2023-01</t>
        </is>
      </c>
      <c r="D15" s="9" t="n">
        <v>1077235</v>
      </c>
      <c r="E15" s="6" t="n">
        <v>90</v>
      </c>
      <c r="F15" s="6" t="n">
        <v>0</v>
      </c>
      <c r="G15" s="6" t="n">
        <v>0</v>
      </c>
      <c r="H15" s="7" t="n">
        <v>70</v>
      </c>
      <c r="I15" s="6" t="inlineStr">
        <is>
          <t>结构不明</t>
        </is>
      </c>
    </row>
    <row r="16">
      <c r="A16" s="11" t="inlineStr">
        <is>
          <t>2022-09-01</t>
        </is>
      </c>
      <c r="B16" s="11" t="inlineStr">
        <is>
          <t>MA2301</t>
        </is>
      </c>
      <c r="C16" s="11" t="inlineStr">
        <is>
          <t>2023-01</t>
        </is>
      </c>
      <c r="D16" s="14" t="n">
        <v>1038401</v>
      </c>
      <c r="E16" s="11" t="n">
        <v>89</v>
      </c>
      <c r="F16" s="11" t="n">
        <v>0</v>
      </c>
      <c r="G16" s="11" t="n">
        <v>0</v>
      </c>
      <c r="H16" s="12" t="n">
        <v>64</v>
      </c>
      <c r="I16" s="11" t="inlineStr">
        <is>
          <t>结构不明</t>
        </is>
      </c>
    </row>
    <row r="17">
      <c r="A17" s="6" t="inlineStr">
        <is>
          <t>2022-09-02</t>
        </is>
      </c>
      <c r="B17" s="6" t="inlineStr">
        <is>
          <t>MA2301</t>
        </is>
      </c>
      <c r="C17" s="6" t="inlineStr">
        <is>
          <t>2023-01</t>
        </is>
      </c>
      <c r="D17" s="9" t="n">
        <v>1175383</v>
      </c>
      <c r="E17" s="6" t="n">
        <v>88</v>
      </c>
      <c r="F17" s="6" t="n">
        <v>0</v>
      </c>
      <c r="G17" s="6" t="n">
        <v>0</v>
      </c>
      <c r="H17" s="7" t="n">
        <v>65</v>
      </c>
      <c r="I17" s="6" t="inlineStr">
        <is>
          <t>结构不明</t>
        </is>
      </c>
    </row>
    <row r="18">
      <c r="A18" s="11" t="inlineStr">
        <is>
          <t>2022-09-05</t>
        </is>
      </c>
      <c r="B18" s="11" t="inlineStr">
        <is>
          <t>MA2301</t>
        </is>
      </c>
      <c r="C18" s="11" t="inlineStr">
        <is>
          <t>2023-01</t>
        </is>
      </c>
      <c r="D18" s="14" t="n">
        <v>1096098</v>
      </c>
      <c r="E18" s="11" t="n">
        <v>87</v>
      </c>
      <c r="F18" s="11" t="n">
        <v>0</v>
      </c>
      <c r="G18" s="11" t="n">
        <v>0</v>
      </c>
      <c r="H18" s="12" t="n">
        <v>61</v>
      </c>
      <c r="I18" s="11" t="inlineStr">
        <is>
          <t>结构不明</t>
        </is>
      </c>
    </row>
    <row r="19">
      <c r="A19" s="6" t="inlineStr">
        <is>
          <t>2022-09-06</t>
        </is>
      </c>
      <c r="B19" s="6" t="inlineStr">
        <is>
          <t>MA2301</t>
        </is>
      </c>
      <c r="C19" s="6" t="inlineStr">
        <is>
          <t>2023-01</t>
        </is>
      </c>
      <c r="D19" s="9" t="n">
        <v>1251405</v>
      </c>
      <c r="E19" s="6" t="n">
        <v>86</v>
      </c>
      <c r="F19" s="6" t="n">
        <v>0</v>
      </c>
      <c r="G19" s="6" t="n">
        <v>0</v>
      </c>
      <c r="H19" s="7" t="n">
        <v>104</v>
      </c>
      <c r="I19" s="6" t="inlineStr">
        <is>
          <t>结构不明</t>
        </is>
      </c>
    </row>
    <row r="20">
      <c r="A20" s="11" t="inlineStr">
        <is>
          <t>2022-09-07</t>
        </is>
      </c>
      <c r="B20" s="11" t="inlineStr">
        <is>
          <t>MA2301</t>
        </is>
      </c>
      <c r="C20" s="11" t="inlineStr">
        <is>
          <t>2023-01</t>
        </is>
      </c>
      <c r="D20" s="14" t="n">
        <v>1133567</v>
      </c>
      <c r="E20" s="11" t="n">
        <v>85</v>
      </c>
      <c r="F20" s="11" t="n">
        <v>0</v>
      </c>
      <c r="G20" s="11" t="n">
        <v>0</v>
      </c>
      <c r="H20" s="12" t="n">
        <v>74</v>
      </c>
      <c r="I20" s="11" t="inlineStr">
        <is>
          <t>结构不明</t>
        </is>
      </c>
    </row>
    <row r="21">
      <c r="A21" s="6" t="inlineStr">
        <is>
          <t>2022-09-08</t>
        </is>
      </c>
      <c r="B21" s="6" t="inlineStr">
        <is>
          <t>MA2301</t>
        </is>
      </c>
      <c r="C21" s="6" t="inlineStr">
        <is>
          <t>2023-01</t>
        </is>
      </c>
      <c r="D21" s="9" t="n">
        <v>1237415</v>
      </c>
      <c r="E21" s="6" t="n">
        <v>84</v>
      </c>
      <c r="F21" s="6" t="n">
        <v>0</v>
      </c>
      <c r="G21" s="6" t="n">
        <v>0</v>
      </c>
      <c r="H21" s="7" t="n">
        <v>80</v>
      </c>
      <c r="I21" s="6" t="inlineStr">
        <is>
          <t>结构不明</t>
        </is>
      </c>
    </row>
    <row r="22">
      <c r="A22" s="11" t="inlineStr">
        <is>
          <t>2022-09-09</t>
        </is>
      </c>
      <c r="B22" s="11" t="inlineStr">
        <is>
          <t>MA2301</t>
        </is>
      </c>
      <c r="C22" s="11" t="inlineStr">
        <is>
          <t>2023-01</t>
        </is>
      </c>
      <c r="D22" s="14" t="n">
        <v>1189239</v>
      </c>
      <c r="E22" s="11" t="n">
        <v>83</v>
      </c>
      <c r="F22" s="11" t="n">
        <v>0</v>
      </c>
      <c r="G22" s="11" t="n">
        <v>0</v>
      </c>
      <c r="H22" s="12" t="n">
        <v>90</v>
      </c>
      <c r="I22" s="11" t="inlineStr">
        <is>
          <t>结构不明</t>
        </is>
      </c>
    </row>
    <row r="23">
      <c r="A23" s="6" t="inlineStr">
        <is>
          <t>2022-09-14</t>
        </is>
      </c>
      <c r="B23" s="6" t="inlineStr">
        <is>
          <t>MA2301</t>
        </is>
      </c>
      <c r="C23" s="6" t="inlineStr">
        <is>
          <t>2023-01</t>
        </is>
      </c>
      <c r="D23" s="9" t="n">
        <v>1311043</v>
      </c>
      <c r="E23" s="6" t="n">
        <v>81</v>
      </c>
      <c r="F23" s="6" t="n">
        <v>0</v>
      </c>
      <c r="G23" s="6" t="n">
        <v>0</v>
      </c>
      <c r="H23" s="7" t="n">
        <v>43</v>
      </c>
      <c r="I23" s="6" t="inlineStr">
        <is>
          <t>结构不明</t>
        </is>
      </c>
    </row>
    <row r="24">
      <c r="A24" s="11" t="inlineStr">
        <is>
          <t>2022-09-15</t>
        </is>
      </c>
      <c r="B24" s="11" t="inlineStr">
        <is>
          <t>MA2301</t>
        </is>
      </c>
      <c r="C24" s="11" t="inlineStr">
        <is>
          <t>2023-01</t>
        </is>
      </c>
      <c r="D24" s="14" t="n">
        <v>1177333</v>
      </c>
      <c r="E24" s="11" t="n">
        <v>80</v>
      </c>
      <c r="F24" s="11" t="n">
        <v>0</v>
      </c>
      <c r="G24" s="11" t="n">
        <v>0</v>
      </c>
      <c r="H24" s="12" t="n">
        <v>-74</v>
      </c>
      <c r="I24" s="11" t="inlineStr">
        <is>
          <t>结构不明</t>
        </is>
      </c>
    </row>
    <row r="25">
      <c r="A25" s="6" t="inlineStr">
        <is>
          <t>2022-09-16</t>
        </is>
      </c>
      <c r="B25" s="6" t="inlineStr">
        <is>
          <t>MA2301</t>
        </is>
      </c>
      <c r="C25" s="6" t="inlineStr">
        <is>
          <t>2023-01</t>
        </is>
      </c>
      <c r="D25" s="9" t="n">
        <v>1354472</v>
      </c>
      <c r="E25" s="6" t="n">
        <v>79</v>
      </c>
      <c r="F25" s="6" t="n">
        <v>0</v>
      </c>
      <c r="G25" s="6" t="n">
        <v>0</v>
      </c>
      <c r="H25" s="7" t="n">
        <v>-1</v>
      </c>
      <c r="I25" s="6" t="inlineStr">
        <is>
          <t>Contango(远强)</t>
        </is>
      </c>
    </row>
    <row r="26">
      <c r="A26" s="11" t="inlineStr">
        <is>
          <t>2022-09-19</t>
        </is>
      </c>
      <c r="B26" s="11" t="inlineStr">
        <is>
          <t>MA2301</t>
        </is>
      </c>
      <c r="C26" s="11" t="inlineStr">
        <is>
          <t>2023-01</t>
        </is>
      </c>
      <c r="D26" s="14" t="n">
        <v>1261127</v>
      </c>
      <c r="E26" s="11" t="n">
        <v>78</v>
      </c>
      <c r="F26" s="11" t="n">
        <v>0</v>
      </c>
      <c r="G26" s="11" t="n">
        <v>0</v>
      </c>
      <c r="H26" s="12" t="n">
        <v>-6</v>
      </c>
      <c r="I26" s="11" t="inlineStr">
        <is>
          <t>Contango(远强)</t>
        </is>
      </c>
    </row>
    <row r="27">
      <c r="A27" s="6" t="inlineStr">
        <is>
          <t>2022-09-20</t>
        </is>
      </c>
      <c r="B27" s="6" t="inlineStr">
        <is>
          <t>MA2301</t>
        </is>
      </c>
      <c r="C27" s="6" t="inlineStr">
        <is>
          <t>2023-01</t>
        </is>
      </c>
      <c r="D27" s="9" t="n">
        <v>1332262</v>
      </c>
      <c r="E27" s="6" t="n">
        <v>77</v>
      </c>
      <c r="F27" s="6" t="n">
        <v>0</v>
      </c>
      <c r="G27" s="6" t="n">
        <v>0</v>
      </c>
      <c r="H27" s="7" t="n">
        <v>-5</v>
      </c>
      <c r="I27" s="6" t="inlineStr">
        <is>
          <t>Contango(远强)</t>
        </is>
      </c>
    </row>
    <row r="28">
      <c r="A28" s="11" t="inlineStr">
        <is>
          <t>2022-09-21</t>
        </is>
      </c>
      <c r="B28" s="11" t="inlineStr">
        <is>
          <t>MA2301</t>
        </is>
      </c>
      <c r="C28" s="11" t="inlineStr">
        <is>
          <t>2023-01</t>
        </is>
      </c>
      <c r="D28" s="14" t="n">
        <v>1161651</v>
      </c>
      <c r="E28" s="11" t="n">
        <v>76</v>
      </c>
      <c r="F28" s="11" t="n">
        <v>0</v>
      </c>
      <c r="G28" s="11" t="n">
        <v>0</v>
      </c>
      <c r="H28" s="12" t="n">
        <v>-4</v>
      </c>
      <c r="I28" s="11" t="inlineStr">
        <is>
          <t>Contango(远强)</t>
        </is>
      </c>
    </row>
    <row r="29">
      <c r="A29" s="6" t="inlineStr">
        <is>
          <t>2022-09-22</t>
        </is>
      </c>
      <c r="B29" s="6" t="inlineStr">
        <is>
          <t>MA2301</t>
        </is>
      </c>
      <c r="C29" s="6" t="inlineStr">
        <is>
          <t>2023-01</t>
        </is>
      </c>
      <c r="D29" s="9" t="n">
        <v>1297166</v>
      </c>
      <c r="E29" s="6" t="n">
        <v>75</v>
      </c>
      <c r="F29" s="6" t="n">
        <v>0</v>
      </c>
      <c r="G29" s="6" t="n">
        <v>0</v>
      </c>
      <c r="H29" s="7" t="n">
        <v>-15</v>
      </c>
      <c r="I29" s="6" t="inlineStr">
        <is>
          <t>Contango(远强)</t>
        </is>
      </c>
    </row>
    <row r="30">
      <c r="A30" s="11" t="inlineStr">
        <is>
          <t>2022-09-23</t>
        </is>
      </c>
      <c r="B30" s="11" t="inlineStr">
        <is>
          <t>MA2301</t>
        </is>
      </c>
      <c r="C30" s="11" t="inlineStr">
        <is>
          <t>2023-01</t>
        </is>
      </c>
      <c r="D30" s="14" t="n">
        <v>1174864</v>
      </c>
      <c r="E30" s="11" t="n">
        <v>74</v>
      </c>
      <c r="F30" s="11" t="n">
        <v>0</v>
      </c>
      <c r="G30" s="11" t="n">
        <v>0</v>
      </c>
      <c r="H30" s="12" t="n">
        <v>-10</v>
      </c>
      <c r="I30" s="11" t="inlineStr">
        <is>
          <t>Contango(远强)</t>
        </is>
      </c>
    </row>
    <row r="31">
      <c r="A31" s="6" t="inlineStr">
        <is>
          <t>2022-09-26</t>
        </is>
      </c>
      <c r="B31" s="6" t="inlineStr">
        <is>
          <t>MA2301</t>
        </is>
      </c>
      <c r="C31" s="6" t="inlineStr">
        <is>
          <t>2023-01</t>
        </is>
      </c>
      <c r="D31" s="9" t="n">
        <v>1214648</v>
      </c>
      <c r="E31" s="6" t="n">
        <v>73</v>
      </c>
      <c r="F31" s="6" t="n">
        <v>0</v>
      </c>
      <c r="G31" s="6" t="n">
        <v>0</v>
      </c>
      <c r="H31" s="7" t="n">
        <v>-40</v>
      </c>
      <c r="I31" s="6" t="inlineStr">
        <is>
          <t>Contango(远强)</t>
        </is>
      </c>
    </row>
    <row r="32">
      <c r="A32" s="11" t="inlineStr">
        <is>
          <t>2022-09-27</t>
        </is>
      </c>
      <c r="B32" s="11" t="inlineStr">
        <is>
          <t>MA2301</t>
        </is>
      </c>
      <c r="C32" s="11" t="inlineStr">
        <is>
          <t>2023-01</t>
        </is>
      </c>
      <c r="D32" s="14" t="n">
        <v>1181798</v>
      </c>
      <c r="E32" s="11" t="n">
        <v>72</v>
      </c>
      <c r="F32" s="11" t="n">
        <v>0</v>
      </c>
      <c r="G32" s="11" t="n">
        <v>0</v>
      </c>
      <c r="H32" s="12" t="n">
        <v>-70</v>
      </c>
      <c r="I32" s="11" t="inlineStr">
        <is>
          <t>Contango(远强)</t>
        </is>
      </c>
    </row>
    <row r="33">
      <c r="A33" s="6" t="inlineStr">
        <is>
          <t>2022-09-28</t>
        </is>
      </c>
      <c r="B33" s="6" t="inlineStr">
        <is>
          <t>MA2301</t>
        </is>
      </c>
      <c r="C33" s="6" t="inlineStr">
        <is>
          <t>2023-01</t>
        </is>
      </c>
      <c r="D33" s="9" t="n">
        <v>1171830</v>
      </c>
      <c r="E33" s="6" t="n">
        <v>71</v>
      </c>
      <c r="F33" s="6" t="n">
        <v>0</v>
      </c>
      <c r="G33" s="6" t="n">
        <v>0</v>
      </c>
      <c r="H33" s="7" t="n">
        <v>-66</v>
      </c>
      <c r="I33" s="6" t="inlineStr">
        <is>
          <t>Contango(远强)</t>
        </is>
      </c>
    </row>
    <row r="34">
      <c r="A34" s="11" t="inlineStr">
        <is>
          <t>2022-09-29</t>
        </is>
      </c>
      <c r="B34" s="11" t="inlineStr">
        <is>
          <t>MA2301</t>
        </is>
      </c>
      <c r="C34" s="11" t="inlineStr">
        <is>
          <t>2023-01</t>
        </is>
      </c>
      <c r="D34" s="14" t="n">
        <v>1167903</v>
      </c>
      <c r="E34" s="11" t="n">
        <v>70</v>
      </c>
      <c r="F34" s="11" t="n">
        <v>0</v>
      </c>
      <c r="G34" s="11" t="n">
        <v>0</v>
      </c>
      <c r="H34" s="12" t="n">
        <v>-83</v>
      </c>
      <c r="I34" s="11" t="inlineStr">
        <is>
          <t>Contango(远强)</t>
        </is>
      </c>
    </row>
    <row r="35">
      <c r="A35" s="6" t="inlineStr">
        <is>
          <t>2022-09-30</t>
        </is>
      </c>
      <c r="B35" s="6" t="inlineStr">
        <is>
          <t>MA2301</t>
        </is>
      </c>
      <c r="C35" s="6" t="inlineStr">
        <is>
          <t>2023-01</t>
        </is>
      </c>
      <c r="D35" s="9" t="n">
        <v>1013058</v>
      </c>
      <c r="E35" s="6" t="n">
        <v>69</v>
      </c>
      <c r="F35" s="6" t="n">
        <v>0</v>
      </c>
      <c r="G35" s="6" t="n">
        <v>0</v>
      </c>
      <c r="H35" s="7" t="n">
        <v>-63</v>
      </c>
      <c r="I35" s="6" t="inlineStr">
        <is>
          <t>Contango(远强)</t>
        </is>
      </c>
    </row>
    <row r="36">
      <c r="A36" s="11" t="inlineStr">
        <is>
          <t>2022-10-11</t>
        </is>
      </c>
      <c r="B36" s="11" t="inlineStr">
        <is>
          <t>MA2301</t>
        </is>
      </c>
      <c r="C36" s="11" t="inlineStr">
        <is>
          <t>2023-01</t>
        </is>
      </c>
      <c r="D36" s="14" t="n">
        <v>1127038</v>
      </c>
      <c r="E36" s="11" t="n">
        <v>67</v>
      </c>
      <c r="F36" s="11" t="n">
        <v>0</v>
      </c>
      <c r="G36" s="11" t="n">
        <v>0</v>
      </c>
      <c r="H36" s="12" t="n">
        <v>-63</v>
      </c>
      <c r="I36" s="11" t="inlineStr">
        <is>
          <t>Contango(远强)</t>
        </is>
      </c>
    </row>
    <row r="37">
      <c r="A37" s="6" t="inlineStr">
        <is>
          <t>2022-10-12</t>
        </is>
      </c>
      <c r="B37" s="6" t="inlineStr">
        <is>
          <t>MA2301</t>
        </is>
      </c>
      <c r="C37" s="6" t="inlineStr">
        <is>
          <t>2023-01</t>
        </is>
      </c>
      <c r="D37" s="9" t="n">
        <v>1054674</v>
      </c>
      <c r="E37" s="6" t="n">
        <v>66</v>
      </c>
      <c r="F37" s="6" t="n">
        <v>0</v>
      </c>
      <c r="G37" s="6" t="n">
        <v>0</v>
      </c>
      <c r="H37" s="7" t="n">
        <v>-38</v>
      </c>
      <c r="I37" s="6" t="inlineStr">
        <is>
          <t>Contango(远强)</t>
        </is>
      </c>
    </row>
    <row r="38">
      <c r="A38" s="11" t="inlineStr">
        <is>
          <t>2022-10-13</t>
        </is>
      </c>
      <c r="B38" s="11" t="inlineStr">
        <is>
          <t>MA2301</t>
        </is>
      </c>
      <c r="C38" s="11" t="inlineStr">
        <is>
          <t>2023-01</t>
        </is>
      </c>
      <c r="D38" s="14" t="n">
        <v>1128089</v>
      </c>
      <c r="E38" s="11" t="n">
        <v>65</v>
      </c>
      <c r="F38" s="11" t="n">
        <v>0</v>
      </c>
      <c r="G38" s="11" t="n">
        <v>0</v>
      </c>
      <c r="H38" s="12" t="n">
        <v>-57</v>
      </c>
      <c r="I38" s="11" t="inlineStr">
        <is>
          <t>Contango(远强)</t>
        </is>
      </c>
    </row>
    <row r="39">
      <c r="A39" s="6" t="inlineStr">
        <is>
          <t>2022-10-14</t>
        </is>
      </c>
      <c r="B39" s="6" t="inlineStr">
        <is>
          <t>MA2301</t>
        </is>
      </c>
      <c r="C39" s="6" t="inlineStr">
        <is>
          <t>2023-01</t>
        </is>
      </c>
      <c r="D39" s="9" t="n">
        <v>1065424</v>
      </c>
      <c r="E39" s="6" t="n">
        <v>64</v>
      </c>
      <c r="F39" s="6" t="n">
        <v>0</v>
      </c>
      <c r="G39" s="6" t="n">
        <v>0</v>
      </c>
      <c r="H39" s="7" t="n">
        <v>-85</v>
      </c>
      <c r="I39" s="6" t="inlineStr">
        <is>
          <t>Contango(远强)</t>
        </is>
      </c>
    </row>
    <row r="40">
      <c r="A40" s="11" t="inlineStr">
        <is>
          <t>2022-10-17</t>
        </is>
      </c>
      <c r="B40" s="11" t="inlineStr">
        <is>
          <t>MA2301</t>
        </is>
      </c>
      <c r="C40" s="11" t="inlineStr">
        <is>
          <t>2023-01</t>
        </is>
      </c>
      <c r="D40" s="14" t="n">
        <v>1194529</v>
      </c>
      <c r="E40" s="11" t="n">
        <v>63</v>
      </c>
      <c r="F40" s="11" t="n">
        <v>0</v>
      </c>
      <c r="G40" s="11" t="n">
        <v>0</v>
      </c>
      <c r="H40" s="12" t="n">
        <v>-111</v>
      </c>
      <c r="I40" s="11" t="inlineStr">
        <is>
          <t>Contango(远强)</t>
        </is>
      </c>
    </row>
    <row r="41">
      <c r="A41" s="6" t="inlineStr">
        <is>
          <t>2022-10-18</t>
        </is>
      </c>
      <c r="B41" s="6" t="inlineStr">
        <is>
          <t>MA2301</t>
        </is>
      </c>
      <c r="C41" s="6" t="inlineStr">
        <is>
          <t>2023-01</t>
        </is>
      </c>
      <c r="D41" s="9" t="n">
        <v>1045855</v>
      </c>
      <c r="E41" s="6" t="n">
        <v>62</v>
      </c>
      <c r="F41" s="6" t="n">
        <v>0</v>
      </c>
      <c r="G41" s="6" t="n">
        <v>0</v>
      </c>
      <c r="H41" s="7" t="n">
        <v>-111</v>
      </c>
      <c r="I41" s="6" t="inlineStr">
        <is>
          <t>Contango(远强)</t>
        </is>
      </c>
    </row>
    <row r="42">
      <c r="A42" s="11" t="inlineStr">
        <is>
          <t>2022-10-19</t>
        </is>
      </c>
      <c r="B42" s="11" t="inlineStr">
        <is>
          <t>MA2301</t>
        </is>
      </c>
      <c r="C42" s="11" t="inlineStr">
        <is>
          <t>2023-01</t>
        </is>
      </c>
      <c r="D42" s="14" t="n">
        <v>1119537</v>
      </c>
      <c r="E42" s="11" t="n">
        <v>61</v>
      </c>
      <c r="F42" s="11" t="n">
        <v>0</v>
      </c>
      <c r="G42" s="11" t="n">
        <v>0</v>
      </c>
      <c r="H42" s="12" t="n">
        <v>-108</v>
      </c>
      <c r="I42" s="11" t="inlineStr">
        <is>
          <t>Contango(远强)</t>
        </is>
      </c>
    </row>
    <row r="43">
      <c r="A43" s="6" t="inlineStr">
        <is>
          <t>2022-10-20</t>
        </is>
      </c>
      <c r="B43" s="6" t="inlineStr">
        <is>
          <t>MA2301</t>
        </is>
      </c>
      <c r="C43" s="6" t="inlineStr">
        <is>
          <t>2023-01</t>
        </is>
      </c>
      <c r="D43" s="9" t="n">
        <v>1121299</v>
      </c>
      <c r="E43" s="6" t="n">
        <v>60</v>
      </c>
      <c r="F43" s="6" t="n">
        <v>0</v>
      </c>
      <c r="G43" s="6" t="n">
        <v>0</v>
      </c>
      <c r="H43" s="7" t="n">
        <v>-78</v>
      </c>
      <c r="I43" s="6" t="inlineStr">
        <is>
          <t>Contango(远强)</t>
        </is>
      </c>
    </row>
    <row r="44">
      <c r="A44" s="11" t="inlineStr">
        <is>
          <t>2022-10-21</t>
        </is>
      </c>
      <c r="B44" s="11" t="inlineStr">
        <is>
          <t>MA2301</t>
        </is>
      </c>
      <c r="C44" s="11" t="inlineStr">
        <is>
          <t>2023-01</t>
        </is>
      </c>
      <c r="D44" s="14" t="n">
        <v>1118467</v>
      </c>
      <c r="E44" s="11" t="n">
        <v>59</v>
      </c>
      <c r="F44" s="11" t="n">
        <v>0</v>
      </c>
      <c r="G44" s="11" t="n">
        <v>0</v>
      </c>
      <c r="H44" s="12" t="n">
        <v>-93</v>
      </c>
      <c r="I44" s="11" t="inlineStr">
        <is>
          <t>Contango(远强)</t>
        </is>
      </c>
    </row>
    <row r="45">
      <c r="A45" s="6" t="inlineStr">
        <is>
          <t>2022-10-24</t>
        </is>
      </c>
      <c r="B45" s="6" t="inlineStr">
        <is>
          <t>MA2301</t>
        </is>
      </c>
      <c r="C45" s="6" t="inlineStr">
        <is>
          <t>2023-01</t>
        </is>
      </c>
      <c r="D45" s="9" t="n">
        <v>1111923</v>
      </c>
      <c r="E45" s="6" t="n">
        <v>58</v>
      </c>
      <c r="F45" s="6" t="n">
        <v>0</v>
      </c>
      <c r="G45" s="6" t="n">
        <v>0</v>
      </c>
      <c r="H45" s="7" t="n">
        <v>-121</v>
      </c>
      <c r="I45" s="6" t="inlineStr">
        <is>
          <t>Contango(远强)</t>
        </is>
      </c>
    </row>
    <row r="46">
      <c r="A46" s="11" t="inlineStr">
        <is>
          <t>2022-10-25</t>
        </is>
      </c>
      <c r="B46" s="11" t="inlineStr">
        <is>
          <t>MA2301</t>
        </is>
      </c>
      <c r="C46" s="11" t="inlineStr">
        <is>
          <t>2023-01</t>
        </is>
      </c>
      <c r="D46" s="14" t="n">
        <v>1195164</v>
      </c>
      <c r="E46" s="11" t="n">
        <v>57</v>
      </c>
      <c r="F46" s="11" t="n">
        <v>0</v>
      </c>
      <c r="G46" s="11" t="n">
        <v>0</v>
      </c>
      <c r="H46" s="12" t="n">
        <v>-134</v>
      </c>
      <c r="I46" s="11" t="inlineStr">
        <is>
          <t>Contango(远强)</t>
        </is>
      </c>
    </row>
    <row r="47">
      <c r="A47" s="6" t="inlineStr">
        <is>
          <t>2022-10-26</t>
        </is>
      </c>
      <c r="B47" s="6" t="inlineStr">
        <is>
          <t>MA2301</t>
        </is>
      </c>
      <c r="C47" s="6" t="inlineStr">
        <is>
          <t>2023-01</t>
        </is>
      </c>
      <c r="D47" s="9" t="n">
        <v>1117102</v>
      </c>
      <c r="E47" s="6" t="n">
        <v>56</v>
      </c>
      <c r="F47" s="6" t="n">
        <v>0</v>
      </c>
      <c r="G47" s="6" t="n">
        <v>0</v>
      </c>
      <c r="H47" s="7" t="n">
        <v>-130</v>
      </c>
      <c r="I47" s="6" t="inlineStr">
        <is>
          <t>Contango(远强)</t>
        </is>
      </c>
    </row>
    <row r="48">
      <c r="A48" s="11" t="inlineStr">
        <is>
          <t>2022-10-27</t>
        </is>
      </c>
      <c r="B48" s="11" t="inlineStr">
        <is>
          <t>MA2301</t>
        </is>
      </c>
      <c r="C48" s="11" t="inlineStr">
        <is>
          <t>2023-01</t>
        </is>
      </c>
      <c r="D48" s="14" t="n">
        <v>1258064</v>
      </c>
      <c r="E48" s="11" t="n">
        <v>55</v>
      </c>
      <c r="F48" s="11" t="n">
        <v>0</v>
      </c>
      <c r="G48" s="11" t="n">
        <v>0</v>
      </c>
      <c r="H48" s="12" t="n">
        <v>-120</v>
      </c>
      <c r="I48" s="11" t="inlineStr">
        <is>
          <t>Contango(远强)</t>
        </is>
      </c>
    </row>
    <row r="49">
      <c r="A49" s="6" t="inlineStr">
        <is>
          <t>2022-10-28</t>
        </is>
      </c>
      <c r="B49" s="6" t="inlineStr">
        <is>
          <t>MA2301</t>
        </is>
      </c>
      <c r="C49" s="6" t="inlineStr">
        <is>
          <t>2023-01</t>
        </is>
      </c>
      <c r="D49" s="9" t="n">
        <v>1146112</v>
      </c>
      <c r="E49" s="6" t="n">
        <v>54</v>
      </c>
      <c r="F49" s="6" t="n">
        <v>0</v>
      </c>
      <c r="G49" s="6" t="n">
        <v>0</v>
      </c>
      <c r="H49" s="7" t="n">
        <v>-125</v>
      </c>
      <c r="I49" s="6" t="inlineStr">
        <is>
          <t>Contango(远强)</t>
        </is>
      </c>
    </row>
    <row r="50">
      <c r="A50" s="11" t="inlineStr">
        <is>
          <t>2022-10-31</t>
        </is>
      </c>
      <c r="B50" s="11" t="inlineStr">
        <is>
          <t>MA2301</t>
        </is>
      </c>
      <c r="C50" s="11" t="inlineStr">
        <is>
          <t>2023-01</t>
        </is>
      </c>
      <c r="D50" s="14" t="n">
        <v>1224322</v>
      </c>
      <c r="E50" s="11" t="n">
        <v>53</v>
      </c>
      <c r="F50" s="11" t="n">
        <v>0</v>
      </c>
      <c r="G50" s="11" t="n">
        <v>0</v>
      </c>
      <c r="H50" s="12" t="n">
        <v>-151</v>
      </c>
      <c r="I50" s="11" t="inlineStr">
        <is>
          <t>Contango(远强)</t>
        </is>
      </c>
    </row>
    <row r="51">
      <c r="A51" s="6" t="inlineStr">
        <is>
          <t>2022-11-01</t>
        </is>
      </c>
      <c r="B51" s="6" t="inlineStr">
        <is>
          <t>MA2301</t>
        </is>
      </c>
      <c r="C51" s="6" t="inlineStr">
        <is>
          <t>2023-01</t>
        </is>
      </c>
      <c r="D51" s="9" t="n">
        <v>1134151</v>
      </c>
      <c r="E51" s="6" t="n">
        <v>52</v>
      </c>
      <c r="F51" s="6" t="n">
        <v>0</v>
      </c>
      <c r="G51" s="6" t="n">
        <v>0</v>
      </c>
      <c r="H51" s="7" t="n">
        <v>-156</v>
      </c>
      <c r="I51" s="6" t="inlineStr">
        <is>
          <t>Contango(远强)</t>
        </is>
      </c>
    </row>
    <row r="52">
      <c r="A52" s="11" t="inlineStr">
        <is>
          <t>2022-11-02</t>
        </is>
      </c>
      <c r="B52" s="11" t="inlineStr">
        <is>
          <t>MA2301</t>
        </is>
      </c>
      <c r="C52" s="11" t="inlineStr">
        <is>
          <t>2023-01</t>
        </is>
      </c>
      <c r="D52" s="14" t="n">
        <v>1203887</v>
      </c>
      <c r="E52" s="11" t="n">
        <v>51</v>
      </c>
      <c r="F52" s="11" t="n">
        <v>0</v>
      </c>
      <c r="G52" s="11" t="n">
        <v>0</v>
      </c>
      <c r="H52" s="12" t="n">
        <v>-162</v>
      </c>
      <c r="I52" s="11" t="inlineStr">
        <is>
          <t>Contango(远强)</t>
        </is>
      </c>
    </row>
    <row r="53">
      <c r="A53" s="6" t="inlineStr">
        <is>
          <t>2022-11-03</t>
        </is>
      </c>
      <c r="B53" s="6" t="inlineStr">
        <is>
          <t>MA2301</t>
        </is>
      </c>
      <c r="C53" s="6" t="inlineStr">
        <is>
          <t>2023-01</t>
        </is>
      </c>
      <c r="D53" s="9" t="n">
        <v>1144449</v>
      </c>
      <c r="E53" s="6" t="n">
        <v>50</v>
      </c>
      <c r="F53" s="6" t="n">
        <v>0</v>
      </c>
      <c r="G53" s="6" t="n">
        <v>0</v>
      </c>
      <c r="H53" s="7" t="n">
        <v>-204</v>
      </c>
      <c r="I53" s="6" t="inlineStr">
        <is>
          <t>Contango(远强)</t>
        </is>
      </c>
    </row>
    <row r="54">
      <c r="A54" s="11" t="inlineStr">
        <is>
          <t>2022-11-04</t>
        </is>
      </c>
      <c r="B54" s="11" t="inlineStr">
        <is>
          <t>MA2301</t>
        </is>
      </c>
      <c r="C54" s="11" t="inlineStr">
        <is>
          <t>2023-01</t>
        </is>
      </c>
      <c r="D54" s="14" t="n">
        <v>1161636</v>
      </c>
      <c r="E54" s="11" t="n">
        <v>49</v>
      </c>
      <c r="F54" s="11" t="n">
        <v>0</v>
      </c>
      <c r="G54" s="11" t="n">
        <v>0</v>
      </c>
      <c r="H54" s="12" t="n">
        <v>-150</v>
      </c>
      <c r="I54" s="11" t="inlineStr">
        <is>
          <t>Contango(远强)</t>
        </is>
      </c>
    </row>
    <row r="55">
      <c r="A55" s="6" t="inlineStr">
        <is>
          <t>2022-11-07</t>
        </is>
      </c>
      <c r="B55" s="6" t="inlineStr">
        <is>
          <t>MA2301</t>
        </is>
      </c>
      <c r="C55" s="6" t="inlineStr">
        <is>
          <t>2023-01</t>
        </is>
      </c>
      <c r="D55" s="9" t="n">
        <v>1035879</v>
      </c>
      <c r="E55" s="6" t="n">
        <v>48</v>
      </c>
      <c r="F55" s="6" t="n">
        <v>0</v>
      </c>
      <c r="G55" s="6" t="n">
        <v>0</v>
      </c>
      <c r="H55" s="7" t="n">
        <v>-185</v>
      </c>
      <c r="I55" s="6" t="inlineStr">
        <is>
          <t>Contango(远强)</t>
        </is>
      </c>
    </row>
    <row r="56">
      <c r="A56" s="11" t="inlineStr">
        <is>
          <t>2022-11-08</t>
        </is>
      </c>
      <c r="B56" s="11" t="inlineStr">
        <is>
          <t>MA2301</t>
        </is>
      </c>
      <c r="C56" s="11" t="inlineStr">
        <is>
          <t>2023-01</t>
        </is>
      </c>
      <c r="D56" s="14" t="n">
        <v>1071325</v>
      </c>
      <c r="E56" s="11" t="n">
        <v>47</v>
      </c>
      <c r="F56" s="11" t="n">
        <v>0</v>
      </c>
      <c r="G56" s="11" t="n">
        <v>0</v>
      </c>
      <c r="H56" s="12" t="n">
        <v>-137</v>
      </c>
      <c r="I56" s="11" t="inlineStr">
        <is>
          <t>Contango(远强)</t>
        </is>
      </c>
    </row>
    <row r="57">
      <c r="A57" s="6" t="inlineStr">
        <is>
          <t>2022-11-09</t>
        </is>
      </c>
      <c r="B57" s="6" t="inlineStr">
        <is>
          <t>MA2301</t>
        </is>
      </c>
      <c r="C57" s="6" t="inlineStr">
        <is>
          <t>2023-01</t>
        </is>
      </c>
      <c r="D57" s="9" t="n">
        <v>1149684</v>
      </c>
      <c r="E57" s="6" t="n">
        <v>46</v>
      </c>
      <c r="F57" s="6" t="n">
        <v>0</v>
      </c>
      <c r="G57" s="6" t="n">
        <v>0</v>
      </c>
      <c r="H57" s="7" t="n">
        <v>-198</v>
      </c>
      <c r="I57" s="6" t="inlineStr">
        <is>
          <t>Contango(远强)</t>
        </is>
      </c>
    </row>
    <row r="58">
      <c r="A58" s="11" t="inlineStr">
        <is>
          <t>2022-11-10</t>
        </is>
      </c>
      <c r="B58" s="11" t="inlineStr">
        <is>
          <t>MA2301</t>
        </is>
      </c>
      <c r="C58" s="11" t="inlineStr">
        <is>
          <t>2023-01</t>
        </is>
      </c>
      <c r="D58" s="14" t="n">
        <v>1194281</v>
      </c>
      <c r="E58" s="11" t="n">
        <v>45</v>
      </c>
      <c r="F58" s="11" t="n">
        <v>0</v>
      </c>
      <c r="G58" s="11" t="n">
        <v>0</v>
      </c>
      <c r="H58" s="12" t="n">
        <v>-100</v>
      </c>
      <c r="I58" s="11" t="inlineStr">
        <is>
          <t>Contango(远强)</t>
        </is>
      </c>
    </row>
    <row r="59">
      <c r="A59" s="6" t="inlineStr">
        <is>
          <t>2022-11-11</t>
        </is>
      </c>
      <c r="B59" s="6" t="inlineStr">
        <is>
          <t>MA2301</t>
        </is>
      </c>
      <c r="C59" s="6" t="inlineStr">
        <is>
          <t>2023-01</t>
        </is>
      </c>
      <c r="D59" s="9" t="n">
        <v>1116595</v>
      </c>
      <c r="E59" s="6" t="n">
        <v>44</v>
      </c>
      <c r="F59" s="6" t="n">
        <v>0</v>
      </c>
      <c r="G59" s="6" t="n">
        <v>0</v>
      </c>
      <c r="H59" s="7" t="n">
        <v>-87</v>
      </c>
      <c r="I59" s="6" t="inlineStr">
        <is>
          <t>Contango(远强)</t>
        </is>
      </c>
    </row>
    <row r="60">
      <c r="A60" s="11" t="inlineStr">
        <is>
          <t>2022-11-14</t>
        </is>
      </c>
      <c r="B60" s="11" t="inlineStr">
        <is>
          <t>MA2301</t>
        </is>
      </c>
      <c r="C60" s="11" t="inlineStr">
        <is>
          <t>2023-01</t>
        </is>
      </c>
      <c r="D60" s="14" t="n">
        <v>982423</v>
      </c>
      <c r="E60" s="11" t="n">
        <v>43</v>
      </c>
      <c r="F60" s="11" t="n">
        <v>0</v>
      </c>
      <c r="G60" s="11" t="n">
        <v>0</v>
      </c>
      <c r="H60" s="12" t="n">
        <v>-78</v>
      </c>
      <c r="I60" s="11" t="inlineStr">
        <is>
          <t>Contango(远强)</t>
        </is>
      </c>
    </row>
    <row r="61">
      <c r="A61" s="6" t="inlineStr">
        <is>
          <t>2022-11-15</t>
        </is>
      </c>
      <c r="B61" s="6" t="inlineStr">
        <is>
          <t>MA2301</t>
        </is>
      </c>
      <c r="C61" s="6" t="inlineStr">
        <is>
          <t>2023-01</t>
        </is>
      </c>
      <c r="D61" s="9" t="n">
        <v>1012052</v>
      </c>
      <c r="E61" s="6" t="n">
        <v>42</v>
      </c>
      <c r="F61" s="6" t="n">
        <v>0</v>
      </c>
      <c r="G61" s="6" t="n">
        <v>0</v>
      </c>
      <c r="H61" s="7" t="n">
        <v>-77</v>
      </c>
      <c r="I61" s="6" t="inlineStr">
        <is>
          <t>结构不明</t>
        </is>
      </c>
    </row>
    <row r="62">
      <c r="A62" s="11" t="inlineStr">
        <is>
          <t>2022-11-16</t>
        </is>
      </c>
      <c r="B62" s="11" t="inlineStr">
        <is>
          <t>MA2301</t>
        </is>
      </c>
      <c r="C62" s="11" t="inlineStr">
        <is>
          <t>2023-01</t>
        </is>
      </c>
      <c r="D62" s="14" t="n">
        <v>907492</v>
      </c>
      <c r="E62" s="11" t="n">
        <v>41</v>
      </c>
      <c r="F62" s="11" t="n">
        <v>0</v>
      </c>
      <c r="G62" s="11" t="n">
        <v>0</v>
      </c>
      <c r="H62" s="12" t="n">
        <v>-74</v>
      </c>
      <c r="I62" s="11" t="inlineStr">
        <is>
          <t>结构不明</t>
        </is>
      </c>
    </row>
    <row r="63">
      <c r="A63" s="6" t="inlineStr">
        <is>
          <t>2022-11-17</t>
        </is>
      </c>
      <c r="B63" s="6" t="inlineStr">
        <is>
          <t>MA2301</t>
        </is>
      </c>
      <c r="C63" s="6" t="inlineStr">
        <is>
          <t>2023-01</t>
        </is>
      </c>
      <c r="D63" s="9" t="n">
        <v>1119776</v>
      </c>
      <c r="E63" s="6" t="n">
        <v>40</v>
      </c>
      <c r="F63" s="6" t="n">
        <v>0</v>
      </c>
      <c r="G63" s="6" t="n">
        <v>0</v>
      </c>
      <c r="H63" s="7" t="n">
        <v>-90</v>
      </c>
      <c r="I63" s="6" t="inlineStr">
        <is>
          <t>Contango(远强)</t>
        </is>
      </c>
    </row>
    <row r="64">
      <c r="A64" s="11" t="inlineStr">
        <is>
          <t>2022-11-18</t>
        </is>
      </c>
      <c r="B64" s="11" t="inlineStr">
        <is>
          <t>MA2301</t>
        </is>
      </c>
      <c r="C64" s="11" t="inlineStr">
        <is>
          <t>2023-01</t>
        </is>
      </c>
      <c r="D64" s="14" t="n">
        <v>1116341</v>
      </c>
      <c r="E64" s="11" t="n">
        <v>39</v>
      </c>
      <c r="F64" s="11" t="n">
        <v>0</v>
      </c>
      <c r="G64" s="11" t="n">
        <v>0</v>
      </c>
      <c r="H64" s="12" t="n">
        <v>-90</v>
      </c>
      <c r="I64" s="11" t="inlineStr">
        <is>
          <t>Contango(远强)</t>
        </is>
      </c>
    </row>
    <row r="65">
      <c r="A65" s="6" t="inlineStr">
        <is>
          <t>2022-11-21</t>
        </is>
      </c>
      <c r="B65" s="6" t="inlineStr">
        <is>
          <t>MA2301</t>
        </is>
      </c>
      <c r="C65" s="6" t="inlineStr">
        <is>
          <t>2023-01</t>
        </is>
      </c>
      <c r="D65" s="9" t="n">
        <v>1114063</v>
      </c>
      <c r="E65" s="6" t="n">
        <v>38</v>
      </c>
      <c r="F65" s="6" t="n">
        <v>0</v>
      </c>
      <c r="G65" s="6" t="n">
        <v>0</v>
      </c>
      <c r="H65" s="7" t="n">
        <v>-112</v>
      </c>
      <c r="I65" s="6" t="inlineStr">
        <is>
          <t>Contango(远强)</t>
        </is>
      </c>
    </row>
    <row r="66">
      <c r="A66" s="11" t="inlineStr">
        <is>
          <t>2022-11-22</t>
        </is>
      </c>
      <c r="B66" s="11" t="inlineStr">
        <is>
          <t>MA2301</t>
        </is>
      </c>
      <c r="C66" s="11" t="inlineStr">
        <is>
          <t>2023-01</t>
        </is>
      </c>
      <c r="D66" s="14" t="n">
        <v>1070613</v>
      </c>
      <c r="E66" s="11" t="n">
        <v>37</v>
      </c>
      <c r="F66" s="11" t="n">
        <v>0</v>
      </c>
      <c r="G66" s="11" t="n">
        <v>0</v>
      </c>
      <c r="H66" s="12" t="n">
        <v>-116</v>
      </c>
      <c r="I66" s="11" t="inlineStr">
        <is>
          <t>Contango(远强)</t>
        </is>
      </c>
    </row>
    <row r="67">
      <c r="A67" s="6" t="inlineStr">
        <is>
          <t>2022-11-23</t>
        </is>
      </c>
      <c r="B67" s="6" t="inlineStr">
        <is>
          <t>MA2301</t>
        </is>
      </c>
      <c r="C67" s="6" t="inlineStr">
        <is>
          <t>2023-01</t>
        </is>
      </c>
      <c r="D67" s="9" t="n">
        <v>1068566</v>
      </c>
      <c r="E67" s="6" t="n">
        <v>36</v>
      </c>
      <c r="F67" s="6" t="n">
        <v>0</v>
      </c>
      <c r="G67" s="6" t="n">
        <v>0</v>
      </c>
      <c r="H67" s="7" t="n">
        <v>-103</v>
      </c>
      <c r="I67" s="6" t="inlineStr">
        <is>
          <t>Contango(远强)</t>
        </is>
      </c>
    </row>
    <row r="68">
      <c r="A68" s="11" t="inlineStr">
        <is>
          <t>2022-11-24</t>
        </is>
      </c>
      <c r="B68" s="11" t="inlineStr">
        <is>
          <t>MA2301</t>
        </is>
      </c>
      <c r="C68" s="11" t="inlineStr">
        <is>
          <t>2023-01</t>
        </is>
      </c>
      <c r="D68" s="14" t="n">
        <v>1052284</v>
      </c>
      <c r="E68" s="11" t="n">
        <v>35</v>
      </c>
      <c r="F68" s="11" t="n">
        <v>0</v>
      </c>
      <c r="G68" s="11" t="n">
        <v>0</v>
      </c>
      <c r="H68" s="12" t="n">
        <v>-91</v>
      </c>
      <c r="I68" s="11" t="inlineStr">
        <is>
          <t>Contango(远强)</t>
        </is>
      </c>
    </row>
    <row r="69">
      <c r="A69" s="6" t="inlineStr">
        <is>
          <t>2022-11-25</t>
        </is>
      </c>
      <c r="B69" s="6" t="inlineStr">
        <is>
          <t>MA2301</t>
        </is>
      </c>
      <c r="C69" s="6" t="inlineStr">
        <is>
          <t>2023-01</t>
        </is>
      </c>
      <c r="D69" s="9" t="n">
        <v>1095248</v>
      </c>
      <c r="E69" s="6" t="n">
        <v>34</v>
      </c>
      <c r="F69" s="6" t="n">
        <v>0</v>
      </c>
      <c r="G69" s="6" t="n">
        <v>0</v>
      </c>
      <c r="H69" s="7" t="n">
        <v>-78</v>
      </c>
      <c r="I69" s="6" t="inlineStr">
        <is>
          <t>结构不明</t>
        </is>
      </c>
    </row>
    <row r="70">
      <c r="A70" s="11" t="inlineStr">
        <is>
          <t>2022-11-28</t>
        </is>
      </c>
      <c r="B70" s="11" t="inlineStr">
        <is>
          <t>MA2301</t>
        </is>
      </c>
      <c r="C70" s="11" t="inlineStr">
        <is>
          <t>2023-01</t>
        </is>
      </c>
      <c r="D70" s="14" t="n">
        <v>1087776</v>
      </c>
      <c r="E70" s="11" t="n">
        <v>33</v>
      </c>
      <c r="F70" s="11" t="n">
        <v>0</v>
      </c>
      <c r="G70" s="11" t="n">
        <v>0</v>
      </c>
      <c r="H70" s="12" t="n">
        <v>-92</v>
      </c>
      <c r="I70" s="11" t="inlineStr">
        <is>
          <t>Contango(远强)</t>
        </is>
      </c>
    </row>
    <row r="71">
      <c r="A71" s="6" t="inlineStr">
        <is>
          <t>2022-11-29</t>
        </is>
      </c>
      <c r="B71" s="6" t="inlineStr">
        <is>
          <t>MA2301</t>
        </is>
      </c>
      <c r="C71" s="6" t="inlineStr">
        <is>
          <t>2023-01</t>
        </is>
      </c>
      <c r="D71" s="9" t="n">
        <v>949804</v>
      </c>
      <c r="E71" s="6" t="n">
        <v>32</v>
      </c>
      <c r="F71" s="6" t="n">
        <v>0</v>
      </c>
      <c r="G71" s="6" t="n">
        <v>0</v>
      </c>
      <c r="H71" s="7" t="n">
        <v>-54</v>
      </c>
      <c r="I71" s="6" t="inlineStr">
        <is>
          <t>结构不明</t>
        </is>
      </c>
    </row>
    <row r="72">
      <c r="A72" s="11" t="inlineStr">
        <is>
          <t>2022-11-30</t>
        </is>
      </c>
      <c r="B72" s="11" t="inlineStr">
        <is>
          <t>MA2301</t>
        </is>
      </c>
      <c r="C72" s="11" t="inlineStr">
        <is>
          <t>2023-01</t>
        </is>
      </c>
      <c r="D72" s="14" t="n">
        <v>1022993</v>
      </c>
      <c r="E72" s="11" t="n">
        <v>31</v>
      </c>
      <c r="F72" s="11" t="n">
        <v>0</v>
      </c>
      <c r="G72" s="11" t="n">
        <v>0</v>
      </c>
      <c r="H72" s="12" t="n">
        <v>-47</v>
      </c>
      <c r="I72" s="11" t="inlineStr">
        <is>
          <t>结构不明</t>
        </is>
      </c>
    </row>
    <row r="73">
      <c r="A73" s="6" t="inlineStr">
        <is>
          <t>2022-12-01</t>
        </is>
      </c>
      <c r="B73" s="6" t="inlineStr">
        <is>
          <t>MA2301</t>
        </is>
      </c>
      <c r="C73" s="6" t="inlineStr">
        <is>
          <t>2023-01</t>
        </is>
      </c>
      <c r="D73" s="9" t="n">
        <v>987687</v>
      </c>
      <c r="E73" s="6" t="n">
        <v>30</v>
      </c>
      <c r="F73" s="6" t="n">
        <v>0</v>
      </c>
      <c r="G73" s="6" t="n">
        <v>0</v>
      </c>
      <c r="H73" s="7" t="n">
        <v>-60</v>
      </c>
      <c r="I73" s="6" t="inlineStr">
        <is>
          <t>结构不明</t>
        </is>
      </c>
    </row>
    <row r="74">
      <c r="A74" s="11" t="inlineStr">
        <is>
          <t>2022-12-02</t>
        </is>
      </c>
      <c r="B74" s="11" t="inlineStr">
        <is>
          <t>MA2301</t>
        </is>
      </c>
      <c r="C74" s="11" t="inlineStr">
        <is>
          <t>2023-01</t>
        </is>
      </c>
      <c r="D74" s="14" t="n">
        <v>953440</v>
      </c>
      <c r="E74" s="11" t="n">
        <v>29</v>
      </c>
      <c r="F74" s="11" t="n">
        <v>0</v>
      </c>
      <c r="G74" s="11" t="n">
        <v>0</v>
      </c>
      <c r="H74" s="12" t="n">
        <v>-26</v>
      </c>
      <c r="I74" s="11" t="inlineStr">
        <is>
          <t>Back(近强)</t>
        </is>
      </c>
    </row>
    <row r="75">
      <c r="A75" s="6" t="inlineStr">
        <is>
          <t>2022-12-05</t>
        </is>
      </c>
      <c r="B75" s="6" t="inlineStr">
        <is>
          <t>MA2301</t>
        </is>
      </c>
      <c r="C75" s="6" t="inlineStr">
        <is>
          <t>2023-01</t>
        </is>
      </c>
      <c r="D75" s="9" t="n">
        <v>1053326</v>
      </c>
      <c r="E75" s="6" t="n">
        <v>28</v>
      </c>
      <c r="F75" s="6" t="n">
        <v>0</v>
      </c>
      <c r="G75" s="6" t="n">
        <v>0</v>
      </c>
      <c r="H75" s="7" t="n">
        <v>-36</v>
      </c>
      <c r="I75" s="6" t="inlineStr">
        <is>
          <t>Back(近强)</t>
        </is>
      </c>
    </row>
    <row r="76">
      <c r="A76" s="11" t="inlineStr">
        <is>
          <t>2022-12-06</t>
        </is>
      </c>
      <c r="B76" s="11" t="inlineStr">
        <is>
          <t>MA2301</t>
        </is>
      </c>
      <c r="C76" s="11" t="inlineStr">
        <is>
          <t>2023-01</t>
        </is>
      </c>
      <c r="D76" s="14" t="n">
        <v>949964</v>
      </c>
      <c r="E76" s="11" t="n">
        <v>27</v>
      </c>
      <c r="F76" s="11" t="n">
        <v>0</v>
      </c>
      <c r="G76" s="11" t="n">
        <v>0</v>
      </c>
      <c r="H76" s="12" t="n">
        <v>-38</v>
      </c>
      <c r="I76" s="11" t="inlineStr">
        <is>
          <t>Back(近强)</t>
        </is>
      </c>
    </row>
    <row r="77">
      <c r="A77" s="6" t="inlineStr">
        <is>
          <t>2022-12-07</t>
        </is>
      </c>
      <c r="B77" s="6" t="inlineStr">
        <is>
          <t>MA2301</t>
        </is>
      </c>
      <c r="C77" s="6" t="inlineStr">
        <is>
          <t>2023-01</t>
        </is>
      </c>
      <c r="D77" s="9" t="n">
        <v>1097883</v>
      </c>
      <c r="E77" s="6" t="n">
        <v>26</v>
      </c>
      <c r="F77" s="6" t="n">
        <v>0</v>
      </c>
      <c r="G77" s="6" t="n">
        <v>0</v>
      </c>
      <c r="H77" s="7" t="n">
        <v>-75</v>
      </c>
      <c r="I77" s="6" t="inlineStr">
        <is>
          <t>结构不明</t>
        </is>
      </c>
    </row>
    <row r="78">
      <c r="A78" s="11" t="inlineStr">
        <is>
          <t>2022-12-08</t>
        </is>
      </c>
      <c r="B78" s="11" t="inlineStr">
        <is>
          <t>MA2301</t>
        </is>
      </c>
      <c r="C78" s="11" t="inlineStr">
        <is>
          <t>2023-01</t>
        </is>
      </c>
      <c r="D78" s="14" t="n">
        <v>870231</v>
      </c>
      <c r="E78" s="11" t="n">
        <v>25</v>
      </c>
      <c r="F78" s="11" t="n">
        <v>0</v>
      </c>
      <c r="G78" s="11" t="n">
        <v>0</v>
      </c>
      <c r="H78" s="12" t="n">
        <v>-46</v>
      </c>
      <c r="I78" s="11" t="inlineStr">
        <is>
          <t>结构不明</t>
        </is>
      </c>
    </row>
    <row r="79">
      <c r="A79" s="6" t="inlineStr">
        <is>
          <t>2022-12-09</t>
        </is>
      </c>
      <c r="B79" s="6" t="inlineStr">
        <is>
          <t>MA2301</t>
        </is>
      </c>
      <c r="C79" s="6" t="inlineStr">
        <is>
          <t>2023-01</t>
        </is>
      </c>
      <c r="D79" s="9" t="n">
        <v>894870</v>
      </c>
      <c r="E79" s="6" t="n">
        <v>24</v>
      </c>
      <c r="F79" s="6" t="n">
        <v>0</v>
      </c>
      <c r="G79" s="6" t="n">
        <v>0</v>
      </c>
      <c r="H79" s="7" t="n">
        <v>-94</v>
      </c>
      <c r="I79" s="6" t="inlineStr">
        <is>
          <t>Contango(远强)</t>
        </is>
      </c>
    </row>
    <row r="80">
      <c r="A80" s="11" t="inlineStr">
        <is>
          <t>2022-12-12</t>
        </is>
      </c>
      <c r="B80" s="11" t="inlineStr">
        <is>
          <t>MA2301</t>
        </is>
      </c>
      <c r="C80" s="11" t="inlineStr">
        <is>
          <t>2023-01</t>
        </is>
      </c>
      <c r="D80" s="14" t="n">
        <v>725618</v>
      </c>
      <c r="E80" s="11" t="n">
        <v>23</v>
      </c>
      <c r="F80" s="11" t="n">
        <v>0</v>
      </c>
      <c r="G80" s="11" t="n">
        <v>0</v>
      </c>
      <c r="H80" s="12" t="n">
        <v>-72</v>
      </c>
      <c r="I80" s="11" t="inlineStr">
        <is>
          <t>结构不明</t>
        </is>
      </c>
    </row>
    <row r="81">
      <c r="A81" s="6" t="inlineStr">
        <is>
          <t>2022-12-13</t>
        </is>
      </c>
      <c r="B81" s="6" t="inlineStr">
        <is>
          <t>MA2301</t>
        </is>
      </c>
      <c r="C81" s="6" t="inlineStr">
        <is>
          <t>2023-01</t>
        </is>
      </c>
      <c r="D81" s="9" t="n">
        <v>611183</v>
      </c>
      <c r="E81" s="6" t="n">
        <v>22</v>
      </c>
      <c r="F81" s="6" t="n">
        <v>0</v>
      </c>
      <c r="G81" s="6" t="n">
        <v>1</v>
      </c>
      <c r="H81" s="7" t="n">
        <v>-59</v>
      </c>
      <c r="I81" s="6" t="inlineStr">
        <is>
          <t>结构不明</t>
        </is>
      </c>
    </row>
    <row r="82">
      <c r="A82" s="11" t="inlineStr">
        <is>
          <t>2022-12-14</t>
        </is>
      </c>
      <c r="B82" s="11" t="inlineStr">
        <is>
          <t>MA2305</t>
        </is>
      </c>
      <c r="C82" s="11" t="inlineStr">
        <is>
          <t>2023-05</t>
        </is>
      </c>
      <c r="D82" s="14" t="n">
        <v>617213</v>
      </c>
      <c r="E82" s="11" t="n">
        <v>100</v>
      </c>
      <c r="F82" s="11" t="n">
        <v>1</v>
      </c>
      <c r="G82" s="11" t="n">
        <v>0</v>
      </c>
      <c r="H82" s="12" t="n">
        <v>-108</v>
      </c>
      <c r="I82" s="11" t="inlineStr">
        <is>
          <t>Contango(远强)</t>
        </is>
      </c>
    </row>
    <row r="83">
      <c r="A83" s="6" t="inlineStr">
        <is>
          <t>2022-12-15</t>
        </is>
      </c>
      <c r="B83" s="6" t="inlineStr">
        <is>
          <t>MA2305</t>
        </is>
      </c>
      <c r="C83" s="6" t="inlineStr">
        <is>
          <t>2023-05</t>
        </is>
      </c>
      <c r="D83" s="9" t="n">
        <v>756444</v>
      </c>
      <c r="E83" s="6" t="n">
        <v>99</v>
      </c>
      <c r="F83" s="6" t="n">
        <v>0</v>
      </c>
      <c r="G83" s="6" t="n">
        <v>0</v>
      </c>
      <c r="H83" s="7" t="n">
        <v>36</v>
      </c>
      <c r="I83" s="6" t="inlineStr">
        <is>
          <t>Back(近强)</t>
        </is>
      </c>
    </row>
    <row r="84">
      <c r="A84" s="11" t="inlineStr">
        <is>
          <t>2022-12-16</t>
        </is>
      </c>
      <c r="B84" s="11" t="inlineStr">
        <is>
          <t>MA2305</t>
        </is>
      </c>
      <c r="C84" s="11" t="inlineStr">
        <is>
          <t>2023-05</t>
        </is>
      </c>
      <c r="D84" s="14" t="n">
        <v>885475</v>
      </c>
      <c r="E84" s="11" t="n">
        <v>98</v>
      </c>
      <c r="F84" s="11" t="n">
        <v>0</v>
      </c>
      <c r="G84" s="11" t="n">
        <v>0</v>
      </c>
      <c r="H84" s="12" t="n">
        <v>49</v>
      </c>
      <c r="I84" s="11" t="inlineStr">
        <is>
          <t>Back(近强)</t>
        </is>
      </c>
    </row>
    <row r="85">
      <c r="A85" s="6" t="inlineStr">
        <is>
          <t>2022-12-19</t>
        </is>
      </c>
      <c r="B85" s="6" t="inlineStr">
        <is>
          <t>MA2305</t>
        </is>
      </c>
      <c r="C85" s="6" t="inlineStr">
        <is>
          <t>2023-05</t>
        </is>
      </c>
      <c r="D85" s="9" t="n">
        <v>976993</v>
      </c>
      <c r="E85" s="6" t="n">
        <v>97</v>
      </c>
      <c r="F85" s="6" t="n">
        <v>0</v>
      </c>
      <c r="G85" s="6" t="n">
        <v>0</v>
      </c>
      <c r="H85" s="7" t="n">
        <v>23</v>
      </c>
      <c r="I85" s="6" t="inlineStr">
        <is>
          <t>Back(近强)</t>
        </is>
      </c>
    </row>
    <row r="86">
      <c r="A86" s="11" t="inlineStr">
        <is>
          <t>2022-12-20</t>
        </is>
      </c>
      <c r="B86" s="11" t="inlineStr">
        <is>
          <t>MA2305</t>
        </is>
      </c>
      <c r="C86" s="11" t="inlineStr">
        <is>
          <t>2023-05</t>
        </is>
      </c>
      <c r="D86" s="14" t="n">
        <v>913041</v>
      </c>
      <c r="E86" s="11" t="n">
        <v>96</v>
      </c>
      <c r="F86" s="11" t="n">
        <v>0</v>
      </c>
      <c r="G86" s="11" t="n">
        <v>0</v>
      </c>
      <c r="H86" s="12" t="n">
        <v>5</v>
      </c>
      <c r="I86" s="11" t="inlineStr">
        <is>
          <t>Back(近强)</t>
        </is>
      </c>
    </row>
    <row r="87">
      <c r="A87" s="6" t="inlineStr">
        <is>
          <t>2022-12-21</t>
        </is>
      </c>
      <c r="B87" s="6" t="inlineStr">
        <is>
          <t>MA2305</t>
        </is>
      </c>
      <c r="C87" s="6" t="inlineStr">
        <is>
          <t>2023-05</t>
        </is>
      </c>
      <c r="D87" s="9" t="n">
        <v>949618</v>
      </c>
      <c r="E87" s="6" t="n">
        <v>95</v>
      </c>
      <c r="F87" s="6" t="n">
        <v>0</v>
      </c>
      <c r="G87" s="6" t="n">
        <v>0</v>
      </c>
      <c r="H87" s="7" t="n">
        <v>16</v>
      </c>
      <c r="I87" s="6" t="inlineStr">
        <is>
          <t>Back(近强)</t>
        </is>
      </c>
    </row>
    <row r="88">
      <c r="A88" s="11" t="inlineStr">
        <is>
          <t>2022-12-22</t>
        </is>
      </c>
      <c r="B88" s="11" t="inlineStr">
        <is>
          <t>MA2305</t>
        </is>
      </c>
      <c r="C88" s="11" t="inlineStr">
        <is>
          <t>2023-05</t>
        </is>
      </c>
      <c r="D88" s="14" t="n">
        <v>947193</v>
      </c>
      <c r="E88" s="11" t="n">
        <v>94</v>
      </c>
      <c r="F88" s="11" t="n">
        <v>0</v>
      </c>
      <c r="G88" s="11" t="n">
        <v>0</v>
      </c>
      <c r="H88" s="12" t="n">
        <v>-5</v>
      </c>
      <c r="I88" s="11" t="inlineStr">
        <is>
          <t>Back(近强)</t>
        </is>
      </c>
    </row>
    <row r="89">
      <c r="A89" s="6" t="inlineStr">
        <is>
          <t>2022-12-23</t>
        </is>
      </c>
      <c r="B89" s="6" t="inlineStr">
        <is>
          <t>MA2305</t>
        </is>
      </c>
      <c r="C89" s="6" t="inlineStr">
        <is>
          <t>2023-05</t>
        </is>
      </c>
      <c r="D89" s="9" t="n">
        <v>1102314</v>
      </c>
      <c r="E89" s="6" t="n">
        <v>93</v>
      </c>
      <c r="F89" s="6" t="n">
        <v>0</v>
      </c>
      <c r="G89" s="6" t="n">
        <v>0</v>
      </c>
      <c r="H89" s="7" t="n">
        <v>-34</v>
      </c>
      <c r="I89" s="6" t="inlineStr">
        <is>
          <t>Back(近强)</t>
        </is>
      </c>
    </row>
    <row r="90">
      <c r="A90" s="11" t="inlineStr">
        <is>
          <t>2022-12-26</t>
        </is>
      </c>
      <c r="B90" s="11" t="inlineStr">
        <is>
          <t>MA2305</t>
        </is>
      </c>
      <c r="C90" s="11" t="inlineStr">
        <is>
          <t>2023-05</t>
        </is>
      </c>
      <c r="D90" s="14" t="n">
        <v>1062018</v>
      </c>
      <c r="E90" s="11" t="n">
        <v>92</v>
      </c>
      <c r="F90" s="11" t="n">
        <v>0</v>
      </c>
      <c r="G90" s="11" t="n">
        <v>0</v>
      </c>
      <c r="H90" s="12" t="n">
        <v>-28</v>
      </c>
      <c r="I90" s="11" t="inlineStr">
        <is>
          <t>Back(近强)</t>
        </is>
      </c>
    </row>
    <row r="91">
      <c r="A91" s="6" t="inlineStr">
        <is>
          <t>2022-12-27</t>
        </is>
      </c>
      <c r="B91" s="6" t="inlineStr">
        <is>
          <t>MA2305</t>
        </is>
      </c>
      <c r="C91" s="6" t="inlineStr">
        <is>
          <t>2023-05</t>
        </is>
      </c>
      <c r="D91" s="9" t="n">
        <v>1100053</v>
      </c>
      <c r="E91" s="6" t="n">
        <v>91</v>
      </c>
      <c r="F91" s="6" t="n">
        <v>0</v>
      </c>
      <c r="G91" s="6" t="n">
        <v>0</v>
      </c>
      <c r="H91" s="7" t="n">
        <v>6</v>
      </c>
      <c r="I91" s="6" t="inlineStr">
        <is>
          <t>Back(近强)</t>
        </is>
      </c>
    </row>
    <row r="92">
      <c r="A92" s="11" t="inlineStr">
        <is>
          <t>2022-12-28</t>
        </is>
      </c>
      <c r="B92" s="11" t="inlineStr">
        <is>
          <t>MA2305</t>
        </is>
      </c>
      <c r="C92" s="11" t="inlineStr">
        <is>
          <t>2023-05</t>
        </is>
      </c>
      <c r="D92" s="14" t="n">
        <v>963766</v>
      </c>
      <c r="E92" s="11" t="n">
        <v>90</v>
      </c>
      <c r="F92" s="11" t="n">
        <v>0</v>
      </c>
      <c r="G92" s="11" t="n">
        <v>0</v>
      </c>
      <c r="H92" s="12" t="n">
        <v>11</v>
      </c>
      <c r="I92" s="11" t="inlineStr">
        <is>
          <t>Back(近强)</t>
        </is>
      </c>
    </row>
    <row r="93">
      <c r="A93" s="6" t="inlineStr">
        <is>
          <t>2022-12-29</t>
        </is>
      </c>
      <c r="B93" s="6" t="inlineStr">
        <is>
          <t>MA2305</t>
        </is>
      </c>
      <c r="C93" s="6" t="inlineStr">
        <is>
          <t>2023-05</t>
        </is>
      </c>
      <c r="D93" s="9" t="n">
        <v>968380</v>
      </c>
      <c r="E93" s="6" t="n">
        <v>89</v>
      </c>
      <c r="F93" s="6" t="n">
        <v>0</v>
      </c>
      <c r="G93" s="6" t="n">
        <v>0</v>
      </c>
      <c r="H93" s="7" t="n">
        <v>14</v>
      </c>
      <c r="I93" s="6" t="inlineStr">
        <is>
          <t>Back(近强)</t>
        </is>
      </c>
    </row>
    <row r="94">
      <c r="A94" s="11" t="inlineStr">
        <is>
          <t>2022-12-30</t>
        </is>
      </c>
      <c r="B94" s="11" t="inlineStr">
        <is>
          <t>MA2305</t>
        </is>
      </c>
      <c r="C94" s="11" t="inlineStr">
        <is>
          <t>2023-05</t>
        </is>
      </c>
      <c r="D94" s="14" t="n">
        <v>1053011</v>
      </c>
      <c r="E94" s="11" t="n">
        <v>88</v>
      </c>
      <c r="F94" s="11" t="n">
        <v>0</v>
      </c>
      <c r="G94" s="11" t="n">
        <v>0</v>
      </c>
      <c r="H94" s="12" t="n">
        <v>28</v>
      </c>
      <c r="I94" s="11" t="inlineStr">
        <is>
          <t>Back(近强)</t>
        </is>
      </c>
    </row>
    <row r="95">
      <c r="A95" s="6" t="inlineStr">
        <is>
          <t>2023-01-03</t>
        </is>
      </c>
      <c r="B95" s="6" t="inlineStr">
        <is>
          <t>MA2305</t>
        </is>
      </c>
      <c r="C95" s="6" t="inlineStr">
        <is>
          <t>2023-05</t>
        </is>
      </c>
      <c r="D95" s="9" t="n">
        <v>1072969</v>
      </c>
      <c r="E95" s="6" t="n">
        <v>87</v>
      </c>
      <c r="F95" s="6" t="n">
        <v>0</v>
      </c>
      <c r="G95" s="6" t="n">
        <v>0</v>
      </c>
      <c r="H95" s="7" t="n">
        <v>18</v>
      </c>
      <c r="I95" s="6" t="inlineStr">
        <is>
          <t>Back(近强)</t>
        </is>
      </c>
    </row>
    <row r="96">
      <c r="A96" s="11" t="inlineStr">
        <is>
          <t>2023-01-04</t>
        </is>
      </c>
      <c r="B96" s="11" t="inlineStr">
        <is>
          <t>MA2305</t>
        </is>
      </c>
      <c r="C96" s="11" t="inlineStr">
        <is>
          <t>2023-05</t>
        </is>
      </c>
      <c r="D96" s="14" t="n">
        <v>1148851</v>
      </c>
      <c r="E96" s="11" t="n">
        <v>86</v>
      </c>
      <c r="F96" s="11" t="n">
        <v>0</v>
      </c>
      <c r="G96" s="11" t="n">
        <v>0</v>
      </c>
      <c r="H96" s="12" t="n">
        <v>40</v>
      </c>
      <c r="I96" s="11" t="inlineStr">
        <is>
          <t>Back(近强)</t>
        </is>
      </c>
    </row>
    <row r="97">
      <c r="A97" s="6" t="inlineStr">
        <is>
          <t>2023-01-05</t>
        </is>
      </c>
      <c r="B97" s="6" t="inlineStr">
        <is>
          <t>MA2305</t>
        </is>
      </c>
      <c r="C97" s="6" t="inlineStr">
        <is>
          <t>2023-05</t>
        </is>
      </c>
      <c r="D97" s="9" t="n">
        <v>1089879</v>
      </c>
      <c r="E97" s="6" t="n">
        <v>85</v>
      </c>
      <c r="F97" s="6" t="n">
        <v>0</v>
      </c>
      <c r="G97" s="6" t="n">
        <v>0</v>
      </c>
      <c r="H97" s="7" t="n">
        <v>65</v>
      </c>
      <c r="I97" s="6" t="inlineStr">
        <is>
          <t>Back(近强)</t>
        </is>
      </c>
    </row>
    <row r="98">
      <c r="A98" s="11" t="inlineStr">
        <is>
          <t>2023-01-06</t>
        </is>
      </c>
      <c r="B98" s="11" t="inlineStr">
        <is>
          <t>MA2305</t>
        </is>
      </c>
      <c r="C98" s="11" t="inlineStr">
        <is>
          <t>2023-05</t>
        </is>
      </c>
      <c r="D98" s="14" t="n">
        <v>1157579</v>
      </c>
      <c r="E98" s="11" t="n">
        <v>84</v>
      </c>
      <c r="F98" s="11" t="n">
        <v>0</v>
      </c>
      <c r="G98" s="11" t="n">
        <v>0</v>
      </c>
      <c r="H98" s="12" t="n">
        <v>90</v>
      </c>
      <c r="I98" s="11" t="inlineStr">
        <is>
          <t>Back(近强)</t>
        </is>
      </c>
    </row>
    <row r="99">
      <c r="A99" s="6" t="inlineStr">
        <is>
          <t>2023-01-09</t>
        </is>
      </c>
      <c r="B99" s="6" t="inlineStr">
        <is>
          <t>MA2305</t>
        </is>
      </c>
      <c r="C99" s="6" t="inlineStr">
        <is>
          <t>2023-05</t>
        </is>
      </c>
      <c r="D99" s="9" t="n">
        <v>1158625</v>
      </c>
      <c r="E99" s="6" t="n">
        <v>83</v>
      </c>
      <c r="F99" s="6" t="n">
        <v>0</v>
      </c>
      <c r="G99" s="6" t="n">
        <v>0</v>
      </c>
      <c r="H99" s="7" t="n">
        <v>-3</v>
      </c>
      <c r="I99" s="6" t="inlineStr">
        <is>
          <t>Back(近强)</t>
        </is>
      </c>
    </row>
    <row r="100">
      <c r="A100" s="11" t="inlineStr">
        <is>
          <t>2023-01-10</t>
        </is>
      </c>
      <c r="B100" s="11" t="inlineStr">
        <is>
          <t>MA2305</t>
        </is>
      </c>
      <c r="C100" s="11" t="inlineStr">
        <is>
          <t>2023-05</t>
        </is>
      </c>
      <c r="D100" s="14" t="n">
        <v>1123058</v>
      </c>
      <c r="E100" s="11" t="n">
        <v>82</v>
      </c>
      <c r="F100" s="11" t="n">
        <v>0</v>
      </c>
      <c r="G100" s="11" t="n">
        <v>0</v>
      </c>
      <c r="H100" s="12" t="n">
        <v>20</v>
      </c>
      <c r="I100" s="11" t="inlineStr">
        <is>
          <t>Back(近强)</t>
        </is>
      </c>
    </row>
    <row r="101">
      <c r="A101" s="6" t="inlineStr">
        <is>
          <t>2023-01-11</t>
        </is>
      </c>
      <c r="B101" s="6" t="inlineStr">
        <is>
          <t>MA2305</t>
        </is>
      </c>
      <c r="C101" s="6" t="inlineStr">
        <is>
          <t>2023-05</t>
        </is>
      </c>
      <c r="D101" s="9" t="n">
        <v>1106742</v>
      </c>
      <c r="E101" s="6" t="n">
        <v>81</v>
      </c>
      <c r="F101" s="6" t="n">
        <v>0</v>
      </c>
      <c r="G101" s="6" t="n">
        <v>0</v>
      </c>
      <c r="H101" s="7" t="n">
        <v>14</v>
      </c>
      <c r="I101" s="6" t="inlineStr">
        <is>
          <t>Back(近强)</t>
        </is>
      </c>
    </row>
    <row r="102">
      <c r="A102" s="11" t="inlineStr">
        <is>
          <t>2023-01-12</t>
        </is>
      </c>
      <c r="B102" s="11" t="inlineStr">
        <is>
          <t>MA2305</t>
        </is>
      </c>
      <c r="C102" s="11" t="inlineStr">
        <is>
          <t>2023-05</t>
        </is>
      </c>
      <c r="D102" s="14" t="n">
        <v>1186164</v>
      </c>
      <c r="E102" s="11" t="n">
        <v>80</v>
      </c>
      <c r="F102" s="11" t="n">
        <v>0</v>
      </c>
      <c r="G102" s="11" t="n">
        <v>0</v>
      </c>
      <c r="H102" s="12" t="n">
        <v>1</v>
      </c>
      <c r="I102" s="11" t="inlineStr">
        <is>
          <t>Back(近强)</t>
        </is>
      </c>
    </row>
    <row r="103">
      <c r="A103" s="6" t="inlineStr">
        <is>
          <t>2023-01-13</t>
        </is>
      </c>
      <c r="B103" s="6" t="inlineStr">
        <is>
          <t>MA2305</t>
        </is>
      </c>
      <c r="C103" s="6" t="inlineStr">
        <is>
          <t>2023-05</t>
        </is>
      </c>
      <c r="D103" s="9" t="n">
        <v>1162272</v>
      </c>
      <c r="E103" s="6" t="n">
        <v>79</v>
      </c>
      <c r="F103" s="6" t="n">
        <v>0</v>
      </c>
      <c r="G103" s="6" t="n">
        <v>0</v>
      </c>
      <c r="H103" s="7" t="n">
        <v>109</v>
      </c>
      <c r="I103" s="6" t="inlineStr">
        <is>
          <t>Back(近强)</t>
        </is>
      </c>
    </row>
    <row r="104">
      <c r="A104" s="11" t="inlineStr">
        <is>
          <t>2023-01-16</t>
        </is>
      </c>
      <c r="B104" s="11" t="inlineStr">
        <is>
          <t>MA2305</t>
        </is>
      </c>
      <c r="C104" s="11" t="inlineStr">
        <is>
          <t>2023-05</t>
        </is>
      </c>
      <c r="D104" s="14" t="n">
        <v>1083812</v>
      </c>
      <c r="E104" s="11" t="n">
        <v>78</v>
      </c>
      <c r="F104" s="11" t="n">
        <v>0</v>
      </c>
      <c r="G104" s="11" t="n">
        <v>0</v>
      </c>
      <c r="H104" s="12" t="n">
        <v>23</v>
      </c>
      <c r="I104" s="11" t="inlineStr">
        <is>
          <t>Back(近强)</t>
        </is>
      </c>
    </row>
    <row r="105">
      <c r="A105" s="6" t="inlineStr">
        <is>
          <t>2023-01-17</t>
        </is>
      </c>
      <c r="B105" s="6" t="inlineStr">
        <is>
          <t>MA2305</t>
        </is>
      </c>
      <c r="C105" s="6" t="inlineStr">
        <is>
          <t>2023-05</t>
        </is>
      </c>
      <c r="D105" s="9" t="n">
        <v>1164948</v>
      </c>
      <c r="E105" s="6" t="n">
        <v>77</v>
      </c>
      <c r="F105" s="6" t="n">
        <v>0</v>
      </c>
      <c r="G105" s="6" t="n">
        <v>0</v>
      </c>
      <c r="H105" s="7" t="n">
        <v>12</v>
      </c>
      <c r="I105" s="6" t="inlineStr">
        <is>
          <t>Back(近强)</t>
        </is>
      </c>
    </row>
    <row r="106">
      <c r="A106" s="11" t="inlineStr">
        <is>
          <t>2023-01-18</t>
        </is>
      </c>
      <c r="B106" s="11" t="inlineStr">
        <is>
          <t>MA2305</t>
        </is>
      </c>
      <c r="C106" s="11" t="inlineStr">
        <is>
          <t>2023-05</t>
        </is>
      </c>
      <c r="D106" s="14" t="n">
        <v>1092887</v>
      </c>
      <c r="E106" s="11" t="n">
        <v>76</v>
      </c>
      <c r="F106" s="11" t="n">
        <v>0</v>
      </c>
      <c r="G106" s="11" t="n">
        <v>0</v>
      </c>
      <c r="H106" s="12" t="n">
        <v>-4</v>
      </c>
      <c r="I106" s="11" t="inlineStr">
        <is>
          <t>Back(近强)</t>
        </is>
      </c>
    </row>
    <row r="107">
      <c r="A107" s="6" t="inlineStr">
        <is>
          <t>2023-01-19</t>
        </is>
      </c>
      <c r="B107" s="6" t="inlineStr">
        <is>
          <t>MA2305</t>
        </is>
      </c>
      <c r="C107" s="6" t="inlineStr">
        <is>
          <t>2023-05</t>
        </is>
      </c>
      <c r="D107" s="9" t="n">
        <v>1106896</v>
      </c>
      <c r="E107" s="6" t="n">
        <v>75</v>
      </c>
      <c r="F107" s="6" t="n">
        <v>0</v>
      </c>
      <c r="G107" s="6" t="n">
        <v>0</v>
      </c>
      <c r="H107" s="7" t="n">
        <v>1</v>
      </c>
      <c r="I107" s="6" t="inlineStr">
        <is>
          <t>Back(近强)</t>
        </is>
      </c>
    </row>
    <row r="108">
      <c r="A108" s="11" t="inlineStr">
        <is>
          <t>2023-01-20</t>
        </is>
      </c>
      <c r="B108" s="11" t="inlineStr">
        <is>
          <t>MA2305</t>
        </is>
      </c>
      <c r="C108" s="11" t="inlineStr">
        <is>
          <t>2023-05</t>
        </is>
      </c>
      <c r="D108" s="14" t="n">
        <v>1002167</v>
      </c>
      <c r="E108" s="11" t="n">
        <v>74</v>
      </c>
      <c r="F108" s="11" t="n">
        <v>0</v>
      </c>
      <c r="G108" s="11" t="n">
        <v>0</v>
      </c>
      <c r="H108" s="12" t="n">
        <v>-3</v>
      </c>
      <c r="I108" s="11" t="inlineStr">
        <is>
          <t>Back(近强)</t>
        </is>
      </c>
    </row>
    <row r="109">
      <c r="A109" s="6" t="inlineStr">
        <is>
          <t>2023-01-30</t>
        </is>
      </c>
      <c r="B109" s="6" t="inlineStr">
        <is>
          <t>MA2305</t>
        </is>
      </c>
      <c r="C109" s="6" t="inlineStr">
        <is>
          <t>2023-05</t>
        </is>
      </c>
      <c r="D109" s="9" t="n">
        <v>1096343</v>
      </c>
      <c r="E109" s="6" t="n">
        <v>73</v>
      </c>
      <c r="F109" s="6" t="n">
        <v>0</v>
      </c>
      <c r="G109" s="6" t="n">
        <v>0</v>
      </c>
      <c r="H109" s="7" t="n">
        <v>-17</v>
      </c>
      <c r="I109" s="6" t="inlineStr">
        <is>
          <t>结构不明</t>
        </is>
      </c>
    </row>
    <row r="110">
      <c r="A110" s="11" t="inlineStr">
        <is>
          <t>2023-01-31</t>
        </is>
      </c>
      <c r="B110" s="11" t="inlineStr">
        <is>
          <t>MA2305</t>
        </is>
      </c>
      <c r="C110" s="11" t="inlineStr">
        <is>
          <t>2023-05</t>
        </is>
      </c>
      <c r="D110" s="14" t="n">
        <v>1191909</v>
      </c>
      <c r="E110" s="11" t="n">
        <v>72</v>
      </c>
      <c r="F110" s="11" t="n">
        <v>0</v>
      </c>
      <c r="G110" s="11" t="n">
        <v>0</v>
      </c>
      <c r="H110" s="12" t="n">
        <v>-20</v>
      </c>
      <c r="I110" s="11" t="inlineStr">
        <is>
          <t>结构不明</t>
        </is>
      </c>
    </row>
    <row r="111">
      <c r="A111" s="6" t="inlineStr">
        <is>
          <t>2023-02-01</t>
        </is>
      </c>
      <c r="B111" s="6" t="inlineStr">
        <is>
          <t>MA2305</t>
        </is>
      </c>
      <c r="C111" s="6" t="inlineStr">
        <is>
          <t>2023-05</t>
        </is>
      </c>
      <c r="D111" s="9" t="n">
        <v>1293846</v>
      </c>
      <c r="E111" s="6" t="n">
        <v>71</v>
      </c>
      <c r="F111" s="6" t="n">
        <v>0</v>
      </c>
      <c r="G111" s="6" t="n">
        <v>0</v>
      </c>
      <c r="H111" s="7" t="n">
        <v>-42</v>
      </c>
      <c r="I111" s="6" t="inlineStr">
        <is>
          <t>结构不明</t>
        </is>
      </c>
    </row>
    <row r="112">
      <c r="A112" s="11" t="inlineStr">
        <is>
          <t>2023-02-02</t>
        </is>
      </c>
      <c r="B112" s="11" t="inlineStr">
        <is>
          <t>MA2305</t>
        </is>
      </c>
      <c r="C112" s="11" t="inlineStr">
        <is>
          <t>2023-05</t>
        </is>
      </c>
      <c r="D112" s="14" t="n">
        <v>1312920</v>
      </c>
      <c r="E112" s="11" t="n">
        <v>70</v>
      </c>
      <c r="F112" s="11" t="n">
        <v>0</v>
      </c>
      <c r="G112" s="11" t="n">
        <v>0</v>
      </c>
      <c r="H112" s="12" t="n">
        <v>-52</v>
      </c>
      <c r="I112" s="11" t="inlineStr">
        <is>
          <t>结构不明</t>
        </is>
      </c>
    </row>
    <row r="113">
      <c r="A113" s="6" t="inlineStr">
        <is>
          <t>2023-02-03</t>
        </is>
      </c>
      <c r="B113" s="6" t="inlineStr">
        <is>
          <t>MA2305</t>
        </is>
      </c>
      <c r="C113" s="6" t="inlineStr">
        <is>
          <t>2023-05</t>
        </is>
      </c>
      <c r="D113" s="9" t="n">
        <v>1177060</v>
      </c>
      <c r="E113" s="6" t="n">
        <v>69</v>
      </c>
      <c r="F113" s="6" t="n">
        <v>0</v>
      </c>
      <c r="G113" s="6" t="n">
        <v>0</v>
      </c>
      <c r="H113" s="7" t="n">
        <v>-64</v>
      </c>
      <c r="I113" s="6" t="inlineStr">
        <is>
          <t>Contango(远强)</t>
        </is>
      </c>
    </row>
    <row r="114">
      <c r="A114" s="11" t="inlineStr">
        <is>
          <t>2023-02-06</t>
        </is>
      </c>
      <c r="B114" s="11" t="inlineStr">
        <is>
          <t>MA2305</t>
        </is>
      </c>
      <c r="C114" s="11" t="inlineStr">
        <is>
          <t>2023-05</t>
        </is>
      </c>
      <c r="D114" s="14" t="n">
        <v>1260724</v>
      </c>
      <c r="E114" s="11" t="n">
        <v>68</v>
      </c>
      <c r="F114" s="11" t="n">
        <v>0</v>
      </c>
      <c r="G114" s="11" t="n">
        <v>0</v>
      </c>
      <c r="H114" s="12" t="n">
        <v>-49</v>
      </c>
      <c r="I114" s="11" t="inlineStr">
        <is>
          <t>结构不明</t>
        </is>
      </c>
    </row>
    <row r="115">
      <c r="A115" s="6" t="inlineStr">
        <is>
          <t>2023-02-07</t>
        </is>
      </c>
      <c r="B115" s="6" t="inlineStr">
        <is>
          <t>MA2305</t>
        </is>
      </c>
      <c r="C115" s="6" t="inlineStr">
        <is>
          <t>2023-05</t>
        </is>
      </c>
      <c r="D115" s="9" t="n">
        <v>1249400</v>
      </c>
      <c r="E115" s="6" t="n">
        <v>67</v>
      </c>
      <c r="F115" s="6" t="n">
        <v>0</v>
      </c>
      <c r="G115" s="6" t="n">
        <v>0</v>
      </c>
      <c r="H115" s="7" t="n">
        <v>-54</v>
      </c>
      <c r="I115" s="6" t="inlineStr">
        <is>
          <t>结构不明</t>
        </is>
      </c>
    </row>
    <row r="116">
      <c r="A116" s="11" t="inlineStr">
        <is>
          <t>2023-02-08</t>
        </is>
      </c>
      <c r="B116" s="11" t="inlineStr">
        <is>
          <t>MA2305</t>
        </is>
      </c>
      <c r="C116" s="11" t="inlineStr">
        <is>
          <t>2023-05</t>
        </is>
      </c>
      <c r="D116" s="14" t="n">
        <v>1294824</v>
      </c>
      <c r="E116" s="11" t="n">
        <v>66</v>
      </c>
      <c r="F116" s="11" t="n">
        <v>0</v>
      </c>
      <c r="G116" s="11" t="n">
        <v>0</v>
      </c>
      <c r="H116" s="12" t="n">
        <v>-52</v>
      </c>
      <c r="I116" s="11" t="inlineStr">
        <is>
          <t>结构不明</t>
        </is>
      </c>
    </row>
    <row r="117">
      <c r="A117" s="6" t="inlineStr">
        <is>
          <t>2023-02-09</t>
        </is>
      </c>
      <c r="B117" s="6" t="inlineStr">
        <is>
          <t>MA2305</t>
        </is>
      </c>
      <c r="C117" s="6" t="inlineStr">
        <is>
          <t>2023-05</t>
        </is>
      </c>
      <c r="D117" s="9" t="n">
        <v>1175291</v>
      </c>
      <c r="E117" s="6" t="n">
        <v>65</v>
      </c>
      <c r="F117" s="6" t="n">
        <v>0</v>
      </c>
      <c r="G117" s="6" t="n">
        <v>0</v>
      </c>
      <c r="H117" s="7" t="n">
        <v>-45</v>
      </c>
      <c r="I117" s="6" t="inlineStr">
        <is>
          <t>结构不明</t>
        </is>
      </c>
    </row>
    <row r="118">
      <c r="A118" s="11" t="inlineStr">
        <is>
          <t>2023-02-10</t>
        </is>
      </c>
      <c r="B118" s="11" t="inlineStr">
        <is>
          <t>MA2305</t>
        </is>
      </c>
      <c r="C118" s="11" t="inlineStr">
        <is>
          <t>2023-05</t>
        </is>
      </c>
      <c r="D118" s="14" t="n">
        <v>1374800</v>
      </c>
      <c r="E118" s="11" t="n">
        <v>64</v>
      </c>
      <c r="F118" s="11" t="n">
        <v>0</v>
      </c>
      <c r="G118" s="11" t="n">
        <v>0</v>
      </c>
      <c r="H118" s="12" t="n">
        <v>-44</v>
      </c>
      <c r="I118" s="11" t="inlineStr">
        <is>
          <t>结构不明</t>
        </is>
      </c>
    </row>
    <row r="119">
      <c r="A119" s="6" t="inlineStr">
        <is>
          <t>2023-02-13</t>
        </is>
      </c>
      <c r="B119" s="6" t="inlineStr">
        <is>
          <t>MA2305</t>
        </is>
      </c>
      <c r="C119" s="6" t="inlineStr">
        <is>
          <t>2023-05</t>
        </is>
      </c>
      <c r="D119" s="9" t="n">
        <v>1300799</v>
      </c>
      <c r="E119" s="6" t="n">
        <v>63</v>
      </c>
      <c r="F119" s="6" t="n">
        <v>0</v>
      </c>
      <c r="G119" s="6" t="n">
        <v>0</v>
      </c>
      <c r="H119" s="7" t="n">
        <v>-87</v>
      </c>
      <c r="I119" s="6" t="inlineStr">
        <is>
          <t>Contango(远强)</t>
        </is>
      </c>
    </row>
    <row r="120">
      <c r="A120" s="11" t="inlineStr">
        <is>
          <t>2023-02-14</t>
        </is>
      </c>
      <c r="B120" s="11" t="inlineStr">
        <is>
          <t>MA2305</t>
        </is>
      </c>
      <c r="C120" s="11" t="inlineStr">
        <is>
          <t>2023-05</t>
        </is>
      </c>
      <c r="D120" s="14" t="n">
        <v>1300250</v>
      </c>
      <c r="E120" s="11" t="n">
        <v>62</v>
      </c>
      <c r="F120" s="11" t="n">
        <v>0</v>
      </c>
      <c r="G120" s="11" t="n">
        <v>0</v>
      </c>
      <c r="H120" s="12" t="n">
        <v>-71</v>
      </c>
      <c r="I120" s="11" t="inlineStr">
        <is>
          <t>Contango(远强)</t>
        </is>
      </c>
    </row>
    <row r="121">
      <c r="A121" s="6" t="inlineStr">
        <is>
          <t>2023-02-15</t>
        </is>
      </c>
      <c r="B121" s="6" t="inlineStr">
        <is>
          <t>MA2305</t>
        </is>
      </c>
      <c r="C121" s="6" t="inlineStr">
        <is>
          <t>2023-05</t>
        </is>
      </c>
      <c r="D121" s="9" t="n">
        <v>1311908</v>
      </c>
      <c r="E121" s="6" t="n">
        <v>61</v>
      </c>
      <c r="F121" s="6" t="n">
        <v>0</v>
      </c>
      <c r="G121" s="6" t="n">
        <v>0</v>
      </c>
      <c r="H121" s="7" t="n">
        <v>-71</v>
      </c>
      <c r="I121" s="6" t="inlineStr">
        <is>
          <t>Contango(远强)</t>
        </is>
      </c>
    </row>
    <row r="122">
      <c r="A122" s="11" t="inlineStr">
        <is>
          <t>2023-02-16</t>
        </is>
      </c>
      <c r="B122" s="11" t="inlineStr">
        <is>
          <t>MA2305</t>
        </is>
      </c>
      <c r="C122" s="11" t="inlineStr">
        <is>
          <t>2023-05</t>
        </is>
      </c>
      <c r="D122" s="14" t="n">
        <v>1252641</v>
      </c>
      <c r="E122" s="11" t="n">
        <v>60</v>
      </c>
      <c r="F122" s="11" t="n">
        <v>0</v>
      </c>
      <c r="G122" s="11" t="n">
        <v>0</v>
      </c>
      <c r="H122" s="12" t="n">
        <v>-74</v>
      </c>
      <c r="I122" s="11" t="inlineStr">
        <is>
          <t>Contango(远强)</t>
        </is>
      </c>
    </row>
    <row r="123">
      <c r="A123" s="6" t="inlineStr">
        <is>
          <t>2023-02-17</t>
        </is>
      </c>
      <c r="B123" s="6" t="inlineStr">
        <is>
          <t>MA2305</t>
        </is>
      </c>
      <c r="C123" s="6" t="inlineStr">
        <is>
          <t>2023-05</t>
        </is>
      </c>
      <c r="D123" s="9" t="n">
        <v>1304811</v>
      </c>
      <c r="E123" s="6" t="n">
        <v>59</v>
      </c>
      <c r="F123" s="6" t="n">
        <v>0</v>
      </c>
      <c r="G123" s="6" t="n">
        <v>0</v>
      </c>
      <c r="H123" s="7" t="n">
        <v>-67</v>
      </c>
      <c r="I123" s="6" t="inlineStr">
        <is>
          <t>Contango(远强)</t>
        </is>
      </c>
    </row>
    <row r="124">
      <c r="A124" s="11" t="inlineStr">
        <is>
          <t>2023-02-20</t>
        </is>
      </c>
      <c r="B124" s="11" t="inlineStr">
        <is>
          <t>MA2305</t>
        </is>
      </c>
      <c r="C124" s="11" t="inlineStr">
        <is>
          <t>2023-05</t>
        </is>
      </c>
      <c r="D124" s="14" t="n">
        <v>1321474</v>
      </c>
      <c r="E124" s="11" t="n">
        <v>58</v>
      </c>
      <c r="F124" s="11" t="n">
        <v>0</v>
      </c>
      <c r="G124" s="11" t="n">
        <v>0</v>
      </c>
      <c r="H124" s="12" t="n">
        <v>-73</v>
      </c>
      <c r="I124" s="11" t="inlineStr">
        <is>
          <t>Contango(远强)</t>
        </is>
      </c>
    </row>
    <row r="125">
      <c r="A125" s="6" t="inlineStr">
        <is>
          <t>2023-02-21</t>
        </is>
      </c>
      <c r="B125" s="6" t="inlineStr">
        <is>
          <t>MA2305</t>
        </is>
      </c>
      <c r="C125" s="6" t="inlineStr">
        <is>
          <t>2023-05</t>
        </is>
      </c>
      <c r="D125" s="9" t="n">
        <v>1262368</v>
      </c>
      <c r="E125" s="6" t="n">
        <v>57</v>
      </c>
      <c r="F125" s="6" t="n">
        <v>0</v>
      </c>
      <c r="G125" s="6" t="n">
        <v>0</v>
      </c>
      <c r="H125" s="7" t="n">
        <v>-67</v>
      </c>
      <c r="I125" s="6" t="inlineStr">
        <is>
          <t>Contango(远强)</t>
        </is>
      </c>
    </row>
    <row r="126">
      <c r="A126" s="11" t="inlineStr">
        <is>
          <t>2023-02-22</t>
        </is>
      </c>
      <c r="B126" s="11" t="inlineStr">
        <is>
          <t>MA2305</t>
        </is>
      </c>
      <c r="C126" s="11" t="inlineStr">
        <is>
          <t>2023-05</t>
        </is>
      </c>
      <c r="D126" s="14" t="n">
        <v>1260815</v>
      </c>
      <c r="E126" s="11" t="n">
        <v>56</v>
      </c>
      <c r="F126" s="11" t="n">
        <v>0</v>
      </c>
      <c r="G126" s="11" t="n">
        <v>0</v>
      </c>
      <c r="H126" s="12" t="n">
        <v>-66</v>
      </c>
      <c r="I126" s="11" t="inlineStr">
        <is>
          <t>Contango(远强)</t>
        </is>
      </c>
    </row>
    <row r="127">
      <c r="A127" s="6" t="inlineStr">
        <is>
          <t>2023-02-23</t>
        </is>
      </c>
      <c r="B127" s="6" t="inlineStr">
        <is>
          <t>MA2305</t>
        </is>
      </c>
      <c r="C127" s="6" t="inlineStr">
        <is>
          <t>2023-05</t>
        </is>
      </c>
      <c r="D127" s="9" t="n">
        <v>1407842</v>
      </c>
      <c r="E127" s="6" t="n">
        <v>55</v>
      </c>
      <c r="F127" s="6" t="n">
        <v>0</v>
      </c>
      <c r="G127" s="6" t="n">
        <v>0</v>
      </c>
      <c r="H127" s="7" t="n">
        <v>-56</v>
      </c>
      <c r="I127" s="6" t="inlineStr">
        <is>
          <t>结构不明</t>
        </is>
      </c>
    </row>
    <row r="128">
      <c r="A128" s="11" t="inlineStr">
        <is>
          <t>2023-02-24</t>
        </is>
      </c>
      <c r="B128" s="11" t="inlineStr">
        <is>
          <t>MA2305</t>
        </is>
      </c>
      <c r="C128" s="11" t="inlineStr">
        <is>
          <t>2023-05</t>
        </is>
      </c>
      <c r="D128" s="14" t="n">
        <v>1309528</v>
      </c>
      <c r="E128" s="11" t="n">
        <v>54</v>
      </c>
      <c r="F128" s="11" t="n">
        <v>0</v>
      </c>
      <c r="G128" s="11" t="n">
        <v>0</v>
      </c>
      <c r="H128" s="12" t="n">
        <v>-55</v>
      </c>
      <c r="I128" s="11" t="inlineStr">
        <is>
          <t>结构不明</t>
        </is>
      </c>
    </row>
    <row r="129">
      <c r="A129" s="6" t="inlineStr">
        <is>
          <t>2023-02-27</t>
        </is>
      </c>
      <c r="B129" s="6" t="inlineStr">
        <is>
          <t>MA2305</t>
        </is>
      </c>
      <c r="C129" s="6" t="inlineStr">
        <is>
          <t>2023-05</t>
        </is>
      </c>
      <c r="D129" s="9" t="n">
        <v>1387674</v>
      </c>
      <c r="E129" s="6" t="n">
        <v>53</v>
      </c>
      <c r="F129" s="6" t="n">
        <v>0</v>
      </c>
      <c r="G129" s="6" t="n">
        <v>0</v>
      </c>
      <c r="H129" s="7" t="n">
        <v>-54</v>
      </c>
      <c r="I129" s="6" t="inlineStr">
        <is>
          <t>结构不明</t>
        </is>
      </c>
    </row>
    <row r="130">
      <c r="A130" s="11" t="inlineStr">
        <is>
          <t>2023-02-28</t>
        </is>
      </c>
      <c r="B130" s="11" t="inlineStr">
        <is>
          <t>MA2305</t>
        </is>
      </c>
      <c r="C130" s="11" t="inlineStr">
        <is>
          <t>2023-05</t>
        </is>
      </c>
      <c r="D130" s="14" t="n">
        <v>1285877</v>
      </c>
      <c r="E130" s="11" t="n">
        <v>52</v>
      </c>
      <c r="F130" s="11" t="n">
        <v>0</v>
      </c>
      <c r="G130" s="11" t="n">
        <v>0</v>
      </c>
      <c r="H130" s="12" t="n">
        <v>-53</v>
      </c>
      <c r="I130" s="11" t="inlineStr">
        <is>
          <t>结构不明</t>
        </is>
      </c>
    </row>
    <row r="131">
      <c r="A131" s="6" t="inlineStr">
        <is>
          <t>2023-03-01</t>
        </is>
      </c>
      <c r="B131" s="6" t="inlineStr">
        <is>
          <t>MA2305</t>
        </is>
      </c>
      <c r="C131" s="6" t="inlineStr">
        <is>
          <t>2023-05</t>
        </is>
      </c>
      <c r="D131" s="9" t="n">
        <v>1347040</v>
      </c>
      <c r="E131" s="6" t="n">
        <v>51</v>
      </c>
      <c r="F131" s="6" t="n">
        <v>0</v>
      </c>
      <c r="G131" s="6" t="n">
        <v>0</v>
      </c>
      <c r="H131" s="7" t="n">
        <v>-56</v>
      </c>
      <c r="I131" s="6" t="inlineStr">
        <is>
          <t>结构不明</t>
        </is>
      </c>
    </row>
    <row r="132">
      <c r="A132" s="11" t="inlineStr">
        <is>
          <t>2023-03-02</t>
        </is>
      </c>
      <c r="B132" s="11" t="inlineStr">
        <is>
          <t>MA2305</t>
        </is>
      </c>
      <c r="C132" s="11" t="inlineStr">
        <is>
          <t>2023-05</t>
        </is>
      </c>
      <c r="D132" s="14" t="n">
        <v>1310157</v>
      </c>
      <c r="E132" s="11" t="n">
        <v>50</v>
      </c>
      <c r="F132" s="11" t="n">
        <v>0</v>
      </c>
      <c r="G132" s="11" t="n">
        <v>0</v>
      </c>
      <c r="H132" s="12" t="n">
        <v>-80</v>
      </c>
      <c r="I132" s="11" t="inlineStr">
        <is>
          <t>Contango(远强)</t>
        </is>
      </c>
    </row>
    <row r="133">
      <c r="A133" s="6" t="inlineStr">
        <is>
          <t>2023-03-03</t>
        </is>
      </c>
      <c r="B133" s="6" t="inlineStr">
        <is>
          <t>MA2305</t>
        </is>
      </c>
      <c r="C133" s="6" t="inlineStr">
        <is>
          <t>2023-05</t>
        </is>
      </c>
      <c r="D133" s="9" t="n">
        <v>1418568</v>
      </c>
      <c r="E133" s="6" t="n">
        <v>49</v>
      </c>
      <c r="F133" s="6" t="n">
        <v>0</v>
      </c>
      <c r="G133" s="6" t="n">
        <v>0</v>
      </c>
      <c r="H133" s="7" t="n">
        <v>-22</v>
      </c>
      <c r="I133" s="6" t="inlineStr">
        <is>
          <t>Back(近强)</t>
        </is>
      </c>
    </row>
    <row r="134">
      <c r="A134" s="11" t="inlineStr">
        <is>
          <t>2023-03-06</t>
        </is>
      </c>
      <c r="B134" s="11" t="inlineStr">
        <is>
          <t>MA2305</t>
        </is>
      </c>
      <c r="C134" s="11" t="inlineStr">
        <is>
          <t>2023-05</t>
        </is>
      </c>
      <c r="D134" s="14" t="n">
        <v>1338419</v>
      </c>
      <c r="E134" s="11" t="n">
        <v>48</v>
      </c>
      <c r="F134" s="11" t="n">
        <v>0</v>
      </c>
      <c r="G134" s="11" t="n">
        <v>0</v>
      </c>
      <c r="H134" s="12" t="n">
        <v>-41</v>
      </c>
      <c r="I134" s="11" t="inlineStr">
        <is>
          <t>结构不明</t>
        </is>
      </c>
    </row>
    <row r="135">
      <c r="A135" s="6" t="inlineStr">
        <is>
          <t>2023-03-07</t>
        </is>
      </c>
      <c r="B135" s="6" t="inlineStr">
        <is>
          <t>MA2305</t>
        </is>
      </c>
      <c r="C135" s="6" t="inlineStr">
        <is>
          <t>2023-05</t>
        </is>
      </c>
      <c r="D135" s="9" t="n">
        <v>1291349</v>
      </c>
      <c r="E135" s="6" t="n">
        <v>47</v>
      </c>
      <c r="F135" s="6" t="n">
        <v>0</v>
      </c>
      <c r="G135" s="6" t="n">
        <v>0</v>
      </c>
      <c r="H135" s="7" t="n">
        <v>-13</v>
      </c>
      <c r="I135" s="6" t="inlineStr">
        <is>
          <t>Back(近强)</t>
        </is>
      </c>
    </row>
    <row r="136">
      <c r="A136" s="11" t="inlineStr">
        <is>
          <t>2023-03-08</t>
        </is>
      </c>
      <c r="B136" s="11" t="inlineStr">
        <is>
          <t>MA2305</t>
        </is>
      </c>
      <c r="C136" s="11" t="inlineStr">
        <is>
          <t>2023-05</t>
        </is>
      </c>
      <c r="D136" s="14" t="n">
        <v>1398068</v>
      </c>
      <c r="E136" s="11" t="n">
        <v>46</v>
      </c>
      <c r="F136" s="11" t="n">
        <v>0</v>
      </c>
      <c r="G136" s="11" t="n">
        <v>0</v>
      </c>
      <c r="H136" s="12" t="n">
        <v>-16</v>
      </c>
      <c r="I136" s="11" t="inlineStr">
        <is>
          <t>Back(近强)</t>
        </is>
      </c>
    </row>
    <row r="137">
      <c r="A137" s="6" t="inlineStr">
        <is>
          <t>2023-03-09</t>
        </is>
      </c>
      <c r="B137" s="6" t="inlineStr">
        <is>
          <t>MA2305</t>
        </is>
      </c>
      <c r="C137" s="6" t="inlineStr">
        <is>
          <t>2023-05</t>
        </is>
      </c>
      <c r="D137" s="9" t="n">
        <v>1279982</v>
      </c>
      <c r="E137" s="6" t="n">
        <v>45</v>
      </c>
      <c r="F137" s="6" t="n">
        <v>0</v>
      </c>
      <c r="G137" s="6" t="n">
        <v>0</v>
      </c>
      <c r="H137" s="7" t="n">
        <v>-58</v>
      </c>
      <c r="I137" s="6" t="inlineStr">
        <is>
          <t>结构不明</t>
        </is>
      </c>
    </row>
    <row r="138">
      <c r="A138" s="11" t="inlineStr">
        <is>
          <t>2023-03-10</t>
        </is>
      </c>
      <c r="B138" s="11" t="inlineStr">
        <is>
          <t>MA2305</t>
        </is>
      </c>
      <c r="C138" s="11" t="inlineStr">
        <is>
          <t>2023-05</t>
        </is>
      </c>
      <c r="D138" s="14" t="n">
        <v>1379951</v>
      </c>
      <c r="E138" s="11" t="n">
        <v>44</v>
      </c>
      <c r="F138" s="11" t="n">
        <v>0</v>
      </c>
      <c r="G138" s="11" t="n">
        <v>0</v>
      </c>
      <c r="H138" s="12" t="n">
        <v>-17</v>
      </c>
      <c r="I138" s="11" t="inlineStr">
        <is>
          <t>Back(近强)</t>
        </is>
      </c>
    </row>
    <row r="139">
      <c r="A139" s="6" t="inlineStr">
        <is>
          <t>2023-03-13</t>
        </is>
      </c>
      <c r="B139" s="6" t="inlineStr">
        <is>
          <t>MA2305</t>
        </is>
      </c>
      <c r="C139" s="6" t="inlineStr">
        <is>
          <t>2023-05</t>
        </is>
      </c>
      <c r="D139" s="9" t="n">
        <v>1310092</v>
      </c>
      <c r="E139" s="6" t="n">
        <v>43</v>
      </c>
      <c r="F139" s="6" t="n">
        <v>0</v>
      </c>
      <c r="G139" s="6" t="n">
        <v>0</v>
      </c>
      <c r="H139" s="7" t="n">
        <v>-16</v>
      </c>
      <c r="I139" s="6" t="inlineStr">
        <is>
          <t>Back(近强)</t>
        </is>
      </c>
    </row>
    <row r="140">
      <c r="A140" s="11" t="inlineStr">
        <is>
          <t>2023-03-14</t>
        </is>
      </c>
      <c r="B140" s="11" t="inlineStr">
        <is>
          <t>MA2305</t>
        </is>
      </c>
      <c r="C140" s="11" t="inlineStr">
        <is>
          <t>2023-05</t>
        </is>
      </c>
      <c r="D140" s="14" t="n">
        <v>1351433</v>
      </c>
      <c r="E140" s="11" t="n">
        <v>42</v>
      </c>
      <c r="F140" s="11" t="n">
        <v>0</v>
      </c>
      <c r="G140" s="11" t="n">
        <v>0</v>
      </c>
      <c r="H140" s="12" t="n">
        <v>-14</v>
      </c>
      <c r="I140" s="11" t="inlineStr">
        <is>
          <t>Back(近强)</t>
        </is>
      </c>
    </row>
    <row r="141">
      <c r="A141" s="6" t="inlineStr">
        <is>
          <t>2023-03-15</t>
        </is>
      </c>
      <c r="B141" s="6" t="inlineStr">
        <is>
          <t>MA2305</t>
        </is>
      </c>
      <c r="C141" s="6" t="inlineStr">
        <is>
          <t>2023-05</t>
        </is>
      </c>
      <c r="D141" s="9" t="n">
        <v>1278937</v>
      </c>
      <c r="E141" s="6" t="n">
        <v>41</v>
      </c>
      <c r="F141" s="6" t="n">
        <v>0</v>
      </c>
      <c r="G141" s="6" t="n">
        <v>0</v>
      </c>
      <c r="H141" s="7" t="n">
        <v>-40</v>
      </c>
      <c r="I141" s="6" t="inlineStr">
        <is>
          <t>Back(近强)</t>
        </is>
      </c>
    </row>
    <row r="142">
      <c r="A142" s="11" t="inlineStr">
        <is>
          <t>2023-03-16</t>
        </is>
      </c>
      <c r="B142" s="11" t="inlineStr">
        <is>
          <t>MA2305</t>
        </is>
      </c>
      <c r="C142" s="11" t="inlineStr">
        <is>
          <t>2023-05</t>
        </is>
      </c>
      <c r="D142" s="14" t="n">
        <v>1392634</v>
      </c>
      <c r="E142" s="11" t="n">
        <v>40</v>
      </c>
      <c r="F142" s="11" t="n">
        <v>0</v>
      </c>
      <c r="G142" s="11" t="n">
        <v>0</v>
      </c>
      <c r="H142" s="12" t="n">
        <v>-32</v>
      </c>
      <c r="I142" s="11" t="inlineStr">
        <is>
          <t>Back(近强)</t>
        </is>
      </c>
    </row>
    <row r="143">
      <c r="A143" s="6" t="inlineStr">
        <is>
          <t>2023-03-17</t>
        </is>
      </c>
      <c r="B143" s="6" t="inlineStr">
        <is>
          <t>MA2305</t>
        </is>
      </c>
      <c r="C143" s="6" t="inlineStr">
        <is>
          <t>2023-05</t>
        </is>
      </c>
      <c r="D143" s="9" t="n">
        <v>1299548</v>
      </c>
      <c r="E143" s="6" t="n">
        <v>39</v>
      </c>
      <c r="F143" s="6" t="n">
        <v>0</v>
      </c>
      <c r="G143" s="6" t="n">
        <v>0</v>
      </c>
      <c r="H143" s="7" t="n">
        <v>-23</v>
      </c>
      <c r="I143" s="6" t="inlineStr">
        <is>
          <t>Back(近强)</t>
        </is>
      </c>
    </row>
    <row r="144">
      <c r="A144" s="11" t="inlineStr">
        <is>
          <t>2023-03-20</t>
        </is>
      </c>
      <c r="B144" s="11" t="inlineStr">
        <is>
          <t>MA2305</t>
        </is>
      </c>
      <c r="C144" s="11" t="inlineStr">
        <is>
          <t>2023-05</t>
        </is>
      </c>
      <c r="D144" s="14" t="n">
        <v>1295247</v>
      </c>
      <c r="E144" s="11" t="n">
        <v>38</v>
      </c>
      <c r="F144" s="11" t="n">
        <v>0</v>
      </c>
      <c r="G144" s="11" t="n">
        <v>0</v>
      </c>
      <c r="H144" s="12" t="n">
        <v>-32</v>
      </c>
      <c r="I144" s="11" t="inlineStr">
        <is>
          <t>Back(近强)</t>
        </is>
      </c>
    </row>
    <row r="145">
      <c r="A145" s="6" t="inlineStr">
        <is>
          <t>2023-03-21</t>
        </is>
      </c>
      <c r="B145" s="6" t="inlineStr">
        <is>
          <t>MA2305</t>
        </is>
      </c>
      <c r="C145" s="6" t="inlineStr">
        <is>
          <t>2023-05</t>
        </is>
      </c>
      <c r="D145" s="9" t="n">
        <v>1256435</v>
      </c>
      <c r="E145" s="6" t="n">
        <v>37</v>
      </c>
      <c r="F145" s="6" t="n">
        <v>0</v>
      </c>
      <c r="G145" s="6" t="n">
        <v>0</v>
      </c>
      <c r="H145" s="7" t="n">
        <v>-31</v>
      </c>
      <c r="I145" s="6" t="inlineStr">
        <is>
          <t>Back(近强)</t>
        </is>
      </c>
    </row>
    <row r="146">
      <c r="A146" s="11" t="inlineStr">
        <is>
          <t>2023-03-22</t>
        </is>
      </c>
      <c r="B146" s="11" t="inlineStr">
        <is>
          <t>MA2305</t>
        </is>
      </c>
      <c r="C146" s="11" t="inlineStr">
        <is>
          <t>2023-05</t>
        </is>
      </c>
      <c r="D146" s="14" t="n">
        <v>1227433</v>
      </c>
      <c r="E146" s="11" t="n">
        <v>36</v>
      </c>
      <c r="F146" s="11" t="n">
        <v>0</v>
      </c>
      <c r="G146" s="11" t="n">
        <v>0</v>
      </c>
      <c r="H146" s="12" t="n">
        <v>-45</v>
      </c>
      <c r="I146" s="11" t="inlineStr">
        <is>
          <t>结构不明</t>
        </is>
      </c>
    </row>
    <row r="147">
      <c r="A147" s="6" t="inlineStr">
        <is>
          <t>2023-03-23</t>
        </is>
      </c>
      <c r="B147" s="6" t="inlineStr">
        <is>
          <t>MA2305</t>
        </is>
      </c>
      <c r="C147" s="6" t="inlineStr">
        <is>
          <t>2023-05</t>
        </is>
      </c>
      <c r="D147" s="9" t="n">
        <v>1191593</v>
      </c>
      <c r="E147" s="6" t="n">
        <v>35</v>
      </c>
      <c r="F147" s="6" t="n">
        <v>0</v>
      </c>
      <c r="G147" s="6" t="n">
        <v>0</v>
      </c>
      <c r="H147" s="7" t="n">
        <v>-46</v>
      </c>
      <c r="I147" s="6" t="inlineStr">
        <is>
          <t>结构不明</t>
        </is>
      </c>
    </row>
    <row r="148">
      <c r="A148" s="11" t="inlineStr">
        <is>
          <t>2023-03-24</t>
        </is>
      </c>
      <c r="B148" s="11" t="inlineStr">
        <is>
          <t>MA2305</t>
        </is>
      </c>
      <c r="C148" s="11" t="inlineStr">
        <is>
          <t>2023-05</t>
        </is>
      </c>
      <c r="D148" s="14" t="n">
        <v>1283330</v>
      </c>
      <c r="E148" s="11" t="n">
        <v>34</v>
      </c>
      <c r="F148" s="11" t="n">
        <v>0</v>
      </c>
      <c r="G148" s="11" t="n">
        <v>0</v>
      </c>
      <c r="H148" s="12" t="n">
        <v>-25</v>
      </c>
      <c r="I148" s="11" t="inlineStr">
        <is>
          <t>Back(近强)</t>
        </is>
      </c>
    </row>
    <row r="149">
      <c r="A149" s="6" t="inlineStr">
        <is>
          <t>2023-03-27</t>
        </is>
      </c>
      <c r="B149" s="6" t="inlineStr">
        <is>
          <t>MA2305</t>
        </is>
      </c>
      <c r="C149" s="6" t="inlineStr">
        <is>
          <t>2023-05</t>
        </is>
      </c>
      <c r="D149" s="9" t="n">
        <v>1246803</v>
      </c>
      <c r="E149" s="6" t="n">
        <v>33</v>
      </c>
      <c r="F149" s="6" t="n">
        <v>0</v>
      </c>
      <c r="G149" s="6" t="n">
        <v>0</v>
      </c>
      <c r="H149" s="7" t="n">
        <v>-34</v>
      </c>
      <c r="I149" s="6" t="inlineStr">
        <is>
          <t>Back(近强)</t>
        </is>
      </c>
    </row>
    <row r="150">
      <c r="A150" s="11" t="inlineStr">
        <is>
          <t>2023-03-28</t>
        </is>
      </c>
      <c r="B150" s="11" t="inlineStr">
        <is>
          <t>MA2305</t>
        </is>
      </c>
      <c r="C150" s="11" t="inlineStr">
        <is>
          <t>2023-05</t>
        </is>
      </c>
      <c r="D150" s="14" t="n">
        <v>1322360</v>
      </c>
      <c r="E150" s="11" t="n">
        <v>32</v>
      </c>
      <c r="F150" s="11" t="n">
        <v>0</v>
      </c>
      <c r="G150" s="11" t="n">
        <v>0</v>
      </c>
      <c r="H150" s="12" t="n">
        <v>-25</v>
      </c>
      <c r="I150" s="11" t="inlineStr">
        <is>
          <t>Back(近强)</t>
        </is>
      </c>
    </row>
    <row r="151">
      <c r="A151" s="6" t="inlineStr">
        <is>
          <t>2023-03-29</t>
        </is>
      </c>
      <c r="B151" s="6" t="inlineStr">
        <is>
          <t>MA2305</t>
        </is>
      </c>
      <c r="C151" s="6" t="inlineStr">
        <is>
          <t>2023-05</t>
        </is>
      </c>
      <c r="D151" s="9" t="n">
        <v>1283494</v>
      </c>
      <c r="E151" s="6" t="n">
        <v>31</v>
      </c>
      <c r="F151" s="6" t="n">
        <v>0</v>
      </c>
      <c r="G151" s="6" t="n">
        <v>0</v>
      </c>
      <c r="H151" s="7" t="n">
        <v>-23</v>
      </c>
      <c r="I151" s="6" t="inlineStr">
        <is>
          <t>Back(近强)</t>
        </is>
      </c>
    </row>
    <row r="152">
      <c r="A152" s="11" t="inlineStr">
        <is>
          <t>2023-03-30</t>
        </is>
      </c>
      <c r="B152" s="11" t="inlineStr">
        <is>
          <t>MA2305</t>
        </is>
      </c>
      <c r="C152" s="11" t="inlineStr">
        <is>
          <t>2023-05</t>
        </is>
      </c>
      <c r="D152" s="14" t="n">
        <v>1155557</v>
      </c>
      <c r="E152" s="11" t="n">
        <v>30</v>
      </c>
      <c r="F152" s="11" t="n">
        <v>0</v>
      </c>
      <c r="G152" s="11" t="n">
        <v>0</v>
      </c>
      <c r="H152" s="12" t="n">
        <v>-20</v>
      </c>
      <c r="I152" s="11" t="inlineStr">
        <is>
          <t>Back(近强)</t>
        </is>
      </c>
    </row>
    <row r="153">
      <c r="A153" s="6" t="inlineStr">
        <is>
          <t>2023-03-31</t>
        </is>
      </c>
      <c r="B153" s="6" t="inlineStr">
        <is>
          <t>MA2305</t>
        </is>
      </c>
      <c r="C153" s="6" t="inlineStr">
        <is>
          <t>2023-05</t>
        </is>
      </c>
      <c r="D153" s="9" t="n">
        <v>1179921</v>
      </c>
      <c r="E153" s="6" t="n">
        <v>29</v>
      </c>
      <c r="F153" s="6" t="n">
        <v>0</v>
      </c>
      <c r="G153" s="6" t="n">
        <v>0</v>
      </c>
      <c r="H153" s="7" t="n">
        <v>-16</v>
      </c>
      <c r="I153" s="6" t="inlineStr">
        <is>
          <t>Back(近强)</t>
        </is>
      </c>
    </row>
    <row r="154">
      <c r="A154" s="11" t="inlineStr">
        <is>
          <t>2023-04-03</t>
        </is>
      </c>
      <c r="B154" s="11" t="inlineStr">
        <is>
          <t>MA2305</t>
        </is>
      </c>
      <c r="C154" s="11" t="inlineStr">
        <is>
          <t>2023-05</t>
        </is>
      </c>
      <c r="D154" s="14" t="n">
        <v>1109863</v>
      </c>
      <c r="E154" s="11" t="n">
        <v>28</v>
      </c>
      <c r="F154" s="11" t="n">
        <v>0</v>
      </c>
      <c r="G154" s="11" t="n">
        <v>0</v>
      </c>
      <c r="H154" s="12" t="n">
        <v>39</v>
      </c>
      <c r="I154" s="11" t="inlineStr">
        <is>
          <t>Back(近强)</t>
        </is>
      </c>
    </row>
    <row r="155">
      <c r="A155" s="6" t="inlineStr">
        <is>
          <t>2023-04-04</t>
        </is>
      </c>
      <c r="B155" s="6" t="inlineStr">
        <is>
          <t>MA2305</t>
        </is>
      </c>
      <c r="C155" s="6" t="inlineStr">
        <is>
          <t>2023-05</t>
        </is>
      </c>
      <c r="D155" s="9" t="n">
        <v>1014533</v>
      </c>
      <c r="E155" s="6" t="n">
        <v>27</v>
      </c>
      <c r="F155" s="6" t="n">
        <v>0</v>
      </c>
      <c r="G155" s="6" t="n">
        <v>0</v>
      </c>
      <c r="H155" s="7" t="n">
        <v>-7</v>
      </c>
      <c r="I155" s="6" t="inlineStr">
        <is>
          <t>Back(近强)</t>
        </is>
      </c>
    </row>
    <row r="156">
      <c r="A156" s="11" t="inlineStr">
        <is>
          <t>2023-04-06</t>
        </is>
      </c>
      <c r="B156" s="11" t="inlineStr">
        <is>
          <t>MA2305</t>
        </is>
      </c>
      <c r="C156" s="11" t="inlineStr">
        <is>
          <t>2023-05</t>
        </is>
      </c>
      <c r="D156" s="14" t="n">
        <v>1125650</v>
      </c>
      <c r="E156" s="11" t="n">
        <v>26</v>
      </c>
      <c r="F156" s="11" t="n">
        <v>0</v>
      </c>
      <c r="G156" s="11" t="n">
        <v>0</v>
      </c>
      <c r="H156" s="12" t="n">
        <v>-35</v>
      </c>
      <c r="I156" s="11" t="inlineStr">
        <is>
          <t>Back(近强)</t>
        </is>
      </c>
    </row>
    <row r="157">
      <c r="A157" s="6" t="inlineStr">
        <is>
          <t>2023-04-07</t>
        </is>
      </c>
      <c r="B157" s="6" t="inlineStr">
        <is>
          <t>MA2305</t>
        </is>
      </c>
      <c r="C157" s="6" t="inlineStr">
        <is>
          <t>2023-05</t>
        </is>
      </c>
      <c r="D157" s="9" t="n">
        <v>1058727</v>
      </c>
      <c r="E157" s="6" t="n">
        <v>25</v>
      </c>
      <c r="F157" s="6" t="n">
        <v>0</v>
      </c>
      <c r="G157" s="6" t="n">
        <v>0</v>
      </c>
      <c r="H157" s="7" t="n">
        <v>17</v>
      </c>
      <c r="I157" s="6" t="inlineStr">
        <is>
          <t>Back(近强)</t>
        </is>
      </c>
    </row>
    <row r="158">
      <c r="A158" s="11" t="inlineStr">
        <is>
          <t>2023-04-10</t>
        </is>
      </c>
      <c r="B158" s="11" t="inlineStr">
        <is>
          <t>MA2305</t>
        </is>
      </c>
      <c r="C158" s="11" t="inlineStr">
        <is>
          <t>2023-05</t>
        </is>
      </c>
      <c r="D158" s="14" t="n">
        <v>1037807</v>
      </c>
      <c r="E158" s="11" t="n">
        <v>24</v>
      </c>
      <c r="F158" s="11" t="n">
        <v>0</v>
      </c>
      <c r="G158" s="11" t="n">
        <v>1</v>
      </c>
      <c r="H158" s="12" t="n">
        <v>-1</v>
      </c>
      <c r="I158" s="11" t="inlineStr">
        <is>
          <t>Back(近强)</t>
        </is>
      </c>
    </row>
    <row r="159">
      <c r="A159" s="6" t="inlineStr">
        <is>
          <t>2023-04-11</t>
        </is>
      </c>
      <c r="B159" s="6" t="inlineStr">
        <is>
          <t>MA2309</t>
        </is>
      </c>
      <c r="C159" s="6" t="inlineStr">
        <is>
          <t>2023-09</t>
        </is>
      </c>
      <c r="D159" s="9" t="n">
        <v>915752</v>
      </c>
      <c r="E159" s="6" t="n">
        <v>107</v>
      </c>
      <c r="F159" s="6" t="n">
        <v>1</v>
      </c>
      <c r="G159" s="6" t="n">
        <v>0</v>
      </c>
      <c r="H159" s="7" t="n">
        <v>-23</v>
      </c>
      <c r="I159" s="6" t="inlineStr">
        <is>
          <t>Back(近强)</t>
        </is>
      </c>
    </row>
    <row r="160">
      <c r="A160" s="11" t="inlineStr">
        <is>
          <t>2023-04-12</t>
        </is>
      </c>
      <c r="B160" s="11" t="inlineStr">
        <is>
          <t>MA2309</t>
        </is>
      </c>
      <c r="C160" s="11" t="inlineStr">
        <is>
          <t>2023-09</t>
        </is>
      </c>
      <c r="D160" s="14" t="n">
        <v>1015231</v>
      </c>
      <c r="E160" s="11" t="n">
        <v>106</v>
      </c>
      <c r="F160" s="11" t="n">
        <v>0</v>
      </c>
      <c r="G160" s="11" t="n">
        <v>0</v>
      </c>
      <c r="H160" s="12" t="n">
        <v>-48</v>
      </c>
      <c r="I160" s="11" t="inlineStr">
        <is>
          <t>结构不明</t>
        </is>
      </c>
    </row>
    <row r="161">
      <c r="A161" s="6" t="inlineStr">
        <is>
          <t>2023-04-13</t>
        </is>
      </c>
      <c r="B161" s="6" t="inlineStr">
        <is>
          <t>MA2309</t>
        </is>
      </c>
      <c r="C161" s="6" t="inlineStr">
        <is>
          <t>2023-09</t>
        </is>
      </c>
      <c r="D161" s="9" t="n">
        <v>1085573</v>
      </c>
      <c r="E161" s="6" t="n">
        <v>105</v>
      </c>
      <c r="F161" s="6" t="n">
        <v>0</v>
      </c>
      <c r="G161" s="6" t="n">
        <v>0</v>
      </c>
      <c r="H161" s="7" t="n">
        <v>-59</v>
      </c>
      <c r="I161" s="6" t="inlineStr">
        <is>
          <t>Contango(远强)</t>
        </is>
      </c>
    </row>
    <row r="162">
      <c r="A162" s="11" t="inlineStr">
        <is>
          <t>2023-04-14</t>
        </is>
      </c>
      <c r="B162" s="11" t="inlineStr">
        <is>
          <t>MA2309</t>
        </is>
      </c>
      <c r="C162" s="11" t="inlineStr">
        <is>
          <t>2023-09</t>
        </is>
      </c>
      <c r="D162" s="14" t="n">
        <v>1141672</v>
      </c>
      <c r="E162" s="11" t="n">
        <v>104</v>
      </c>
      <c r="F162" s="11" t="n">
        <v>0</v>
      </c>
      <c r="G162" s="11" t="n">
        <v>0</v>
      </c>
      <c r="H162" s="12" t="n">
        <v>-7</v>
      </c>
      <c r="I162" s="11" t="inlineStr">
        <is>
          <t>Back(近强)</t>
        </is>
      </c>
    </row>
    <row r="163">
      <c r="A163" s="6" t="inlineStr">
        <is>
          <t>2023-04-17</t>
        </is>
      </c>
      <c r="B163" s="6" t="inlineStr">
        <is>
          <t>MA2309</t>
        </is>
      </c>
      <c r="C163" s="6" t="inlineStr">
        <is>
          <t>2023-09</t>
        </is>
      </c>
      <c r="D163" s="9" t="n">
        <v>1312372</v>
      </c>
      <c r="E163" s="6" t="n">
        <v>103</v>
      </c>
      <c r="F163" s="6" t="n">
        <v>0</v>
      </c>
      <c r="G163" s="6" t="n">
        <v>0</v>
      </c>
      <c r="H163" s="7" t="n">
        <v>-52</v>
      </c>
      <c r="I163" s="6" t="inlineStr">
        <is>
          <t>结构不明</t>
        </is>
      </c>
    </row>
    <row r="164">
      <c r="A164" s="11" t="inlineStr">
        <is>
          <t>2023-04-18</t>
        </is>
      </c>
      <c r="B164" s="11" t="inlineStr">
        <is>
          <t>MA2309</t>
        </is>
      </c>
      <c r="C164" s="11" t="inlineStr">
        <is>
          <t>2023-09</t>
        </is>
      </c>
      <c r="D164" s="14" t="n">
        <v>1262730</v>
      </c>
      <c r="E164" s="11" t="n">
        <v>102</v>
      </c>
      <c r="F164" s="11" t="n">
        <v>0</v>
      </c>
      <c r="G164" s="11" t="n">
        <v>0</v>
      </c>
      <c r="H164" s="12" t="n">
        <v>-43</v>
      </c>
      <c r="I164" s="11" t="inlineStr">
        <is>
          <t>结构不明</t>
        </is>
      </c>
    </row>
    <row r="165">
      <c r="A165" s="6" t="inlineStr">
        <is>
          <t>2023-04-19</t>
        </is>
      </c>
      <c r="B165" s="6" t="inlineStr">
        <is>
          <t>MA2309</t>
        </is>
      </c>
      <c r="C165" s="6" t="inlineStr">
        <is>
          <t>2023-09</t>
        </is>
      </c>
      <c r="D165" s="9" t="n">
        <v>1306213</v>
      </c>
      <c r="E165" s="6" t="n">
        <v>101</v>
      </c>
      <c r="F165" s="6" t="n">
        <v>0</v>
      </c>
      <c r="G165" s="6" t="n">
        <v>0</v>
      </c>
      <c r="H165" s="7" t="n">
        <v>-55</v>
      </c>
      <c r="I165" s="6" t="inlineStr">
        <is>
          <t>Contango(远强)</t>
        </is>
      </c>
    </row>
    <row r="166">
      <c r="A166" s="11" t="inlineStr">
        <is>
          <t>2023-04-20</t>
        </is>
      </c>
      <c r="B166" s="11" t="inlineStr">
        <is>
          <t>MA2309</t>
        </is>
      </c>
      <c r="C166" s="11" t="inlineStr">
        <is>
          <t>2023-09</t>
        </is>
      </c>
      <c r="D166" s="14" t="n">
        <v>1413691</v>
      </c>
      <c r="E166" s="11" t="n">
        <v>100</v>
      </c>
      <c r="F166" s="11" t="n">
        <v>0</v>
      </c>
      <c r="G166" s="11" t="n">
        <v>0</v>
      </c>
      <c r="H166" s="12" t="n">
        <v>-42</v>
      </c>
      <c r="I166" s="11" t="inlineStr">
        <is>
          <t>结构不明</t>
        </is>
      </c>
    </row>
    <row r="167">
      <c r="A167" s="6" t="inlineStr">
        <is>
          <t>2023-04-21</t>
        </is>
      </c>
      <c r="B167" s="6" t="inlineStr">
        <is>
          <t>MA2309</t>
        </is>
      </c>
      <c r="C167" s="6" t="inlineStr">
        <is>
          <t>2023-09</t>
        </is>
      </c>
      <c r="D167" s="9" t="n">
        <v>1291043</v>
      </c>
      <c r="E167" s="6" t="n">
        <v>99</v>
      </c>
      <c r="F167" s="6" t="n">
        <v>0</v>
      </c>
      <c r="G167" s="6" t="n">
        <v>0</v>
      </c>
      <c r="H167" s="7" t="n">
        <v>-45</v>
      </c>
      <c r="I167" s="6" t="inlineStr">
        <is>
          <t>结构不明</t>
        </is>
      </c>
    </row>
    <row r="168">
      <c r="A168" s="11" t="inlineStr">
        <is>
          <t>2023-04-24</t>
        </is>
      </c>
      <c r="B168" s="11" t="inlineStr">
        <is>
          <t>MA2309</t>
        </is>
      </c>
      <c r="C168" s="11" t="inlineStr">
        <is>
          <t>2023-09</t>
        </is>
      </c>
      <c r="D168" s="14" t="n">
        <v>1349459</v>
      </c>
      <c r="E168" s="11" t="n">
        <v>98</v>
      </c>
      <c r="F168" s="11" t="n">
        <v>0</v>
      </c>
      <c r="G168" s="11" t="n">
        <v>0</v>
      </c>
      <c r="H168" s="12" t="n">
        <v>-71</v>
      </c>
      <c r="I168" s="11" t="inlineStr">
        <is>
          <t>Contango(远强)</t>
        </is>
      </c>
    </row>
    <row r="169">
      <c r="A169" s="6" t="inlineStr">
        <is>
          <t>2023-04-26</t>
        </is>
      </c>
      <c r="B169" s="6" t="inlineStr">
        <is>
          <t>MA2309</t>
        </is>
      </c>
      <c r="C169" s="6" t="inlineStr">
        <is>
          <t>2023-09</t>
        </is>
      </c>
      <c r="D169" s="9" t="n">
        <v>1391368</v>
      </c>
      <c r="E169" s="6" t="n">
        <v>96</v>
      </c>
      <c r="F169" s="6" t="n">
        <v>0</v>
      </c>
      <c r="G169" s="6" t="n">
        <v>0</v>
      </c>
      <c r="H169" s="7" t="n">
        <v>-42</v>
      </c>
      <c r="I169" s="6" t="inlineStr">
        <is>
          <t>结构不明</t>
        </is>
      </c>
    </row>
    <row r="170">
      <c r="A170" s="11" t="inlineStr">
        <is>
          <t>2023-04-27</t>
        </is>
      </c>
      <c r="B170" s="11" t="inlineStr">
        <is>
          <t>MA2309</t>
        </is>
      </c>
      <c r="C170" s="11" t="inlineStr">
        <is>
          <t>2023-09</t>
        </is>
      </c>
      <c r="D170" s="14" t="n">
        <v>1403395</v>
      </c>
      <c r="E170" s="11" t="n">
        <v>95</v>
      </c>
      <c r="F170" s="11" t="n">
        <v>0</v>
      </c>
      <c r="G170" s="11" t="n">
        <v>0</v>
      </c>
      <c r="H170" s="12" t="n">
        <v>-41</v>
      </c>
      <c r="I170" s="11" t="inlineStr">
        <is>
          <t>结构不明</t>
        </is>
      </c>
    </row>
    <row r="171">
      <c r="A171" s="6" t="inlineStr">
        <is>
          <t>2023-04-28</t>
        </is>
      </c>
      <c r="B171" s="6" t="inlineStr">
        <is>
          <t>MA2309</t>
        </is>
      </c>
      <c r="C171" s="6" t="inlineStr">
        <is>
          <t>2023-09</t>
        </is>
      </c>
      <c r="D171" s="9" t="n">
        <v>1365593</v>
      </c>
      <c r="E171" s="6" t="n">
        <v>94</v>
      </c>
      <c r="F171" s="6" t="n">
        <v>0</v>
      </c>
      <c r="G171" s="6" t="n">
        <v>0</v>
      </c>
      <c r="H171" s="7" t="n">
        <v>-9</v>
      </c>
      <c r="I171" s="6" t="inlineStr">
        <is>
          <t>Back(近强)</t>
        </is>
      </c>
    </row>
    <row r="172">
      <c r="A172" s="11" t="inlineStr">
        <is>
          <t>2023-05-04</t>
        </is>
      </c>
      <c r="B172" s="11" t="inlineStr">
        <is>
          <t>MA2309</t>
        </is>
      </c>
      <c r="C172" s="11" t="inlineStr">
        <is>
          <t>2023-09</t>
        </is>
      </c>
      <c r="D172" s="14" t="n">
        <v>1422778</v>
      </c>
      <c r="E172" s="11" t="n">
        <v>93</v>
      </c>
      <c r="F172" s="11" t="n">
        <v>0</v>
      </c>
      <c r="G172" s="11" t="n">
        <v>0</v>
      </c>
      <c r="H172" s="12" t="n">
        <v>-26</v>
      </c>
      <c r="I172" s="11" t="inlineStr">
        <is>
          <t>Back(近强)</t>
        </is>
      </c>
    </row>
    <row r="173">
      <c r="A173" s="6" t="inlineStr">
        <is>
          <t>2023-05-05</t>
        </is>
      </c>
      <c r="B173" s="6" t="inlineStr">
        <is>
          <t>MA2309</t>
        </is>
      </c>
      <c r="C173" s="6" t="inlineStr">
        <is>
          <t>2023-09</t>
        </is>
      </c>
      <c r="D173" s="9" t="n">
        <v>1572206</v>
      </c>
      <c r="E173" s="6" t="n">
        <v>92</v>
      </c>
      <c r="F173" s="6" t="n">
        <v>0</v>
      </c>
      <c r="G173" s="6" t="n">
        <v>0</v>
      </c>
      <c r="H173" s="7" t="n">
        <v>-38</v>
      </c>
      <c r="I173" s="6" t="inlineStr">
        <is>
          <t>结构不明</t>
        </is>
      </c>
    </row>
    <row r="174">
      <c r="A174" s="11" t="inlineStr">
        <is>
          <t>2023-05-08</t>
        </is>
      </c>
      <c r="B174" s="11" t="inlineStr">
        <is>
          <t>MA2309</t>
        </is>
      </c>
      <c r="C174" s="11" t="inlineStr">
        <is>
          <t>2023-09</t>
        </is>
      </c>
      <c r="D174" s="14" t="n">
        <v>1479356</v>
      </c>
      <c r="E174" s="11" t="n">
        <v>91</v>
      </c>
      <c r="F174" s="11" t="n">
        <v>0</v>
      </c>
      <c r="G174" s="11" t="n">
        <v>0</v>
      </c>
      <c r="H174" s="12" t="n">
        <v>-16</v>
      </c>
      <c r="I174" s="11" t="inlineStr">
        <is>
          <t>Back(近强)</t>
        </is>
      </c>
    </row>
    <row r="175">
      <c r="A175" s="6" t="inlineStr">
        <is>
          <t>2023-05-09</t>
        </is>
      </c>
      <c r="B175" s="6" t="inlineStr">
        <is>
          <t>MA2309</t>
        </is>
      </c>
      <c r="C175" s="6" t="inlineStr">
        <is>
          <t>2023-09</t>
        </is>
      </c>
      <c r="D175" s="9" t="n">
        <v>1518287</v>
      </c>
      <c r="E175" s="6" t="n">
        <v>90</v>
      </c>
      <c r="F175" s="6" t="n">
        <v>0</v>
      </c>
      <c r="G175" s="6" t="n">
        <v>0</v>
      </c>
      <c r="H175" s="7" t="n">
        <v>-64</v>
      </c>
      <c r="I175" s="6" t="inlineStr">
        <is>
          <t>Contango(远强)</t>
        </is>
      </c>
    </row>
    <row r="176">
      <c r="A176" s="11" t="inlineStr">
        <is>
          <t>2023-05-10</t>
        </is>
      </c>
      <c r="B176" s="11" t="inlineStr">
        <is>
          <t>MA2309</t>
        </is>
      </c>
      <c r="C176" s="11" t="inlineStr">
        <is>
          <t>2023-09</t>
        </is>
      </c>
      <c r="D176" s="14" t="n">
        <v>1574515</v>
      </c>
      <c r="E176" s="11" t="n">
        <v>89</v>
      </c>
      <c r="F176" s="11" t="n">
        <v>0</v>
      </c>
      <c r="G176" s="11" t="n">
        <v>0</v>
      </c>
      <c r="H176" s="12" t="n">
        <v>-32</v>
      </c>
      <c r="I176" s="11" t="inlineStr">
        <is>
          <t>结构不明</t>
        </is>
      </c>
    </row>
    <row r="177">
      <c r="A177" s="6" t="inlineStr">
        <is>
          <t>2023-05-11</t>
        </is>
      </c>
      <c r="B177" s="6" t="inlineStr">
        <is>
          <t>MA2309</t>
        </is>
      </c>
      <c r="C177" s="6" t="inlineStr">
        <is>
          <t>2023-09</t>
        </is>
      </c>
      <c r="D177" s="9" t="n">
        <v>1600303</v>
      </c>
      <c r="E177" s="6" t="n">
        <v>88</v>
      </c>
      <c r="F177" s="6" t="n">
        <v>0</v>
      </c>
      <c r="G177" s="6" t="n">
        <v>0</v>
      </c>
      <c r="H177" s="7" t="n">
        <v>-25</v>
      </c>
      <c r="I177" s="6" t="inlineStr">
        <is>
          <t>Back(近强)</t>
        </is>
      </c>
    </row>
    <row r="178">
      <c r="A178" s="11" t="inlineStr">
        <is>
          <t>2023-05-12</t>
        </is>
      </c>
      <c r="B178" s="11" t="inlineStr">
        <is>
          <t>MA2309</t>
        </is>
      </c>
      <c r="C178" s="11" t="inlineStr">
        <is>
          <t>2023-09</t>
        </is>
      </c>
      <c r="D178" s="14" t="n">
        <v>1592263</v>
      </c>
      <c r="E178" s="11" t="n">
        <v>87</v>
      </c>
      <c r="F178" s="11" t="n">
        <v>0</v>
      </c>
      <c r="G178" s="11" t="n">
        <v>0</v>
      </c>
      <c r="H178" s="12" t="n">
        <v>-44</v>
      </c>
      <c r="I178" s="11" t="inlineStr">
        <is>
          <t>结构不明</t>
        </is>
      </c>
    </row>
    <row r="179">
      <c r="A179" s="6" t="inlineStr">
        <is>
          <t>2023-05-15</t>
        </is>
      </c>
      <c r="B179" s="6" t="inlineStr">
        <is>
          <t>MA2309</t>
        </is>
      </c>
      <c r="C179" s="6" t="inlineStr">
        <is>
          <t>2023-09</t>
        </is>
      </c>
      <c r="D179" s="9" t="n">
        <v>1623994</v>
      </c>
      <c r="E179" s="6" t="n">
        <v>86</v>
      </c>
      <c r="F179" s="6" t="n">
        <v>0</v>
      </c>
      <c r="G179" s="6" t="n">
        <v>0</v>
      </c>
      <c r="H179" s="7" t="n">
        <v>-9</v>
      </c>
      <c r="I179" s="6" t="inlineStr">
        <is>
          <t>Back(近强)</t>
        </is>
      </c>
    </row>
    <row r="180">
      <c r="A180" s="11" t="inlineStr">
        <is>
          <t>2023-05-16</t>
        </is>
      </c>
      <c r="B180" s="11" t="inlineStr">
        <is>
          <t>MA2309</t>
        </is>
      </c>
      <c r="C180" s="11" t="inlineStr">
        <is>
          <t>2023-09</t>
        </is>
      </c>
      <c r="D180" s="14" t="n">
        <v>1557134</v>
      </c>
      <c r="E180" s="11" t="n">
        <v>85</v>
      </c>
      <c r="F180" s="11" t="n">
        <v>0</v>
      </c>
      <c r="G180" s="11" t="n">
        <v>0</v>
      </c>
      <c r="H180" s="12" t="n">
        <v>-11</v>
      </c>
      <c r="I180" s="11" t="inlineStr">
        <is>
          <t>Back(近强)</t>
        </is>
      </c>
    </row>
    <row r="181">
      <c r="A181" s="6" t="inlineStr">
        <is>
          <t>2023-05-17</t>
        </is>
      </c>
      <c r="B181" s="6" t="inlineStr">
        <is>
          <t>MA2309</t>
        </is>
      </c>
      <c r="C181" s="6" t="inlineStr">
        <is>
          <t>2023-09</t>
        </is>
      </c>
      <c r="D181" s="9" t="n">
        <v>1524743</v>
      </c>
      <c r="E181" s="6" t="n">
        <v>84</v>
      </c>
      <c r="F181" s="6" t="n">
        <v>0</v>
      </c>
      <c r="G181" s="6" t="n">
        <v>0</v>
      </c>
      <c r="H181" s="7" t="n">
        <v>-9</v>
      </c>
      <c r="I181" s="6" t="inlineStr">
        <is>
          <t>Back(近强)</t>
        </is>
      </c>
    </row>
    <row r="182">
      <c r="A182" s="11" t="inlineStr">
        <is>
          <t>2023-05-18</t>
        </is>
      </c>
      <c r="B182" s="11" t="inlineStr">
        <is>
          <t>MA2309</t>
        </is>
      </c>
      <c r="C182" s="11" t="inlineStr">
        <is>
          <t>2023-09</t>
        </is>
      </c>
      <c r="D182" s="14" t="n">
        <v>1554877</v>
      </c>
      <c r="E182" s="11" t="n">
        <v>83</v>
      </c>
      <c r="F182" s="11" t="n">
        <v>0</v>
      </c>
      <c r="G182" s="11" t="n">
        <v>0</v>
      </c>
      <c r="H182" s="12" t="n">
        <v>-11</v>
      </c>
      <c r="I182" s="11" t="inlineStr">
        <is>
          <t>Back(近强)</t>
        </is>
      </c>
    </row>
    <row r="183">
      <c r="A183" s="6" t="inlineStr">
        <is>
          <t>2023-05-19</t>
        </is>
      </c>
      <c r="B183" s="6" t="inlineStr">
        <is>
          <t>MA2309</t>
        </is>
      </c>
      <c r="C183" s="6" t="inlineStr">
        <is>
          <t>2023-09</t>
        </is>
      </c>
      <c r="D183" s="9" t="n">
        <v>1786939</v>
      </c>
      <c r="E183" s="6" t="n">
        <v>82</v>
      </c>
      <c r="F183" s="6" t="n">
        <v>0</v>
      </c>
      <c r="G183" s="6" t="n">
        <v>0</v>
      </c>
      <c r="H183" s="7" t="n">
        <v>-8</v>
      </c>
      <c r="I183" s="6" t="inlineStr">
        <is>
          <t>Back(近强)</t>
        </is>
      </c>
    </row>
    <row r="184">
      <c r="A184" s="11" t="inlineStr">
        <is>
          <t>2023-05-22</t>
        </is>
      </c>
      <c r="B184" s="11" t="inlineStr">
        <is>
          <t>MA2309</t>
        </is>
      </c>
      <c r="C184" s="11" t="inlineStr">
        <is>
          <t>2023-09</t>
        </is>
      </c>
      <c r="D184" s="14" t="n">
        <v>1863415</v>
      </c>
      <c r="E184" s="11" t="n">
        <v>81</v>
      </c>
      <c r="F184" s="11" t="n">
        <v>0</v>
      </c>
      <c r="G184" s="11" t="n">
        <v>0</v>
      </c>
      <c r="H184" s="12" t="n">
        <v>-17</v>
      </c>
      <c r="I184" s="11" t="inlineStr">
        <is>
          <t>Back(近强)</t>
        </is>
      </c>
    </row>
    <row r="185">
      <c r="A185" s="6" t="inlineStr">
        <is>
          <t>2023-05-23</t>
        </is>
      </c>
      <c r="B185" s="6" t="inlineStr">
        <is>
          <t>MA2309</t>
        </is>
      </c>
      <c r="C185" s="6" t="inlineStr">
        <is>
          <t>2023-09</t>
        </is>
      </c>
      <c r="D185" s="9" t="n">
        <v>1843141</v>
      </c>
      <c r="E185" s="6" t="n">
        <v>80</v>
      </c>
      <c r="F185" s="6" t="n">
        <v>0</v>
      </c>
      <c r="G185" s="6" t="n">
        <v>0</v>
      </c>
      <c r="H185" s="7" t="n">
        <v>-29</v>
      </c>
      <c r="I185" s="6" t="inlineStr">
        <is>
          <t>结构不明</t>
        </is>
      </c>
    </row>
    <row r="186">
      <c r="A186" s="11" t="inlineStr">
        <is>
          <t>2023-05-24</t>
        </is>
      </c>
      <c r="B186" s="11" t="inlineStr">
        <is>
          <t>MA2309</t>
        </is>
      </c>
      <c r="C186" s="11" t="inlineStr">
        <is>
          <t>2023-09</t>
        </is>
      </c>
      <c r="D186" s="14" t="n">
        <v>1788254</v>
      </c>
      <c r="E186" s="11" t="n">
        <v>79</v>
      </c>
      <c r="F186" s="11" t="n">
        <v>0</v>
      </c>
      <c r="G186" s="11" t="n">
        <v>0</v>
      </c>
      <c r="H186" s="12" t="n">
        <v>-39</v>
      </c>
      <c r="I186" s="11" t="inlineStr">
        <is>
          <t>结构不明</t>
        </is>
      </c>
    </row>
    <row r="187">
      <c r="A187" s="6" t="inlineStr">
        <is>
          <t>2023-05-25</t>
        </is>
      </c>
      <c r="B187" s="6" t="inlineStr">
        <is>
          <t>MA2309</t>
        </is>
      </c>
      <c r="C187" s="6" t="inlineStr">
        <is>
          <t>2023-09</t>
        </is>
      </c>
      <c r="D187" s="9" t="n">
        <v>1899995</v>
      </c>
      <c r="E187" s="6" t="n">
        <v>78</v>
      </c>
      <c r="F187" s="6" t="n">
        <v>0</v>
      </c>
      <c r="G187" s="6" t="n">
        <v>0</v>
      </c>
      <c r="H187" s="7" t="n">
        <v>-33</v>
      </c>
      <c r="I187" s="6" t="inlineStr">
        <is>
          <t>结构不明</t>
        </is>
      </c>
    </row>
    <row r="188">
      <c r="A188" s="11" t="inlineStr">
        <is>
          <t>2023-05-26</t>
        </is>
      </c>
      <c r="B188" s="11" t="inlineStr">
        <is>
          <t>MA2309</t>
        </is>
      </c>
      <c r="C188" s="11" t="inlineStr">
        <is>
          <t>2023-09</t>
        </is>
      </c>
      <c r="D188" s="14" t="n">
        <v>2021781</v>
      </c>
      <c r="E188" s="11" t="n">
        <v>77</v>
      </c>
      <c r="F188" s="11" t="n">
        <v>0</v>
      </c>
      <c r="G188" s="11" t="n">
        <v>0</v>
      </c>
      <c r="H188" s="12" t="n">
        <v>-55</v>
      </c>
      <c r="I188" s="11" t="inlineStr">
        <is>
          <t>Contango(远强)</t>
        </is>
      </c>
    </row>
    <row r="189">
      <c r="A189" s="6" t="inlineStr">
        <is>
          <t>2023-05-29</t>
        </is>
      </c>
      <c r="B189" s="6" t="inlineStr">
        <is>
          <t>MA2309</t>
        </is>
      </c>
      <c r="C189" s="6" t="inlineStr">
        <is>
          <t>2023-09</t>
        </is>
      </c>
      <c r="D189" s="9" t="n">
        <v>1932364</v>
      </c>
      <c r="E189" s="6" t="n">
        <v>76</v>
      </c>
      <c r="F189" s="6" t="n">
        <v>0</v>
      </c>
      <c r="G189" s="6" t="n">
        <v>0</v>
      </c>
      <c r="H189" s="7" t="n">
        <v>-57</v>
      </c>
      <c r="I189" s="6" t="inlineStr">
        <is>
          <t>Contango(远强)</t>
        </is>
      </c>
    </row>
    <row r="190">
      <c r="A190" s="11" t="inlineStr">
        <is>
          <t>2023-05-30</t>
        </is>
      </c>
      <c r="B190" s="11" t="inlineStr">
        <is>
          <t>MA2309</t>
        </is>
      </c>
      <c r="C190" s="11" t="inlineStr">
        <is>
          <t>2023-09</t>
        </is>
      </c>
      <c r="D190" s="14" t="n">
        <v>1914403</v>
      </c>
      <c r="E190" s="11" t="n">
        <v>75</v>
      </c>
      <c r="F190" s="11" t="n">
        <v>0</v>
      </c>
      <c r="G190" s="11" t="n">
        <v>0</v>
      </c>
      <c r="H190" s="12" t="n">
        <v>-59</v>
      </c>
      <c r="I190" s="11" t="inlineStr">
        <is>
          <t>Contango(远强)</t>
        </is>
      </c>
    </row>
    <row r="191">
      <c r="A191" s="6" t="inlineStr">
        <is>
          <t>2023-05-31</t>
        </is>
      </c>
      <c r="B191" s="6" t="inlineStr">
        <is>
          <t>MA2309</t>
        </is>
      </c>
      <c r="C191" s="6" t="inlineStr">
        <is>
          <t>2023-09</t>
        </is>
      </c>
      <c r="D191" s="9" t="n">
        <v>1884523</v>
      </c>
      <c r="E191" s="6" t="n">
        <v>74</v>
      </c>
      <c r="F191" s="6" t="n">
        <v>0</v>
      </c>
      <c r="G191" s="6" t="n">
        <v>0</v>
      </c>
      <c r="H191" s="7" t="n">
        <v>-20</v>
      </c>
      <c r="I191" s="6" t="inlineStr">
        <is>
          <t>Back(近强)</t>
        </is>
      </c>
    </row>
    <row r="192">
      <c r="A192" s="11" t="inlineStr">
        <is>
          <t>2023-06-01</t>
        </is>
      </c>
      <c r="B192" s="11" t="inlineStr">
        <is>
          <t>MA2309</t>
        </is>
      </c>
      <c r="C192" s="11" t="inlineStr">
        <is>
          <t>2023-09</t>
        </is>
      </c>
      <c r="D192" s="14" t="n">
        <v>1852032</v>
      </c>
      <c r="E192" s="11" t="n">
        <v>73</v>
      </c>
      <c r="F192" s="11" t="n">
        <v>0</v>
      </c>
      <c r="G192" s="11" t="n">
        <v>0</v>
      </c>
      <c r="H192" s="12" t="n">
        <v>-18</v>
      </c>
      <c r="I192" s="11" t="inlineStr">
        <is>
          <t>Back(近强)</t>
        </is>
      </c>
    </row>
    <row r="193">
      <c r="A193" s="6" t="inlineStr">
        <is>
          <t>2023-06-02</t>
        </is>
      </c>
      <c r="B193" s="6" t="inlineStr">
        <is>
          <t>MA2309</t>
        </is>
      </c>
      <c r="C193" s="6" t="inlineStr">
        <is>
          <t>2023-09</t>
        </is>
      </c>
      <c r="D193" s="9" t="n">
        <v>1900656</v>
      </c>
      <c r="E193" s="6" t="n">
        <v>72</v>
      </c>
      <c r="F193" s="6" t="n">
        <v>0</v>
      </c>
      <c r="G193" s="6" t="n">
        <v>0</v>
      </c>
      <c r="H193" s="7" t="n">
        <v>-22</v>
      </c>
      <c r="I193" s="6" t="inlineStr">
        <is>
          <t>结构不明</t>
        </is>
      </c>
    </row>
    <row r="194">
      <c r="A194" s="11" t="inlineStr">
        <is>
          <t>2023-06-05</t>
        </is>
      </c>
      <c r="B194" s="11" t="inlineStr">
        <is>
          <t>MA2309</t>
        </is>
      </c>
      <c r="C194" s="11" t="inlineStr">
        <is>
          <t>2023-09</t>
        </is>
      </c>
      <c r="D194" s="14" t="n">
        <v>1773896</v>
      </c>
      <c r="E194" s="11" t="n">
        <v>71</v>
      </c>
      <c r="F194" s="11" t="n">
        <v>0</v>
      </c>
      <c r="G194" s="11" t="n">
        <v>0</v>
      </c>
      <c r="H194" s="12" t="n">
        <v>-30</v>
      </c>
      <c r="I194" s="11" t="inlineStr">
        <is>
          <t>结构不明</t>
        </is>
      </c>
    </row>
    <row r="195">
      <c r="A195" s="6" t="inlineStr">
        <is>
          <t>2023-06-06</t>
        </is>
      </c>
      <c r="B195" s="6" t="inlineStr">
        <is>
          <t>MA2309</t>
        </is>
      </c>
      <c r="C195" s="6" t="inlineStr">
        <is>
          <t>2023-09</t>
        </is>
      </c>
      <c r="D195" s="9" t="n">
        <v>1852436</v>
      </c>
      <c r="E195" s="6" t="n">
        <v>70</v>
      </c>
      <c r="F195" s="6" t="n">
        <v>0</v>
      </c>
      <c r="G195" s="6" t="n">
        <v>0</v>
      </c>
      <c r="H195" s="7" t="n">
        <v>-41</v>
      </c>
      <c r="I195" s="6" t="inlineStr">
        <is>
          <t>Contango(远强)</t>
        </is>
      </c>
    </row>
    <row r="196">
      <c r="A196" s="11" t="inlineStr">
        <is>
          <t>2023-06-07</t>
        </is>
      </c>
      <c r="B196" s="11" t="inlineStr">
        <is>
          <t>MA2309</t>
        </is>
      </c>
      <c r="C196" s="11" t="inlineStr">
        <is>
          <t>2023-09</t>
        </is>
      </c>
      <c r="D196" s="14" t="n">
        <v>1815507</v>
      </c>
      <c r="E196" s="11" t="n">
        <v>69</v>
      </c>
      <c r="F196" s="11" t="n">
        <v>0</v>
      </c>
      <c r="G196" s="11" t="n">
        <v>0</v>
      </c>
      <c r="H196" s="12" t="n">
        <v>0</v>
      </c>
      <c r="I196" s="11" t="inlineStr">
        <is>
          <t>Back(近强)</t>
        </is>
      </c>
    </row>
    <row r="197">
      <c r="A197" s="6" t="inlineStr">
        <is>
          <t>2023-06-08</t>
        </is>
      </c>
      <c r="B197" s="6" t="inlineStr">
        <is>
          <t>MA2309</t>
        </is>
      </c>
      <c r="C197" s="6" t="inlineStr">
        <is>
          <t>2023-09</t>
        </is>
      </c>
      <c r="D197" s="9" t="n">
        <v>1861479</v>
      </c>
      <c r="E197" s="6" t="n">
        <v>68</v>
      </c>
      <c r="F197" s="6" t="n">
        <v>0</v>
      </c>
      <c r="G197" s="6" t="n">
        <v>0</v>
      </c>
      <c r="H197" s="7" t="n">
        <v>0</v>
      </c>
      <c r="I197" s="6" t="inlineStr">
        <is>
          <t>Back(近强)</t>
        </is>
      </c>
    </row>
    <row r="198">
      <c r="A198" s="11" t="inlineStr">
        <is>
          <t>2023-06-09</t>
        </is>
      </c>
      <c r="B198" s="11" t="inlineStr">
        <is>
          <t>MA2309</t>
        </is>
      </c>
      <c r="C198" s="11" t="inlineStr">
        <is>
          <t>2023-09</t>
        </is>
      </c>
      <c r="D198" s="14" t="n">
        <v>1746621</v>
      </c>
      <c r="E198" s="11" t="n">
        <v>67</v>
      </c>
      <c r="F198" s="11" t="n">
        <v>0</v>
      </c>
      <c r="G198" s="11" t="n">
        <v>0</v>
      </c>
      <c r="H198" s="12" t="n">
        <v>-4</v>
      </c>
      <c r="I198" s="11" t="inlineStr">
        <is>
          <t>Back(近强)</t>
        </is>
      </c>
    </row>
    <row r="199">
      <c r="A199" s="6" t="inlineStr">
        <is>
          <t>2023-06-12</t>
        </is>
      </c>
      <c r="B199" s="6" t="inlineStr">
        <is>
          <t>MA2309</t>
        </is>
      </c>
      <c r="C199" s="6" t="inlineStr">
        <is>
          <t>2023-09</t>
        </is>
      </c>
      <c r="D199" s="9" t="n">
        <v>2010597</v>
      </c>
      <c r="E199" s="6" t="n">
        <v>66</v>
      </c>
      <c r="F199" s="6" t="n">
        <v>0</v>
      </c>
      <c r="G199" s="6" t="n">
        <v>0</v>
      </c>
      <c r="H199" s="7" t="n">
        <v>-82</v>
      </c>
      <c r="I199" s="6" t="inlineStr">
        <is>
          <t>Contango(远强)</t>
        </is>
      </c>
    </row>
    <row r="200">
      <c r="A200" s="11" t="inlineStr">
        <is>
          <t>2023-06-13</t>
        </is>
      </c>
      <c r="B200" s="11" t="inlineStr">
        <is>
          <t>MA2309</t>
        </is>
      </c>
      <c r="C200" s="11" t="inlineStr">
        <is>
          <t>2023-09</t>
        </is>
      </c>
      <c r="D200" s="14" t="n">
        <v>1905275</v>
      </c>
      <c r="E200" s="11" t="n">
        <v>65</v>
      </c>
      <c r="F200" s="11" t="n">
        <v>0</v>
      </c>
      <c r="G200" s="11" t="n">
        <v>0</v>
      </c>
      <c r="H200" s="12" t="n">
        <v>-3</v>
      </c>
      <c r="I200" s="11" t="inlineStr">
        <is>
          <t>Back(近强)</t>
        </is>
      </c>
    </row>
    <row r="201">
      <c r="A201" s="6" t="inlineStr">
        <is>
          <t>2023-06-14</t>
        </is>
      </c>
      <c r="B201" s="6" t="inlineStr">
        <is>
          <t>MA2309</t>
        </is>
      </c>
      <c r="C201" s="6" t="inlineStr">
        <is>
          <t>2023-09</t>
        </is>
      </c>
      <c r="D201" s="9" t="n">
        <v>1907875</v>
      </c>
      <c r="E201" s="6" t="n">
        <v>64</v>
      </c>
      <c r="F201" s="6" t="n">
        <v>0</v>
      </c>
      <c r="G201" s="6" t="n">
        <v>0</v>
      </c>
      <c r="H201" s="7" t="n">
        <v>4</v>
      </c>
      <c r="I201" s="6" t="inlineStr">
        <is>
          <t>Back(近强)</t>
        </is>
      </c>
    </row>
    <row r="202">
      <c r="A202" s="11" t="inlineStr">
        <is>
          <t>2023-06-15</t>
        </is>
      </c>
      <c r="B202" s="11" t="inlineStr">
        <is>
          <t>MA2309</t>
        </is>
      </c>
      <c r="C202" s="11" t="inlineStr">
        <is>
          <t>2023-09</t>
        </is>
      </c>
      <c r="D202" s="14" t="n">
        <v>1817293</v>
      </c>
      <c r="E202" s="11" t="n">
        <v>63</v>
      </c>
      <c r="F202" s="11" t="n">
        <v>0</v>
      </c>
      <c r="G202" s="11" t="n">
        <v>0</v>
      </c>
      <c r="H202" s="12" t="n">
        <v>20</v>
      </c>
      <c r="I202" s="11" t="inlineStr">
        <is>
          <t>Back(近强)</t>
        </is>
      </c>
    </row>
    <row r="203">
      <c r="A203" s="6" t="inlineStr">
        <is>
          <t>2023-06-16</t>
        </is>
      </c>
      <c r="B203" s="6" t="inlineStr">
        <is>
          <t>MA2309</t>
        </is>
      </c>
      <c r="C203" s="6" t="inlineStr">
        <is>
          <t>2023-09</t>
        </is>
      </c>
      <c r="D203" s="9" t="n">
        <v>1811677</v>
      </c>
      <c r="E203" s="6" t="n">
        <v>62</v>
      </c>
      <c r="F203" s="6" t="n">
        <v>0</v>
      </c>
      <c r="G203" s="6" t="n">
        <v>0</v>
      </c>
      <c r="H203" s="7" t="n">
        <v>19</v>
      </c>
      <c r="I203" s="6" t="inlineStr">
        <is>
          <t>Back(近强)</t>
        </is>
      </c>
    </row>
    <row r="204">
      <c r="A204" s="11" t="inlineStr">
        <is>
          <t>2023-06-19</t>
        </is>
      </c>
      <c r="B204" s="11" t="inlineStr">
        <is>
          <t>MA2309</t>
        </is>
      </c>
      <c r="C204" s="11" t="inlineStr">
        <is>
          <t>2023-09</t>
        </is>
      </c>
      <c r="D204" s="14" t="n">
        <v>1814393</v>
      </c>
      <c r="E204" s="11" t="n">
        <v>61</v>
      </c>
      <c r="F204" s="11" t="n">
        <v>0</v>
      </c>
      <c r="G204" s="11" t="n">
        <v>0</v>
      </c>
      <c r="H204" s="12" t="n">
        <v>22</v>
      </c>
      <c r="I204" s="11" t="inlineStr">
        <is>
          <t>Back(近强)</t>
        </is>
      </c>
    </row>
    <row r="205">
      <c r="A205" s="6" t="inlineStr">
        <is>
          <t>2023-06-20</t>
        </is>
      </c>
      <c r="B205" s="6" t="inlineStr">
        <is>
          <t>MA2309</t>
        </is>
      </c>
      <c r="C205" s="6" t="inlineStr">
        <is>
          <t>2023-09</t>
        </is>
      </c>
      <c r="D205" s="9" t="n">
        <v>1773055</v>
      </c>
      <c r="E205" s="6" t="n">
        <v>60</v>
      </c>
      <c r="F205" s="6" t="n">
        <v>0</v>
      </c>
      <c r="G205" s="6" t="n">
        <v>0</v>
      </c>
      <c r="H205" s="7" t="n">
        <v>21</v>
      </c>
      <c r="I205" s="6" t="inlineStr">
        <is>
          <t>Back(近强)</t>
        </is>
      </c>
    </row>
    <row r="206">
      <c r="A206" s="11" t="inlineStr">
        <is>
          <t>2023-06-21</t>
        </is>
      </c>
      <c r="B206" s="11" t="inlineStr">
        <is>
          <t>MA2309</t>
        </is>
      </c>
      <c r="C206" s="11" t="inlineStr">
        <is>
          <t>2023-09</t>
        </is>
      </c>
      <c r="D206" s="14" t="n">
        <v>1733847</v>
      </c>
      <c r="E206" s="11" t="n">
        <v>59</v>
      </c>
      <c r="F206" s="11" t="n">
        <v>0</v>
      </c>
      <c r="G206" s="11" t="n">
        <v>0</v>
      </c>
      <c r="H206" s="12" t="n">
        <v>12</v>
      </c>
      <c r="I206" s="11" t="inlineStr">
        <is>
          <t>Back(近强)</t>
        </is>
      </c>
    </row>
    <row r="207">
      <c r="A207" s="6" t="inlineStr">
        <is>
          <t>2023-06-26</t>
        </is>
      </c>
      <c r="B207" s="6" t="inlineStr">
        <is>
          <t>MA2309</t>
        </is>
      </c>
      <c r="C207" s="6" t="inlineStr">
        <is>
          <t>2023-09</t>
        </is>
      </c>
      <c r="D207" s="9" t="n">
        <v>1755793</v>
      </c>
      <c r="E207" s="6" t="n">
        <v>58</v>
      </c>
      <c r="F207" s="6" t="n">
        <v>0</v>
      </c>
      <c r="G207" s="6" t="n">
        <v>0</v>
      </c>
      <c r="H207" s="7" t="n">
        <v>0</v>
      </c>
      <c r="I207" s="6" t="inlineStr">
        <is>
          <t>Back(近强)</t>
        </is>
      </c>
    </row>
    <row r="208">
      <c r="A208" s="11" t="inlineStr">
        <is>
          <t>2023-06-27</t>
        </is>
      </c>
      <c r="B208" s="11" t="inlineStr">
        <is>
          <t>MA2309</t>
        </is>
      </c>
      <c r="C208" s="11" t="inlineStr">
        <is>
          <t>2023-09</t>
        </is>
      </c>
      <c r="D208" s="14" t="n">
        <v>1831710</v>
      </c>
      <c r="E208" s="11" t="n">
        <v>57</v>
      </c>
      <c r="F208" s="11" t="n">
        <v>0</v>
      </c>
      <c r="G208" s="11" t="n">
        <v>0</v>
      </c>
      <c r="H208" s="12" t="n">
        <v>9</v>
      </c>
      <c r="I208" s="11" t="inlineStr">
        <is>
          <t>Back(近强)</t>
        </is>
      </c>
    </row>
    <row r="209">
      <c r="A209" s="6" t="inlineStr">
        <is>
          <t>2023-06-28</t>
        </is>
      </c>
      <c r="B209" s="6" t="inlineStr">
        <is>
          <t>MA2309</t>
        </is>
      </c>
      <c r="C209" s="6" t="inlineStr">
        <is>
          <t>2023-09</t>
        </is>
      </c>
      <c r="D209" s="9" t="n">
        <v>1780931</v>
      </c>
      <c r="E209" s="6" t="n">
        <v>56</v>
      </c>
      <c r="F209" s="6" t="n">
        <v>0</v>
      </c>
      <c r="G209" s="6" t="n">
        <v>0</v>
      </c>
      <c r="H209" s="7" t="n">
        <v>1</v>
      </c>
      <c r="I209" s="6" t="inlineStr">
        <is>
          <t>Back(近强)</t>
        </is>
      </c>
    </row>
    <row r="210">
      <c r="A210" s="11" t="inlineStr">
        <is>
          <t>2023-06-29</t>
        </is>
      </c>
      <c r="B210" s="11" t="inlineStr">
        <is>
          <t>MA2309</t>
        </is>
      </c>
      <c r="C210" s="11" t="inlineStr">
        <is>
          <t>2023-09</t>
        </is>
      </c>
      <c r="D210" s="14" t="n">
        <v>1925785</v>
      </c>
      <c r="E210" s="11" t="n">
        <v>55</v>
      </c>
      <c r="F210" s="11" t="n">
        <v>0</v>
      </c>
      <c r="G210" s="11" t="n">
        <v>0</v>
      </c>
      <c r="H210" s="12" t="n">
        <v>-9</v>
      </c>
      <c r="I210" s="11" t="inlineStr">
        <is>
          <t>Back(近强)</t>
        </is>
      </c>
    </row>
    <row r="211">
      <c r="A211" s="6" t="inlineStr">
        <is>
          <t>2023-06-30</t>
        </is>
      </c>
      <c r="B211" s="6" t="inlineStr">
        <is>
          <t>MA2309</t>
        </is>
      </c>
      <c r="C211" s="6" t="inlineStr">
        <is>
          <t>2023-09</t>
        </is>
      </c>
      <c r="D211" s="9" t="n">
        <v>1771774</v>
      </c>
      <c r="E211" s="6" t="n">
        <v>54</v>
      </c>
      <c r="F211" s="6" t="n">
        <v>0</v>
      </c>
      <c r="G211" s="6" t="n">
        <v>0</v>
      </c>
      <c r="H211" s="7" t="n">
        <v>-13</v>
      </c>
      <c r="I211" s="6" t="inlineStr">
        <is>
          <t>Back(近强)</t>
        </is>
      </c>
    </row>
    <row r="212">
      <c r="A212" s="11" t="inlineStr">
        <is>
          <t>2023-07-03</t>
        </is>
      </c>
      <c r="B212" s="11" t="inlineStr">
        <is>
          <t>MA2309</t>
        </is>
      </c>
      <c r="C212" s="11" t="inlineStr">
        <is>
          <t>2023-09</t>
        </is>
      </c>
      <c r="D212" s="14" t="n">
        <v>1759466</v>
      </c>
      <c r="E212" s="11" t="n">
        <v>53</v>
      </c>
      <c r="F212" s="11" t="n">
        <v>0</v>
      </c>
      <c r="G212" s="11" t="n">
        <v>0</v>
      </c>
      <c r="H212" s="12" t="n">
        <v>-16</v>
      </c>
      <c r="I212" s="11" t="inlineStr">
        <is>
          <t>Back(近强)</t>
        </is>
      </c>
    </row>
    <row r="213">
      <c r="A213" s="6" t="inlineStr">
        <is>
          <t>2023-07-04</t>
        </is>
      </c>
      <c r="B213" s="6" t="inlineStr">
        <is>
          <t>MA2309</t>
        </is>
      </c>
      <c r="C213" s="6" t="inlineStr">
        <is>
          <t>2023-09</t>
        </is>
      </c>
      <c r="D213" s="9" t="n">
        <v>1734178</v>
      </c>
      <c r="E213" s="6" t="n">
        <v>52</v>
      </c>
      <c r="F213" s="6" t="n">
        <v>0</v>
      </c>
      <c r="G213" s="6" t="n">
        <v>0</v>
      </c>
      <c r="H213" s="7" t="n">
        <v>-15</v>
      </c>
      <c r="I213" s="6" t="inlineStr">
        <is>
          <t>Back(近强)</t>
        </is>
      </c>
    </row>
    <row r="214">
      <c r="A214" s="11" t="inlineStr">
        <is>
          <t>2023-07-05</t>
        </is>
      </c>
      <c r="B214" s="11" t="inlineStr">
        <is>
          <t>MA2309</t>
        </is>
      </c>
      <c r="C214" s="11" t="inlineStr">
        <is>
          <t>2023-09</t>
        </is>
      </c>
      <c r="D214" s="14" t="n">
        <v>1784003</v>
      </c>
      <c r="E214" s="11" t="n">
        <v>51</v>
      </c>
      <c r="F214" s="11" t="n">
        <v>0</v>
      </c>
      <c r="G214" s="11" t="n">
        <v>0</v>
      </c>
      <c r="H214" s="12" t="n">
        <v>0</v>
      </c>
      <c r="I214" s="11" t="inlineStr">
        <is>
          <t>Back(近强)</t>
        </is>
      </c>
    </row>
    <row r="215">
      <c r="A215" s="6" t="inlineStr">
        <is>
          <t>2023-07-06</t>
        </is>
      </c>
      <c r="B215" s="6" t="inlineStr">
        <is>
          <t>MA2309</t>
        </is>
      </c>
      <c r="C215" s="6" t="inlineStr">
        <is>
          <t>2023-09</t>
        </is>
      </c>
      <c r="D215" s="9" t="n">
        <v>1691992</v>
      </c>
      <c r="E215" s="6" t="n">
        <v>50</v>
      </c>
      <c r="F215" s="6" t="n">
        <v>0</v>
      </c>
      <c r="G215" s="6" t="n">
        <v>0</v>
      </c>
      <c r="H215" s="7" t="n">
        <v>53</v>
      </c>
      <c r="I215" s="6" t="inlineStr">
        <is>
          <t>Back(近强)</t>
        </is>
      </c>
    </row>
    <row r="216">
      <c r="A216" s="11" t="inlineStr">
        <is>
          <t>2023-07-07</t>
        </is>
      </c>
      <c r="B216" s="11" t="inlineStr">
        <is>
          <t>MA2309</t>
        </is>
      </c>
      <c r="C216" s="11" t="inlineStr">
        <is>
          <t>2023-09</t>
        </is>
      </c>
      <c r="D216" s="14" t="n">
        <v>1733415</v>
      </c>
      <c r="E216" s="11" t="n">
        <v>49</v>
      </c>
      <c r="F216" s="11" t="n">
        <v>0</v>
      </c>
      <c r="G216" s="11" t="n">
        <v>0</v>
      </c>
      <c r="H216" s="12" t="n">
        <v>-22</v>
      </c>
      <c r="I216" s="11" t="inlineStr">
        <is>
          <t>结构不明</t>
        </is>
      </c>
    </row>
    <row r="217">
      <c r="A217" s="6" t="inlineStr">
        <is>
          <t>2023-07-10</t>
        </is>
      </c>
      <c r="B217" s="6" t="inlineStr">
        <is>
          <t>MA2309</t>
        </is>
      </c>
      <c r="C217" s="6" t="inlineStr">
        <is>
          <t>2023-09</t>
        </is>
      </c>
      <c r="D217" s="9" t="n">
        <v>1703935</v>
      </c>
      <c r="E217" s="6" t="n">
        <v>48</v>
      </c>
      <c r="F217" s="6" t="n">
        <v>0</v>
      </c>
      <c r="G217" s="6" t="n">
        <v>0</v>
      </c>
      <c r="H217" s="7" t="n">
        <v>26</v>
      </c>
      <c r="I217" s="6" t="inlineStr">
        <is>
          <t>Back(近强)</t>
        </is>
      </c>
    </row>
    <row r="218">
      <c r="A218" s="11" t="inlineStr">
        <is>
          <t>2023-07-11</t>
        </is>
      </c>
      <c r="B218" s="11" t="inlineStr">
        <is>
          <t>MA2309</t>
        </is>
      </c>
      <c r="C218" s="11" t="inlineStr">
        <is>
          <t>2023-09</t>
        </is>
      </c>
      <c r="D218" s="14" t="n">
        <v>1677129</v>
      </c>
      <c r="E218" s="11" t="n">
        <v>47</v>
      </c>
      <c r="F218" s="11" t="n">
        <v>0</v>
      </c>
      <c r="G218" s="11" t="n">
        <v>0</v>
      </c>
      <c r="H218" s="12" t="n">
        <v>16</v>
      </c>
      <c r="I218" s="11" t="inlineStr">
        <is>
          <t>Back(近强)</t>
        </is>
      </c>
    </row>
    <row r="219">
      <c r="A219" s="6" t="inlineStr">
        <is>
          <t>2023-07-12</t>
        </is>
      </c>
      <c r="B219" s="6" t="inlineStr">
        <is>
          <t>MA2309</t>
        </is>
      </c>
      <c r="C219" s="6" t="inlineStr">
        <is>
          <t>2023-09</t>
        </is>
      </c>
      <c r="D219" s="9" t="n">
        <v>1532039</v>
      </c>
      <c r="E219" s="6" t="n">
        <v>46</v>
      </c>
      <c r="F219" s="6" t="n">
        <v>0</v>
      </c>
      <c r="G219" s="6" t="n">
        <v>0</v>
      </c>
      <c r="H219" s="7" t="n">
        <v>1</v>
      </c>
      <c r="I219" s="6" t="inlineStr">
        <is>
          <t>Back(近强)</t>
        </is>
      </c>
    </row>
    <row r="220">
      <c r="A220" s="11" t="inlineStr">
        <is>
          <t>2023-07-13</t>
        </is>
      </c>
      <c r="B220" s="11" t="inlineStr">
        <is>
          <t>MA2309</t>
        </is>
      </c>
      <c r="C220" s="11" t="inlineStr">
        <is>
          <t>2023-09</t>
        </is>
      </c>
      <c r="D220" s="14" t="n">
        <v>1573142</v>
      </c>
      <c r="E220" s="11" t="n">
        <v>45</v>
      </c>
      <c r="F220" s="11" t="n">
        <v>0</v>
      </c>
      <c r="G220" s="11" t="n">
        <v>0</v>
      </c>
      <c r="H220" s="12" t="n">
        <v>3</v>
      </c>
      <c r="I220" s="11" t="inlineStr">
        <is>
          <t>Back(近强)</t>
        </is>
      </c>
    </row>
    <row r="221">
      <c r="A221" s="6" t="inlineStr">
        <is>
          <t>2023-07-14</t>
        </is>
      </c>
      <c r="B221" s="6" t="inlineStr">
        <is>
          <t>MA2309</t>
        </is>
      </c>
      <c r="C221" s="6" t="inlineStr">
        <is>
          <t>2023-09</t>
        </is>
      </c>
      <c r="D221" s="9" t="n">
        <v>1479804</v>
      </c>
      <c r="E221" s="6" t="n">
        <v>44</v>
      </c>
      <c r="F221" s="6" t="n">
        <v>0</v>
      </c>
      <c r="G221" s="6" t="n">
        <v>0</v>
      </c>
      <c r="H221" s="7" t="n">
        <v>5</v>
      </c>
      <c r="I221" s="6" t="inlineStr">
        <is>
          <t>Back(近强)</t>
        </is>
      </c>
    </row>
    <row r="222">
      <c r="A222" s="11" t="inlineStr">
        <is>
          <t>2023-07-17</t>
        </is>
      </c>
      <c r="B222" s="11" t="inlineStr">
        <is>
          <t>MA2309</t>
        </is>
      </c>
      <c r="C222" s="11" t="inlineStr">
        <is>
          <t>2023-09</t>
        </is>
      </c>
      <c r="D222" s="14" t="n">
        <v>1541551</v>
      </c>
      <c r="E222" s="11" t="n">
        <v>43</v>
      </c>
      <c r="F222" s="11" t="n">
        <v>0</v>
      </c>
      <c r="G222" s="11" t="n">
        <v>0</v>
      </c>
      <c r="H222" s="12" t="n">
        <v>2</v>
      </c>
      <c r="I222" s="11" t="inlineStr">
        <is>
          <t>Back(近强)</t>
        </is>
      </c>
    </row>
    <row r="223">
      <c r="A223" s="6" t="inlineStr">
        <is>
          <t>2023-07-18</t>
        </is>
      </c>
      <c r="B223" s="6" t="inlineStr">
        <is>
          <t>MA2309</t>
        </is>
      </c>
      <c r="C223" s="6" t="inlineStr">
        <is>
          <t>2023-09</t>
        </is>
      </c>
      <c r="D223" s="9" t="n">
        <v>1443932</v>
      </c>
      <c r="E223" s="6" t="n">
        <v>42</v>
      </c>
      <c r="F223" s="6" t="n">
        <v>0</v>
      </c>
      <c r="G223" s="6" t="n">
        <v>0</v>
      </c>
      <c r="H223" s="7" t="n">
        <v>9</v>
      </c>
      <c r="I223" s="6" t="inlineStr">
        <is>
          <t>Back(近强)</t>
        </is>
      </c>
    </row>
    <row r="224">
      <c r="A224" s="11" t="inlineStr">
        <is>
          <t>2023-07-19</t>
        </is>
      </c>
      <c r="B224" s="11" t="inlineStr">
        <is>
          <t>MA2309</t>
        </is>
      </c>
      <c r="C224" s="11" t="inlineStr">
        <is>
          <t>2023-09</t>
        </is>
      </c>
      <c r="D224" s="14" t="n">
        <v>1447378</v>
      </c>
      <c r="E224" s="11" t="n">
        <v>41</v>
      </c>
      <c r="F224" s="11" t="n">
        <v>0</v>
      </c>
      <c r="G224" s="11" t="n">
        <v>0</v>
      </c>
      <c r="H224" s="12" t="n">
        <v>2</v>
      </c>
      <c r="I224" s="11" t="inlineStr">
        <is>
          <t>Back(近强)</t>
        </is>
      </c>
    </row>
    <row r="225">
      <c r="A225" s="6" t="inlineStr">
        <is>
          <t>2023-07-20</t>
        </is>
      </c>
      <c r="B225" s="6" t="inlineStr">
        <is>
          <t>MA2309</t>
        </is>
      </c>
      <c r="C225" s="6" t="inlineStr">
        <is>
          <t>2023-09</t>
        </is>
      </c>
      <c r="D225" s="9" t="n">
        <v>1331765</v>
      </c>
      <c r="E225" s="6" t="n">
        <v>40</v>
      </c>
      <c r="F225" s="6" t="n">
        <v>0</v>
      </c>
      <c r="G225" s="6" t="n">
        <v>0</v>
      </c>
      <c r="H225" s="7" t="n">
        <v>5</v>
      </c>
      <c r="I225" s="6" t="inlineStr">
        <is>
          <t>Back(近强)</t>
        </is>
      </c>
    </row>
    <row r="226">
      <c r="A226" s="11" t="inlineStr">
        <is>
          <t>2023-07-21</t>
        </is>
      </c>
      <c r="B226" s="11" t="inlineStr">
        <is>
          <t>MA2309</t>
        </is>
      </c>
      <c r="C226" s="11" t="inlineStr">
        <is>
          <t>2023-09</t>
        </is>
      </c>
      <c r="D226" s="14" t="n">
        <v>1315091</v>
      </c>
      <c r="E226" s="11" t="n">
        <v>39</v>
      </c>
      <c r="F226" s="11" t="n">
        <v>0</v>
      </c>
      <c r="G226" s="11" t="n">
        <v>0</v>
      </c>
      <c r="H226" s="12" t="n">
        <v>10</v>
      </c>
      <c r="I226" s="11" t="inlineStr">
        <is>
          <t>Back(近强)</t>
        </is>
      </c>
    </row>
    <row r="227">
      <c r="A227" s="6" t="inlineStr">
        <is>
          <t>2023-07-24</t>
        </is>
      </c>
      <c r="B227" s="6" t="inlineStr">
        <is>
          <t>MA2309</t>
        </is>
      </c>
      <c r="C227" s="6" t="inlineStr">
        <is>
          <t>2023-09</t>
        </is>
      </c>
      <c r="D227" s="9" t="n">
        <v>1291607</v>
      </c>
      <c r="E227" s="6" t="n">
        <v>38</v>
      </c>
      <c r="F227" s="6" t="n">
        <v>0</v>
      </c>
      <c r="G227" s="6" t="n">
        <v>0</v>
      </c>
      <c r="H227" s="7" t="n">
        <v>15</v>
      </c>
      <c r="I227" s="6" t="inlineStr">
        <is>
          <t>Back(近强)</t>
        </is>
      </c>
    </row>
    <row r="228">
      <c r="A228" s="11" t="inlineStr">
        <is>
          <t>2023-07-25</t>
        </is>
      </c>
      <c r="B228" s="11" t="inlineStr">
        <is>
          <t>MA2309</t>
        </is>
      </c>
      <c r="C228" s="11" t="inlineStr">
        <is>
          <t>2023-09</t>
        </is>
      </c>
      <c r="D228" s="14" t="n">
        <v>1274975</v>
      </c>
      <c r="E228" s="11" t="n">
        <v>37</v>
      </c>
      <c r="F228" s="11" t="n">
        <v>0</v>
      </c>
      <c r="G228" s="11" t="n">
        <v>0</v>
      </c>
      <c r="H228" s="12" t="n">
        <v>20</v>
      </c>
      <c r="I228" s="11" t="inlineStr">
        <is>
          <t>Back(近强)</t>
        </is>
      </c>
    </row>
    <row r="229">
      <c r="A229" s="6" t="inlineStr">
        <is>
          <t>2023-07-26</t>
        </is>
      </c>
      <c r="B229" s="6" t="inlineStr">
        <is>
          <t>MA2309</t>
        </is>
      </c>
      <c r="C229" s="6" t="inlineStr">
        <is>
          <t>2023-09</t>
        </is>
      </c>
      <c r="D229" s="9" t="n">
        <v>1182132</v>
      </c>
      <c r="E229" s="6" t="n">
        <v>36</v>
      </c>
      <c r="F229" s="6" t="n">
        <v>0</v>
      </c>
      <c r="G229" s="6" t="n">
        <v>0</v>
      </c>
      <c r="H229" s="7" t="n">
        <v>18</v>
      </c>
      <c r="I229" s="6" t="inlineStr">
        <is>
          <t>Back(近强)</t>
        </is>
      </c>
    </row>
    <row r="230">
      <c r="A230" s="11" t="inlineStr">
        <is>
          <t>2023-07-27</t>
        </is>
      </c>
      <c r="B230" s="11" t="inlineStr">
        <is>
          <t>MA2309</t>
        </is>
      </c>
      <c r="C230" s="11" t="inlineStr">
        <is>
          <t>2023-09</t>
        </is>
      </c>
      <c r="D230" s="14" t="n">
        <v>1138319</v>
      </c>
      <c r="E230" s="11" t="n">
        <v>35</v>
      </c>
      <c r="F230" s="11" t="n">
        <v>0</v>
      </c>
      <c r="G230" s="11" t="n">
        <v>0</v>
      </c>
      <c r="H230" s="12" t="n">
        <v>20</v>
      </c>
      <c r="I230" s="11" t="inlineStr">
        <is>
          <t>Back(近强)</t>
        </is>
      </c>
    </row>
    <row r="231">
      <c r="A231" s="6" t="inlineStr">
        <is>
          <t>2023-07-28</t>
        </is>
      </c>
      <c r="B231" s="6" t="inlineStr">
        <is>
          <t>MA2309</t>
        </is>
      </c>
      <c r="C231" s="6" t="inlineStr">
        <is>
          <t>2023-09</t>
        </is>
      </c>
      <c r="D231" s="9" t="n">
        <v>1128875</v>
      </c>
      <c r="E231" s="6" t="n">
        <v>34</v>
      </c>
      <c r="F231" s="6" t="n">
        <v>0</v>
      </c>
      <c r="G231" s="6" t="n">
        <v>0</v>
      </c>
      <c r="H231" s="7" t="n">
        <v>46</v>
      </c>
      <c r="I231" s="6" t="inlineStr">
        <is>
          <t>Back(近强)</t>
        </is>
      </c>
    </row>
    <row r="232">
      <c r="A232" s="11" t="inlineStr">
        <is>
          <t>2023-07-31</t>
        </is>
      </c>
      <c r="B232" s="11" t="inlineStr">
        <is>
          <t>MA2309</t>
        </is>
      </c>
      <c r="C232" s="11" t="inlineStr">
        <is>
          <t>2023-09</t>
        </is>
      </c>
      <c r="D232" s="14" t="n">
        <v>1045672</v>
      </c>
      <c r="E232" s="11" t="n">
        <v>33</v>
      </c>
      <c r="F232" s="11" t="n">
        <v>0</v>
      </c>
      <c r="G232" s="11" t="n">
        <v>0</v>
      </c>
      <c r="H232" s="12" t="n">
        <v>31</v>
      </c>
      <c r="I232" s="11" t="inlineStr">
        <is>
          <t>Back(近强)</t>
        </is>
      </c>
    </row>
    <row r="233">
      <c r="A233" s="6" t="inlineStr">
        <is>
          <t>2023-08-01</t>
        </is>
      </c>
      <c r="B233" s="6" t="inlineStr">
        <is>
          <t>MA2309</t>
        </is>
      </c>
      <c r="C233" s="6" t="inlineStr">
        <is>
          <t>2023-09</t>
        </is>
      </c>
      <c r="D233" s="9" t="n">
        <v>976368</v>
      </c>
      <c r="E233" s="6" t="n">
        <v>32</v>
      </c>
      <c r="F233" s="6" t="n">
        <v>0</v>
      </c>
      <c r="G233" s="6" t="n">
        <v>0</v>
      </c>
      <c r="H233" s="7" t="n">
        <v>32</v>
      </c>
      <c r="I233" s="6" t="inlineStr">
        <is>
          <t>Back(近强)</t>
        </is>
      </c>
    </row>
    <row r="234">
      <c r="A234" s="11" t="inlineStr">
        <is>
          <t>2023-08-02</t>
        </is>
      </c>
      <c r="B234" s="11" t="inlineStr">
        <is>
          <t>MA2309</t>
        </is>
      </c>
      <c r="C234" s="11" t="inlineStr">
        <is>
          <t>2023-09</t>
        </is>
      </c>
      <c r="D234" s="14" t="n">
        <v>884387</v>
      </c>
      <c r="E234" s="11" t="n">
        <v>31</v>
      </c>
      <c r="F234" s="11" t="n">
        <v>0</v>
      </c>
      <c r="G234" s="11" t="n">
        <v>0</v>
      </c>
      <c r="H234" s="12" t="n">
        <v>4</v>
      </c>
      <c r="I234" s="11" t="inlineStr">
        <is>
          <t>Back(近强)</t>
        </is>
      </c>
    </row>
    <row r="235">
      <c r="A235" s="6" t="inlineStr">
        <is>
          <t>2023-08-03</t>
        </is>
      </c>
      <c r="B235" s="6" t="inlineStr">
        <is>
          <t>MA2309</t>
        </is>
      </c>
      <c r="C235" s="6" t="inlineStr">
        <is>
          <t>2023-09</t>
        </is>
      </c>
      <c r="D235" s="9" t="n">
        <v>740618</v>
      </c>
      <c r="E235" s="6" t="n">
        <v>30</v>
      </c>
      <c r="F235" s="6" t="n">
        <v>0</v>
      </c>
      <c r="G235" s="6" t="n">
        <v>0</v>
      </c>
      <c r="H235" s="7" t="n">
        <v>7</v>
      </c>
      <c r="I235" s="6" t="inlineStr">
        <is>
          <t>Back(近强)</t>
        </is>
      </c>
    </row>
    <row r="236">
      <c r="A236" s="11" t="inlineStr">
        <is>
          <t>2023-08-04</t>
        </is>
      </c>
      <c r="B236" s="11" t="inlineStr">
        <is>
          <t>MA2309</t>
        </is>
      </c>
      <c r="C236" s="11" t="inlineStr">
        <is>
          <t>2023-09</t>
        </is>
      </c>
      <c r="D236" s="14" t="n">
        <v>683883</v>
      </c>
      <c r="E236" s="11" t="n">
        <v>29</v>
      </c>
      <c r="F236" s="11" t="n">
        <v>0</v>
      </c>
      <c r="G236" s="11" t="n">
        <v>1</v>
      </c>
      <c r="H236" s="12" t="n">
        <v>12</v>
      </c>
      <c r="I236" s="11" t="inlineStr">
        <is>
          <t>Back(近强)</t>
        </is>
      </c>
    </row>
    <row r="237">
      <c r="A237" s="6" t="inlineStr">
        <is>
          <t>2023-08-07</t>
        </is>
      </c>
      <c r="B237" s="6" t="inlineStr">
        <is>
          <t>MA2401</t>
        </is>
      </c>
      <c r="C237" s="6" t="inlineStr">
        <is>
          <t>2024-01</t>
        </is>
      </c>
      <c r="D237" s="9" t="n">
        <v>704074</v>
      </c>
      <c r="E237" s="6" t="n">
        <v>107</v>
      </c>
      <c r="F237" s="6" t="n">
        <v>1</v>
      </c>
      <c r="G237" s="6" t="n">
        <v>0</v>
      </c>
      <c r="H237" s="7" t="n">
        <v>75</v>
      </c>
      <c r="I237" s="6" t="inlineStr">
        <is>
          <t>Back(近强)</t>
        </is>
      </c>
    </row>
    <row r="238">
      <c r="A238" s="11" t="inlineStr">
        <is>
          <t>2023-08-08</t>
        </is>
      </c>
      <c r="B238" s="11" t="inlineStr">
        <is>
          <t>MA2401</t>
        </is>
      </c>
      <c r="C238" s="11" t="inlineStr">
        <is>
          <t>2024-01</t>
        </is>
      </c>
      <c r="D238" s="14" t="n">
        <v>777923</v>
      </c>
      <c r="E238" s="11" t="n">
        <v>106</v>
      </c>
      <c r="F238" s="11" t="n">
        <v>0</v>
      </c>
      <c r="G238" s="11" t="n">
        <v>0</v>
      </c>
      <c r="H238" s="12" t="n">
        <v>90</v>
      </c>
      <c r="I238" s="11" t="inlineStr">
        <is>
          <t>Back(近强)</t>
        </is>
      </c>
    </row>
    <row r="239">
      <c r="A239" s="6" t="inlineStr">
        <is>
          <t>2023-08-09</t>
        </is>
      </c>
      <c r="B239" s="6" t="inlineStr">
        <is>
          <t>MA2401</t>
        </is>
      </c>
      <c r="C239" s="6" t="inlineStr">
        <is>
          <t>2024-01</t>
        </is>
      </c>
      <c r="D239" s="9" t="n">
        <v>830944</v>
      </c>
      <c r="E239" s="6" t="n">
        <v>105</v>
      </c>
      <c r="F239" s="6" t="n">
        <v>0</v>
      </c>
      <c r="G239" s="6" t="n">
        <v>0</v>
      </c>
      <c r="H239" s="7" t="n">
        <v>73</v>
      </c>
      <c r="I239" s="6" t="inlineStr">
        <is>
          <t>Back(近强)</t>
        </is>
      </c>
    </row>
    <row r="240">
      <c r="A240" s="11" t="inlineStr">
        <is>
          <t>2023-08-10</t>
        </is>
      </c>
      <c r="B240" s="11" t="inlineStr">
        <is>
          <t>MA2401</t>
        </is>
      </c>
      <c r="C240" s="11" t="inlineStr">
        <is>
          <t>2024-01</t>
        </is>
      </c>
      <c r="D240" s="14" t="n">
        <v>892174</v>
      </c>
      <c r="E240" s="11" t="n">
        <v>104</v>
      </c>
      <c r="F240" s="11" t="n">
        <v>0</v>
      </c>
      <c r="G240" s="11" t="n">
        <v>0</v>
      </c>
      <c r="H240" s="12" t="n">
        <v>80</v>
      </c>
      <c r="I240" s="11" t="inlineStr">
        <is>
          <t>Back(近强)</t>
        </is>
      </c>
    </row>
    <row r="241">
      <c r="A241" s="6" t="inlineStr">
        <is>
          <t>2023-08-11</t>
        </is>
      </c>
      <c r="B241" s="6" t="inlineStr">
        <is>
          <t>MA2401</t>
        </is>
      </c>
      <c r="C241" s="6" t="inlineStr">
        <is>
          <t>2024-01</t>
        </is>
      </c>
      <c r="D241" s="9" t="n">
        <v>961157</v>
      </c>
      <c r="E241" s="6" t="n">
        <v>103</v>
      </c>
      <c r="F241" s="6" t="n">
        <v>0</v>
      </c>
      <c r="G241" s="6" t="n">
        <v>0</v>
      </c>
      <c r="H241" s="7" t="n">
        <v>87</v>
      </c>
      <c r="I241" s="6" t="inlineStr">
        <is>
          <t>Back(近强)</t>
        </is>
      </c>
    </row>
    <row r="242">
      <c r="A242" s="11" t="inlineStr">
        <is>
          <t>2023-08-14</t>
        </is>
      </c>
      <c r="B242" s="11" t="inlineStr">
        <is>
          <t>MA2401</t>
        </is>
      </c>
      <c r="C242" s="11" t="inlineStr">
        <is>
          <t>2024-01</t>
        </is>
      </c>
      <c r="D242" s="14" t="n">
        <v>1025165</v>
      </c>
      <c r="E242" s="11" t="n">
        <v>102</v>
      </c>
      <c r="F242" s="11" t="n">
        <v>0</v>
      </c>
      <c r="G242" s="11" t="n">
        <v>0</v>
      </c>
      <c r="H242" s="12" t="n">
        <v>116</v>
      </c>
      <c r="I242" s="11" t="inlineStr">
        <is>
          <t>Back(近强)</t>
        </is>
      </c>
    </row>
    <row r="243">
      <c r="A243" s="6" t="inlineStr">
        <is>
          <t>2023-08-15</t>
        </is>
      </c>
      <c r="B243" s="6" t="inlineStr">
        <is>
          <t>MA2401</t>
        </is>
      </c>
      <c r="C243" s="6" t="inlineStr">
        <is>
          <t>2024-01</t>
        </is>
      </c>
      <c r="D243" s="9" t="n">
        <v>1077760</v>
      </c>
      <c r="E243" s="6" t="n">
        <v>101</v>
      </c>
      <c r="F243" s="6" t="n">
        <v>0</v>
      </c>
      <c r="G243" s="6" t="n">
        <v>0</v>
      </c>
      <c r="H243" s="7" t="n">
        <v>79</v>
      </c>
      <c r="I243" s="6" t="inlineStr">
        <is>
          <t>Back(近强)</t>
        </is>
      </c>
    </row>
    <row r="244">
      <c r="A244" s="11" t="inlineStr">
        <is>
          <t>2023-08-16</t>
        </is>
      </c>
      <c r="B244" s="11" t="inlineStr">
        <is>
          <t>MA2401</t>
        </is>
      </c>
      <c r="C244" s="11" t="inlineStr">
        <is>
          <t>2024-01</t>
        </is>
      </c>
      <c r="D244" s="14" t="n">
        <v>1143497</v>
      </c>
      <c r="E244" s="11" t="n">
        <v>100</v>
      </c>
      <c r="F244" s="11" t="n">
        <v>0</v>
      </c>
      <c r="G244" s="11" t="n">
        <v>0</v>
      </c>
      <c r="H244" s="12" t="n">
        <v>57</v>
      </c>
      <c r="I244" s="11" t="inlineStr">
        <is>
          <t>Back(近强)</t>
        </is>
      </c>
    </row>
    <row r="245">
      <c r="A245" s="6" t="inlineStr">
        <is>
          <t>2023-08-17</t>
        </is>
      </c>
      <c r="B245" s="6" t="inlineStr">
        <is>
          <t>MA2401</t>
        </is>
      </c>
      <c r="C245" s="6" t="inlineStr">
        <is>
          <t>2024-01</t>
        </is>
      </c>
      <c r="D245" s="9" t="n">
        <v>1132482</v>
      </c>
      <c r="E245" s="6" t="n">
        <v>99</v>
      </c>
      <c r="F245" s="6" t="n">
        <v>0</v>
      </c>
      <c r="G245" s="6" t="n">
        <v>0</v>
      </c>
      <c r="H245" s="7" t="n">
        <v>58</v>
      </c>
      <c r="I245" s="6" t="inlineStr">
        <is>
          <t>Back(近强)</t>
        </is>
      </c>
    </row>
    <row r="246">
      <c r="A246" s="11" t="inlineStr">
        <is>
          <t>2023-08-18</t>
        </is>
      </c>
      <c r="B246" s="11" t="inlineStr">
        <is>
          <t>MA2401</t>
        </is>
      </c>
      <c r="C246" s="11" t="inlineStr">
        <is>
          <t>2024-01</t>
        </is>
      </c>
      <c r="D246" s="14" t="n">
        <v>1116393</v>
      </c>
      <c r="E246" s="11" t="n">
        <v>98</v>
      </c>
      <c r="F246" s="11" t="n">
        <v>0</v>
      </c>
      <c r="G246" s="11" t="n">
        <v>0</v>
      </c>
      <c r="H246" s="12" t="n">
        <v>75</v>
      </c>
      <c r="I246" s="11" t="inlineStr">
        <is>
          <t>Back(近强)</t>
        </is>
      </c>
    </row>
    <row r="247">
      <c r="A247" s="6" t="inlineStr">
        <is>
          <t>2023-08-21</t>
        </is>
      </c>
      <c r="B247" s="6" t="inlineStr">
        <is>
          <t>MA2401</t>
        </is>
      </c>
      <c r="C247" s="6" t="inlineStr">
        <is>
          <t>2024-01</t>
        </is>
      </c>
      <c r="D247" s="9" t="n">
        <v>1135228</v>
      </c>
      <c r="E247" s="6" t="n">
        <v>97</v>
      </c>
      <c r="F247" s="6" t="n">
        <v>0</v>
      </c>
      <c r="G247" s="6" t="n">
        <v>0</v>
      </c>
      <c r="H247" s="7" t="n">
        <v>73</v>
      </c>
      <c r="I247" s="6" t="inlineStr">
        <is>
          <t>Back(近强)</t>
        </is>
      </c>
    </row>
    <row r="248">
      <c r="A248" s="11" t="inlineStr">
        <is>
          <t>2023-08-22</t>
        </is>
      </c>
      <c r="B248" s="11" t="inlineStr">
        <is>
          <t>MA2401</t>
        </is>
      </c>
      <c r="C248" s="11" t="inlineStr">
        <is>
          <t>2024-01</t>
        </is>
      </c>
      <c r="D248" s="14" t="n">
        <v>1177603</v>
      </c>
      <c r="E248" s="11" t="n">
        <v>96</v>
      </c>
      <c r="F248" s="11" t="n">
        <v>0</v>
      </c>
      <c r="G248" s="11" t="n">
        <v>0</v>
      </c>
      <c r="H248" s="12" t="n">
        <v>73</v>
      </c>
      <c r="I248" s="11" t="inlineStr">
        <is>
          <t>Back(近强)</t>
        </is>
      </c>
    </row>
    <row r="249">
      <c r="A249" s="6" t="inlineStr">
        <is>
          <t>2023-08-23</t>
        </is>
      </c>
      <c r="B249" s="6" t="inlineStr">
        <is>
          <t>MA2401</t>
        </is>
      </c>
      <c r="C249" s="6" t="inlineStr">
        <is>
          <t>2024-01</t>
        </is>
      </c>
      <c r="D249" s="9" t="n">
        <v>1195607</v>
      </c>
      <c r="E249" s="6" t="n">
        <v>95</v>
      </c>
      <c r="F249" s="6" t="n">
        <v>0</v>
      </c>
      <c r="G249" s="6" t="n">
        <v>0</v>
      </c>
      <c r="H249" s="7" t="n">
        <v>68</v>
      </c>
      <c r="I249" s="6" t="inlineStr">
        <is>
          <t>Back(近强)</t>
        </is>
      </c>
    </row>
    <row r="250">
      <c r="A250" s="11" t="inlineStr">
        <is>
          <t>2023-08-24</t>
        </is>
      </c>
      <c r="B250" s="11" t="inlineStr">
        <is>
          <t>MA2401</t>
        </is>
      </c>
      <c r="C250" s="11" t="inlineStr">
        <is>
          <t>2024-01</t>
        </is>
      </c>
      <c r="D250" s="14" t="n">
        <v>1205368</v>
      </c>
      <c r="E250" s="11" t="n">
        <v>94</v>
      </c>
      <c r="F250" s="11" t="n">
        <v>0</v>
      </c>
      <c r="G250" s="11" t="n">
        <v>0</v>
      </c>
      <c r="H250" s="12" t="n">
        <v>67</v>
      </c>
      <c r="I250" s="11" t="inlineStr">
        <is>
          <t>Back(近强)</t>
        </is>
      </c>
    </row>
    <row r="251">
      <c r="A251" s="6" t="inlineStr">
        <is>
          <t>2023-08-25</t>
        </is>
      </c>
      <c r="B251" s="6" t="inlineStr">
        <is>
          <t>MA2401</t>
        </is>
      </c>
      <c r="C251" s="6" t="inlineStr">
        <is>
          <t>2024-01</t>
        </is>
      </c>
      <c r="D251" s="9" t="n">
        <v>1201105</v>
      </c>
      <c r="E251" s="6" t="n">
        <v>93</v>
      </c>
      <c r="F251" s="6" t="n">
        <v>0</v>
      </c>
      <c r="G251" s="6" t="n">
        <v>0</v>
      </c>
      <c r="H251" s="7" t="n">
        <v>70</v>
      </c>
      <c r="I251" s="6" t="inlineStr">
        <is>
          <t>Back(近强)</t>
        </is>
      </c>
    </row>
    <row r="252">
      <c r="A252" s="11" t="inlineStr">
        <is>
          <t>2023-08-28</t>
        </is>
      </c>
      <c r="B252" s="11" t="inlineStr">
        <is>
          <t>MA2401</t>
        </is>
      </c>
      <c r="C252" s="11" t="inlineStr">
        <is>
          <t>2024-01</t>
        </is>
      </c>
      <c r="D252" s="14" t="n">
        <v>1172833</v>
      </c>
      <c r="E252" s="11" t="n">
        <v>92</v>
      </c>
      <c r="F252" s="11" t="n">
        <v>0</v>
      </c>
      <c r="G252" s="11" t="n">
        <v>0</v>
      </c>
      <c r="H252" s="12" t="n">
        <v>57</v>
      </c>
      <c r="I252" s="11" t="inlineStr">
        <is>
          <t>Back(近强)</t>
        </is>
      </c>
    </row>
    <row r="253">
      <c r="A253" s="6" t="inlineStr">
        <is>
          <t>2023-08-29</t>
        </is>
      </c>
      <c r="B253" s="6" t="inlineStr">
        <is>
          <t>MA2401</t>
        </is>
      </c>
      <c r="C253" s="6" t="inlineStr">
        <is>
          <t>2024-01</t>
        </is>
      </c>
      <c r="D253" s="9" t="n">
        <v>1200610</v>
      </c>
      <c r="E253" s="6" t="n">
        <v>91</v>
      </c>
      <c r="F253" s="6" t="n">
        <v>0</v>
      </c>
      <c r="G253" s="6" t="n">
        <v>0</v>
      </c>
      <c r="H253" s="7" t="n">
        <v>55</v>
      </c>
      <c r="I253" s="6" t="inlineStr">
        <is>
          <t>Back(近强)</t>
        </is>
      </c>
    </row>
    <row r="254">
      <c r="A254" s="11" t="inlineStr">
        <is>
          <t>2023-08-30</t>
        </is>
      </c>
      <c r="B254" s="11" t="inlineStr">
        <is>
          <t>MA2401</t>
        </is>
      </c>
      <c r="C254" s="11" t="inlineStr">
        <is>
          <t>2024-01</t>
        </is>
      </c>
      <c r="D254" s="14" t="n">
        <v>1281567</v>
      </c>
      <c r="E254" s="11" t="n">
        <v>90</v>
      </c>
      <c r="F254" s="11" t="n">
        <v>0</v>
      </c>
      <c r="G254" s="11" t="n">
        <v>0</v>
      </c>
      <c r="H254" s="12" t="n">
        <v>64</v>
      </c>
      <c r="I254" s="11" t="inlineStr">
        <is>
          <t>Back(近强)</t>
        </is>
      </c>
    </row>
    <row r="255">
      <c r="A255" s="6" t="inlineStr">
        <is>
          <t>2023-08-31</t>
        </is>
      </c>
      <c r="B255" s="6" t="inlineStr">
        <is>
          <t>MA2401</t>
        </is>
      </c>
      <c r="C255" s="6" t="inlineStr">
        <is>
          <t>2024-01</t>
        </is>
      </c>
      <c r="D255" s="9" t="n">
        <v>1257632</v>
      </c>
      <c r="E255" s="6" t="n">
        <v>89</v>
      </c>
      <c r="F255" s="6" t="n">
        <v>0</v>
      </c>
      <c r="G255" s="6" t="n">
        <v>0</v>
      </c>
      <c r="H255" s="7" t="n">
        <v>55</v>
      </c>
      <c r="I255" s="6" t="inlineStr">
        <is>
          <t>Back(近强)</t>
        </is>
      </c>
    </row>
    <row r="256">
      <c r="A256" s="11" t="inlineStr">
        <is>
          <t>2023-09-01</t>
        </is>
      </c>
      <c r="B256" s="11" t="inlineStr">
        <is>
          <t>MA2401</t>
        </is>
      </c>
      <c r="C256" s="11" t="inlineStr">
        <is>
          <t>2024-01</t>
        </is>
      </c>
      <c r="D256" s="14" t="n">
        <v>1224064</v>
      </c>
      <c r="E256" s="11" t="n">
        <v>88</v>
      </c>
      <c r="F256" s="11" t="n">
        <v>0</v>
      </c>
      <c r="G256" s="11" t="n">
        <v>0</v>
      </c>
      <c r="H256" s="12" t="n">
        <v>49</v>
      </c>
      <c r="I256" s="11" t="inlineStr">
        <is>
          <t>Back(近强)</t>
        </is>
      </c>
    </row>
    <row r="257">
      <c r="A257" s="6" t="inlineStr">
        <is>
          <t>2023-09-04</t>
        </is>
      </c>
      <c r="B257" s="6" t="inlineStr">
        <is>
          <t>MA2401</t>
        </is>
      </c>
      <c r="C257" s="6" t="inlineStr">
        <is>
          <t>2024-01</t>
        </is>
      </c>
      <c r="D257" s="9" t="n">
        <v>1197274</v>
      </c>
      <c r="E257" s="6" t="n">
        <v>87</v>
      </c>
      <c r="F257" s="6" t="n">
        <v>0</v>
      </c>
      <c r="G257" s="6" t="n">
        <v>0</v>
      </c>
      <c r="H257" s="7" t="n">
        <v>68</v>
      </c>
      <c r="I257" s="6" t="inlineStr">
        <is>
          <t>Back(近强)</t>
        </is>
      </c>
    </row>
    <row r="258">
      <c r="A258" s="11" t="inlineStr">
        <is>
          <t>2023-09-05</t>
        </is>
      </c>
      <c r="B258" s="11" t="inlineStr">
        <is>
          <t>MA2401</t>
        </is>
      </c>
      <c r="C258" s="11" t="inlineStr">
        <is>
          <t>2024-01</t>
        </is>
      </c>
      <c r="D258" s="14" t="n">
        <v>1191838</v>
      </c>
      <c r="E258" s="11" t="n">
        <v>86</v>
      </c>
      <c r="F258" s="11" t="n">
        <v>0</v>
      </c>
      <c r="G258" s="11" t="n">
        <v>0</v>
      </c>
      <c r="H258" s="12" t="n">
        <v>59</v>
      </c>
      <c r="I258" s="11" t="inlineStr">
        <is>
          <t>Back(近强)</t>
        </is>
      </c>
    </row>
    <row r="259">
      <c r="A259" s="6" t="inlineStr">
        <is>
          <t>2023-09-06</t>
        </is>
      </c>
      <c r="B259" s="6" t="inlineStr">
        <is>
          <t>MA2401</t>
        </is>
      </c>
      <c r="C259" s="6" t="inlineStr">
        <is>
          <t>2024-01</t>
        </is>
      </c>
      <c r="D259" s="9" t="n">
        <v>1232933</v>
      </c>
      <c r="E259" s="6" t="n">
        <v>85</v>
      </c>
      <c r="F259" s="6" t="n">
        <v>0</v>
      </c>
      <c r="G259" s="6" t="n">
        <v>0</v>
      </c>
      <c r="H259" s="7" t="n">
        <v>48</v>
      </c>
      <c r="I259" s="6" t="inlineStr">
        <is>
          <t>Back(近强)</t>
        </is>
      </c>
    </row>
    <row r="260">
      <c r="A260" s="11" t="inlineStr">
        <is>
          <t>2023-09-07</t>
        </is>
      </c>
      <c r="B260" s="11" t="inlineStr">
        <is>
          <t>MA2401</t>
        </is>
      </c>
      <c r="C260" s="11" t="inlineStr">
        <is>
          <t>2024-01</t>
        </is>
      </c>
      <c r="D260" s="14" t="n">
        <v>1262233</v>
      </c>
      <c r="E260" s="11" t="n">
        <v>84</v>
      </c>
      <c r="F260" s="11" t="n">
        <v>0</v>
      </c>
      <c r="G260" s="11" t="n">
        <v>0</v>
      </c>
      <c r="H260" s="12" t="n">
        <v>50</v>
      </c>
      <c r="I260" s="11" t="inlineStr">
        <is>
          <t>Back(近强)</t>
        </is>
      </c>
    </row>
    <row r="261">
      <c r="A261" s="6" t="inlineStr">
        <is>
          <t>2023-09-08</t>
        </is>
      </c>
      <c r="B261" s="6" t="inlineStr">
        <is>
          <t>MA2401</t>
        </is>
      </c>
      <c r="C261" s="6" t="inlineStr">
        <is>
          <t>2024-01</t>
        </is>
      </c>
      <c r="D261" s="9" t="n">
        <v>1206635</v>
      </c>
      <c r="E261" s="6" t="n">
        <v>83</v>
      </c>
      <c r="F261" s="6" t="n">
        <v>0</v>
      </c>
      <c r="G261" s="6" t="n">
        <v>0</v>
      </c>
      <c r="H261" s="7" t="n">
        <v>71</v>
      </c>
      <c r="I261" s="6" t="inlineStr">
        <is>
          <t>Back(近强)</t>
        </is>
      </c>
    </row>
    <row r="262">
      <c r="A262" s="11" t="inlineStr">
        <is>
          <t>2023-09-11</t>
        </is>
      </c>
      <c r="B262" s="11" t="inlineStr">
        <is>
          <t>MA2401</t>
        </is>
      </c>
      <c r="C262" s="11" t="inlineStr">
        <is>
          <t>2024-01</t>
        </is>
      </c>
      <c r="D262" s="14" t="n">
        <v>1209025</v>
      </c>
      <c r="E262" s="11" t="n">
        <v>82</v>
      </c>
      <c r="F262" s="11" t="n">
        <v>0</v>
      </c>
      <c r="G262" s="11" t="n">
        <v>0</v>
      </c>
      <c r="H262" s="12" t="n">
        <v>40</v>
      </c>
      <c r="I262" s="11" t="inlineStr">
        <is>
          <t>Back(近强)</t>
        </is>
      </c>
    </row>
    <row r="263">
      <c r="A263" s="6" t="inlineStr">
        <is>
          <t>2023-09-12</t>
        </is>
      </c>
      <c r="B263" s="6" t="inlineStr">
        <is>
          <t>MA2401</t>
        </is>
      </c>
      <c r="C263" s="6" t="inlineStr">
        <is>
          <t>2024-01</t>
        </is>
      </c>
      <c r="D263" s="9" t="n">
        <v>1196273</v>
      </c>
      <c r="E263" s="6" t="n">
        <v>81</v>
      </c>
      <c r="F263" s="6" t="n">
        <v>0</v>
      </c>
      <c r="G263" s="6" t="n">
        <v>0</v>
      </c>
      <c r="H263" s="7" t="n">
        <v>45</v>
      </c>
      <c r="I263" s="6" t="inlineStr">
        <is>
          <t>Back(近强)</t>
        </is>
      </c>
    </row>
    <row r="264">
      <c r="A264" s="11" t="inlineStr">
        <is>
          <t>2023-09-13</t>
        </is>
      </c>
      <c r="B264" s="11" t="inlineStr">
        <is>
          <t>MA2401</t>
        </is>
      </c>
      <c r="C264" s="11" t="inlineStr">
        <is>
          <t>2024-01</t>
        </is>
      </c>
      <c r="D264" s="14" t="n">
        <v>1216986</v>
      </c>
      <c r="E264" s="11" t="n">
        <v>80</v>
      </c>
      <c r="F264" s="11" t="n">
        <v>0</v>
      </c>
      <c r="G264" s="11" t="n">
        <v>0</v>
      </c>
      <c r="H264" s="12" t="n">
        <v>52</v>
      </c>
      <c r="I264" s="11" t="inlineStr">
        <is>
          <t>Back(近强)</t>
        </is>
      </c>
    </row>
    <row r="265">
      <c r="A265" s="6" t="inlineStr">
        <is>
          <t>2023-09-14</t>
        </is>
      </c>
      <c r="B265" s="6" t="inlineStr">
        <is>
          <t>MA2401</t>
        </is>
      </c>
      <c r="C265" s="6" t="inlineStr">
        <is>
          <t>2024-01</t>
        </is>
      </c>
      <c r="D265" s="9" t="n">
        <v>1215783</v>
      </c>
      <c r="E265" s="6" t="n">
        <v>79</v>
      </c>
      <c r="F265" s="6" t="n">
        <v>0</v>
      </c>
      <c r="G265" s="6" t="n">
        <v>0</v>
      </c>
      <c r="H265" s="7" t="n">
        <v>62</v>
      </c>
      <c r="I265" s="6" t="inlineStr">
        <is>
          <t>Back(近强)</t>
        </is>
      </c>
    </row>
    <row r="266">
      <c r="A266" s="11" t="inlineStr">
        <is>
          <t>2023-09-15</t>
        </is>
      </c>
      <c r="B266" s="11" t="inlineStr">
        <is>
          <t>MA2401</t>
        </is>
      </c>
      <c r="C266" s="11" t="inlineStr">
        <is>
          <t>2024-01</t>
        </is>
      </c>
      <c r="D266" s="14" t="n">
        <v>1228500</v>
      </c>
      <c r="E266" s="11" t="n">
        <v>78</v>
      </c>
      <c r="F266" s="11" t="n">
        <v>0</v>
      </c>
      <c r="G266" s="11" t="n">
        <v>0</v>
      </c>
      <c r="H266" s="12" t="n">
        <v>18</v>
      </c>
      <c r="I266" s="11" t="inlineStr">
        <is>
          <t>Back(近强)</t>
        </is>
      </c>
    </row>
    <row r="267">
      <c r="A267" s="6" t="inlineStr">
        <is>
          <t>2023-09-18</t>
        </is>
      </c>
      <c r="B267" s="6" t="inlineStr">
        <is>
          <t>MA2401</t>
        </is>
      </c>
      <c r="C267" s="6" t="inlineStr">
        <is>
          <t>2024-01</t>
        </is>
      </c>
      <c r="D267" s="9" t="n">
        <v>1319298</v>
      </c>
      <c r="E267" s="6" t="n">
        <v>77</v>
      </c>
      <c r="F267" s="6" t="n">
        <v>0</v>
      </c>
      <c r="G267" s="6" t="n">
        <v>0</v>
      </c>
      <c r="H267" s="7" t="n">
        <v>10</v>
      </c>
      <c r="I267" s="6" t="inlineStr">
        <is>
          <t>结构不明</t>
        </is>
      </c>
    </row>
    <row r="268">
      <c r="A268" s="11" t="inlineStr">
        <is>
          <t>2023-09-19</t>
        </is>
      </c>
      <c r="B268" s="11" t="inlineStr">
        <is>
          <t>MA2401</t>
        </is>
      </c>
      <c r="C268" s="11" t="inlineStr">
        <is>
          <t>2024-01</t>
        </is>
      </c>
      <c r="D268" s="14" t="n">
        <v>1316090</v>
      </c>
      <c r="E268" s="11" t="n">
        <v>76</v>
      </c>
      <c r="F268" s="11" t="n">
        <v>0</v>
      </c>
      <c r="G268" s="11" t="n">
        <v>0</v>
      </c>
      <c r="H268" s="12" t="n">
        <v>21</v>
      </c>
      <c r="I268" s="11" t="inlineStr">
        <is>
          <t>Back(近强)</t>
        </is>
      </c>
    </row>
    <row r="269">
      <c r="A269" s="6" t="inlineStr">
        <is>
          <t>2023-09-20</t>
        </is>
      </c>
      <c r="B269" s="6" t="inlineStr">
        <is>
          <t>MA2401</t>
        </is>
      </c>
      <c r="C269" s="6" t="inlineStr">
        <is>
          <t>2024-01</t>
        </is>
      </c>
      <c r="D269" s="9" t="n">
        <v>1265979</v>
      </c>
      <c r="E269" s="6" t="n">
        <v>75</v>
      </c>
      <c r="F269" s="6" t="n">
        <v>0</v>
      </c>
      <c r="G269" s="6" t="n">
        <v>0</v>
      </c>
      <c r="H269" s="7" t="n">
        <v>18</v>
      </c>
      <c r="I269" s="6" t="inlineStr">
        <is>
          <t>Back(近强)</t>
        </is>
      </c>
    </row>
    <row r="270">
      <c r="A270" s="11" t="inlineStr">
        <is>
          <t>2023-09-21</t>
        </is>
      </c>
      <c r="B270" s="11" t="inlineStr">
        <is>
          <t>MA2401</t>
        </is>
      </c>
      <c r="C270" s="11" t="inlineStr">
        <is>
          <t>2024-01</t>
        </is>
      </c>
      <c r="D270" s="14" t="n">
        <v>1237089</v>
      </c>
      <c r="E270" s="11" t="n">
        <v>74</v>
      </c>
      <c r="F270" s="11" t="n">
        <v>0</v>
      </c>
      <c r="G270" s="11" t="n">
        <v>0</v>
      </c>
      <c r="H270" s="12" t="n">
        <v>10</v>
      </c>
      <c r="I270" s="11" t="inlineStr">
        <is>
          <t>结构不明</t>
        </is>
      </c>
    </row>
    <row r="271">
      <c r="A271" s="6" t="inlineStr">
        <is>
          <t>2023-09-22</t>
        </is>
      </c>
      <c r="B271" s="6" t="inlineStr">
        <is>
          <t>MA2401</t>
        </is>
      </c>
      <c r="C271" s="6" t="inlineStr">
        <is>
          <t>2024-01</t>
        </is>
      </c>
      <c r="D271" s="9" t="n">
        <v>1265019</v>
      </c>
      <c r="E271" s="6" t="n">
        <v>73</v>
      </c>
      <c r="F271" s="6" t="n">
        <v>0</v>
      </c>
      <c r="G271" s="6" t="n">
        <v>0</v>
      </c>
      <c r="H271" s="7" t="n">
        <v>26</v>
      </c>
      <c r="I271" s="6" t="inlineStr">
        <is>
          <t>Back(近强)</t>
        </is>
      </c>
    </row>
    <row r="272">
      <c r="A272" s="11" t="inlineStr">
        <is>
          <t>2023-09-25</t>
        </is>
      </c>
      <c r="B272" s="11" t="inlineStr">
        <is>
          <t>MA2401</t>
        </is>
      </c>
      <c r="C272" s="11" t="inlineStr">
        <is>
          <t>2024-01</t>
        </is>
      </c>
      <c r="D272" s="14" t="n">
        <v>1319591</v>
      </c>
      <c r="E272" s="11" t="n">
        <v>72</v>
      </c>
      <c r="F272" s="11" t="n">
        <v>0</v>
      </c>
      <c r="G272" s="11" t="n">
        <v>0</v>
      </c>
      <c r="H272" s="12" t="n">
        <v>26</v>
      </c>
      <c r="I272" s="11" t="inlineStr">
        <is>
          <t>Back(近强)</t>
        </is>
      </c>
    </row>
    <row r="273">
      <c r="A273" s="6" t="inlineStr">
        <is>
          <t>2023-09-26</t>
        </is>
      </c>
      <c r="B273" s="6" t="inlineStr">
        <is>
          <t>MA2401</t>
        </is>
      </c>
      <c r="C273" s="6" t="inlineStr">
        <is>
          <t>2024-01</t>
        </is>
      </c>
      <c r="D273" s="9" t="n">
        <v>1336661</v>
      </c>
      <c r="E273" s="6" t="n">
        <v>71</v>
      </c>
      <c r="F273" s="6" t="n">
        <v>0</v>
      </c>
      <c r="G273" s="6" t="n">
        <v>0</v>
      </c>
      <c r="H273" s="7" t="n">
        <v>25</v>
      </c>
      <c r="I273" s="6" t="inlineStr">
        <is>
          <t>Back(近强)</t>
        </is>
      </c>
    </row>
    <row r="274">
      <c r="A274" s="11" t="inlineStr">
        <is>
          <t>2023-09-27</t>
        </is>
      </c>
      <c r="B274" s="11" t="inlineStr">
        <is>
          <t>MA2401</t>
        </is>
      </c>
      <c r="C274" s="11" t="inlineStr">
        <is>
          <t>2024-01</t>
        </is>
      </c>
      <c r="D274" s="14" t="n">
        <v>1299773</v>
      </c>
      <c r="E274" s="11" t="n">
        <v>70</v>
      </c>
      <c r="F274" s="11" t="n">
        <v>0</v>
      </c>
      <c r="G274" s="11" t="n">
        <v>0</v>
      </c>
      <c r="H274" s="12" t="n">
        <v>26</v>
      </c>
      <c r="I274" s="11" t="inlineStr">
        <is>
          <t>Back(近强)</t>
        </is>
      </c>
    </row>
    <row r="275">
      <c r="A275" s="6" t="inlineStr">
        <is>
          <t>2023-09-28</t>
        </is>
      </c>
      <c r="B275" s="6" t="inlineStr">
        <is>
          <t>MA2401</t>
        </is>
      </c>
      <c r="C275" s="6" t="inlineStr">
        <is>
          <t>2024-01</t>
        </is>
      </c>
      <c r="D275" s="9" t="n">
        <v>1214821</v>
      </c>
      <c r="E275" s="6" t="n">
        <v>69</v>
      </c>
      <c r="F275" s="6" t="n">
        <v>0</v>
      </c>
      <c r="G275" s="6" t="n">
        <v>0</v>
      </c>
      <c r="H275" s="7" t="n">
        <v>16</v>
      </c>
      <c r="I275" s="6" t="inlineStr">
        <is>
          <t>结构不明</t>
        </is>
      </c>
    </row>
    <row r="276">
      <c r="A276" s="11" t="inlineStr">
        <is>
          <t>2023-10-09</t>
        </is>
      </c>
      <c r="B276" s="11" t="inlineStr">
        <is>
          <t>MA2401</t>
        </is>
      </c>
      <c r="C276" s="11" t="inlineStr">
        <is>
          <t>2024-01</t>
        </is>
      </c>
      <c r="D276" s="14" t="n">
        <v>1266087</v>
      </c>
      <c r="E276" s="11" t="n">
        <v>68</v>
      </c>
      <c r="F276" s="11" t="n">
        <v>0</v>
      </c>
      <c r="G276" s="11" t="n">
        <v>0</v>
      </c>
      <c r="H276" s="12" t="n">
        <v>-28</v>
      </c>
      <c r="I276" s="11" t="inlineStr">
        <is>
          <t>Contango(远强)</t>
        </is>
      </c>
    </row>
    <row r="277">
      <c r="A277" s="6" t="inlineStr">
        <is>
          <t>2023-10-10</t>
        </is>
      </c>
      <c r="B277" s="6" t="inlineStr">
        <is>
          <t>MA2401</t>
        </is>
      </c>
      <c r="C277" s="6" t="inlineStr">
        <is>
          <t>2024-01</t>
        </is>
      </c>
      <c r="D277" s="9" t="n">
        <v>1329653</v>
      </c>
      <c r="E277" s="6" t="n">
        <v>67</v>
      </c>
      <c r="F277" s="6" t="n">
        <v>0</v>
      </c>
      <c r="G277" s="6" t="n">
        <v>0</v>
      </c>
      <c r="H277" s="7" t="n">
        <v>-25</v>
      </c>
      <c r="I277" s="6" t="inlineStr">
        <is>
          <t>Contango(远强)</t>
        </is>
      </c>
    </row>
    <row r="278">
      <c r="A278" s="11" t="inlineStr">
        <is>
          <t>2023-10-11</t>
        </is>
      </c>
      <c r="B278" s="11" t="inlineStr">
        <is>
          <t>MA2401</t>
        </is>
      </c>
      <c r="C278" s="11" t="inlineStr">
        <is>
          <t>2024-01</t>
        </is>
      </c>
      <c r="D278" s="14" t="n">
        <v>1360166</v>
      </c>
      <c r="E278" s="11" t="n">
        <v>66</v>
      </c>
      <c r="F278" s="11" t="n">
        <v>0</v>
      </c>
      <c r="G278" s="11" t="n">
        <v>0</v>
      </c>
      <c r="H278" s="12" t="n">
        <v>3</v>
      </c>
      <c r="I278" s="11" t="inlineStr">
        <is>
          <t>结构不明</t>
        </is>
      </c>
    </row>
    <row r="279">
      <c r="A279" s="6" t="inlineStr">
        <is>
          <t>2023-10-12</t>
        </is>
      </c>
      <c r="B279" s="6" t="inlineStr">
        <is>
          <t>MA2401</t>
        </is>
      </c>
      <c r="C279" s="6" t="inlineStr">
        <is>
          <t>2024-01</t>
        </is>
      </c>
      <c r="D279" s="9" t="n">
        <v>1346405</v>
      </c>
      <c r="E279" s="6" t="n">
        <v>65</v>
      </c>
      <c r="F279" s="6" t="n">
        <v>0</v>
      </c>
      <c r="G279" s="6" t="n">
        <v>0</v>
      </c>
      <c r="H279" s="7" t="n">
        <v>-2</v>
      </c>
      <c r="I279" s="6" t="inlineStr">
        <is>
          <t>Contango(远强)</t>
        </is>
      </c>
    </row>
    <row r="280">
      <c r="A280" s="11" t="inlineStr">
        <is>
          <t>2023-10-13</t>
        </is>
      </c>
      <c r="B280" s="11" t="inlineStr">
        <is>
          <t>MA2401</t>
        </is>
      </c>
      <c r="C280" s="11" t="inlineStr">
        <is>
          <t>2024-01</t>
        </is>
      </c>
      <c r="D280" s="14" t="n">
        <v>1328759</v>
      </c>
      <c r="E280" s="11" t="n">
        <v>64</v>
      </c>
      <c r="F280" s="11" t="n">
        <v>0</v>
      </c>
      <c r="G280" s="11" t="n">
        <v>0</v>
      </c>
      <c r="H280" s="12" t="n">
        <v>-18</v>
      </c>
      <c r="I280" s="11" t="inlineStr">
        <is>
          <t>Contango(远强)</t>
        </is>
      </c>
    </row>
    <row r="281">
      <c r="A281" s="6" t="inlineStr">
        <is>
          <t>2023-10-16</t>
        </is>
      </c>
      <c r="B281" s="6" t="inlineStr">
        <is>
          <t>MA2401</t>
        </is>
      </c>
      <c r="C281" s="6" t="inlineStr">
        <is>
          <t>2024-01</t>
        </is>
      </c>
      <c r="D281" s="9" t="n">
        <v>1310878</v>
      </c>
      <c r="E281" s="6" t="n">
        <v>63</v>
      </c>
      <c r="F281" s="6" t="n">
        <v>0</v>
      </c>
      <c r="G281" s="6" t="n">
        <v>0</v>
      </c>
      <c r="H281" s="7" t="n">
        <v>-2</v>
      </c>
      <c r="I281" s="6" t="inlineStr">
        <is>
          <t>Contango(远强)</t>
        </is>
      </c>
    </row>
    <row r="282">
      <c r="A282" s="11" t="inlineStr">
        <is>
          <t>2023-10-17</t>
        </is>
      </c>
      <c r="B282" s="11" t="inlineStr">
        <is>
          <t>MA2401</t>
        </is>
      </c>
      <c r="C282" s="11" t="inlineStr">
        <is>
          <t>2024-01</t>
        </is>
      </c>
      <c r="D282" s="14" t="n">
        <v>1307635</v>
      </c>
      <c r="E282" s="11" t="n">
        <v>62</v>
      </c>
      <c r="F282" s="11" t="n">
        <v>0</v>
      </c>
      <c r="G282" s="11" t="n">
        <v>0</v>
      </c>
      <c r="H282" s="12" t="n">
        <v>-137</v>
      </c>
      <c r="I282" s="11" t="inlineStr">
        <is>
          <t>Contango(远强)</t>
        </is>
      </c>
    </row>
    <row r="283">
      <c r="A283" s="6" t="inlineStr">
        <is>
          <t>2023-10-18</t>
        </is>
      </c>
      <c r="B283" s="6" t="inlineStr">
        <is>
          <t>MA2401</t>
        </is>
      </c>
      <c r="C283" s="6" t="inlineStr">
        <is>
          <t>2024-01</t>
        </is>
      </c>
      <c r="D283" s="9" t="n">
        <v>1360674</v>
      </c>
      <c r="E283" s="6" t="n">
        <v>61</v>
      </c>
      <c r="F283" s="6" t="n">
        <v>0</v>
      </c>
      <c r="G283" s="6" t="n">
        <v>0</v>
      </c>
      <c r="H283" s="7" t="n">
        <v>-17</v>
      </c>
      <c r="I283" s="6" t="inlineStr">
        <is>
          <t>Contango(远强)</t>
        </is>
      </c>
    </row>
    <row r="284">
      <c r="A284" s="11" t="inlineStr">
        <is>
          <t>2023-10-19</t>
        </is>
      </c>
      <c r="B284" s="11" t="inlineStr">
        <is>
          <t>MA2401</t>
        </is>
      </c>
      <c r="C284" s="11" t="inlineStr">
        <is>
          <t>2024-01</t>
        </is>
      </c>
      <c r="D284" s="14" t="n">
        <v>1280403</v>
      </c>
      <c r="E284" s="11" t="n">
        <v>60</v>
      </c>
      <c r="F284" s="11" t="n">
        <v>0</v>
      </c>
      <c r="G284" s="11" t="n">
        <v>0</v>
      </c>
      <c r="H284" s="12" t="n">
        <v>181</v>
      </c>
      <c r="I284" s="11" t="inlineStr">
        <is>
          <t>Back(近强)</t>
        </is>
      </c>
    </row>
    <row r="285">
      <c r="A285" s="6" t="inlineStr">
        <is>
          <t>2023-10-20</t>
        </is>
      </c>
      <c r="B285" s="6" t="inlineStr">
        <is>
          <t>MA2401</t>
        </is>
      </c>
      <c r="C285" s="6" t="inlineStr">
        <is>
          <t>2024-01</t>
        </is>
      </c>
      <c r="D285" s="9" t="n">
        <v>1227613</v>
      </c>
      <c r="E285" s="6" t="n">
        <v>59</v>
      </c>
      <c r="F285" s="6" t="n">
        <v>0</v>
      </c>
      <c r="G285" s="6" t="n">
        <v>0</v>
      </c>
      <c r="H285" s="7" t="n">
        <v>38</v>
      </c>
      <c r="I285" s="6" t="inlineStr">
        <is>
          <t>Back(近强)</t>
        </is>
      </c>
    </row>
    <row r="286">
      <c r="A286" s="11" t="inlineStr">
        <is>
          <t>2023-10-23</t>
        </is>
      </c>
      <c r="B286" s="11" t="inlineStr">
        <is>
          <t>MA2401</t>
        </is>
      </c>
      <c r="C286" s="11" t="inlineStr">
        <is>
          <t>2024-01</t>
        </is>
      </c>
      <c r="D286" s="14" t="n">
        <v>1229352</v>
      </c>
      <c r="E286" s="11" t="n">
        <v>58</v>
      </c>
      <c r="F286" s="11" t="n">
        <v>0</v>
      </c>
      <c r="G286" s="11" t="n">
        <v>0</v>
      </c>
      <c r="H286" s="12" t="n">
        <v>-18</v>
      </c>
      <c r="I286" s="11" t="inlineStr">
        <is>
          <t>Contango(远强)</t>
        </is>
      </c>
    </row>
    <row r="287">
      <c r="A287" s="6" t="inlineStr">
        <is>
          <t>2023-10-24</t>
        </is>
      </c>
      <c r="B287" s="6" t="inlineStr">
        <is>
          <t>MA2401</t>
        </is>
      </c>
      <c r="C287" s="6" t="inlineStr">
        <is>
          <t>2024-01</t>
        </is>
      </c>
      <c r="D287" s="9" t="n">
        <v>1277824</v>
      </c>
      <c r="E287" s="6" t="n">
        <v>57</v>
      </c>
      <c r="F287" s="6" t="n">
        <v>0</v>
      </c>
      <c r="G287" s="6" t="n">
        <v>0</v>
      </c>
      <c r="H287" s="7" t="n">
        <v>-21</v>
      </c>
      <c r="I287" s="6" t="inlineStr">
        <is>
          <t>Contango(远强)</t>
        </is>
      </c>
    </row>
    <row r="288">
      <c r="A288" s="11" t="inlineStr">
        <is>
          <t>2023-10-25</t>
        </is>
      </c>
      <c r="B288" s="11" t="inlineStr">
        <is>
          <t>MA2401</t>
        </is>
      </c>
      <c r="C288" s="11" t="inlineStr">
        <is>
          <t>2024-01</t>
        </is>
      </c>
      <c r="D288" s="14" t="n">
        <v>1243961</v>
      </c>
      <c r="E288" s="11" t="n">
        <v>56</v>
      </c>
      <c r="F288" s="11" t="n">
        <v>0</v>
      </c>
      <c r="G288" s="11" t="n">
        <v>0</v>
      </c>
      <c r="H288" s="12" t="n">
        <v>-22</v>
      </c>
      <c r="I288" s="11" t="inlineStr">
        <is>
          <t>Contango(远强)</t>
        </is>
      </c>
    </row>
    <row r="289">
      <c r="A289" s="6" t="inlineStr">
        <is>
          <t>2023-10-26</t>
        </is>
      </c>
      <c r="B289" s="6" t="inlineStr">
        <is>
          <t>MA2401</t>
        </is>
      </c>
      <c r="C289" s="6" t="inlineStr">
        <is>
          <t>2024-01</t>
        </is>
      </c>
      <c r="D289" s="9" t="n">
        <v>1200388</v>
      </c>
      <c r="E289" s="6" t="n">
        <v>55</v>
      </c>
      <c r="F289" s="6" t="n">
        <v>0</v>
      </c>
      <c r="G289" s="6" t="n">
        <v>0</v>
      </c>
      <c r="H289" s="7" t="n">
        <v>-18</v>
      </c>
      <c r="I289" s="6" t="inlineStr">
        <is>
          <t>Contango(远强)</t>
        </is>
      </c>
    </row>
    <row r="290">
      <c r="A290" s="11" t="inlineStr">
        <is>
          <t>2023-10-27</t>
        </is>
      </c>
      <c r="B290" s="11" t="inlineStr">
        <is>
          <t>MA2401</t>
        </is>
      </c>
      <c r="C290" s="11" t="inlineStr">
        <is>
          <t>2024-01</t>
        </is>
      </c>
      <c r="D290" s="14" t="n">
        <v>1180689</v>
      </c>
      <c r="E290" s="11" t="n">
        <v>54</v>
      </c>
      <c r="F290" s="11" t="n">
        <v>0</v>
      </c>
      <c r="G290" s="11" t="n">
        <v>0</v>
      </c>
      <c r="H290" s="12" t="n">
        <v>-14</v>
      </c>
      <c r="I290" s="11" t="inlineStr">
        <is>
          <t>Contango(远强)</t>
        </is>
      </c>
    </row>
    <row r="291">
      <c r="A291" s="6" t="inlineStr">
        <is>
          <t>2023-10-30</t>
        </is>
      </c>
      <c r="B291" s="6" t="inlineStr">
        <is>
          <t>MA2401</t>
        </is>
      </c>
      <c r="C291" s="6" t="inlineStr">
        <is>
          <t>2024-01</t>
        </is>
      </c>
      <c r="D291" s="9" t="n">
        <v>1138360</v>
      </c>
      <c r="E291" s="6" t="n">
        <v>53</v>
      </c>
      <c r="F291" s="6" t="n">
        <v>0</v>
      </c>
      <c r="G291" s="6" t="n">
        <v>0</v>
      </c>
      <c r="H291" s="7" t="n">
        <v>-9</v>
      </c>
      <c r="I291" s="6" t="inlineStr">
        <is>
          <t>Contango(远强)</t>
        </is>
      </c>
    </row>
    <row r="292">
      <c r="A292" s="11" t="inlineStr">
        <is>
          <t>2023-10-31</t>
        </is>
      </c>
      <c r="B292" s="11" t="inlineStr">
        <is>
          <t>MA2401</t>
        </is>
      </c>
      <c r="C292" s="11" t="inlineStr">
        <is>
          <t>2024-01</t>
        </is>
      </c>
      <c r="D292" s="14" t="n">
        <v>1090896</v>
      </c>
      <c r="E292" s="11" t="n">
        <v>52</v>
      </c>
      <c r="F292" s="11" t="n">
        <v>0</v>
      </c>
      <c r="G292" s="11" t="n">
        <v>0</v>
      </c>
      <c r="H292" s="12" t="n">
        <v>-13</v>
      </c>
      <c r="I292" s="11" t="inlineStr">
        <is>
          <t>Contango(远强)</t>
        </is>
      </c>
    </row>
    <row r="293">
      <c r="A293" s="6" t="inlineStr">
        <is>
          <t>2023-11-01</t>
        </is>
      </c>
      <c r="B293" s="6" t="inlineStr">
        <is>
          <t>MA2401</t>
        </is>
      </c>
      <c r="C293" s="6" t="inlineStr">
        <is>
          <t>2024-01</t>
        </is>
      </c>
      <c r="D293" s="9" t="n">
        <v>1094624</v>
      </c>
      <c r="E293" s="6" t="n">
        <v>51</v>
      </c>
      <c r="F293" s="6" t="n">
        <v>0</v>
      </c>
      <c r="G293" s="6" t="n">
        <v>0</v>
      </c>
      <c r="H293" s="7" t="n">
        <v>-10</v>
      </c>
      <c r="I293" s="6" t="inlineStr">
        <is>
          <t>Contango(远强)</t>
        </is>
      </c>
    </row>
    <row r="294">
      <c r="A294" s="11" t="inlineStr">
        <is>
          <t>2023-11-02</t>
        </is>
      </c>
      <c r="B294" s="11" t="inlineStr">
        <is>
          <t>MA2401</t>
        </is>
      </c>
      <c r="C294" s="11" t="inlineStr">
        <is>
          <t>2024-01</t>
        </is>
      </c>
      <c r="D294" s="14" t="n">
        <v>1170736</v>
      </c>
      <c r="E294" s="11" t="n">
        <v>50</v>
      </c>
      <c r="F294" s="11" t="n">
        <v>0</v>
      </c>
      <c r="G294" s="11" t="n">
        <v>0</v>
      </c>
      <c r="H294" s="12" t="n">
        <v>-8</v>
      </c>
      <c r="I294" s="11" t="inlineStr">
        <is>
          <t>Contango(远强)</t>
        </is>
      </c>
    </row>
    <row r="295">
      <c r="A295" s="6" t="inlineStr">
        <is>
          <t>2023-11-03</t>
        </is>
      </c>
      <c r="B295" s="6" t="inlineStr">
        <is>
          <t>MA2401</t>
        </is>
      </c>
      <c r="C295" s="6" t="inlineStr">
        <is>
          <t>2024-01</t>
        </is>
      </c>
      <c r="D295" s="9" t="n">
        <v>1079502</v>
      </c>
      <c r="E295" s="6" t="n">
        <v>49</v>
      </c>
      <c r="F295" s="6" t="n">
        <v>0</v>
      </c>
      <c r="G295" s="6" t="n">
        <v>0</v>
      </c>
      <c r="H295" s="7" t="n">
        <v>26</v>
      </c>
      <c r="I295" s="6" t="inlineStr">
        <is>
          <t>Back(近强)</t>
        </is>
      </c>
    </row>
    <row r="296">
      <c r="A296" s="11" t="inlineStr">
        <is>
          <t>2023-11-06</t>
        </is>
      </c>
      <c r="B296" s="11" t="inlineStr">
        <is>
          <t>MA2401</t>
        </is>
      </c>
      <c r="C296" s="11" t="inlineStr">
        <is>
          <t>2024-01</t>
        </is>
      </c>
      <c r="D296" s="14" t="n">
        <v>1077433</v>
      </c>
      <c r="E296" s="11" t="n">
        <v>48</v>
      </c>
      <c r="F296" s="11" t="n">
        <v>0</v>
      </c>
      <c r="G296" s="11" t="n">
        <v>0</v>
      </c>
      <c r="H296" s="12" t="n">
        <v>4</v>
      </c>
      <c r="I296" s="11" t="inlineStr">
        <is>
          <t>结构不明</t>
        </is>
      </c>
    </row>
    <row r="297">
      <c r="A297" s="6" t="inlineStr">
        <is>
          <t>2023-11-07</t>
        </is>
      </c>
      <c r="B297" s="6" t="inlineStr">
        <is>
          <t>MA2401</t>
        </is>
      </c>
      <c r="C297" s="6" t="inlineStr">
        <is>
          <t>2024-01</t>
        </is>
      </c>
      <c r="D297" s="9" t="n">
        <v>1041641</v>
      </c>
      <c r="E297" s="6" t="n">
        <v>47</v>
      </c>
      <c r="F297" s="6" t="n">
        <v>0</v>
      </c>
      <c r="G297" s="6" t="n">
        <v>0</v>
      </c>
      <c r="H297" s="7" t="n">
        <v>7</v>
      </c>
      <c r="I297" s="6" t="inlineStr">
        <is>
          <t>结构不明</t>
        </is>
      </c>
    </row>
    <row r="298">
      <c r="A298" s="11" t="inlineStr">
        <is>
          <t>2023-11-08</t>
        </is>
      </c>
      <c r="B298" s="11" t="inlineStr">
        <is>
          <t>MA2401</t>
        </is>
      </c>
      <c r="C298" s="11" t="inlineStr">
        <is>
          <t>2024-01</t>
        </is>
      </c>
      <c r="D298" s="14" t="n">
        <v>1064748</v>
      </c>
      <c r="E298" s="11" t="n">
        <v>46</v>
      </c>
      <c r="F298" s="11" t="n">
        <v>0</v>
      </c>
      <c r="G298" s="11" t="n">
        <v>0</v>
      </c>
      <c r="H298" s="12" t="n">
        <v>5</v>
      </c>
      <c r="I298" s="11" t="inlineStr">
        <is>
          <t>结构不明</t>
        </is>
      </c>
    </row>
    <row r="299">
      <c r="A299" s="6" t="inlineStr">
        <is>
          <t>2023-11-09</t>
        </is>
      </c>
      <c r="B299" s="6" t="inlineStr">
        <is>
          <t>MA2401</t>
        </is>
      </c>
      <c r="C299" s="6" t="inlineStr">
        <is>
          <t>2024-01</t>
        </is>
      </c>
      <c r="D299" s="9" t="n">
        <v>1032882</v>
      </c>
      <c r="E299" s="6" t="n">
        <v>45</v>
      </c>
      <c r="F299" s="6" t="n">
        <v>0</v>
      </c>
      <c r="G299" s="6" t="n">
        <v>0</v>
      </c>
      <c r="H299" s="7" t="n">
        <v>4</v>
      </c>
      <c r="I299" s="6" t="inlineStr">
        <is>
          <t>结构不明</t>
        </is>
      </c>
    </row>
    <row r="300">
      <c r="A300" s="11" t="inlineStr">
        <is>
          <t>2023-11-10</t>
        </is>
      </c>
      <c r="B300" s="11" t="inlineStr">
        <is>
          <t>MA2401</t>
        </is>
      </c>
      <c r="C300" s="11" t="inlineStr">
        <is>
          <t>2024-01</t>
        </is>
      </c>
      <c r="D300" s="14" t="n">
        <v>1024506</v>
      </c>
      <c r="E300" s="11" t="n">
        <v>44</v>
      </c>
      <c r="F300" s="11" t="n">
        <v>0</v>
      </c>
      <c r="G300" s="11" t="n">
        <v>0</v>
      </c>
      <c r="H300" s="12" t="n">
        <v>-63</v>
      </c>
      <c r="I300" s="11" t="inlineStr">
        <is>
          <t>Contango(远强)</t>
        </is>
      </c>
    </row>
    <row r="301">
      <c r="A301" s="6" t="inlineStr">
        <is>
          <t>2023-11-13</t>
        </is>
      </c>
      <c r="B301" s="6" t="inlineStr">
        <is>
          <t>MA2401</t>
        </is>
      </c>
      <c r="C301" s="6" t="inlineStr">
        <is>
          <t>2024-01</t>
        </is>
      </c>
      <c r="D301" s="9" t="n">
        <v>995174</v>
      </c>
      <c r="E301" s="6" t="n">
        <v>43</v>
      </c>
      <c r="F301" s="6" t="n">
        <v>0</v>
      </c>
      <c r="G301" s="6" t="n">
        <v>0</v>
      </c>
      <c r="H301" s="7" t="n">
        <v>62</v>
      </c>
      <c r="I301" s="6" t="inlineStr">
        <is>
          <t>Back(近强)</t>
        </is>
      </c>
    </row>
    <row r="302">
      <c r="A302" s="11" t="inlineStr">
        <is>
          <t>2023-11-14</t>
        </is>
      </c>
      <c r="B302" s="11" t="inlineStr">
        <is>
          <t>MA2401</t>
        </is>
      </c>
      <c r="C302" s="11" t="inlineStr">
        <is>
          <t>2024-01</t>
        </is>
      </c>
      <c r="D302" s="14" t="n">
        <v>984635</v>
      </c>
      <c r="E302" s="11" t="n">
        <v>42</v>
      </c>
      <c r="F302" s="11" t="n">
        <v>0</v>
      </c>
      <c r="G302" s="11" t="n">
        <v>0</v>
      </c>
      <c r="H302" s="12" t="n">
        <v>-91</v>
      </c>
      <c r="I302" s="11" t="inlineStr">
        <is>
          <t>Contango(远强)</t>
        </is>
      </c>
    </row>
    <row r="303">
      <c r="A303" s="6" t="inlineStr">
        <is>
          <t>2023-11-15</t>
        </is>
      </c>
      <c r="B303" s="6" t="inlineStr">
        <is>
          <t>MA2401</t>
        </is>
      </c>
      <c r="C303" s="6" t="inlineStr">
        <is>
          <t>2024-01</t>
        </is>
      </c>
      <c r="D303" s="9" t="n">
        <v>967314</v>
      </c>
      <c r="E303" s="6" t="n">
        <v>41</v>
      </c>
      <c r="F303" s="6" t="n">
        <v>0</v>
      </c>
      <c r="G303" s="6" t="n">
        <v>0</v>
      </c>
      <c r="H303" s="7" t="n">
        <v>3</v>
      </c>
      <c r="I303" s="6" t="inlineStr">
        <is>
          <t>Contango(远强)</t>
        </is>
      </c>
    </row>
    <row r="304">
      <c r="A304" s="11" t="inlineStr">
        <is>
          <t>2023-11-16</t>
        </is>
      </c>
      <c r="B304" s="11" t="inlineStr">
        <is>
          <t>MA2401</t>
        </is>
      </c>
      <c r="C304" s="11" t="inlineStr">
        <is>
          <t>2024-01</t>
        </is>
      </c>
      <c r="D304" s="14" t="n">
        <v>975150</v>
      </c>
      <c r="E304" s="11" t="n">
        <v>40</v>
      </c>
      <c r="F304" s="11" t="n">
        <v>0</v>
      </c>
      <c r="G304" s="11" t="n">
        <v>0</v>
      </c>
      <c r="H304" s="12" t="n">
        <v>1</v>
      </c>
      <c r="I304" s="11" t="inlineStr">
        <is>
          <t>Contango(远强)</t>
        </is>
      </c>
    </row>
    <row r="305">
      <c r="A305" s="6" t="inlineStr">
        <is>
          <t>2023-11-17</t>
        </is>
      </c>
      <c r="B305" s="6" t="inlineStr">
        <is>
          <t>MA2401</t>
        </is>
      </c>
      <c r="C305" s="6" t="inlineStr">
        <is>
          <t>2024-01</t>
        </is>
      </c>
      <c r="D305" s="9" t="n">
        <v>961261</v>
      </c>
      <c r="E305" s="6" t="n">
        <v>39</v>
      </c>
      <c r="F305" s="6" t="n">
        <v>0</v>
      </c>
      <c r="G305" s="6" t="n">
        <v>0</v>
      </c>
      <c r="H305" s="7" t="n">
        <v>-3</v>
      </c>
      <c r="I305" s="6" t="inlineStr">
        <is>
          <t>Contango(远强)</t>
        </is>
      </c>
    </row>
    <row r="306">
      <c r="A306" s="11" t="inlineStr">
        <is>
          <t>2023-11-20</t>
        </is>
      </c>
      <c r="B306" s="11" t="inlineStr">
        <is>
          <t>MA2401</t>
        </is>
      </c>
      <c r="C306" s="11" t="inlineStr">
        <is>
          <t>2024-01</t>
        </is>
      </c>
      <c r="D306" s="14" t="n">
        <v>966667</v>
      </c>
      <c r="E306" s="11" t="n">
        <v>38</v>
      </c>
      <c r="F306" s="11" t="n">
        <v>0</v>
      </c>
      <c r="G306" s="11" t="n">
        <v>0</v>
      </c>
      <c r="H306" s="12" t="n">
        <v>-1</v>
      </c>
      <c r="I306" s="11" t="inlineStr">
        <is>
          <t>Contango(远强)</t>
        </is>
      </c>
    </row>
    <row r="307">
      <c r="A307" s="6" t="inlineStr">
        <is>
          <t>2023-11-21</t>
        </is>
      </c>
      <c r="B307" s="6" t="inlineStr">
        <is>
          <t>MA2401</t>
        </is>
      </c>
      <c r="C307" s="6" t="inlineStr">
        <is>
          <t>2024-01</t>
        </is>
      </c>
      <c r="D307" s="9" t="n">
        <v>1009286</v>
      </c>
      <c r="E307" s="6" t="n">
        <v>37</v>
      </c>
      <c r="F307" s="6" t="n">
        <v>0</v>
      </c>
      <c r="G307" s="6" t="n">
        <v>0</v>
      </c>
      <c r="H307" s="7" t="n">
        <v>0</v>
      </c>
      <c r="I307" s="6" t="inlineStr">
        <is>
          <t>Contango(远强)</t>
        </is>
      </c>
    </row>
    <row r="308">
      <c r="A308" s="11" t="inlineStr">
        <is>
          <t>2023-11-22</t>
        </is>
      </c>
      <c r="B308" s="11" t="inlineStr">
        <is>
          <t>MA2401</t>
        </is>
      </c>
      <c r="C308" s="11" t="inlineStr">
        <is>
          <t>2024-01</t>
        </is>
      </c>
      <c r="D308" s="14" t="n">
        <v>1030823</v>
      </c>
      <c r="E308" s="11" t="n">
        <v>36</v>
      </c>
      <c r="F308" s="11" t="n">
        <v>0</v>
      </c>
      <c r="G308" s="11" t="n">
        <v>0</v>
      </c>
      <c r="H308" s="12" t="n">
        <v>-12</v>
      </c>
      <c r="I308" s="11" t="inlineStr">
        <is>
          <t>Contango(远强)</t>
        </is>
      </c>
    </row>
    <row r="309">
      <c r="A309" s="6" t="inlineStr">
        <is>
          <t>2023-11-23</t>
        </is>
      </c>
      <c r="B309" s="6" t="inlineStr">
        <is>
          <t>MA2401</t>
        </is>
      </c>
      <c r="C309" s="6" t="inlineStr">
        <is>
          <t>2024-01</t>
        </is>
      </c>
      <c r="D309" s="9" t="n">
        <v>1069618</v>
      </c>
      <c r="E309" s="6" t="n">
        <v>35</v>
      </c>
      <c r="F309" s="6" t="n">
        <v>0</v>
      </c>
      <c r="G309" s="6" t="n">
        <v>0</v>
      </c>
      <c r="H309" s="7" t="n">
        <v>3</v>
      </c>
      <c r="I309" s="6" t="inlineStr">
        <is>
          <t>Contango(远强)</t>
        </is>
      </c>
    </row>
    <row r="310">
      <c r="A310" s="11" t="inlineStr">
        <is>
          <t>2023-11-24</t>
        </is>
      </c>
      <c r="B310" s="11" t="inlineStr">
        <is>
          <t>MA2401</t>
        </is>
      </c>
      <c r="C310" s="11" t="inlineStr">
        <is>
          <t>2024-01</t>
        </is>
      </c>
      <c r="D310" s="14" t="n">
        <v>1017185</v>
      </c>
      <c r="E310" s="11" t="n">
        <v>34</v>
      </c>
      <c r="F310" s="11" t="n">
        <v>0</v>
      </c>
      <c r="G310" s="11" t="n">
        <v>0</v>
      </c>
      <c r="H310" s="12" t="n">
        <v>0</v>
      </c>
      <c r="I310" s="11" t="inlineStr">
        <is>
          <t>Contango(远强)</t>
        </is>
      </c>
    </row>
    <row r="311">
      <c r="A311" s="6" t="inlineStr">
        <is>
          <t>2023-11-27</t>
        </is>
      </c>
      <c r="B311" s="6" t="inlineStr">
        <is>
          <t>MA2401</t>
        </is>
      </c>
      <c r="C311" s="6" t="inlineStr">
        <is>
          <t>2024-01</t>
        </is>
      </c>
      <c r="D311" s="9" t="n">
        <v>965503</v>
      </c>
      <c r="E311" s="6" t="n">
        <v>33</v>
      </c>
      <c r="F311" s="6" t="n">
        <v>0</v>
      </c>
      <c r="G311" s="6" t="n">
        <v>0</v>
      </c>
      <c r="H311" s="7" t="n">
        <v>0</v>
      </c>
      <c r="I311" s="6" t="inlineStr">
        <is>
          <t>Contango(远强)</t>
        </is>
      </c>
    </row>
    <row r="312">
      <c r="A312" s="11" t="inlineStr">
        <is>
          <t>2023-11-28</t>
        </is>
      </c>
      <c r="B312" s="11" t="inlineStr">
        <is>
          <t>MA2401</t>
        </is>
      </c>
      <c r="C312" s="11" t="inlineStr">
        <is>
          <t>2024-01</t>
        </is>
      </c>
      <c r="D312" s="14" t="n">
        <v>926316</v>
      </c>
      <c r="E312" s="11" t="n">
        <v>32</v>
      </c>
      <c r="F312" s="11" t="n">
        <v>0</v>
      </c>
      <c r="G312" s="11" t="n">
        <v>0</v>
      </c>
      <c r="H312" s="12" t="n">
        <v>-2</v>
      </c>
      <c r="I312" s="11" t="inlineStr">
        <is>
          <t>Contango(远强)</t>
        </is>
      </c>
    </row>
    <row r="313">
      <c r="A313" s="6" t="inlineStr">
        <is>
          <t>2023-11-29</t>
        </is>
      </c>
      <c r="B313" s="6" t="inlineStr">
        <is>
          <t>MA2401</t>
        </is>
      </c>
      <c r="C313" s="6" t="inlineStr">
        <is>
          <t>2024-01</t>
        </is>
      </c>
      <c r="D313" s="9" t="n">
        <v>890644</v>
      </c>
      <c r="E313" s="6" t="n">
        <v>31</v>
      </c>
      <c r="F313" s="6" t="n">
        <v>0</v>
      </c>
      <c r="G313" s="6" t="n">
        <v>0</v>
      </c>
      <c r="H313" s="7" t="n">
        <v>-24</v>
      </c>
      <c r="I313" s="6" t="inlineStr">
        <is>
          <t>Contango(远强)</t>
        </is>
      </c>
    </row>
    <row r="314">
      <c r="A314" s="11" t="inlineStr">
        <is>
          <t>2023-11-30</t>
        </is>
      </c>
      <c r="B314" s="11" t="inlineStr">
        <is>
          <t>MA2401</t>
        </is>
      </c>
      <c r="C314" s="11" t="inlineStr">
        <is>
          <t>2024-01</t>
        </is>
      </c>
      <c r="D314" s="14" t="n">
        <v>846471</v>
      </c>
      <c r="E314" s="11" t="n">
        <v>30</v>
      </c>
      <c r="F314" s="11" t="n">
        <v>0</v>
      </c>
      <c r="G314" s="11" t="n">
        <v>0</v>
      </c>
      <c r="H314" s="12" t="n">
        <v>3</v>
      </c>
      <c r="I314" s="11" t="inlineStr">
        <is>
          <t>Contango(远强)</t>
        </is>
      </c>
    </row>
    <row r="315">
      <c r="A315" s="6" t="inlineStr">
        <is>
          <t>2023-12-01</t>
        </is>
      </c>
      <c r="B315" s="6" t="inlineStr">
        <is>
          <t>MA2401</t>
        </is>
      </c>
      <c r="C315" s="6" t="inlineStr">
        <is>
          <t>2024-01</t>
        </is>
      </c>
      <c r="D315" s="9" t="n">
        <v>795092</v>
      </c>
      <c r="E315" s="6" t="n">
        <v>29</v>
      </c>
      <c r="F315" s="6" t="n">
        <v>0</v>
      </c>
      <c r="G315" s="6" t="n">
        <v>0</v>
      </c>
      <c r="H315" s="7" t="n">
        <v>-7</v>
      </c>
      <c r="I315" s="6" t="inlineStr">
        <is>
          <t>Contango(远强)</t>
        </is>
      </c>
    </row>
    <row r="316">
      <c r="A316" s="11" t="inlineStr">
        <is>
          <t>2023-12-04</t>
        </is>
      </c>
      <c r="B316" s="11" t="inlineStr">
        <is>
          <t>MA2401</t>
        </is>
      </c>
      <c r="C316" s="11" t="inlineStr">
        <is>
          <t>2024-01</t>
        </is>
      </c>
      <c r="D316" s="14" t="n">
        <v>721176</v>
      </c>
      <c r="E316" s="11" t="n">
        <v>28</v>
      </c>
      <c r="F316" s="11" t="n">
        <v>0</v>
      </c>
      <c r="G316" s="11" t="n">
        <v>1</v>
      </c>
      <c r="H316" s="12" t="n">
        <v>-7</v>
      </c>
      <c r="I316" s="11" t="inlineStr">
        <is>
          <t>Contango(远强)</t>
        </is>
      </c>
    </row>
    <row r="317">
      <c r="A317" s="6" t="inlineStr">
        <is>
          <t>2023-12-05</t>
        </is>
      </c>
      <c r="B317" s="6" t="inlineStr">
        <is>
          <t>MA2405</t>
        </is>
      </c>
      <c r="C317" s="6" t="inlineStr">
        <is>
          <t>2024-05</t>
        </is>
      </c>
      <c r="D317" s="9" t="n">
        <v>673613</v>
      </c>
      <c r="E317" s="6" t="n">
        <v>104</v>
      </c>
      <c r="F317" s="6" t="n">
        <v>1</v>
      </c>
      <c r="G317" s="6" t="n">
        <v>0</v>
      </c>
      <c r="H317" s="7" t="n">
        <v>-42</v>
      </c>
      <c r="I317" s="6" t="inlineStr">
        <is>
          <t>Contango(远强)</t>
        </is>
      </c>
    </row>
    <row r="318">
      <c r="A318" s="11" t="inlineStr">
        <is>
          <t>2023-12-06</t>
        </is>
      </c>
      <c r="B318" s="11" t="inlineStr">
        <is>
          <t>MA2405</t>
        </is>
      </c>
      <c r="C318" s="11" t="inlineStr">
        <is>
          <t>2024-05</t>
        </is>
      </c>
      <c r="D318" s="14" t="n">
        <v>723244</v>
      </c>
      <c r="E318" s="11" t="n">
        <v>103</v>
      </c>
      <c r="F318" s="11" t="n">
        <v>0</v>
      </c>
      <c r="G318" s="11" t="n">
        <v>0</v>
      </c>
      <c r="H318" s="12" t="n">
        <v>-20</v>
      </c>
      <c r="I318" s="11" t="inlineStr">
        <is>
          <t>Contango(远强)</t>
        </is>
      </c>
    </row>
    <row r="319">
      <c r="A319" s="6" t="inlineStr">
        <is>
          <t>2023-12-07</t>
        </is>
      </c>
      <c r="B319" s="6" t="inlineStr">
        <is>
          <t>MA2405</t>
        </is>
      </c>
      <c r="C319" s="6" t="inlineStr">
        <is>
          <t>2024-05</t>
        </is>
      </c>
      <c r="D319" s="9" t="n">
        <v>762509</v>
      </c>
      <c r="E319" s="6" t="n">
        <v>102</v>
      </c>
      <c r="F319" s="6" t="n">
        <v>0</v>
      </c>
      <c r="G319" s="6" t="n">
        <v>0</v>
      </c>
      <c r="H319" s="7" t="n">
        <v>-15</v>
      </c>
      <c r="I319" s="6" t="inlineStr">
        <is>
          <t>Contango(远强)</t>
        </is>
      </c>
    </row>
    <row r="320">
      <c r="A320" s="11" t="inlineStr">
        <is>
          <t>2023-12-08</t>
        </is>
      </c>
      <c r="B320" s="11" t="inlineStr">
        <is>
          <t>MA2405</t>
        </is>
      </c>
      <c r="C320" s="11" t="inlineStr">
        <is>
          <t>2024-05</t>
        </is>
      </c>
      <c r="D320" s="14" t="n">
        <v>833320</v>
      </c>
      <c r="E320" s="11" t="n">
        <v>101</v>
      </c>
      <c r="F320" s="11" t="n">
        <v>0</v>
      </c>
      <c r="G320" s="11" t="n">
        <v>0</v>
      </c>
      <c r="H320" s="12" t="n">
        <v>-19</v>
      </c>
      <c r="I320" s="11" t="inlineStr">
        <is>
          <t>Contango(远强)</t>
        </is>
      </c>
    </row>
    <row r="321">
      <c r="A321" s="6" t="inlineStr">
        <is>
          <t>2023-12-11</t>
        </is>
      </c>
      <c r="B321" s="6" t="inlineStr">
        <is>
          <t>MA2405</t>
        </is>
      </c>
      <c r="C321" s="6" t="inlineStr">
        <is>
          <t>2024-05</t>
        </is>
      </c>
      <c r="D321" s="9" t="n">
        <v>934759</v>
      </c>
      <c r="E321" s="6" t="n">
        <v>100</v>
      </c>
      <c r="F321" s="6" t="n">
        <v>0</v>
      </c>
      <c r="G321" s="6" t="n">
        <v>0</v>
      </c>
      <c r="H321" s="7" t="n">
        <v>-33</v>
      </c>
      <c r="I321" s="6" t="inlineStr">
        <is>
          <t>Contango(远强)</t>
        </is>
      </c>
    </row>
    <row r="322">
      <c r="A322" s="11" t="inlineStr">
        <is>
          <t>2023-12-12</t>
        </is>
      </c>
      <c r="B322" s="11" t="inlineStr">
        <is>
          <t>MA2405</t>
        </is>
      </c>
      <c r="C322" s="11" t="inlineStr">
        <is>
          <t>2024-05</t>
        </is>
      </c>
      <c r="D322" s="14" t="n">
        <v>1001603</v>
      </c>
      <c r="E322" s="11" t="n">
        <v>99</v>
      </c>
      <c r="F322" s="11" t="n">
        <v>0</v>
      </c>
      <c r="G322" s="11" t="n">
        <v>0</v>
      </c>
      <c r="H322" s="12" t="n">
        <v>-24</v>
      </c>
      <c r="I322" s="11" t="inlineStr">
        <is>
          <t>Contango(远强)</t>
        </is>
      </c>
    </row>
    <row r="323">
      <c r="A323" s="6" t="inlineStr">
        <is>
          <t>2023-12-13</t>
        </is>
      </c>
      <c r="B323" s="6" t="inlineStr">
        <is>
          <t>MA2405</t>
        </is>
      </c>
      <c r="C323" s="6" t="inlineStr">
        <is>
          <t>2024-05</t>
        </is>
      </c>
      <c r="D323" s="9" t="n">
        <v>1087889</v>
      </c>
      <c r="E323" s="6" t="n">
        <v>98</v>
      </c>
      <c r="F323" s="6" t="n">
        <v>0</v>
      </c>
      <c r="G323" s="6" t="n">
        <v>0</v>
      </c>
      <c r="H323" s="7" t="n">
        <v>-38</v>
      </c>
      <c r="I323" s="6" t="inlineStr">
        <is>
          <t>Contango(远强)</t>
        </is>
      </c>
    </row>
    <row r="324">
      <c r="A324" s="11" t="inlineStr">
        <is>
          <t>2023-12-14</t>
        </is>
      </c>
      <c r="B324" s="11" t="inlineStr">
        <is>
          <t>MA2405</t>
        </is>
      </c>
      <c r="C324" s="11" t="inlineStr">
        <is>
          <t>2024-05</t>
        </is>
      </c>
      <c r="D324" s="14" t="n">
        <v>1142639</v>
      </c>
      <c r="E324" s="11" t="n">
        <v>97</v>
      </c>
      <c r="F324" s="11" t="n">
        <v>0</v>
      </c>
      <c r="G324" s="11" t="n">
        <v>0</v>
      </c>
      <c r="H324" s="12" t="n">
        <v>-29</v>
      </c>
      <c r="I324" s="11" t="inlineStr">
        <is>
          <t>Contango(远强)</t>
        </is>
      </c>
    </row>
    <row r="325">
      <c r="A325" s="6" t="inlineStr">
        <is>
          <t>2023-12-15</t>
        </is>
      </c>
      <c r="B325" s="6" t="inlineStr">
        <is>
          <t>MA2405</t>
        </is>
      </c>
      <c r="C325" s="6" t="inlineStr">
        <is>
          <t>2024-05</t>
        </is>
      </c>
      <c r="D325" s="9" t="n">
        <v>1198795</v>
      </c>
      <c r="E325" s="6" t="n">
        <v>96</v>
      </c>
      <c r="F325" s="6" t="n">
        <v>0</v>
      </c>
      <c r="G325" s="6" t="n">
        <v>0</v>
      </c>
      <c r="H325" s="7" t="n">
        <v>-40</v>
      </c>
      <c r="I325" s="6" t="inlineStr">
        <is>
          <t>Contango(远强)</t>
        </is>
      </c>
    </row>
    <row r="326">
      <c r="A326" s="11" t="inlineStr">
        <is>
          <t>2023-12-18</t>
        </is>
      </c>
      <c r="B326" s="11" t="inlineStr">
        <is>
          <t>MA2405</t>
        </is>
      </c>
      <c r="C326" s="11" t="inlineStr">
        <is>
          <t>2024-05</t>
        </is>
      </c>
      <c r="D326" s="14" t="n">
        <v>1217594</v>
      </c>
      <c r="E326" s="11" t="n">
        <v>95</v>
      </c>
      <c r="F326" s="11" t="n">
        <v>0</v>
      </c>
      <c r="G326" s="11" t="n">
        <v>0</v>
      </c>
      <c r="H326" s="12" t="n">
        <v>-41</v>
      </c>
      <c r="I326" s="11" t="inlineStr">
        <is>
          <t>Contango(远强)</t>
        </is>
      </c>
    </row>
    <row r="327">
      <c r="A327" s="6" t="inlineStr">
        <is>
          <t>2023-12-19</t>
        </is>
      </c>
      <c r="B327" s="6" t="inlineStr">
        <is>
          <t>MA2405</t>
        </is>
      </c>
      <c r="C327" s="6" t="inlineStr">
        <is>
          <t>2024-05</t>
        </is>
      </c>
      <c r="D327" s="9" t="n">
        <v>1226474</v>
      </c>
      <c r="E327" s="6" t="n">
        <v>94</v>
      </c>
      <c r="F327" s="6" t="n">
        <v>0</v>
      </c>
      <c r="G327" s="6" t="n">
        <v>0</v>
      </c>
      <c r="H327" s="7" t="n">
        <v>-41</v>
      </c>
      <c r="I327" s="6" t="inlineStr">
        <is>
          <t>Contango(远强)</t>
        </is>
      </c>
    </row>
    <row r="328">
      <c r="A328" s="11" t="inlineStr">
        <is>
          <t>2023-12-20</t>
        </is>
      </c>
      <c r="B328" s="11" t="inlineStr">
        <is>
          <t>MA2405</t>
        </is>
      </c>
      <c r="C328" s="11" t="inlineStr">
        <is>
          <t>2024-05</t>
        </is>
      </c>
      <c r="D328" s="14" t="n">
        <v>1220026</v>
      </c>
      <c r="E328" s="11" t="n">
        <v>93</v>
      </c>
      <c r="F328" s="11" t="n">
        <v>0</v>
      </c>
      <c r="G328" s="11" t="n">
        <v>0</v>
      </c>
      <c r="H328" s="12" t="n">
        <v>-22</v>
      </c>
      <c r="I328" s="11" t="inlineStr">
        <is>
          <t>Contango(远强)</t>
        </is>
      </c>
    </row>
    <row r="329">
      <c r="A329" s="6" t="inlineStr">
        <is>
          <t>2023-12-21</t>
        </is>
      </c>
      <c r="B329" s="6" t="inlineStr">
        <is>
          <t>MA2405</t>
        </is>
      </c>
      <c r="C329" s="6" t="inlineStr">
        <is>
          <t>2024-05</t>
        </is>
      </c>
      <c r="D329" s="9" t="n">
        <v>1214728</v>
      </c>
      <c r="E329" s="6" t="n">
        <v>92</v>
      </c>
      <c r="F329" s="6" t="n">
        <v>0</v>
      </c>
      <c r="G329" s="6" t="n">
        <v>0</v>
      </c>
      <c r="H329" s="7" t="n">
        <v>-26</v>
      </c>
      <c r="I329" s="6" t="inlineStr">
        <is>
          <t>Contango(远强)</t>
        </is>
      </c>
    </row>
    <row r="330">
      <c r="A330" s="11" t="inlineStr">
        <is>
          <t>2023-12-22</t>
        </is>
      </c>
      <c r="B330" s="11" t="inlineStr">
        <is>
          <t>MA2405</t>
        </is>
      </c>
      <c r="C330" s="11" t="inlineStr">
        <is>
          <t>2024-05</t>
        </is>
      </c>
      <c r="D330" s="14" t="n">
        <v>1235874</v>
      </c>
      <c r="E330" s="11" t="n">
        <v>91</v>
      </c>
      <c r="F330" s="11" t="n">
        <v>0</v>
      </c>
      <c r="G330" s="11" t="n">
        <v>0</v>
      </c>
      <c r="H330" s="12" t="n">
        <v>-12</v>
      </c>
      <c r="I330" s="11" t="inlineStr">
        <is>
          <t>Contango(远强)</t>
        </is>
      </c>
    </row>
    <row r="331">
      <c r="A331" s="6" t="inlineStr">
        <is>
          <t>2023-12-25</t>
        </is>
      </c>
      <c r="B331" s="6" t="inlineStr">
        <is>
          <t>MA2405</t>
        </is>
      </c>
      <c r="C331" s="6" t="inlineStr">
        <is>
          <t>2024-05</t>
        </is>
      </c>
      <c r="D331" s="9" t="n">
        <v>1191686</v>
      </c>
      <c r="E331" s="6" t="n">
        <v>90</v>
      </c>
      <c r="F331" s="6" t="n">
        <v>0</v>
      </c>
      <c r="G331" s="6" t="n">
        <v>0</v>
      </c>
      <c r="H331" s="7" t="n">
        <v>-8</v>
      </c>
      <c r="I331" s="6" t="inlineStr">
        <is>
          <t>Contango(远强)</t>
        </is>
      </c>
    </row>
    <row r="332">
      <c r="A332" s="11" t="inlineStr">
        <is>
          <t>2023-12-26</t>
        </is>
      </c>
      <c r="B332" s="11" t="inlineStr">
        <is>
          <t>MA2405</t>
        </is>
      </c>
      <c r="C332" s="11" t="inlineStr">
        <is>
          <t>2024-05</t>
        </is>
      </c>
      <c r="D332" s="14" t="n">
        <v>1181623</v>
      </c>
      <c r="E332" s="11" t="n">
        <v>89</v>
      </c>
      <c r="F332" s="11" t="n">
        <v>0</v>
      </c>
      <c r="G332" s="11" t="n">
        <v>0</v>
      </c>
      <c r="H332" s="12" t="n">
        <v>-8</v>
      </c>
      <c r="I332" s="11" t="inlineStr">
        <is>
          <t>Contango(远强)</t>
        </is>
      </c>
    </row>
    <row r="333">
      <c r="A333" s="6" t="inlineStr">
        <is>
          <t>2023-12-27</t>
        </is>
      </c>
      <c r="B333" s="6" t="inlineStr">
        <is>
          <t>MA2405</t>
        </is>
      </c>
      <c r="C333" s="6" t="inlineStr">
        <is>
          <t>2024-05</t>
        </is>
      </c>
      <c r="D333" s="9" t="n">
        <v>1158908</v>
      </c>
      <c r="E333" s="6" t="n">
        <v>88</v>
      </c>
      <c r="F333" s="6" t="n">
        <v>0</v>
      </c>
      <c r="G333" s="6" t="n">
        <v>0</v>
      </c>
      <c r="H333" s="7" t="n">
        <v>-19</v>
      </c>
      <c r="I333" s="6" t="inlineStr">
        <is>
          <t>Contango(远强)</t>
        </is>
      </c>
    </row>
    <row r="334">
      <c r="A334" s="11" t="inlineStr">
        <is>
          <t>2023-12-28</t>
        </is>
      </c>
      <c r="B334" s="11" t="inlineStr">
        <is>
          <t>MA2405</t>
        </is>
      </c>
      <c r="C334" s="11" t="inlineStr">
        <is>
          <t>2024-05</t>
        </is>
      </c>
      <c r="D334" s="14" t="n">
        <v>1173509</v>
      </c>
      <c r="E334" s="11" t="n">
        <v>87</v>
      </c>
      <c r="F334" s="11" t="n">
        <v>0</v>
      </c>
      <c r="G334" s="11" t="n">
        <v>0</v>
      </c>
      <c r="H334" s="12" t="n">
        <v>-11</v>
      </c>
      <c r="I334" s="11" t="inlineStr">
        <is>
          <t>Contango(远强)</t>
        </is>
      </c>
    </row>
    <row r="335">
      <c r="A335" s="6" t="inlineStr">
        <is>
          <t>2023-12-29</t>
        </is>
      </c>
      <c r="B335" s="6" t="inlineStr">
        <is>
          <t>MA2405</t>
        </is>
      </c>
      <c r="C335" s="6" t="inlineStr">
        <is>
          <t>2024-05</t>
        </is>
      </c>
      <c r="D335" s="9" t="n">
        <v>1135040</v>
      </c>
      <c r="E335" s="6" t="n">
        <v>86</v>
      </c>
      <c r="F335" s="6" t="n">
        <v>0</v>
      </c>
      <c r="G335" s="6" t="n">
        <v>0</v>
      </c>
      <c r="H335" s="7" t="n">
        <v>34</v>
      </c>
      <c r="I335" s="6" t="inlineStr">
        <is>
          <t>Back(近强)</t>
        </is>
      </c>
    </row>
    <row r="336">
      <c r="A336" s="11" t="inlineStr">
        <is>
          <t>2024-01-02</t>
        </is>
      </c>
      <c r="B336" s="11" t="inlineStr">
        <is>
          <t>MA2405</t>
        </is>
      </c>
      <c r="C336" s="11" t="inlineStr">
        <is>
          <t>2024-05</t>
        </is>
      </c>
      <c r="D336" s="14" t="n">
        <v>1154486</v>
      </c>
      <c r="E336" s="11" t="n">
        <v>85</v>
      </c>
      <c r="F336" s="11" t="n">
        <v>0</v>
      </c>
      <c r="G336" s="11" t="n">
        <v>0</v>
      </c>
      <c r="H336" s="12" t="n">
        <v>37</v>
      </c>
      <c r="I336" s="11" t="inlineStr">
        <is>
          <t>Back(近强)</t>
        </is>
      </c>
    </row>
    <row r="337">
      <c r="A337" s="6" t="inlineStr">
        <is>
          <t>2024-01-03</t>
        </is>
      </c>
      <c r="B337" s="6" t="inlineStr">
        <is>
          <t>MA2405</t>
        </is>
      </c>
      <c r="C337" s="6" t="inlineStr">
        <is>
          <t>2024-05</t>
        </is>
      </c>
      <c r="D337" s="9" t="n">
        <v>1135769</v>
      </c>
      <c r="E337" s="6" t="n">
        <v>84</v>
      </c>
      <c r="F337" s="6" t="n">
        <v>0</v>
      </c>
      <c r="G337" s="6" t="n">
        <v>0</v>
      </c>
      <c r="H337" s="7" t="n">
        <v>43</v>
      </c>
      <c r="I337" s="6" t="inlineStr">
        <is>
          <t>Back(近强)</t>
        </is>
      </c>
    </row>
    <row r="338">
      <c r="A338" s="11" t="inlineStr">
        <is>
          <t>2024-01-04</t>
        </is>
      </c>
      <c r="B338" s="11" t="inlineStr">
        <is>
          <t>MA2405</t>
        </is>
      </c>
      <c r="C338" s="11" t="inlineStr">
        <is>
          <t>2024-05</t>
        </is>
      </c>
      <c r="D338" s="14" t="n">
        <v>1129076</v>
      </c>
      <c r="E338" s="11" t="n">
        <v>83</v>
      </c>
      <c r="F338" s="11" t="n">
        <v>0</v>
      </c>
      <c r="G338" s="11" t="n">
        <v>0</v>
      </c>
      <c r="H338" s="12" t="n">
        <v>36</v>
      </c>
      <c r="I338" s="11" t="inlineStr">
        <is>
          <t>Back(近强)</t>
        </is>
      </c>
    </row>
    <row r="339">
      <c r="A339" s="6" t="inlineStr">
        <is>
          <t>2024-01-05</t>
        </is>
      </c>
      <c r="B339" s="6" t="inlineStr">
        <is>
          <t>MA2405</t>
        </is>
      </c>
      <c r="C339" s="6" t="inlineStr">
        <is>
          <t>2024-05</t>
        </is>
      </c>
      <c r="D339" s="9" t="n">
        <v>1153815</v>
      </c>
      <c r="E339" s="6" t="n">
        <v>82</v>
      </c>
      <c r="F339" s="6" t="n">
        <v>0</v>
      </c>
      <c r="G339" s="6" t="n">
        <v>0</v>
      </c>
      <c r="H339" s="7" t="n">
        <v>32</v>
      </c>
      <c r="I339" s="6" t="inlineStr">
        <is>
          <t>Back(近强)</t>
        </is>
      </c>
    </row>
    <row r="340">
      <c r="A340" s="11" t="inlineStr">
        <is>
          <t>2024-01-08</t>
        </is>
      </c>
      <c r="B340" s="11" t="inlineStr">
        <is>
          <t>MA2405</t>
        </is>
      </c>
      <c r="C340" s="11" t="inlineStr">
        <is>
          <t>2024-05</t>
        </is>
      </c>
      <c r="D340" s="14" t="n">
        <v>1150832</v>
      </c>
      <c r="E340" s="11" t="n">
        <v>81</v>
      </c>
      <c r="F340" s="11" t="n">
        <v>0</v>
      </c>
      <c r="G340" s="11" t="n">
        <v>0</v>
      </c>
      <c r="H340" s="12" t="n">
        <v>50</v>
      </c>
      <c r="I340" s="11" t="inlineStr">
        <is>
          <t>Back(近强)</t>
        </is>
      </c>
    </row>
    <row r="341">
      <c r="A341" s="6" t="inlineStr">
        <is>
          <t>2024-01-09</t>
        </is>
      </c>
      <c r="B341" s="6" t="inlineStr">
        <is>
          <t>MA2405</t>
        </is>
      </c>
      <c r="C341" s="6" t="inlineStr">
        <is>
          <t>2024-05</t>
        </is>
      </c>
      <c r="D341" s="9" t="n">
        <v>1130104</v>
      </c>
      <c r="E341" s="6" t="n">
        <v>80</v>
      </c>
      <c r="F341" s="6" t="n">
        <v>0</v>
      </c>
      <c r="G341" s="6" t="n">
        <v>0</v>
      </c>
      <c r="H341" s="7" t="n">
        <v>25</v>
      </c>
      <c r="I341" s="6" t="inlineStr">
        <is>
          <t>Back(近强)</t>
        </is>
      </c>
    </row>
    <row r="342">
      <c r="A342" s="11" t="inlineStr">
        <is>
          <t>2024-01-10</t>
        </is>
      </c>
      <c r="B342" s="11" t="inlineStr">
        <is>
          <t>MA2405</t>
        </is>
      </c>
      <c r="C342" s="11" t="inlineStr">
        <is>
          <t>2024-05</t>
        </is>
      </c>
      <c r="D342" s="14" t="n">
        <v>1248108</v>
      </c>
      <c r="E342" s="11" t="n">
        <v>79</v>
      </c>
      <c r="F342" s="11" t="n">
        <v>0</v>
      </c>
      <c r="G342" s="11" t="n">
        <v>0</v>
      </c>
      <c r="H342" s="12" t="n">
        <v>-29</v>
      </c>
      <c r="I342" s="11" t="inlineStr">
        <is>
          <t>Contango(远强)</t>
        </is>
      </c>
    </row>
    <row r="343">
      <c r="A343" s="6" t="inlineStr">
        <is>
          <t>2024-01-11</t>
        </is>
      </c>
      <c r="B343" s="6" t="inlineStr">
        <is>
          <t>MA2405</t>
        </is>
      </c>
      <c r="C343" s="6" t="inlineStr">
        <is>
          <t>2024-05</t>
        </is>
      </c>
      <c r="D343" s="9" t="n">
        <v>1152796</v>
      </c>
      <c r="E343" s="6" t="n">
        <v>78</v>
      </c>
      <c r="F343" s="6" t="n">
        <v>0</v>
      </c>
      <c r="G343" s="6" t="n">
        <v>0</v>
      </c>
      <c r="H343" s="7" t="n">
        <v>58</v>
      </c>
      <c r="I343" s="6" t="inlineStr">
        <is>
          <t>Back(近强)</t>
        </is>
      </c>
    </row>
    <row r="344">
      <c r="A344" s="11" t="inlineStr">
        <is>
          <t>2024-01-12</t>
        </is>
      </c>
      <c r="B344" s="11" t="inlineStr">
        <is>
          <t>MA2405</t>
        </is>
      </c>
      <c r="C344" s="11" t="inlineStr">
        <is>
          <t>2024-05</t>
        </is>
      </c>
      <c r="D344" s="14" t="n">
        <v>1062465</v>
      </c>
      <c r="E344" s="11" t="n">
        <v>77</v>
      </c>
      <c r="F344" s="11" t="n">
        <v>0</v>
      </c>
      <c r="G344" s="11" t="n">
        <v>0</v>
      </c>
      <c r="H344" s="12" t="n">
        <v>-37</v>
      </c>
      <c r="I344" s="11" t="inlineStr">
        <is>
          <t>Contango(远强)</t>
        </is>
      </c>
    </row>
    <row r="345">
      <c r="A345" s="6" t="inlineStr">
        <is>
          <t>2024-01-15</t>
        </is>
      </c>
      <c r="B345" s="6" t="inlineStr">
        <is>
          <t>MA2405</t>
        </is>
      </c>
      <c r="C345" s="6" t="inlineStr">
        <is>
          <t>2024-05</t>
        </is>
      </c>
      <c r="D345" s="9" t="n">
        <v>999930</v>
      </c>
      <c r="E345" s="6" t="n">
        <v>76</v>
      </c>
      <c r="F345" s="6" t="n">
        <v>0</v>
      </c>
      <c r="G345" s="6" t="n">
        <v>0</v>
      </c>
      <c r="H345" s="7" t="n">
        <v>-14</v>
      </c>
      <c r="I345" s="6" t="inlineStr">
        <is>
          <t>Contango(远强)</t>
        </is>
      </c>
    </row>
    <row r="346">
      <c r="A346" s="11" t="inlineStr">
        <is>
          <t>2024-01-16</t>
        </is>
      </c>
      <c r="B346" s="11" t="inlineStr">
        <is>
          <t>MA2405</t>
        </is>
      </c>
      <c r="C346" s="11" t="inlineStr">
        <is>
          <t>2024-05</t>
        </is>
      </c>
      <c r="D346" s="14" t="n">
        <v>951588</v>
      </c>
      <c r="E346" s="11" t="n">
        <v>75</v>
      </c>
      <c r="F346" s="11" t="n">
        <v>0</v>
      </c>
      <c r="G346" s="11" t="n">
        <v>0</v>
      </c>
      <c r="H346" s="12" t="n">
        <v>-48</v>
      </c>
      <c r="I346" s="11" t="inlineStr">
        <is>
          <t>Contango(远强)</t>
        </is>
      </c>
    </row>
    <row r="347">
      <c r="A347" s="6" t="inlineStr">
        <is>
          <t>2024-01-17</t>
        </is>
      </c>
      <c r="B347" s="6" t="inlineStr">
        <is>
          <t>MA2405</t>
        </is>
      </c>
      <c r="C347" s="6" t="inlineStr">
        <is>
          <t>2024-05</t>
        </is>
      </c>
      <c r="D347" s="9" t="n">
        <v>962479</v>
      </c>
      <c r="E347" s="6" t="n">
        <v>74</v>
      </c>
      <c r="F347" s="6" t="n">
        <v>0</v>
      </c>
      <c r="G347" s="6" t="n">
        <v>0</v>
      </c>
      <c r="H347" s="7" t="n">
        <v>-50</v>
      </c>
      <c r="I347" s="6" t="inlineStr">
        <is>
          <t>Contango(远强)</t>
        </is>
      </c>
    </row>
    <row r="348">
      <c r="A348" s="11" t="inlineStr">
        <is>
          <t>2024-01-18</t>
        </is>
      </c>
      <c r="B348" s="11" t="inlineStr">
        <is>
          <t>MA2405</t>
        </is>
      </c>
      <c r="C348" s="11" t="inlineStr">
        <is>
          <t>2024-05</t>
        </is>
      </c>
      <c r="D348" s="14" t="n">
        <v>899451</v>
      </c>
      <c r="E348" s="11" t="n">
        <v>73</v>
      </c>
      <c r="F348" s="11" t="n">
        <v>0</v>
      </c>
      <c r="G348" s="11" t="n">
        <v>0</v>
      </c>
      <c r="H348" s="12" t="n">
        <v>-51</v>
      </c>
      <c r="I348" s="11" t="inlineStr">
        <is>
          <t>Contango(远强)</t>
        </is>
      </c>
    </row>
    <row r="349">
      <c r="A349" s="6" t="inlineStr">
        <is>
          <t>2024-01-19</t>
        </is>
      </c>
      <c r="B349" s="6" t="inlineStr">
        <is>
          <t>MA2405</t>
        </is>
      </c>
      <c r="C349" s="6" t="inlineStr">
        <is>
          <t>2024-05</t>
        </is>
      </c>
      <c r="D349" s="9" t="n">
        <v>894485</v>
      </c>
      <c r="E349" s="6" t="n">
        <v>72</v>
      </c>
      <c r="F349" s="6" t="n">
        <v>0</v>
      </c>
      <c r="G349" s="6" t="n">
        <v>0</v>
      </c>
      <c r="H349" s="7" t="n">
        <v>-53</v>
      </c>
      <c r="I349" s="6" t="inlineStr">
        <is>
          <t>Contango(远强)</t>
        </is>
      </c>
    </row>
    <row r="350">
      <c r="A350" s="11" t="inlineStr">
        <is>
          <t>2024-01-22</t>
        </is>
      </c>
      <c r="B350" s="11" t="inlineStr">
        <is>
          <t>MA2405</t>
        </is>
      </c>
      <c r="C350" s="11" t="inlineStr">
        <is>
          <t>2024-05</t>
        </is>
      </c>
      <c r="D350" s="14" t="n">
        <v>837834</v>
      </c>
      <c r="E350" s="11" t="n">
        <v>71</v>
      </c>
      <c r="F350" s="11" t="n">
        <v>0</v>
      </c>
      <c r="G350" s="11" t="n">
        <v>0</v>
      </c>
      <c r="H350" s="12" t="n">
        <v>-46</v>
      </c>
      <c r="I350" s="11" t="inlineStr">
        <is>
          <t>Contango(远强)</t>
        </is>
      </c>
    </row>
    <row r="351">
      <c r="A351" s="6" t="inlineStr">
        <is>
          <t>2024-01-23</t>
        </is>
      </c>
      <c r="B351" s="6" t="inlineStr">
        <is>
          <t>MA2405</t>
        </is>
      </c>
      <c r="C351" s="6" t="inlineStr">
        <is>
          <t>2024-05</t>
        </is>
      </c>
      <c r="D351" s="9" t="n">
        <v>826847</v>
      </c>
      <c r="E351" s="6" t="n">
        <v>70</v>
      </c>
      <c r="F351" s="6" t="n">
        <v>0</v>
      </c>
      <c r="G351" s="6" t="n">
        <v>0</v>
      </c>
      <c r="H351" s="7" t="n">
        <v>-91</v>
      </c>
      <c r="I351" s="6" t="inlineStr">
        <is>
          <t>Contango(远强)</t>
        </is>
      </c>
    </row>
    <row r="352">
      <c r="A352" s="11" t="inlineStr">
        <is>
          <t>2024-01-24</t>
        </is>
      </c>
      <c r="B352" s="11" t="inlineStr">
        <is>
          <t>MA2405</t>
        </is>
      </c>
      <c r="C352" s="11" t="inlineStr">
        <is>
          <t>2024-05</t>
        </is>
      </c>
      <c r="D352" s="14" t="n">
        <v>859268</v>
      </c>
      <c r="E352" s="11" t="n">
        <v>69</v>
      </c>
      <c r="F352" s="11" t="n">
        <v>0</v>
      </c>
      <c r="G352" s="11" t="n">
        <v>0</v>
      </c>
      <c r="H352" s="12" t="n">
        <v>-58</v>
      </c>
      <c r="I352" s="11" t="inlineStr">
        <is>
          <t>Contango(远强)</t>
        </is>
      </c>
    </row>
    <row r="353">
      <c r="A353" s="6" t="inlineStr">
        <is>
          <t>2024-01-25</t>
        </is>
      </c>
      <c r="B353" s="6" t="inlineStr">
        <is>
          <t>MA2405</t>
        </is>
      </c>
      <c r="C353" s="6" t="inlineStr">
        <is>
          <t>2024-05</t>
        </is>
      </c>
      <c r="D353" s="9" t="n">
        <v>864043</v>
      </c>
      <c r="E353" s="6" t="n">
        <v>68</v>
      </c>
      <c r="F353" s="6" t="n">
        <v>0</v>
      </c>
      <c r="G353" s="6" t="n">
        <v>0</v>
      </c>
      <c r="H353" s="7" t="n">
        <v>-50</v>
      </c>
      <c r="I353" s="6" t="inlineStr">
        <is>
          <t>Contango(远强)</t>
        </is>
      </c>
    </row>
    <row r="354">
      <c r="A354" s="11" t="inlineStr">
        <is>
          <t>2024-01-26</t>
        </is>
      </c>
      <c r="B354" s="11" t="inlineStr">
        <is>
          <t>MA2405</t>
        </is>
      </c>
      <c r="C354" s="11" t="inlineStr">
        <is>
          <t>2024-05</t>
        </is>
      </c>
      <c r="D354" s="14" t="n">
        <v>843382</v>
      </c>
      <c r="E354" s="11" t="n">
        <v>67</v>
      </c>
      <c r="F354" s="11" t="n">
        <v>0</v>
      </c>
      <c r="G354" s="11" t="n">
        <v>0</v>
      </c>
      <c r="H354" s="12" t="n">
        <v>-48</v>
      </c>
      <c r="I354" s="11" t="inlineStr">
        <is>
          <t>Contango(远强)</t>
        </is>
      </c>
    </row>
    <row r="355">
      <c r="A355" s="6" t="inlineStr">
        <is>
          <t>2024-01-29</t>
        </is>
      </c>
      <c r="B355" s="6" t="inlineStr">
        <is>
          <t>MA2405</t>
        </is>
      </c>
      <c r="C355" s="6" t="inlineStr">
        <is>
          <t>2024-05</t>
        </is>
      </c>
      <c r="D355" s="9" t="n">
        <v>867802</v>
      </c>
      <c r="E355" s="6" t="n">
        <v>66</v>
      </c>
      <c r="F355" s="6" t="n">
        <v>0</v>
      </c>
      <c r="G355" s="6" t="n">
        <v>0</v>
      </c>
      <c r="H355" s="7" t="n">
        <v>-41</v>
      </c>
      <c r="I355" s="6" t="inlineStr">
        <is>
          <t>Contango(远强)</t>
        </is>
      </c>
    </row>
    <row r="356">
      <c r="A356" s="11" t="inlineStr">
        <is>
          <t>2024-01-30</t>
        </is>
      </c>
      <c r="B356" s="11" t="inlineStr">
        <is>
          <t>MA2405</t>
        </is>
      </c>
      <c r="C356" s="11" t="inlineStr">
        <is>
          <t>2024-05</t>
        </is>
      </c>
      <c r="D356" s="14" t="n">
        <v>885530</v>
      </c>
      <c r="E356" s="11" t="n">
        <v>65</v>
      </c>
      <c r="F356" s="11" t="n">
        <v>0</v>
      </c>
      <c r="G356" s="11" t="n">
        <v>0</v>
      </c>
      <c r="H356" s="12" t="n">
        <v>-49</v>
      </c>
      <c r="I356" s="11" t="inlineStr">
        <is>
          <t>Contango(远强)</t>
        </is>
      </c>
    </row>
    <row r="357">
      <c r="A357" s="6" t="inlineStr">
        <is>
          <t>2024-01-31</t>
        </is>
      </c>
      <c r="B357" s="6" t="inlineStr">
        <is>
          <t>MA2405</t>
        </is>
      </c>
      <c r="C357" s="6" t="inlineStr">
        <is>
          <t>2024-05</t>
        </is>
      </c>
      <c r="D357" s="9" t="n">
        <v>940407</v>
      </c>
      <c r="E357" s="6" t="n">
        <v>64</v>
      </c>
      <c r="F357" s="6" t="n">
        <v>0</v>
      </c>
      <c r="G357" s="6" t="n">
        <v>0</v>
      </c>
      <c r="H357" s="7" t="n">
        <v>-71</v>
      </c>
      <c r="I357" s="6" t="inlineStr">
        <is>
          <t>Contango(远强)</t>
        </is>
      </c>
    </row>
    <row r="358">
      <c r="A358" s="11" t="inlineStr">
        <is>
          <t>2024-02-01</t>
        </is>
      </c>
      <c r="B358" s="11" t="inlineStr">
        <is>
          <t>MA2405</t>
        </is>
      </c>
      <c r="C358" s="11" t="inlineStr">
        <is>
          <t>2024-05</t>
        </is>
      </c>
      <c r="D358" s="14" t="n">
        <v>921508</v>
      </c>
      <c r="E358" s="11" t="n">
        <v>63</v>
      </c>
      <c r="F358" s="11" t="n">
        <v>0</v>
      </c>
      <c r="G358" s="11" t="n">
        <v>0</v>
      </c>
      <c r="H358" s="12" t="n">
        <v>-68</v>
      </c>
      <c r="I358" s="11" t="inlineStr">
        <is>
          <t>Contango(远强)</t>
        </is>
      </c>
    </row>
    <row r="359">
      <c r="A359" s="6" t="inlineStr">
        <is>
          <t>2024-02-02</t>
        </is>
      </c>
      <c r="B359" s="6" t="inlineStr">
        <is>
          <t>MA2405</t>
        </is>
      </c>
      <c r="C359" s="6" t="inlineStr">
        <is>
          <t>2024-05</t>
        </is>
      </c>
      <c r="D359" s="9" t="n">
        <v>880583</v>
      </c>
      <c r="E359" s="6" t="n">
        <v>62</v>
      </c>
      <c r="F359" s="6" t="n">
        <v>0</v>
      </c>
      <c r="G359" s="6" t="n">
        <v>0</v>
      </c>
      <c r="H359" s="7" t="n">
        <v>-57</v>
      </c>
      <c r="I359" s="6" t="inlineStr">
        <is>
          <t>Contango(远强)</t>
        </is>
      </c>
    </row>
    <row r="360">
      <c r="A360" s="11" t="inlineStr">
        <is>
          <t>2024-02-05</t>
        </is>
      </c>
      <c r="B360" s="11" t="inlineStr">
        <is>
          <t>MA2405</t>
        </is>
      </c>
      <c r="C360" s="11" t="inlineStr">
        <is>
          <t>2024-05</t>
        </is>
      </c>
      <c r="D360" s="14" t="n">
        <v>868727</v>
      </c>
      <c r="E360" s="11" t="n">
        <v>61</v>
      </c>
      <c r="F360" s="11" t="n">
        <v>0</v>
      </c>
      <c r="G360" s="11" t="n">
        <v>0</v>
      </c>
      <c r="H360" s="12" t="n">
        <v>-84</v>
      </c>
      <c r="I360" s="11" t="inlineStr">
        <is>
          <t>Contango(远强)</t>
        </is>
      </c>
    </row>
    <row r="361">
      <c r="A361" s="6" t="inlineStr">
        <is>
          <t>2024-02-06</t>
        </is>
      </c>
      <c r="B361" s="6" t="inlineStr">
        <is>
          <t>MA2405</t>
        </is>
      </c>
      <c r="C361" s="6" t="inlineStr">
        <is>
          <t>2024-05</t>
        </is>
      </c>
      <c r="D361" s="9" t="n">
        <v>811518</v>
      </c>
      <c r="E361" s="6" t="n">
        <v>60</v>
      </c>
      <c r="F361" s="6" t="n">
        <v>0</v>
      </c>
      <c r="G361" s="6" t="n">
        <v>0</v>
      </c>
      <c r="H361" s="7" t="n">
        <v>-86</v>
      </c>
      <c r="I361" s="6" t="inlineStr">
        <is>
          <t>Contango(远强)</t>
        </is>
      </c>
    </row>
    <row r="362">
      <c r="A362" s="11" t="inlineStr">
        <is>
          <t>2024-02-07</t>
        </is>
      </c>
      <c r="B362" s="11" t="inlineStr">
        <is>
          <t>MA2405</t>
        </is>
      </c>
      <c r="C362" s="11" t="inlineStr">
        <is>
          <t>2024-05</t>
        </is>
      </c>
      <c r="D362" s="14" t="n">
        <v>821861</v>
      </c>
      <c r="E362" s="11" t="n">
        <v>59</v>
      </c>
      <c r="F362" s="11" t="n">
        <v>0</v>
      </c>
      <c r="G362" s="11" t="n">
        <v>0</v>
      </c>
      <c r="H362" s="12" t="n">
        <v>-61</v>
      </c>
      <c r="I362" s="11" t="inlineStr">
        <is>
          <t>Contango(远强)</t>
        </is>
      </c>
    </row>
    <row r="363">
      <c r="A363" s="6" t="inlineStr">
        <is>
          <t>2024-02-08</t>
        </is>
      </c>
      <c r="B363" s="6" t="inlineStr">
        <is>
          <t>MA2405</t>
        </is>
      </c>
      <c r="C363" s="6" t="inlineStr">
        <is>
          <t>2024-05</t>
        </is>
      </c>
      <c r="D363" s="9" t="n">
        <v>745750</v>
      </c>
      <c r="E363" s="6" t="n">
        <v>58</v>
      </c>
      <c r="F363" s="6" t="n">
        <v>0</v>
      </c>
      <c r="G363" s="6" t="n">
        <v>0</v>
      </c>
      <c r="H363" s="7" t="n">
        <v>32</v>
      </c>
      <c r="I363" s="6" t="inlineStr">
        <is>
          <t>Back(近强)</t>
        </is>
      </c>
    </row>
    <row r="364">
      <c r="A364" s="11" t="inlineStr">
        <is>
          <t>2024-02-19</t>
        </is>
      </c>
      <c r="B364" s="11" t="inlineStr">
        <is>
          <t>MA2405</t>
        </is>
      </c>
      <c r="C364" s="11" t="inlineStr">
        <is>
          <t>2024-05</t>
        </is>
      </c>
      <c r="D364" s="14" t="n">
        <v>802992</v>
      </c>
      <c r="E364" s="11" t="n">
        <v>57</v>
      </c>
      <c r="F364" s="11" t="n">
        <v>0</v>
      </c>
      <c r="G364" s="11" t="n">
        <v>0</v>
      </c>
      <c r="H364" s="12" t="n">
        <v>16</v>
      </c>
      <c r="I364" s="11" t="inlineStr">
        <is>
          <t>Back(近强)</t>
        </is>
      </c>
    </row>
    <row r="365">
      <c r="A365" s="6" t="inlineStr">
        <is>
          <t>2024-02-20</t>
        </is>
      </c>
      <c r="B365" s="6" t="inlineStr">
        <is>
          <t>MA2405</t>
        </is>
      </c>
      <c r="C365" s="6" t="inlineStr">
        <is>
          <t>2024-05</t>
        </is>
      </c>
      <c r="D365" s="9" t="n">
        <v>788571</v>
      </c>
      <c r="E365" s="6" t="n">
        <v>56</v>
      </c>
      <c r="F365" s="6" t="n">
        <v>0</v>
      </c>
      <c r="G365" s="6" t="n">
        <v>0</v>
      </c>
      <c r="H365" s="7" t="n">
        <v>-30</v>
      </c>
      <c r="I365" s="6" t="inlineStr">
        <is>
          <t>Contango(远强)</t>
        </is>
      </c>
    </row>
    <row r="366">
      <c r="A366" s="11" t="inlineStr">
        <is>
          <t>2024-02-21</t>
        </is>
      </c>
      <c r="B366" s="11" t="inlineStr">
        <is>
          <t>MA2405</t>
        </is>
      </c>
      <c r="C366" s="11" t="inlineStr">
        <is>
          <t>2024-05</t>
        </is>
      </c>
      <c r="D366" s="14" t="n">
        <v>818833</v>
      </c>
      <c r="E366" s="11" t="n">
        <v>55</v>
      </c>
      <c r="F366" s="11" t="n">
        <v>0</v>
      </c>
      <c r="G366" s="11" t="n">
        <v>0</v>
      </c>
      <c r="H366" s="12" t="n">
        <v>28</v>
      </c>
      <c r="I366" s="11" t="inlineStr">
        <is>
          <t>Back(近强)</t>
        </is>
      </c>
    </row>
    <row r="367">
      <c r="A367" s="6" t="inlineStr">
        <is>
          <t>2024-02-22</t>
        </is>
      </c>
      <c r="B367" s="6" t="inlineStr">
        <is>
          <t>MA2405</t>
        </is>
      </c>
      <c r="C367" s="6" t="inlineStr">
        <is>
          <t>2024-05</t>
        </is>
      </c>
      <c r="D367" s="9" t="n">
        <v>861169</v>
      </c>
      <c r="E367" s="6" t="n">
        <v>54</v>
      </c>
      <c r="F367" s="6" t="n">
        <v>0</v>
      </c>
      <c r="G367" s="6" t="n">
        <v>0</v>
      </c>
      <c r="H367" s="7" t="n">
        <v>45</v>
      </c>
      <c r="I367" s="6" t="inlineStr">
        <is>
          <t>Back(近强)</t>
        </is>
      </c>
    </row>
    <row r="368">
      <c r="A368" s="11" t="inlineStr">
        <is>
          <t>2024-02-23</t>
        </is>
      </c>
      <c r="B368" s="11" t="inlineStr">
        <is>
          <t>MA2405</t>
        </is>
      </c>
      <c r="C368" s="11" t="inlineStr">
        <is>
          <t>2024-05</t>
        </is>
      </c>
      <c r="D368" s="14" t="n">
        <v>910249</v>
      </c>
      <c r="E368" s="11" t="n">
        <v>53</v>
      </c>
      <c r="F368" s="11" t="n">
        <v>0</v>
      </c>
      <c r="G368" s="11" t="n">
        <v>0</v>
      </c>
      <c r="H368" s="12" t="n">
        <v>-64</v>
      </c>
      <c r="I368" s="11" t="inlineStr">
        <is>
          <t>Contango(远强)</t>
        </is>
      </c>
    </row>
    <row r="369">
      <c r="A369" s="6" t="inlineStr">
        <is>
          <t>2024-02-26</t>
        </is>
      </c>
      <c r="B369" s="6" t="inlineStr">
        <is>
          <t>MA2405</t>
        </is>
      </c>
      <c r="C369" s="6" t="inlineStr">
        <is>
          <t>2024-05</t>
        </is>
      </c>
      <c r="D369" s="9" t="n">
        <v>917179</v>
      </c>
      <c r="E369" s="6" t="n">
        <v>52</v>
      </c>
      <c r="F369" s="6" t="n">
        <v>0</v>
      </c>
      <c r="G369" s="6" t="n">
        <v>0</v>
      </c>
      <c r="H369" s="7" t="n">
        <v>-69</v>
      </c>
      <c r="I369" s="6" t="inlineStr">
        <is>
          <t>Contango(远强)</t>
        </is>
      </c>
    </row>
    <row r="370">
      <c r="A370" s="11" t="inlineStr">
        <is>
          <t>2024-02-27</t>
        </is>
      </c>
      <c r="B370" s="11" t="inlineStr">
        <is>
          <t>MA2405</t>
        </is>
      </c>
      <c r="C370" s="11" t="inlineStr">
        <is>
          <t>2024-05</t>
        </is>
      </c>
      <c r="D370" s="14" t="n">
        <v>1021119</v>
      </c>
      <c r="E370" s="11" t="n">
        <v>51</v>
      </c>
      <c r="F370" s="11" t="n">
        <v>0</v>
      </c>
      <c r="G370" s="11" t="n">
        <v>0</v>
      </c>
      <c r="H370" s="12" t="n">
        <v>-66</v>
      </c>
      <c r="I370" s="11" t="inlineStr">
        <is>
          <t>Contango(远强)</t>
        </is>
      </c>
    </row>
    <row r="371">
      <c r="A371" s="6" t="inlineStr">
        <is>
          <t>2024-02-28</t>
        </is>
      </c>
      <c r="B371" s="6" t="inlineStr">
        <is>
          <t>MA2405</t>
        </is>
      </c>
      <c r="C371" s="6" t="inlineStr">
        <is>
          <t>2024-05</t>
        </is>
      </c>
      <c r="D371" s="9" t="n">
        <v>1003598</v>
      </c>
      <c r="E371" s="6" t="n">
        <v>50</v>
      </c>
      <c r="F371" s="6" t="n">
        <v>0</v>
      </c>
      <c r="G371" s="6" t="n">
        <v>0</v>
      </c>
      <c r="H371" s="7" t="n">
        <v>-66</v>
      </c>
      <c r="I371" s="6" t="inlineStr">
        <is>
          <t>Contango(远强)</t>
        </is>
      </c>
    </row>
    <row r="372">
      <c r="A372" s="11" t="inlineStr">
        <is>
          <t>2024-02-29</t>
        </is>
      </c>
      <c r="B372" s="11" t="inlineStr">
        <is>
          <t>MA2405</t>
        </is>
      </c>
      <c r="C372" s="11" t="inlineStr">
        <is>
          <t>2024-05</t>
        </is>
      </c>
      <c r="D372" s="14" t="n">
        <v>945804</v>
      </c>
      <c r="E372" s="11" t="n">
        <v>49</v>
      </c>
      <c r="F372" s="11" t="n">
        <v>0</v>
      </c>
      <c r="G372" s="11" t="n">
        <v>0</v>
      </c>
      <c r="H372" s="12" t="n">
        <v>-70</v>
      </c>
      <c r="I372" s="11" t="inlineStr">
        <is>
          <t>Contango(远强)</t>
        </is>
      </c>
    </row>
    <row r="373">
      <c r="A373" s="6" t="inlineStr">
        <is>
          <t>2024-03-01</t>
        </is>
      </c>
      <c r="B373" s="6" t="inlineStr">
        <is>
          <t>MA2405</t>
        </is>
      </c>
      <c r="C373" s="6" t="inlineStr">
        <is>
          <t>2024-05</t>
        </is>
      </c>
      <c r="D373" s="9" t="n">
        <v>936277</v>
      </c>
      <c r="E373" s="6" t="n">
        <v>48</v>
      </c>
      <c r="F373" s="6" t="n">
        <v>0</v>
      </c>
      <c r="G373" s="6" t="n">
        <v>0</v>
      </c>
      <c r="H373" s="7" t="n">
        <v>-38</v>
      </c>
      <c r="I373" s="6" t="inlineStr">
        <is>
          <t>Contango(远强)</t>
        </is>
      </c>
    </row>
    <row r="374">
      <c r="A374" s="11" t="inlineStr">
        <is>
          <t>2024-03-04</t>
        </is>
      </c>
      <c r="B374" s="11" t="inlineStr">
        <is>
          <t>MA2405</t>
        </is>
      </c>
      <c r="C374" s="11" t="inlineStr">
        <is>
          <t>2024-05</t>
        </is>
      </c>
      <c r="D374" s="14" t="n">
        <v>879744</v>
      </c>
      <c r="E374" s="11" t="n">
        <v>47</v>
      </c>
      <c r="F374" s="11" t="n">
        <v>0</v>
      </c>
      <c r="G374" s="11" t="n">
        <v>0</v>
      </c>
      <c r="H374" s="12" t="n">
        <v>-60</v>
      </c>
      <c r="I374" s="11" t="inlineStr">
        <is>
          <t>Contango(远强)</t>
        </is>
      </c>
    </row>
    <row r="375">
      <c r="A375" s="6" t="inlineStr">
        <is>
          <t>2024-03-05</t>
        </is>
      </c>
      <c r="B375" s="6" t="inlineStr">
        <is>
          <t>MA2405</t>
        </is>
      </c>
      <c r="C375" s="6" t="inlineStr">
        <is>
          <t>2024-05</t>
        </is>
      </c>
      <c r="D375" s="9" t="n">
        <v>844910</v>
      </c>
      <c r="E375" s="6" t="n">
        <v>46</v>
      </c>
      <c r="F375" s="6" t="n">
        <v>0</v>
      </c>
      <c r="G375" s="6" t="n">
        <v>0</v>
      </c>
      <c r="H375" s="7" t="n">
        <v>-78</v>
      </c>
      <c r="I375" s="6" t="inlineStr">
        <is>
          <t>Contango(远强)</t>
        </is>
      </c>
    </row>
    <row r="376">
      <c r="A376" s="11" t="inlineStr">
        <is>
          <t>2024-03-06</t>
        </is>
      </c>
      <c r="B376" s="11" t="inlineStr">
        <is>
          <t>MA2405</t>
        </is>
      </c>
      <c r="C376" s="11" t="inlineStr">
        <is>
          <t>2024-05</t>
        </is>
      </c>
      <c r="D376" s="14" t="n">
        <v>862699</v>
      </c>
      <c r="E376" s="11" t="n">
        <v>45</v>
      </c>
      <c r="F376" s="11" t="n">
        <v>0</v>
      </c>
      <c r="G376" s="11" t="n">
        <v>0</v>
      </c>
      <c r="H376" s="12" t="n">
        <v>-32</v>
      </c>
      <c r="I376" s="11" t="inlineStr">
        <is>
          <t>Contango(远强)</t>
        </is>
      </c>
    </row>
    <row r="377">
      <c r="A377" s="6" t="inlineStr">
        <is>
          <t>2024-03-07</t>
        </is>
      </c>
      <c r="B377" s="6" t="inlineStr">
        <is>
          <t>MA2405</t>
        </is>
      </c>
      <c r="C377" s="6" t="inlineStr">
        <is>
          <t>2024-05</t>
        </is>
      </c>
      <c r="D377" s="9" t="n">
        <v>862061</v>
      </c>
      <c r="E377" s="6" t="n">
        <v>44</v>
      </c>
      <c r="F377" s="6" t="n">
        <v>0</v>
      </c>
      <c r="G377" s="6" t="n">
        <v>0</v>
      </c>
      <c r="H377" s="7" t="n">
        <v>-79</v>
      </c>
      <c r="I377" s="6" t="inlineStr">
        <is>
          <t>Contango(远强)</t>
        </is>
      </c>
    </row>
    <row r="378">
      <c r="A378" s="11" t="inlineStr">
        <is>
          <t>2024-03-08</t>
        </is>
      </c>
      <c r="B378" s="11" t="inlineStr">
        <is>
          <t>MA2405</t>
        </is>
      </c>
      <c r="C378" s="11" t="inlineStr">
        <is>
          <t>2024-05</t>
        </is>
      </c>
      <c r="D378" s="14" t="n">
        <v>857523</v>
      </c>
      <c r="E378" s="11" t="n">
        <v>43</v>
      </c>
      <c r="F378" s="11" t="n">
        <v>0</v>
      </c>
      <c r="G378" s="11" t="n">
        <v>0</v>
      </c>
      <c r="H378" s="12" t="n">
        <v>-40</v>
      </c>
      <c r="I378" s="11" t="inlineStr">
        <is>
          <t>Contango(远强)</t>
        </is>
      </c>
    </row>
    <row r="379">
      <c r="A379" s="6" t="inlineStr">
        <is>
          <t>2024-03-11</t>
        </is>
      </c>
      <c r="B379" s="6" t="inlineStr">
        <is>
          <t>MA2405</t>
        </is>
      </c>
      <c r="C379" s="6" t="inlineStr">
        <is>
          <t>2024-05</t>
        </is>
      </c>
      <c r="D379" s="9" t="n">
        <v>952192</v>
      </c>
      <c r="E379" s="6" t="n">
        <v>42</v>
      </c>
      <c r="F379" s="6" t="n">
        <v>0</v>
      </c>
      <c r="G379" s="6" t="n">
        <v>0</v>
      </c>
      <c r="H379" s="7" t="n">
        <v>-51</v>
      </c>
      <c r="I379" s="6" t="inlineStr">
        <is>
          <t>Contango(远强)</t>
        </is>
      </c>
    </row>
    <row r="380">
      <c r="A380" s="11" t="inlineStr">
        <is>
          <t>2024-03-12</t>
        </is>
      </c>
      <c r="B380" s="11" t="inlineStr">
        <is>
          <t>MA2405</t>
        </is>
      </c>
      <c r="C380" s="11" t="inlineStr">
        <is>
          <t>2024-05</t>
        </is>
      </c>
      <c r="D380" s="14" t="n">
        <v>898426</v>
      </c>
      <c r="E380" s="11" t="n">
        <v>41</v>
      </c>
      <c r="F380" s="11" t="n">
        <v>0</v>
      </c>
      <c r="G380" s="11" t="n">
        <v>0</v>
      </c>
      <c r="H380" s="12" t="n">
        <v>-52</v>
      </c>
      <c r="I380" s="11" t="inlineStr">
        <is>
          <t>Contango(远强)</t>
        </is>
      </c>
    </row>
    <row r="381">
      <c r="A381" s="6" t="inlineStr">
        <is>
          <t>2024-03-13</t>
        </is>
      </c>
      <c r="B381" s="6" t="inlineStr">
        <is>
          <t>MA2405</t>
        </is>
      </c>
      <c r="C381" s="6" t="inlineStr">
        <is>
          <t>2024-05</t>
        </is>
      </c>
      <c r="D381" s="9" t="n">
        <v>861062</v>
      </c>
      <c r="E381" s="6" t="n">
        <v>40</v>
      </c>
      <c r="F381" s="6" t="n">
        <v>0</v>
      </c>
      <c r="G381" s="6" t="n">
        <v>0</v>
      </c>
      <c r="H381" s="7" t="n">
        <v>-50</v>
      </c>
      <c r="I381" s="6" t="inlineStr">
        <is>
          <t>Contango(远强)</t>
        </is>
      </c>
    </row>
    <row r="382">
      <c r="A382" s="11" t="inlineStr">
        <is>
          <t>2024-03-14</t>
        </is>
      </c>
      <c r="B382" s="11" t="inlineStr">
        <is>
          <t>MA2405</t>
        </is>
      </c>
      <c r="C382" s="11" t="inlineStr">
        <is>
          <t>2024-05</t>
        </is>
      </c>
      <c r="D382" s="14" t="n">
        <v>894826</v>
      </c>
      <c r="E382" s="11" t="n">
        <v>39</v>
      </c>
      <c r="F382" s="11" t="n">
        <v>0</v>
      </c>
      <c r="G382" s="11" t="n">
        <v>0</v>
      </c>
      <c r="H382" s="12" t="n">
        <v>-30</v>
      </c>
      <c r="I382" s="11" t="inlineStr">
        <is>
          <t>Contango(远强)</t>
        </is>
      </c>
    </row>
    <row r="383">
      <c r="A383" s="6" t="inlineStr">
        <is>
          <t>2024-03-15</t>
        </is>
      </c>
      <c r="B383" s="6" t="inlineStr">
        <is>
          <t>MA2405</t>
        </is>
      </c>
      <c r="C383" s="6" t="inlineStr">
        <is>
          <t>2024-05</t>
        </is>
      </c>
      <c r="D383" s="9" t="n">
        <v>934242</v>
      </c>
      <c r="E383" s="6" t="n">
        <v>38</v>
      </c>
      <c r="F383" s="6" t="n">
        <v>0</v>
      </c>
      <c r="G383" s="6" t="n">
        <v>0</v>
      </c>
      <c r="H383" s="7" t="n">
        <v>-20</v>
      </c>
      <c r="I383" s="6" t="inlineStr">
        <is>
          <t>结构不明</t>
        </is>
      </c>
    </row>
    <row r="384">
      <c r="A384" s="11" t="inlineStr">
        <is>
          <t>2024-03-18</t>
        </is>
      </c>
      <c r="B384" s="11" t="inlineStr">
        <is>
          <t>MA2405</t>
        </is>
      </c>
      <c r="C384" s="11" t="inlineStr">
        <is>
          <t>2024-05</t>
        </is>
      </c>
      <c r="D384" s="14" t="n">
        <v>971197</v>
      </c>
      <c r="E384" s="11" t="n">
        <v>37</v>
      </c>
      <c r="F384" s="11" t="n">
        <v>0</v>
      </c>
      <c r="G384" s="11" t="n">
        <v>0</v>
      </c>
      <c r="H384" s="12" t="n">
        <v>-14</v>
      </c>
      <c r="I384" s="11" t="inlineStr">
        <is>
          <t>结构不明</t>
        </is>
      </c>
    </row>
    <row r="385">
      <c r="A385" s="6" t="inlineStr">
        <is>
          <t>2024-03-19</t>
        </is>
      </c>
      <c r="B385" s="6" t="inlineStr">
        <is>
          <t>MA2405</t>
        </is>
      </c>
      <c r="C385" s="6" t="inlineStr">
        <is>
          <t>2024-05</t>
        </is>
      </c>
      <c r="D385" s="9" t="n">
        <v>997678</v>
      </c>
      <c r="E385" s="6" t="n">
        <v>36</v>
      </c>
      <c r="F385" s="6" t="n">
        <v>0</v>
      </c>
      <c r="G385" s="6" t="n">
        <v>0</v>
      </c>
      <c r="H385" s="7" t="n">
        <v>-16</v>
      </c>
      <c r="I385" s="6" t="inlineStr">
        <is>
          <t>结构不明</t>
        </is>
      </c>
    </row>
    <row r="386">
      <c r="A386" s="11" t="inlineStr">
        <is>
          <t>2024-03-20</t>
        </is>
      </c>
      <c r="B386" s="11" t="inlineStr">
        <is>
          <t>MA2405</t>
        </is>
      </c>
      <c r="C386" s="11" t="inlineStr">
        <is>
          <t>2024-05</t>
        </is>
      </c>
      <c r="D386" s="14" t="n">
        <v>962394</v>
      </c>
      <c r="E386" s="11" t="n">
        <v>35</v>
      </c>
      <c r="F386" s="11" t="n">
        <v>0</v>
      </c>
      <c r="G386" s="11" t="n">
        <v>0</v>
      </c>
      <c r="H386" s="12" t="n">
        <v>-22</v>
      </c>
      <c r="I386" s="11" t="inlineStr">
        <is>
          <t>结构不明</t>
        </is>
      </c>
    </row>
    <row r="387">
      <c r="A387" s="6" t="inlineStr">
        <is>
          <t>2024-03-21</t>
        </is>
      </c>
      <c r="B387" s="6" t="inlineStr">
        <is>
          <t>MA2405</t>
        </is>
      </c>
      <c r="C387" s="6" t="inlineStr">
        <is>
          <t>2024-05</t>
        </is>
      </c>
      <c r="D387" s="9" t="n">
        <v>878753</v>
      </c>
      <c r="E387" s="6" t="n">
        <v>34</v>
      </c>
      <c r="F387" s="6" t="n">
        <v>0</v>
      </c>
      <c r="G387" s="6" t="n">
        <v>0</v>
      </c>
      <c r="H387" s="7" t="n">
        <v>-42</v>
      </c>
      <c r="I387" s="6" t="inlineStr">
        <is>
          <t>Contango(远强)</t>
        </is>
      </c>
    </row>
    <row r="388">
      <c r="A388" s="11" t="inlineStr">
        <is>
          <t>2024-03-22</t>
        </is>
      </c>
      <c r="B388" s="11" t="inlineStr">
        <is>
          <t>MA2405</t>
        </is>
      </c>
      <c r="C388" s="11" t="inlineStr">
        <is>
          <t>2024-05</t>
        </is>
      </c>
      <c r="D388" s="14" t="n">
        <v>826255</v>
      </c>
      <c r="E388" s="11" t="n">
        <v>33</v>
      </c>
      <c r="F388" s="11" t="n">
        <v>0</v>
      </c>
      <c r="G388" s="11" t="n">
        <v>0</v>
      </c>
      <c r="H388" s="12" t="n">
        <v>-42</v>
      </c>
      <c r="I388" s="11" t="inlineStr">
        <is>
          <t>Contango(远强)</t>
        </is>
      </c>
    </row>
    <row r="389">
      <c r="A389" s="6" t="inlineStr">
        <is>
          <t>2024-03-25</t>
        </is>
      </c>
      <c r="B389" s="6" t="inlineStr">
        <is>
          <t>MA2405</t>
        </is>
      </c>
      <c r="C389" s="6" t="inlineStr">
        <is>
          <t>2024-05</t>
        </is>
      </c>
      <c r="D389" s="9" t="n">
        <v>790962</v>
      </c>
      <c r="E389" s="6" t="n">
        <v>32</v>
      </c>
      <c r="F389" s="6" t="n">
        <v>0</v>
      </c>
      <c r="G389" s="6" t="n">
        <v>0</v>
      </c>
      <c r="H389" s="7" t="n">
        <v>-42</v>
      </c>
      <c r="I389" s="6" t="inlineStr">
        <is>
          <t>Contango(远强)</t>
        </is>
      </c>
    </row>
    <row r="390">
      <c r="A390" s="11" t="inlineStr">
        <is>
          <t>2024-03-26</t>
        </is>
      </c>
      <c r="B390" s="11" t="inlineStr">
        <is>
          <t>MA2405</t>
        </is>
      </c>
      <c r="C390" s="11" t="inlineStr">
        <is>
          <t>2024-05</t>
        </is>
      </c>
      <c r="D390" s="14" t="n">
        <v>752854</v>
      </c>
      <c r="E390" s="11" t="n">
        <v>31</v>
      </c>
      <c r="F390" s="11" t="n">
        <v>0</v>
      </c>
      <c r="G390" s="11" t="n">
        <v>0</v>
      </c>
      <c r="H390" s="12" t="n">
        <v>-52</v>
      </c>
      <c r="I390" s="11" t="inlineStr">
        <is>
          <t>Contango(远强)</t>
        </is>
      </c>
    </row>
    <row r="391">
      <c r="A391" s="6" t="inlineStr">
        <is>
          <t>2024-03-27</t>
        </is>
      </c>
      <c r="B391" s="6" t="inlineStr">
        <is>
          <t>MA2405</t>
        </is>
      </c>
      <c r="C391" s="6" t="inlineStr">
        <is>
          <t>2024-05</t>
        </is>
      </c>
      <c r="D391" s="9" t="n">
        <v>712356</v>
      </c>
      <c r="E391" s="6" t="n">
        <v>30</v>
      </c>
      <c r="F391" s="6" t="n">
        <v>0</v>
      </c>
      <c r="G391" s="6" t="n">
        <v>0</v>
      </c>
      <c r="H391" s="7" t="n">
        <v>-56</v>
      </c>
      <c r="I391" s="6" t="inlineStr">
        <is>
          <t>Contango(远强)</t>
        </is>
      </c>
    </row>
    <row r="392">
      <c r="A392" s="11" t="inlineStr">
        <is>
          <t>2024-03-28</t>
        </is>
      </c>
      <c r="B392" s="11" t="inlineStr">
        <is>
          <t>MA2405</t>
        </is>
      </c>
      <c r="C392" s="11" t="inlineStr">
        <is>
          <t>2024-05</t>
        </is>
      </c>
      <c r="D392" s="14" t="n">
        <v>660116</v>
      </c>
      <c r="E392" s="11" t="n">
        <v>29</v>
      </c>
      <c r="F392" s="11" t="n">
        <v>0</v>
      </c>
      <c r="G392" s="11" t="n">
        <v>0</v>
      </c>
      <c r="H392" s="12" t="n">
        <v>-51</v>
      </c>
      <c r="I392" s="11" t="inlineStr">
        <is>
          <t>Contango(远强)</t>
        </is>
      </c>
    </row>
    <row r="393">
      <c r="A393" s="6" t="inlineStr">
        <is>
          <t>2024-03-29</t>
        </is>
      </c>
      <c r="B393" s="6" t="inlineStr">
        <is>
          <t>MA2405</t>
        </is>
      </c>
      <c r="C393" s="6" t="inlineStr">
        <is>
          <t>2024-05</t>
        </is>
      </c>
      <c r="D393" s="9" t="n">
        <v>673999</v>
      </c>
      <c r="E393" s="6" t="n">
        <v>28</v>
      </c>
      <c r="F393" s="6" t="n">
        <v>0</v>
      </c>
      <c r="G393" s="6" t="n">
        <v>0</v>
      </c>
      <c r="H393" s="7" t="n">
        <v>-10</v>
      </c>
      <c r="I393" s="6" t="inlineStr">
        <is>
          <t>Back(近强)</t>
        </is>
      </c>
    </row>
    <row r="394">
      <c r="A394" s="11" t="inlineStr">
        <is>
          <t>2024-04-01</t>
        </is>
      </c>
      <c r="B394" s="11" t="inlineStr">
        <is>
          <t>MA2405</t>
        </is>
      </c>
      <c r="C394" s="11" t="inlineStr">
        <is>
          <t>2024-05</t>
        </is>
      </c>
      <c r="D394" s="14" t="n">
        <v>646718</v>
      </c>
      <c r="E394" s="11" t="n">
        <v>27</v>
      </c>
      <c r="F394" s="11" t="n">
        <v>0</v>
      </c>
      <c r="G394" s="11" t="n">
        <v>0</v>
      </c>
      <c r="H394" s="12" t="n">
        <v>-35</v>
      </c>
      <c r="I394" s="11" t="inlineStr">
        <is>
          <t>Contango(远强)</t>
        </is>
      </c>
    </row>
    <row r="395">
      <c r="A395" s="6" t="inlineStr">
        <is>
          <t>2024-04-02</t>
        </is>
      </c>
      <c r="B395" s="6" t="inlineStr">
        <is>
          <t>MA2405</t>
        </is>
      </c>
      <c r="C395" s="6" t="inlineStr">
        <is>
          <t>2024-05</t>
        </is>
      </c>
      <c r="D395" s="9" t="n">
        <v>588166</v>
      </c>
      <c r="E395" s="6" t="n">
        <v>26</v>
      </c>
      <c r="F395" s="6" t="n">
        <v>0</v>
      </c>
      <c r="G395" s="6" t="n">
        <v>0</v>
      </c>
      <c r="H395" s="7" t="n">
        <v>40</v>
      </c>
      <c r="I395" s="6" t="inlineStr">
        <is>
          <t>Back(近强)</t>
        </is>
      </c>
    </row>
    <row r="396">
      <c r="A396" s="11" t="inlineStr">
        <is>
          <t>2024-04-03</t>
        </is>
      </c>
      <c r="B396" s="11" t="inlineStr">
        <is>
          <t>MA2405</t>
        </is>
      </c>
      <c r="C396" s="11" t="inlineStr">
        <is>
          <t>2024-05</t>
        </is>
      </c>
      <c r="D396" s="14" t="n">
        <v>536115</v>
      </c>
      <c r="E396" s="11" t="n">
        <v>25</v>
      </c>
      <c r="F396" s="11" t="n">
        <v>0</v>
      </c>
      <c r="G396" s="11" t="n">
        <v>0</v>
      </c>
      <c r="H396" s="12" t="n">
        <v>40</v>
      </c>
      <c r="I396" s="11" t="inlineStr">
        <is>
          <t>Back(近强)</t>
        </is>
      </c>
    </row>
    <row r="397">
      <c r="A397" s="6" t="inlineStr">
        <is>
          <t>2024-04-08</t>
        </is>
      </c>
      <c r="B397" s="6" t="inlineStr">
        <is>
          <t>MA2405</t>
        </is>
      </c>
      <c r="C397" s="6" t="inlineStr">
        <is>
          <t>2024-05</t>
        </is>
      </c>
      <c r="D397" s="9" t="n">
        <v>510051</v>
      </c>
      <c r="E397" s="6" t="n">
        <v>24</v>
      </c>
      <c r="F397" s="6" t="n">
        <v>0</v>
      </c>
      <c r="G397" s="6" t="n">
        <v>0</v>
      </c>
      <c r="H397" s="7" t="n">
        <v>37</v>
      </c>
      <c r="I397" s="6" t="inlineStr">
        <is>
          <t>Back(近强)</t>
        </is>
      </c>
    </row>
    <row r="398">
      <c r="A398" s="11" t="inlineStr">
        <is>
          <t>2024-04-09</t>
        </is>
      </c>
      <c r="B398" s="11" t="inlineStr">
        <is>
          <t>MA2405</t>
        </is>
      </c>
      <c r="C398" s="11" t="inlineStr">
        <is>
          <t>2024-05</t>
        </is>
      </c>
      <c r="D398" s="14" t="n">
        <v>486551</v>
      </c>
      <c r="E398" s="11" t="n">
        <v>23</v>
      </c>
      <c r="F398" s="11" t="n">
        <v>0</v>
      </c>
      <c r="G398" s="11" t="n">
        <v>0</v>
      </c>
      <c r="H398" s="12" t="n">
        <v>24</v>
      </c>
      <c r="I398" s="11" t="inlineStr">
        <is>
          <t>Back(近强)</t>
        </is>
      </c>
    </row>
    <row r="399">
      <c r="A399" s="6" t="inlineStr">
        <is>
          <t>2024-04-10</t>
        </is>
      </c>
      <c r="B399" s="6" t="inlineStr">
        <is>
          <t>MA2405</t>
        </is>
      </c>
      <c r="C399" s="6" t="inlineStr">
        <is>
          <t>2024-05</t>
        </is>
      </c>
      <c r="D399" s="9" t="n">
        <v>451194</v>
      </c>
      <c r="E399" s="6" t="n">
        <v>22</v>
      </c>
      <c r="F399" s="6" t="n">
        <v>0</v>
      </c>
      <c r="G399" s="6" t="n">
        <v>1</v>
      </c>
      <c r="H399" s="7" t="n">
        <v>33</v>
      </c>
      <c r="I399" s="6" t="inlineStr">
        <is>
          <t>Back(近强)</t>
        </is>
      </c>
    </row>
    <row r="400">
      <c r="A400" s="11" t="inlineStr">
        <is>
          <t>2024-04-11</t>
        </is>
      </c>
      <c r="B400" s="11" t="inlineStr">
        <is>
          <t>MA2409</t>
        </is>
      </c>
      <c r="C400" s="11" t="inlineStr">
        <is>
          <t>2024-09</t>
        </is>
      </c>
      <c r="D400" s="14" t="n">
        <v>491480</v>
      </c>
      <c r="E400" s="11" t="n">
        <v>106</v>
      </c>
      <c r="F400" s="11" t="n">
        <v>1</v>
      </c>
      <c r="G400" s="11" t="n">
        <v>0</v>
      </c>
      <c r="H400" s="12" t="n">
        <v>-46</v>
      </c>
      <c r="I400" s="11" t="inlineStr">
        <is>
          <t>Contango(远强)</t>
        </is>
      </c>
    </row>
    <row r="401">
      <c r="A401" s="6" t="inlineStr">
        <is>
          <t>2024-04-12</t>
        </is>
      </c>
      <c r="B401" s="6" t="inlineStr">
        <is>
          <t>MA2409</t>
        </is>
      </c>
      <c r="C401" s="6" t="inlineStr">
        <is>
          <t>2024-09</t>
        </is>
      </c>
      <c r="D401" s="9" t="n">
        <v>540359</v>
      </c>
      <c r="E401" s="6" t="n">
        <v>105</v>
      </c>
      <c r="F401" s="6" t="n">
        <v>0</v>
      </c>
      <c r="G401" s="6" t="n">
        <v>0</v>
      </c>
      <c r="H401" s="7" t="n">
        <v>-37</v>
      </c>
      <c r="I401" s="6" t="inlineStr">
        <is>
          <t>Contango(远强)</t>
        </is>
      </c>
    </row>
    <row r="402">
      <c r="A402" s="11" t="inlineStr">
        <is>
          <t>2024-04-15</t>
        </is>
      </c>
      <c r="B402" s="11" t="inlineStr">
        <is>
          <t>MA2409</t>
        </is>
      </c>
      <c r="C402" s="11" t="inlineStr">
        <is>
          <t>2024-09</t>
        </is>
      </c>
      <c r="D402" s="14" t="n">
        <v>691742</v>
      </c>
      <c r="E402" s="11" t="n">
        <v>104</v>
      </c>
      <c r="F402" s="11" t="n">
        <v>0</v>
      </c>
      <c r="G402" s="11" t="n">
        <v>0</v>
      </c>
      <c r="H402" s="12" t="n">
        <v>-35</v>
      </c>
      <c r="I402" s="11" t="inlineStr">
        <is>
          <t>Contango(远强)</t>
        </is>
      </c>
    </row>
    <row r="403">
      <c r="A403" s="6" t="inlineStr">
        <is>
          <t>2024-04-16</t>
        </is>
      </c>
      <c r="B403" s="6" t="inlineStr">
        <is>
          <t>MA2409</t>
        </is>
      </c>
      <c r="C403" s="6" t="inlineStr">
        <is>
          <t>2024-09</t>
        </is>
      </c>
      <c r="D403" s="9" t="n">
        <v>749894</v>
      </c>
      <c r="E403" s="6" t="n">
        <v>103</v>
      </c>
      <c r="F403" s="6" t="n">
        <v>0</v>
      </c>
      <c r="G403" s="6" t="n">
        <v>0</v>
      </c>
      <c r="H403" s="7" t="n">
        <v>-33</v>
      </c>
      <c r="I403" s="6" t="inlineStr">
        <is>
          <t>结构不明</t>
        </is>
      </c>
    </row>
    <row r="404">
      <c r="A404" s="11" t="inlineStr">
        <is>
          <t>2024-04-17</t>
        </is>
      </c>
      <c r="B404" s="11" t="inlineStr">
        <is>
          <t>MA2409</t>
        </is>
      </c>
      <c r="C404" s="11" t="inlineStr">
        <is>
          <t>2024-09</t>
        </is>
      </c>
      <c r="D404" s="14" t="n">
        <v>810019</v>
      </c>
      <c r="E404" s="11" t="n">
        <v>102</v>
      </c>
      <c r="F404" s="11" t="n">
        <v>0</v>
      </c>
      <c r="G404" s="11" t="n">
        <v>0</v>
      </c>
      <c r="H404" s="12" t="n">
        <v>-41</v>
      </c>
      <c r="I404" s="11" t="inlineStr">
        <is>
          <t>Contango(远强)</t>
        </is>
      </c>
    </row>
    <row r="405">
      <c r="A405" s="6" t="inlineStr">
        <is>
          <t>2024-04-18</t>
        </is>
      </c>
      <c r="B405" s="6" t="inlineStr">
        <is>
          <t>MA2409</t>
        </is>
      </c>
      <c r="C405" s="6" t="inlineStr">
        <is>
          <t>2024-09</t>
        </is>
      </c>
      <c r="D405" s="9" t="n">
        <v>881185</v>
      </c>
      <c r="E405" s="6" t="n">
        <v>101</v>
      </c>
      <c r="F405" s="6" t="n">
        <v>0</v>
      </c>
      <c r="G405" s="6" t="n">
        <v>0</v>
      </c>
      <c r="H405" s="7" t="n">
        <v>-42</v>
      </c>
      <c r="I405" s="6" t="inlineStr">
        <is>
          <t>Contango(远强)</t>
        </is>
      </c>
    </row>
    <row r="406">
      <c r="A406" s="11" t="inlineStr">
        <is>
          <t>2024-04-19</t>
        </is>
      </c>
      <c r="B406" s="11" t="inlineStr">
        <is>
          <t>MA2409</t>
        </is>
      </c>
      <c r="C406" s="11" t="inlineStr">
        <is>
          <t>2024-09</t>
        </is>
      </c>
      <c r="D406" s="14" t="n">
        <v>888081</v>
      </c>
      <c r="E406" s="11" t="n">
        <v>100</v>
      </c>
      <c r="F406" s="11" t="n">
        <v>0</v>
      </c>
      <c r="G406" s="11" t="n">
        <v>0</v>
      </c>
      <c r="H406" s="12" t="n">
        <v>-38</v>
      </c>
      <c r="I406" s="11" t="inlineStr">
        <is>
          <t>Contango(远强)</t>
        </is>
      </c>
    </row>
    <row r="407">
      <c r="A407" s="6" t="inlineStr">
        <is>
          <t>2024-04-22</t>
        </is>
      </c>
      <c r="B407" s="6" t="inlineStr">
        <is>
          <t>MA2409</t>
        </is>
      </c>
      <c r="C407" s="6" t="inlineStr">
        <is>
          <t>2024-09</t>
        </is>
      </c>
      <c r="D407" s="9" t="n">
        <v>908238</v>
      </c>
      <c r="E407" s="6" t="n">
        <v>99</v>
      </c>
      <c r="F407" s="6" t="n">
        <v>0</v>
      </c>
      <c r="G407" s="6" t="n">
        <v>0</v>
      </c>
      <c r="H407" s="7" t="n">
        <v>-56</v>
      </c>
      <c r="I407" s="6" t="inlineStr">
        <is>
          <t>Contango(远强)</t>
        </is>
      </c>
    </row>
    <row r="408">
      <c r="A408" s="11" t="inlineStr">
        <is>
          <t>2024-04-23</t>
        </is>
      </c>
      <c r="B408" s="11" t="inlineStr">
        <is>
          <t>MA2409</t>
        </is>
      </c>
      <c r="C408" s="11" t="inlineStr">
        <is>
          <t>2024-09</t>
        </is>
      </c>
      <c r="D408" s="14" t="n">
        <v>861294</v>
      </c>
      <c r="E408" s="11" t="n">
        <v>98</v>
      </c>
      <c r="F408" s="11" t="n">
        <v>0</v>
      </c>
      <c r="G408" s="11" t="n">
        <v>0</v>
      </c>
      <c r="H408" s="12" t="n">
        <v>-41</v>
      </c>
      <c r="I408" s="11" t="inlineStr">
        <is>
          <t>Contango(远强)</t>
        </is>
      </c>
    </row>
    <row r="409">
      <c r="A409" s="6" t="inlineStr">
        <is>
          <t>2024-04-24</t>
        </is>
      </c>
      <c r="B409" s="6" t="inlineStr">
        <is>
          <t>MA2409</t>
        </is>
      </c>
      <c r="C409" s="6" t="inlineStr">
        <is>
          <t>2024-09</t>
        </is>
      </c>
      <c r="D409" s="9" t="n">
        <v>830305</v>
      </c>
      <c r="E409" s="6" t="n">
        <v>97</v>
      </c>
      <c r="F409" s="6" t="n">
        <v>0</v>
      </c>
      <c r="G409" s="6" t="n">
        <v>0</v>
      </c>
      <c r="H409" s="7" t="n">
        <v>-38</v>
      </c>
      <c r="I409" s="6" t="inlineStr">
        <is>
          <t>Contango(远强)</t>
        </is>
      </c>
    </row>
    <row r="410">
      <c r="A410" s="11" t="inlineStr">
        <is>
          <t>2024-04-25</t>
        </is>
      </c>
      <c r="B410" s="11" t="inlineStr">
        <is>
          <t>MA2409</t>
        </is>
      </c>
      <c r="C410" s="11" t="inlineStr">
        <is>
          <t>2024-09</t>
        </is>
      </c>
      <c r="D410" s="14" t="n">
        <v>798527</v>
      </c>
      <c r="E410" s="11" t="n">
        <v>96</v>
      </c>
      <c r="F410" s="11" t="n">
        <v>0</v>
      </c>
      <c r="G410" s="11" t="n">
        <v>0</v>
      </c>
      <c r="H410" s="12" t="n">
        <v>-37</v>
      </c>
      <c r="I410" s="11" t="inlineStr">
        <is>
          <t>结构不明</t>
        </is>
      </c>
    </row>
    <row r="411">
      <c r="A411" s="6" t="inlineStr">
        <is>
          <t>2024-04-26</t>
        </is>
      </c>
      <c r="B411" s="6" t="inlineStr">
        <is>
          <t>MA2409</t>
        </is>
      </c>
      <c r="C411" s="6" t="inlineStr">
        <is>
          <t>2024-09</t>
        </is>
      </c>
      <c r="D411" s="9" t="n">
        <v>788167</v>
      </c>
      <c r="E411" s="6" t="n">
        <v>95</v>
      </c>
      <c r="F411" s="6" t="n">
        <v>0</v>
      </c>
      <c r="G411" s="6" t="n">
        <v>0</v>
      </c>
      <c r="H411" s="7" t="n">
        <v>-38</v>
      </c>
      <c r="I411" s="6" t="inlineStr">
        <is>
          <t>Contango(远强)</t>
        </is>
      </c>
    </row>
    <row r="412">
      <c r="A412" s="11" t="inlineStr">
        <is>
          <t>2024-04-29</t>
        </is>
      </c>
      <c r="B412" s="11" t="inlineStr">
        <is>
          <t>MA2409</t>
        </is>
      </c>
      <c r="C412" s="11" t="inlineStr">
        <is>
          <t>2024-09</t>
        </is>
      </c>
      <c r="D412" s="14" t="n">
        <v>787382</v>
      </c>
      <c r="E412" s="11" t="n">
        <v>94</v>
      </c>
      <c r="F412" s="11" t="n">
        <v>0</v>
      </c>
      <c r="G412" s="11" t="n">
        <v>0</v>
      </c>
      <c r="H412" s="12" t="n">
        <v>-32</v>
      </c>
      <c r="I412" s="11" t="inlineStr">
        <is>
          <t>结构不明</t>
        </is>
      </c>
    </row>
    <row r="413">
      <c r="A413" s="6" t="inlineStr">
        <is>
          <t>2024-04-30</t>
        </is>
      </c>
      <c r="B413" s="6" t="inlineStr">
        <is>
          <t>MA2409</t>
        </is>
      </c>
      <c r="C413" s="6" t="inlineStr">
        <is>
          <t>2024-09</t>
        </is>
      </c>
      <c r="D413" s="9" t="n">
        <v>775613</v>
      </c>
      <c r="E413" s="6" t="n">
        <v>93</v>
      </c>
      <c r="F413" s="6" t="n">
        <v>0</v>
      </c>
      <c r="G413" s="6" t="n">
        <v>0</v>
      </c>
      <c r="H413" s="7" t="n">
        <v>-44</v>
      </c>
      <c r="I413" s="6" t="inlineStr">
        <is>
          <t>Contango(远强)</t>
        </is>
      </c>
    </row>
    <row r="414">
      <c r="A414" s="11" t="inlineStr">
        <is>
          <t>2024-05-06</t>
        </is>
      </c>
      <c r="B414" s="11" t="inlineStr">
        <is>
          <t>MA2409</t>
        </is>
      </c>
      <c r="C414" s="11" t="inlineStr">
        <is>
          <t>2024-09</t>
        </is>
      </c>
      <c r="D414" s="14" t="n">
        <v>823442</v>
      </c>
      <c r="E414" s="11" t="n">
        <v>92</v>
      </c>
      <c r="F414" s="11" t="n">
        <v>0</v>
      </c>
      <c r="G414" s="11" t="n">
        <v>0</v>
      </c>
      <c r="H414" s="12" t="n">
        <v>-51</v>
      </c>
      <c r="I414" s="11" t="inlineStr">
        <is>
          <t>Contango(远强)</t>
        </is>
      </c>
    </row>
    <row r="415">
      <c r="A415" s="6" t="inlineStr">
        <is>
          <t>2024-05-07</t>
        </is>
      </c>
      <c r="B415" s="6" t="inlineStr">
        <is>
          <t>MA2409</t>
        </is>
      </c>
      <c r="C415" s="6" t="inlineStr">
        <is>
          <t>2024-09</t>
        </is>
      </c>
      <c r="D415" s="9" t="n">
        <v>905617</v>
      </c>
      <c r="E415" s="6" t="n">
        <v>91</v>
      </c>
      <c r="F415" s="6" t="n">
        <v>0</v>
      </c>
      <c r="G415" s="6" t="n">
        <v>0</v>
      </c>
      <c r="H415" s="7" t="n">
        <v>-61</v>
      </c>
      <c r="I415" s="6" t="inlineStr">
        <is>
          <t>Contango(远强)</t>
        </is>
      </c>
    </row>
    <row r="416">
      <c r="A416" s="11" t="inlineStr">
        <is>
          <t>2024-05-08</t>
        </is>
      </c>
      <c r="B416" s="11" t="inlineStr">
        <is>
          <t>MA2409</t>
        </is>
      </c>
      <c r="C416" s="11" t="inlineStr">
        <is>
          <t>2024-09</t>
        </is>
      </c>
      <c r="D416" s="14" t="n">
        <v>912744</v>
      </c>
      <c r="E416" s="11" t="n">
        <v>90</v>
      </c>
      <c r="F416" s="11" t="n">
        <v>0</v>
      </c>
      <c r="G416" s="11" t="n">
        <v>0</v>
      </c>
      <c r="H416" s="12" t="n">
        <v>-96</v>
      </c>
      <c r="I416" s="11" t="inlineStr">
        <is>
          <t>Contango(远强)</t>
        </is>
      </c>
    </row>
    <row r="417">
      <c r="A417" s="6" t="inlineStr">
        <is>
          <t>2024-05-09</t>
        </is>
      </c>
      <c r="B417" s="6" t="inlineStr">
        <is>
          <t>MA2409</t>
        </is>
      </c>
      <c r="C417" s="6" t="inlineStr">
        <is>
          <t>2024-09</t>
        </is>
      </c>
      <c r="D417" s="9" t="n">
        <v>940943</v>
      </c>
      <c r="E417" s="6" t="n">
        <v>89</v>
      </c>
      <c r="F417" s="6" t="n">
        <v>0</v>
      </c>
      <c r="G417" s="6" t="n">
        <v>0</v>
      </c>
      <c r="H417" s="7" t="n">
        <v>-69</v>
      </c>
      <c r="I417" s="6" t="inlineStr">
        <is>
          <t>Contango(远强)</t>
        </is>
      </c>
    </row>
    <row r="418">
      <c r="A418" s="11" t="inlineStr">
        <is>
          <t>2024-05-10</t>
        </is>
      </c>
      <c r="B418" s="11" t="inlineStr">
        <is>
          <t>MA2409</t>
        </is>
      </c>
      <c r="C418" s="11" t="inlineStr">
        <is>
          <t>2024-09</t>
        </is>
      </c>
      <c r="D418" s="14" t="n">
        <v>878336</v>
      </c>
      <c r="E418" s="11" t="n">
        <v>88</v>
      </c>
      <c r="F418" s="11" t="n">
        <v>0</v>
      </c>
      <c r="G418" s="11" t="n">
        <v>0</v>
      </c>
      <c r="H418" s="12" t="n">
        <v>-69</v>
      </c>
      <c r="I418" s="11" t="inlineStr">
        <is>
          <t>Contango(远强)</t>
        </is>
      </c>
    </row>
    <row r="419">
      <c r="A419" s="6" t="inlineStr">
        <is>
          <t>2024-05-13</t>
        </is>
      </c>
      <c r="B419" s="6" t="inlineStr">
        <is>
          <t>MA2409</t>
        </is>
      </c>
      <c r="C419" s="6" t="inlineStr">
        <is>
          <t>2024-09</t>
        </is>
      </c>
      <c r="D419" s="9" t="n">
        <v>1032030</v>
      </c>
      <c r="E419" s="6" t="n">
        <v>87</v>
      </c>
      <c r="F419" s="6" t="n">
        <v>0</v>
      </c>
      <c r="G419" s="6" t="n">
        <v>0</v>
      </c>
      <c r="H419" s="7" t="n">
        <v>-79</v>
      </c>
      <c r="I419" s="6" t="inlineStr">
        <is>
          <t>Contango(远强)</t>
        </is>
      </c>
    </row>
    <row r="420">
      <c r="A420" s="11" t="inlineStr">
        <is>
          <t>2024-05-14</t>
        </is>
      </c>
      <c r="B420" s="11" t="inlineStr">
        <is>
          <t>MA2409</t>
        </is>
      </c>
      <c r="C420" s="11" t="inlineStr">
        <is>
          <t>2024-09</t>
        </is>
      </c>
      <c r="D420" s="14" t="n">
        <v>1016598</v>
      </c>
      <c r="E420" s="11" t="n">
        <v>86</v>
      </c>
      <c r="F420" s="11" t="n">
        <v>0</v>
      </c>
      <c r="G420" s="11" t="n">
        <v>0</v>
      </c>
      <c r="H420" s="12" t="n">
        <v>-47</v>
      </c>
      <c r="I420" s="11" t="inlineStr">
        <is>
          <t>Contango(远强)</t>
        </is>
      </c>
    </row>
    <row r="421">
      <c r="A421" s="6" t="inlineStr">
        <is>
          <t>2024-05-15</t>
        </is>
      </c>
      <c r="B421" s="6" t="inlineStr">
        <is>
          <t>MA2409</t>
        </is>
      </c>
      <c r="C421" s="6" t="inlineStr">
        <is>
          <t>2024-09</t>
        </is>
      </c>
      <c r="D421" s="9" t="n">
        <v>981362</v>
      </c>
      <c r="E421" s="6" t="n">
        <v>85</v>
      </c>
      <c r="F421" s="6" t="n">
        <v>0</v>
      </c>
      <c r="G421" s="6" t="n">
        <v>0</v>
      </c>
      <c r="H421" s="7" t="n">
        <v>-61</v>
      </c>
      <c r="I421" s="6" t="inlineStr">
        <is>
          <t>Contango(远强)</t>
        </is>
      </c>
    </row>
    <row r="422">
      <c r="A422" s="11" t="inlineStr">
        <is>
          <t>2024-05-16</t>
        </is>
      </c>
      <c r="B422" s="11" t="inlineStr">
        <is>
          <t>MA2409</t>
        </is>
      </c>
      <c r="C422" s="11" t="inlineStr">
        <is>
          <t>2024-09</t>
        </is>
      </c>
      <c r="D422" s="14" t="n">
        <v>1005332</v>
      </c>
      <c r="E422" s="11" t="n">
        <v>84</v>
      </c>
      <c r="F422" s="11" t="n">
        <v>0</v>
      </c>
      <c r="G422" s="11" t="n">
        <v>0</v>
      </c>
      <c r="H422" s="12" t="n">
        <v>-149</v>
      </c>
      <c r="I422" s="11" t="inlineStr">
        <is>
          <t>Contango(远强)</t>
        </is>
      </c>
    </row>
    <row r="423">
      <c r="A423" s="6" t="inlineStr">
        <is>
          <t>2024-05-17</t>
        </is>
      </c>
      <c r="B423" s="6" t="inlineStr">
        <is>
          <t>MA2409</t>
        </is>
      </c>
      <c r="C423" s="6" t="inlineStr">
        <is>
          <t>2024-09</t>
        </is>
      </c>
      <c r="D423" s="9" t="n">
        <v>1067111</v>
      </c>
      <c r="E423" s="6" t="n">
        <v>83</v>
      </c>
      <c r="F423" s="6" t="n">
        <v>0</v>
      </c>
      <c r="G423" s="6" t="n">
        <v>0</v>
      </c>
      <c r="H423" s="7" t="n">
        <v>-77</v>
      </c>
      <c r="I423" s="6" t="inlineStr">
        <is>
          <t>Contango(远强)</t>
        </is>
      </c>
    </row>
    <row r="424">
      <c r="A424" s="11" t="inlineStr">
        <is>
          <t>2024-05-20</t>
        </is>
      </c>
      <c r="B424" s="11" t="inlineStr">
        <is>
          <t>MA2409</t>
        </is>
      </c>
      <c r="C424" s="11" t="inlineStr">
        <is>
          <t>2024-09</t>
        </is>
      </c>
      <c r="D424" s="14" t="n">
        <v>1079123</v>
      </c>
      <c r="E424" s="11" t="n">
        <v>82</v>
      </c>
      <c r="F424" s="11" t="n">
        <v>0</v>
      </c>
      <c r="G424" s="11" t="n">
        <v>0</v>
      </c>
      <c r="H424" s="12" t="n">
        <v>-54</v>
      </c>
      <c r="I424" s="11" t="inlineStr">
        <is>
          <t>Contango(远强)</t>
        </is>
      </c>
    </row>
    <row r="425">
      <c r="A425" s="6" t="inlineStr">
        <is>
          <t>2024-05-21</t>
        </is>
      </c>
      <c r="B425" s="6" t="inlineStr">
        <is>
          <t>MA2409</t>
        </is>
      </c>
      <c r="C425" s="6" t="inlineStr">
        <is>
          <t>2024-09</t>
        </is>
      </c>
      <c r="D425" s="9" t="n">
        <v>1027226</v>
      </c>
      <c r="E425" s="6" t="n">
        <v>81</v>
      </c>
      <c r="F425" s="6" t="n">
        <v>0</v>
      </c>
      <c r="G425" s="6" t="n">
        <v>0</v>
      </c>
      <c r="H425" s="7" t="n">
        <v>-47</v>
      </c>
      <c r="I425" s="6" t="inlineStr">
        <is>
          <t>Contango(远强)</t>
        </is>
      </c>
    </row>
    <row r="426">
      <c r="A426" s="11" t="inlineStr">
        <is>
          <t>2024-05-22</t>
        </is>
      </c>
      <c r="B426" s="11" t="inlineStr">
        <is>
          <t>MA2409</t>
        </is>
      </c>
      <c r="C426" s="11" t="inlineStr">
        <is>
          <t>2024-09</t>
        </is>
      </c>
      <c r="D426" s="14" t="n">
        <v>1005487</v>
      </c>
      <c r="E426" s="11" t="n">
        <v>80</v>
      </c>
      <c r="F426" s="11" t="n">
        <v>0</v>
      </c>
      <c r="G426" s="11" t="n">
        <v>0</v>
      </c>
      <c r="H426" s="12" t="n">
        <v>-47</v>
      </c>
      <c r="I426" s="11" t="inlineStr">
        <is>
          <t>Contango(远强)</t>
        </is>
      </c>
    </row>
    <row r="427">
      <c r="A427" s="6" t="inlineStr">
        <is>
          <t>2024-05-23</t>
        </is>
      </c>
      <c r="B427" s="6" t="inlineStr">
        <is>
          <t>MA2409</t>
        </is>
      </c>
      <c r="C427" s="6" t="inlineStr">
        <is>
          <t>2024-09</t>
        </is>
      </c>
      <c r="D427" s="9" t="n">
        <v>951001</v>
      </c>
      <c r="E427" s="6" t="n">
        <v>79</v>
      </c>
      <c r="F427" s="6" t="n">
        <v>0</v>
      </c>
      <c r="G427" s="6" t="n">
        <v>0</v>
      </c>
      <c r="H427" s="7" t="n">
        <v>-43</v>
      </c>
      <c r="I427" s="6" t="inlineStr">
        <is>
          <t>Contango(远强)</t>
        </is>
      </c>
    </row>
    <row r="428">
      <c r="A428" s="11" t="inlineStr">
        <is>
          <t>2024-05-24</t>
        </is>
      </c>
      <c r="B428" s="11" t="inlineStr">
        <is>
          <t>MA2409</t>
        </is>
      </c>
      <c r="C428" s="11" t="inlineStr">
        <is>
          <t>2024-09</t>
        </is>
      </c>
      <c r="D428" s="14" t="n">
        <v>938612</v>
      </c>
      <c r="E428" s="11" t="n">
        <v>78</v>
      </c>
      <c r="F428" s="11" t="n">
        <v>0</v>
      </c>
      <c r="G428" s="11" t="n">
        <v>0</v>
      </c>
      <c r="H428" s="12" t="n">
        <v>-44</v>
      </c>
      <c r="I428" s="11" t="inlineStr">
        <is>
          <t>Contango(远强)</t>
        </is>
      </c>
    </row>
    <row r="429">
      <c r="A429" s="6" t="inlineStr">
        <is>
          <t>2024-05-27</t>
        </is>
      </c>
      <c r="B429" s="6" t="inlineStr">
        <is>
          <t>MA2409</t>
        </is>
      </c>
      <c r="C429" s="6" t="inlineStr">
        <is>
          <t>2024-09</t>
        </is>
      </c>
      <c r="D429" s="9" t="n">
        <v>933592</v>
      </c>
      <c r="E429" s="6" t="n">
        <v>77</v>
      </c>
      <c r="F429" s="6" t="n">
        <v>0</v>
      </c>
      <c r="G429" s="6" t="n">
        <v>0</v>
      </c>
      <c r="H429" s="7" t="n">
        <v>-41</v>
      </c>
      <c r="I429" s="6" t="inlineStr">
        <is>
          <t>结构不明</t>
        </is>
      </c>
    </row>
    <row r="430">
      <c r="A430" s="11" t="inlineStr">
        <is>
          <t>2024-05-28</t>
        </is>
      </c>
      <c r="B430" s="11" t="inlineStr">
        <is>
          <t>MA2409</t>
        </is>
      </c>
      <c r="C430" s="11" t="inlineStr">
        <is>
          <t>2024-09</t>
        </is>
      </c>
      <c r="D430" s="14" t="n">
        <v>918524</v>
      </c>
      <c r="E430" s="11" t="n">
        <v>76</v>
      </c>
      <c r="F430" s="11" t="n">
        <v>0</v>
      </c>
      <c r="G430" s="11" t="n">
        <v>0</v>
      </c>
      <c r="H430" s="12" t="n">
        <v>-21</v>
      </c>
      <c r="I430" s="11" t="inlineStr">
        <is>
          <t>Back(近强)</t>
        </is>
      </c>
    </row>
    <row r="431">
      <c r="A431" s="6" t="inlineStr">
        <is>
          <t>2024-05-29</t>
        </is>
      </c>
      <c r="B431" s="6" t="inlineStr">
        <is>
          <t>MA2409</t>
        </is>
      </c>
      <c r="C431" s="6" t="inlineStr">
        <is>
          <t>2024-09</t>
        </is>
      </c>
      <c r="D431" s="9" t="n">
        <v>931696</v>
      </c>
      <c r="E431" s="6" t="n">
        <v>75</v>
      </c>
      <c r="F431" s="6" t="n">
        <v>0</v>
      </c>
      <c r="G431" s="6" t="n">
        <v>0</v>
      </c>
      <c r="H431" s="7" t="n">
        <v>-34</v>
      </c>
      <c r="I431" s="6" t="inlineStr">
        <is>
          <t>结构不明</t>
        </is>
      </c>
    </row>
    <row r="432">
      <c r="A432" s="11" t="inlineStr">
        <is>
          <t>2024-05-30</t>
        </is>
      </c>
      <c r="B432" s="11" t="inlineStr">
        <is>
          <t>MA2409</t>
        </is>
      </c>
      <c r="C432" s="11" t="inlineStr">
        <is>
          <t>2024-09</t>
        </is>
      </c>
      <c r="D432" s="14" t="n">
        <v>954097</v>
      </c>
      <c r="E432" s="11" t="n">
        <v>74</v>
      </c>
      <c r="F432" s="11" t="n">
        <v>0</v>
      </c>
      <c r="G432" s="11" t="n">
        <v>0</v>
      </c>
      <c r="H432" s="12" t="n">
        <v>8</v>
      </c>
      <c r="I432" s="11" t="inlineStr">
        <is>
          <t>Back(近强)</t>
        </is>
      </c>
    </row>
    <row r="433">
      <c r="A433" s="6" t="inlineStr">
        <is>
          <t>2024-05-31</t>
        </is>
      </c>
      <c r="B433" s="6" t="inlineStr">
        <is>
          <t>MA2409</t>
        </is>
      </c>
      <c r="C433" s="6" t="inlineStr">
        <is>
          <t>2024-09</t>
        </is>
      </c>
      <c r="D433" s="9" t="n">
        <v>919665</v>
      </c>
      <c r="E433" s="6" t="n">
        <v>73</v>
      </c>
      <c r="F433" s="6" t="n">
        <v>0</v>
      </c>
      <c r="G433" s="6" t="n">
        <v>0</v>
      </c>
      <c r="H433" s="7" t="n">
        <v>-4</v>
      </c>
      <c r="I433" s="6" t="inlineStr">
        <is>
          <t>Back(近强)</t>
        </is>
      </c>
    </row>
    <row r="434">
      <c r="A434" s="11" t="inlineStr">
        <is>
          <t>2024-06-03</t>
        </is>
      </c>
      <c r="B434" s="11" t="inlineStr">
        <is>
          <t>MA2409</t>
        </is>
      </c>
      <c r="C434" s="11" t="inlineStr">
        <is>
          <t>2024-09</t>
        </is>
      </c>
      <c r="D434" s="14" t="n">
        <v>830050</v>
      </c>
      <c r="E434" s="11" t="n">
        <v>72</v>
      </c>
      <c r="F434" s="11" t="n">
        <v>0</v>
      </c>
      <c r="G434" s="11" t="n">
        <v>0</v>
      </c>
      <c r="H434" s="12" t="n">
        <v>6</v>
      </c>
      <c r="I434" s="11" t="inlineStr">
        <is>
          <t>Back(近强)</t>
        </is>
      </c>
    </row>
    <row r="435">
      <c r="A435" s="6" t="inlineStr">
        <is>
          <t>2024-06-04</t>
        </is>
      </c>
      <c r="B435" s="6" t="inlineStr">
        <is>
          <t>MA2409</t>
        </is>
      </c>
      <c r="C435" s="6" t="inlineStr">
        <is>
          <t>2024-09</t>
        </is>
      </c>
      <c r="D435" s="9" t="n">
        <v>812526</v>
      </c>
      <c r="E435" s="6" t="n">
        <v>71</v>
      </c>
      <c r="F435" s="6" t="n">
        <v>0</v>
      </c>
      <c r="G435" s="6" t="n">
        <v>0</v>
      </c>
      <c r="H435" s="7" t="n">
        <v>-4</v>
      </c>
      <c r="I435" s="6" t="inlineStr">
        <is>
          <t>Back(近强)</t>
        </is>
      </c>
    </row>
    <row r="436">
      <c r="A436" s="11" t="inlineStr">
        <is>
          <t>2024-06-05</t>
        </is>
      </c>
      <c r="B436" s="11" t="inlineStr">
        <is>
          <t>MA2409</t>
        </is>
      </c>
      <c r="C436" s="11" t="inlineStr">
        <is>
          <t>2024-09</t>
        </is>
      </c>
      <c r="D436" s="14" t="n">
        <v>802729</v>
      </c>
      <c r="E436" s="11" t="n">
        <v>70</v>
      </c>
      <c r="F436" s="11" t="n">
        <v>0</v>
      </c>
      <c r="G436" s="11" t="n">
        <v>0</v>
      </c>
      <c r="H436" s="12" t="n">
        <v>-12</v>
      </c>
      <c r="I436" s="11" t="inlineStr">
        <is>
          <t>Back(近强)</t>
        </is>
      </c>
    </row>
    <row r="437">
      <c r="A437" s="6" t="inlineStr">
        <is>
          <t>2024-06-06</t>
        </is>
      </c>
      <c r="B437" s="6" t="inlineStr">
        <is>
          <t>MA2409</t>
        </is>
      </c>
      <c r="C437" s="6" t="inlineStr">
        <is>
          <t>2024-09</t>
        </is>
      </c>
      <c r="D437" s="9" t="n">
        <v>791207</v>
      </c>
      <c r="E437" s="6" t="n">
        <v>69</v>
      </c>
      <c r="F437" s="6" t="n">
        <v>0</v>
      </c>
      <c r="G437" s="6" t="n">
        <v>0</v>
      </c>
      <c r="H437" s="7" t="n">
        <v>-5</v>
      </c>
      <c r="I437" s="6" t="inlineStr">
        <is>
          <t>Back(近强)</t>
        </is>
      </c>
    </row>
    <row r="438">
      <c r="A438" s="11" t="inlineStr">
        <is>
          <t>2024-06-07</t>
        </is>
      </c>
      <c r="B438" s="11" t="inlineStr">
        <is>
          <t>MA2409</t>
        </is>
      </c>
      <c r="C438" s="11" t="inlineStr">
        <is>
          <t>2024-09</t>
        </is>
      </c>
      <c r="D438" s="14" t="n">
        <v>754058</v>
      </c>
      <c r="E438" s="11" t="n">
        <v>68</v>
      </c>
      <c r="F438" s="11" t="n">
        <v>0</v>
      </c>
      <c r="G438" s="11" t="n">
        <v>0</v>
      </c>
      <c r="H438" s="12" t="n">
        <v>-5</v>
      </c>
      <c r="I438" s="11" t="inlineStr">
        <is>
          <t>Back(近强)</t>
        </is>
      </c>
    </row>
    <row r="439">
      <c r="A439" s="6" t="inlineStr">
        <is>
          <t>2024-06-11</t>
        </is>
      </c>
      <c r="B439" s="6" t="inlineStr">
        <is>
          <t>MA2409</t>
        </is>
      </c>
      <c r="C439" s="6" t="inlineStr">
        <is>
          <t>2024-09</t>
        </is>
      </c>
      <c r="D439" s="9" t="n">
        <v>760353</v>
      </c>
      <c r="E439" s="6" t="n">
        <v>67</v>
      </c>
      <c r="F439" s="6" t="n">
        <v>0</v>
      </c>
      <c r="G439" s="6" t="n">
        <v>0</v>
      </c>
      <c r="H439" s="7" t="n">
        <v>-27</v>
      </c>
      <c r="I439" s="6" t="inlineStr">
        <is>
          <t>Back(近强)</t>
        </is>
      </c>
    </row>
    <row r="440">
      <c r="A440" s="11" t="inlineStr">
        <is>
          <t>2024-06-12</t>
        </is>
      </c>
      <c r="B440" s="11" t="inlineStr">
        <is>
          <t>MA2409</t>
        </is>
      </c>
      <c r="C440" s="11" t="inlineStr">
        <is>
          <t>2024-09</t>
        </is>
      </c>
      <c r="D440" s="14" t="n">
        <v>767017</v>
      </c>
      <c r="E440" s="11" t="n">
        <v>66</v>
      </c>
      <c r="F440" s="11" t="n">
        <v>0</v>
      </c>
      <c r="G440" s="11" t="n">
        <v>0</v>
      </c>
      <c r="H440" s="12" t="n">
        <v>-120</v>
      </c>
      <c r="I440" s="11" t="inlineStr">
        <is>
          <t>Contango(远强)</t>
        </is>
      </c>
    </row>
    <row r="441">
      <c r="A441" s="6" t="inlineStr">
        <is>
          <t>2024-06-13</t>
        </is>
      </c>
      <c r="B441" s="6" t="inlineStr">
        <is>
          <t>MA2409</t>
        </is>
      </c>
      <c r="C441" s="6" t="inlineStr">
        <is>
          <t>2024-09</t>
        </is>
      </c>
      <c r="D441" s="9" t="n">
        <v>752710</v>
      </c>
      <c r="E441" s="6" t="n">
        <v>65</v>
      </c>
      <c r="F441" s="6" t="n">
        <v>0</v>
      </c>
      <c r="G441" s="6" t="n">
        <v>0</v>
      </c>
      <c r="H441" s="7" t="n">
        <v>22</v>
      </c>
      <c r="I441" s="6" t="inlineStr">
        <is>
          <t>Back(近强)</t>
        </is>
      </c>
    </row>
    <row r="442">
      <c r="A442" s="11" t="inlineStr">
        <is>
          <t>2024-06-14</t>
        </is>
      </c>
      <c r="B442" s="11" t="inlineStr">
        <is>
          <t>MA2409</t>
        </is>
      </c>
      <c r="C442" s="11" t="inlineStr">
        <is>
          <t>2024-09</t>
        </is>
      </c>
      <c r="D442" s="14" t="n">
        <v>741289</v>
      </c>
      <c r="E442" s="11" t="n">
        <v>64</v>
      </c>
      <c r="F442" s="11" t="n">
        <v>0</v>
      </c>
      <c r="G442" s="11" t="n">
        <v>0</v>
      </c>
      <c r="H442" s="12" t="n">
        <v>-1</v>
      </c>
      <c r="I442" s="11" t="inlineStr">
        <is>
          <t>Back(近强)</t>
        </is>
      </c>
    </row>
    <row r="443">
      <c r="A443" s="6" t="inlineStr">
        <is>
          <t>2024-06-17</t>
        </is>
      </c>
      <c r="B443" s="6" t="inlineStr">
        <is>
          <t>MA2409</t>
        </is>
      </c>
      <c r="C443" s="6" t="inlineStr">
        <is>
          <t>2024-09</t>
        </is>
      </c>
      <c r="D443" s="9" t="n">
        <v>742509</v>
      </c>
      <c r="E443" s="6" t="n">
        <v>63</v>
      </c>
      <c r="F443" s="6" t="n">
        <v>0</v>
      </c>
      <c r="G443" s="6" t="n">
        <v>0</v>
      </c>
      <c r="H443" s="7" t="n">
        <v>-144</v>
      </c>
      <c r="I443" s="6" t="inlineStr">
        <is>
          <t>Contango(远强)</t>
        </is>
      </c>
    </row>
    <row r="444">
      <c r="A444" s="11" t="inlineStr">
        <is>
          <t>2024-06-18</t>
        </is>
      </c>
      <c r="B444" s="11" t="inlineStr">
        <is>
          <t>MA2409</t>
        </is>
      </c>
      <c r="C444" s="11" t="inlineStr">
        <is>
          <t>2024-09</t>
        </is>
      </c>
      <c r="D444" s="14" t="n">
        <v>733079</v>
      </c>
      <c r="E444" s="11" t="n">
        <v>62</v>
      </c>
      <c r="F444" s="11" t="n">
        <v>0</v>
      </c>
      <c r="G444" s="11" t="n">
        <v>0</v>
      </c>
      <c r="H444" s="12" t="n">
        <v>-6</v>
      </c>
      <c r="I444" s="11" t="inlineStr">
        <is>
          <t>Back(近强)</t>
        </is>
      </c>
    </row>
    <row r="445">
      <c r="A445" s="6" t="inlineStr">
        <is>
          <t>2024-06-19</t>
        </is>
      </c>
      <c r="B445" s="6" t="inlineStr">
        <is>
          <t>MA2409</t>
        </is>
      </c>
      <c r="C445" s="6" t="inlineStr">
        <is>
          <t>2024-09</t>
        </is>
      </c>
      <c r="D445" s="9" t="n">
        <v>716916</v>
      </c>
      <c r="E445" s="6" t="n">
        <v>61</v>
      </c>
      <c r="F445" s="6" t="n">
        <v>0</v>
      </c>
      <c r="G445" s="6" t="n">
        <v>0</v>
      </c>
      <c r="H445" s="7" t="n">
        <v>-3</v>
      </c>
      <c r="I445" s="6" t="inlineStr">
        <is>
          <t>Back(近强)</t>
        </is>
      </c>
    </row>
    <row r="446">
      <c r="A446" s="11" t="inlineStr">
        <is>
          <t>2024-06-20</t>
        </is>
      </c>
      <c r="B446" s="11" t="inlineStr">
        <is>
          <t>MA2409</t>
        </is>
      </c>
      <c r="C446" s="11" t="inlineStr">
        <is>
          <t>2024-09</t>
        </is>
      </c>
      <c r="D446" s="14" t="n">
        <v>712851</v>
      </c>
      <c r="E446" s="11" t="n">
        <v>60</v>
      </c>
      <c r="F446" s="11" t="n">
        <v>0</v>
      </c>
      <c r="G446" s="11" t="n">
        <v>0</v>
      </c>
      <c r="H446" s="12" t="n">
        <v>-8</v>
      </c>
      <c r="I446" s="11" t="inlineStr">
        <is>
          <t>Back(近强)</t>
        </is>
      </c>
    </row>
    <row r="447">
      <c r="A447" s="6" t="inlineStr">
        <is>
          <t>2024-06-21</t>
        </is>
      </c>
      <c r="B447" s="6" t="inlineStr">
        <is>
          <t>MA2409</t>
        </is>
      </c>
      <c r="C447" s="6" t="inlineStr">
        <is>
          <t>2024-09</t>
        </is>
      </c>
      <c r="D447" s="9" t="n">
        <v>721242</v>
      </c>
      <c r="E447" s="6" t="n">
        <v>59</v>
      </c>
      <c r="F447" s="6" t="n">
        <v>0</v>
      </c>
      <c r="G447" s="6" t="n">
        <v>0</v>
      </c>
      <c r="H447" s="7" t="n">
        <v>-5</v>
      </c>
      <c r="I447" s="6" t="inlineStr">
        <is>
          <t>Back(近强)</t>
        </is>
      </c>
    </row>
    <row r="448">
      <c r="A448" s="11" t="inlineStr">
        <is>
          <t>2024-06-24</t>
        </is>
      </c>
      <c r="B448" s="11" t="inlineStr">
        <is>
          <t>MA2409</t>
        </is>
      </c>
      <c r="C448" s="11" t="inlineStr">
        <is>
          <t>2024-09</t>
        </is>
      </c>
      <c r="D448" s="14" t="n">
        <v>726475</v>
      </c>
      <c r="E448" s="11" t="n">
        <v>58</v>
      </c>
      <c r="F448" s="11" t="n">
        <v>0</v>
      </c>
      <c r="G448" s="11" t="n">
        <v>0</v>
      </c>
      <c r="H448" s="12" t="n">
        <v>-5</v>
      </c>
      <c r="I448" s="11" t="inlineStr">
        <is>
          <t>Back(近强)</t>
        </is>
      </c>
    </row>
    <row r="449">
      <c r="A449" s="6" t="inlineStr">
        <is>
          <t>2024-06-25</t>
        </is>
      </c>
      <c r="B449" s="6" t="inlineStr">
        <is>
          <t>MA2409</t>
        </is>
      </c>
      <c r="C449" s="6" t="inlineStr">
        <is>
          <t>2024-09</t>
        </is>
      </c>
      <c r="D449" s="9" t="n">
        <v>723110</v>
      </c>
      <c r="E449" s="6" t="n">
        <v>57</v>
      </c>
      <c r="F449" s="6" t="n">
        <v>0</v>
      </c>
      <c r="G449" s="6" t="n">
        <v>0</v>
      </c>
      <c r="H449" s="7" t="n">
        <v>-9</v>
      </c>
      <c r="I449" s="6" t="inlineStr">
        <is>
          <t>Back(近强)</t>
        </is>
      </c>
    </row>
    <row r="450">
      <c r="A450" s="11" t="inlineStr">
        <is>
          <t>2024-06-26</t>
        </is>
      </c>
      <c r="B450" s="11" t="inlineStr">
        <is>
          <t>MA2409</t>
        </is>
      </c>
      <c r="C450" s="11" t="inlineStr">
        <is>
          <t>2024-09</t>
        </is>
      </c>
      <c r="D450" s="14" t="n">
        <v>717913</v>
      </c>
      <c r="E450" s="11" t="n">
        <v>56</v>
      </c>
      <c r="F450" s="11" t="n">
        <v>0</v>
      </c>
      <c r="G450" s="11" t="n">
        <v>0</v>
      </c>
      <c r="H450" s="12" t="n">
        <v>-6</v>
      </c>
      <c r="I450" s="11" t="inlineStr">
        <is>
          <t>Back(近强)</t>
        </is>
      </c>
    </row>
    <row r="451">
      <c r="A451" s="6" t="inlineStr">
        <is>
          <t>2024-06-27</t>
        </is>
      </c>
      <c r="B451" s="6" t="inlineStr">
        <is>
          <t>MA2409</t>
        </is>
      </c>
      <c r="C451" s="6" t="inlineStr">
        <is>
          <t>2024-09</t>
        </is>
      </c>
      <c r="D451" s="9" t="n">
        <v>703477</v>
      </c>
      <c r="E451" s="6" t="n">
        <v>55</v>
      </c>
      <c r="F451" s="6" t="n">
        <v>0</v>
      </c>
      <c r="G451" s="6" t="n">
        <v>0</v>
      </c>
      <c r="H451" s="7" t="n">
        <v>-3</v>
      </c>
      <c r="I451" s="6" t="inlineStr">
        <is>
          <t>Back(近强)</t>
        </is>
      </c>
    </row>
    <row r="452">
      <c r="A452" s="11" t="inlineStr">
        <is>
          <t>2024-06-28</t>
        </is>
      </c>
      <c r="B452" s="11" t="inlineStr">
        <is>
          <t>MA2409</t>
        </is>
      </c>
      <c r="C452" s="11" t="inlineStr">
        <is>
          <t>2024-09</t>
        </is>
      </c>
      <c r="D452" s="14" t="n">
        <v>696348</v>
      </c>
      <c r="E452" s="11" t="n">
        <v>54</v>
      </c>
      <c r="F452" s="11" t="n">
        <v>0</v>
      </c>
      <c r="G452" s="11" t="n">
        <v>0</v>
      </c>
      <c r="H452" s="12" t="n">
        <v>5</v>
      </c>
      <c r="I452" s="11" t="inlineStr">
        <is>
          <t>Back(近强)</t>
        </is>
      </c>
    </row>
    <row r="453">
      <c r="A453" s="6" t="inlineStr">
        <is>
          <t>2024-07-01</t>
        </is>
      </c>
      <c r="B453" s="6" t="inlineStr">
        <is>
          <t>MA2409</t>
        </is>
      </c>
      <c r="C453" s="6" t="inlineStr">
        <is>
          <t>2024-09</t>
        </is>
      </c>
      <c r="D453" s="9" t="n">
        <v>704386</v>
      </c>
      <c r="E453" s="6" t="n">
        <v>53</v>
      </c>
      <c r="F453" s="6" t="n">
        <v>0</v>
      </c>
      <c r="G453" s="6" t="n">
        <v>0</v>
      </c>
      <c r="H453" s="7" t="n">
        <v>23</v>
      </c>
      <c r="I453" s="6" t="inlineStr">
        <is>
          <t>Back(近强)</t>
        </is>
      </c>
    </row>
    <row r="454">
      <c r="A454" s="11" t="inlineStr">
        <is>
          <t>2024-07-02</t>
        </is>
      </c>
      <c r="B454" s="11" t="inlineStr">
        <is>
          <t>MA2409</t>
        </is>
      </c>
      <c r="C454" s="11" t="inlineStr">
        <is>
          <t>2024-09</t>
        </is>
      </c>
      <c r="D454" s="14" t="n">
        <v>693098</v>
      </c>
      <c r="E454" s="11" t="n">
        <v>52</v>
      </c>
      <c r="F454" s="11" t="n">
        <v>0</v>
      </c>
      <c r="G454" s="11" t="n">
        <v>0</v>
      </c>
      <c r="H454" s="12" t="n">
        <v>42</v>
      </c>
      <c r="I454" s="11" t="inlineStr">
        <is>
          <t>Back(近强)</t>
        </is>
      </c>
    </row>
    <row r="455">
      <c r="A455" s="6" t="inlineStr">
        <is>
          <t>2024-07-03</t>
        </is>
      </c>
      <c r="B455" s="6" t="inlineStr">
        <is>
          <t>MA2409</t>
        </is>
      </c>
      <c r="C455" s="6" t="inlineStr">
        <is>
          <t>2024-09</t>
        </is>
      </c>
      <c r="D455" s="9" t="n">
        <v>706570</v>
      </c>
      <c r="E455" s="6" t="n">
        <v>51</v>
      </c>
      <c r="F455" s="6" t="n">
        <v>0</v>
      </c>
      <c r="G455" s="6" t="n">
        <v>0</v>
      </c>
      <c r="H455" s="7" t="n">
        <v>28</v>
      </c>
      <c r="I455" s="6" t="inlineStr">
        <is>
          <t>Back(近强)</t>
        </is>
      </c>
    </row>
    <row r="456">
      <c r="A456" s="11" t="inlineStr">
        <is>
          <t>2024-07-04</t>
        </is>
      </c>
      <c r="B456" s="11" t="inlineStr">
        <is>
          <t>MA2409</t>
        </is>
      </c>
      <c r="C456" s="11" t="inlineStr">
        <is>
          <t>2024-09</t>
        </is>
      </c>
      <c r="D456" s="14" t="n">
        <v>705690</v>
      </c>
      <c r="E456" s="11" t="n">
        <v>50</v>
      </c>
      <c r="F456" s="11" t="n">
        <v>0</v>
      </c>
      <c r="G456" s="11" t="n">
        <v>0</v>
      </c>
      <c r="H456" s="12" t="n">
        <v>22</v>
      </c>
      <c r="I456" s="11" t="inlineStr">
        <is>
          <t>Back(近强)</t>
        </is>
      </c>
    </row>
    <row r="457">
      <c r="A457" s="6" t="inlineStr">
        <is>
          <t>2024-07-05</t>
        </is>
      </c>
      <c r="B457" s="6" t="inlineStr">
        <is>
          <t>MA2409</t>
        </is>
      </c>
      <c r="C457" s="6" t="inlineStr">
        <is>
          <t>2024-09</t>
        </is>
      </c>
      <c r="D457" s="9" t="n">
        <v>696766</v>
      </c>
      <c r="E457" s="6" t="n">
        <v>49</v>
      </c>
      <c r="F457" s="6" t="n">
        <v>0</v>
      </c>
      <c r="G457" s="6" t="n">
        <v>0</v>
      </c>
      <c r="H457" s="7" t="n">
        <v>27</v>
      </c>
      <c r="I457" s="6" t="inlineStr">
        <is>
          <t>Back(近强)</t>
        </is>
      </c>
    </row>
    <row r="458">
      <c r="A458" s="11" t="inlineStr">
        <is>
          <t>2024-07-08</t>
        </is>
      </c>
      <c r="B458" s="11" t="inlineStr">
        <is>
          <t>MA2409</t>
        </is>
      </c>
      <c r="C458" s="11" t="inlineStr">
        <is>
          <t>2024-09</t>
        </is>
      </c>
      <c r="D458" s="14" t="n">
        <v>683142</v>
      </c>
      <c r="E458" s="11" t="n">
        <v>48</v>
      </c>
      <c r="F458" s="11" t="n">
        <v>0</v>
      </c>
      <c r="G458" s="11" t="n">
        <v>0</v>
      </c>
      <c r="H458" s="12" t="n">
        <v>34</v>
      </c>
      <c r="I458" s="11" t="inlineStr">
        <is>
          <t>Back(近强)</t>
        </is>
      </c>
    </row>
    <row r="459">
      <c r="A459" s="6" t="inlineStr">
        <is>
          <t>2024-07-09</t>
        </is>
      </c>
      <c r="B459" s="6" t="inlineStr">
        <is>
          <t>MA2409</t>
        </is>
      </c>
      <c r="C459" s="6" t="inlineStr">
        <is>
          <t>2024-09</t>
        </is>
      </c>
      <c r="D459" s="9" t="n">
        <v>723978</v>
      </c>
      <c r="E459" s="6" t="n">
        <v>47</v>
      </c>
      <c r="F459" s="6" t="n">
        <v>0</v>
      </c>
      <c r="G459" s="6" t="n">
        <v>0</v>
      </c>
      <c r="H459" s="7" t="n">
        <v>53</v>
      </c>
      <c r="I459" s="6" t="inlineStr">
        <is>
          <t>Back(近强)</t>
        </is>
      </c>
    </row>
    <row r="460">
      <c r="A460" s="11" t="inlineStr">
        <is>
          <t>2024-07-10</t>
        </is>
      </c>
      <c r="B460" s="11" t="inlineStr">
        <is>
          <t>MA2409</t>
        </is>
      </c>
      <c r="C460" s="11" t="inlineStr">
        <is>
          <t>2024-09</t>
        </is>
      </c>
      <c r="D460" s="14" t="n">
        <v>707864</v>
      </c>
      <c r="E460" s="11" t="n">
        <v>46</v>
      </c>
      <c r="F460" s="11" t="n">
        <v>0</v>
      </c>
      <c r="G460" s="11" t="n">
        <v>0</v>
      </c>
      <c r="H460" s="12" t="n">
        <v>34</v>
      </c>
      <c r="I460" s="11" t="inlineStr">
        <is>
          <t>Back(近强)</t>
        </is>
      </c>
    </row>
    <row r="461">
      <c r="A461" s="6" t="inlineStr">
        <is>
          <t>2024-07-11</t>
        </is>
      </c>
      <c r="B461" s="6" t="inlineStr">
        <is>
          <t>MA2409</t>
        </is>
      </c>
      <c r="C461" s="6" t="inlineStr">
        <is>
          <t>2024-09</t>
        </is>
      </c>
      <c r="D461" s="9" t="n">
        <v>794705</v>
      </c>
      <c r="E461" s="6" t="n">
        <v>45</v>
      </c>
      <c r="F461" s="6" t="n">
        <v>0</v>
      </c>
      <c r="G461" s="6" t="n">
        <v>0</v>
      </c>
      <c r="H461" s="7" t="n">
        <v>47</v>
      </c>
      <c r="I461" s="6" t="inlineStr">
        <is>
          <t>Back(近强)</t>
        </is>
      </c>
    </row>
    <row r="462">
      <c r="A462" s="11" t="inlineStr">
        <is>
          <t>2024-07-12</t>
        </is>
      </c>
      <c r="B462" s="11" t="inlineStr">
        <is>
          <t>MA2409</t>
        </is>
      </c>
      <c r="C462" s="11" t="inlineStr">
        <is>
          <t>2024-09</t>
        </is>
      </c>
      <c r="D462" s="14" t="n">
        <v>763431</v>
      </c>
      <c r="E462" s="11" t="n">
        <v>44</v>
      </c>
      <c r="F462" s="11" t="n">
        <v>0</v>
      </c>
      <c r="G462" s="11" t="n">
        <v>0</v>
      </c>
      <c r="H462" s="12" t="n">
        <v>50</v>
      </c>
      <c r="I462" s="11" t="inlineStr">
        <is>
          <t>Back(近强)</t>
        </is>
      </c>
    </row>
    <row r="463">
      <c r="A463" s="6" t="inlineStr">
        <is>
          <t>2024-07-15</t>
        </is>
      </c>
      <c r="B463" s="6" t="inlineStr">
        <is>
          <t>MA2409</t>
        </is>
      </c>
      <c r="C463" s="6" t="inlineStr">
        <is>
          <t>2024-09</t>
        </is>
      </c>
      <c r="D463" s="9" t="n">
        <v>769071</v>
      </c>
      <c r="E463" s="6" t="n">
        <v>43</v>
      </c>
      <c r="F463" s="6" t="n">
        <v>0</v>
      </c>
      <c r="G463" s="6" t="n">
        <v>0</v>
      </c>
      <c r="H463" s="7" t="n">
        <v>22</v>
      </c>
      <c r="I463" s="6" t="inlineStr">
        <is>
          <t>Back(近强)</t>
        </is>
      </c>
    </row>
    <row r="464">
      <c r="A464" s="11" t="inlineStr">
        <is>
          <t>2024-07-16</t>
        </is>
      </c>
      <c r="B464" s="11" t="inlineStr">
        <is>
          <t>MA2409</t>
        </is>
      </c>
      <c r="C464" s="11" t="inlineStr">
        <is>
          <t>2024-09</t>
        </is>
      </c>
      <c r="D464" s="14" t="n">
        <v>751619</v>
      </c>
      <c r="E464" s="11" t="n">
        <v>42</v>
      </c>
      <c r="F464" s="11" t="n">
        <v>0</v>
      </c>
      <c r="G464" s="11" t="n">
        <v>0</v>
      </c>
      <c r="H464" s="12" t="n">
        <v>19</v>
      </c>
      <c r="I464" s="11" t="inlineStr">
        <is>
          <t>Back(近强)</t>
        </is>
      </c>
    </row>
    <row r="465">
      <c r="A465" s="6" t="inlineStr">
        <is>
          <t>2024-07-17</t>
        </is>
      </c>
      <c r="B465" s="6" t="inlineStr">
        <is>
          <t>MA2409</t>
        </is>
      </c>
      <c r="C465" s="6" t="inlineStr">
        <is>
          <t>2024-09</t>
        </is>
      </c>
      <c r="D465" s="9" t="n">
        <v>714190</v>
      </c>
      <c r="E465" s="6" t="n">
        <v>41</v>
      </c>
      <c r="F465" s="6" t="n">
        <v>0</v>
      </c>
      <c r="G465" s="6" t="n">
        <v>0</v>
      </c>
      <c r="H465" s="7" t="n">
        <v>16</v>
      </c>
      <c r="I465" s="6" t="inlineStr">
        <is>
          <t>Back(近强)</t>
        </is>
      </c>
    </row>
    <row r="466">
      <c r="A466" s="11" t="inlineStr">
        <is>
          <t>2024-07-18</t>
        </is>
      </c>
      <c r="B466" s="11" t="inlineStr">
        <is>
          <t>MA2409</t>
        </is>
      </c>
      <c r="C466" s="11" t="inlineStr">
        <is>
          <t>2024-09</t>
        </is>
      </c>
      <c r="D466" s="14" t="n">
        <v>731643</v>
      </c>
      <c r="E466" s="11" t="n">
        <v>40</v>
      </c>
      <c r="F466" s="11" t="n">
        <v>0</v>
      </c>
      <c r="G466" s="11" t="n">
        <v>0</v>
      </c>
      <c r="H466" s="12" t="n">
        <v>19</v>
      </c>
      <c r="I466" s="11" t="inlineStr">
        <is>
          <t>Back(近强)</t>
        </is>
      </c>
    </row>
    <row r="467">
      <c r="A467" s="6" t="inlineStr">
        <is>
          <t>2024-07-19</t>
        </is>
      </c>
      <c r="B467" s="6" t="inlineStr">
        <is>
          <t>MA2409</t>
        </is>
      </c>
      <c r="C467" s="6" t="inlineStr">
        <is>
          <t>2024-09</t>
        </is>
      </c>
      <c r="D467" s="9" t="n">
        <v>766635</v>
      </c>
      <c r="E467" s="6" t="n">
        <v>39</v>
      </c>
      <c r="F467" s="6" t="n">
        <v>0</v>
      </c>
      <c r="G467" s="6" t="n">
        <v>0</v>
      </c>
      <c r="H467" s="7" t="n">
        <v>28</v>
      </c>
      <c r="I467" s="6" t="inlineStr">
        <is>
          <t>Back(近强)</t>
        </is>
      </c>
    </row>
    <row r="468">
      <c r="A468" s="11" t="inlineStr">
        <is>
          <t>2024-07-22</t>
        </is>
      </c>
      <c r="B468" s="11" t="inlineStr">
        <is>
          <t>MA2409</t>
        </is>
      </c>
      <c r="C468" s="11" t="inlineStr">
        <is>
          <t>2024-09</t>
        </is>
      </c>
      <c r="D468" s="14" t="n">
        <v>776580</v>
      </c>
      <c r="E468" s="11" t="n">
        <v>38</v>
      </c>
      <c r="F468" s="11" t="n">
        <v>0</v>
      </c>
      <c r="G468" s="11" t="n">
        <v>0</v>
      </c>
      <c r="H468" s="12" t="n">
        <v>19</v>
      </c>
      <c r="I468" s="11" t="inlineStr">
        <is>
          <t>Back(近强)</t>
        </is>
      </c>
    </row>
    <row r="469">
      <c r="A469" s="6" t="inlineStr">
        <is>
          <t>2024-07-23</t>
        </is>
      </c>
      <c r="B469" s="6" t="inlineStr">
        <is>
          <t>MA2409</t>
        </is>
      </c>
      <c r="C469" s="6" t="inlineStr">
        <is>
          <t>2024-09</t>
        </is>
      </c>
      <c r="D469" s="9" t="n">
        <v>760081</v>
      </c>
      <c r="E469" s="6" t="n">
        <v>37</v>
      </c>
      <c r="F469" s="6" t="n">
        <v>0</v>
      </c>
      <c r="G469" s="6" t="n">
        <v>0</v>
      </c>
      <c r="H469" s="7" t="n">
        <v>21</v>
      </c>
      <c r="I469" s="6" t="inlineStr">
        <is>
          <t>Back(近强)</t>
        </is>
      </c>
    </row>
    <row r="470">
      <c r="A470" s="11" t="inlineStr">
        <is>
          <t>2024-07-24</t>
        </is>
      </c>
      <c r="B470" s="11" t="inlineStr">
        <is>
          <t>MA2409</t>
        </is>
      </c>
      <c r="C470" s="11" t="inlineStr">
        <is>
          <t>2024-09</t>
        </is>
      </c>
      <c r="D470" s="14" t="n">
        <v>743559</v>
      </c>
      <c r="E470" s="11" t="n">
        <v>36</v>
      </c>
      <c r="F470" s="11" t="n">
        <v>0</v>
      </c>
      <c r="G470" s="11" t="n">
        <v>0</v>
      </c>
      <c r="H470" s="12" t="n">
        <v>21</v>
      </c>
      <c r="I470" s="11" t="inlineStr">
        <is>
          <t>Back(近强)</t>
        </is>
      </c>
    </row>
    <row r="471">
      <c r="A471" s="6" t="inlineStr">
        <is>
          <t>2024-07-25</t>
        </is>
      </c>
      <c r="B471" s="6" t="inlineStr">
        <is>
          <t>MA2409</t>
        </is>
      </c>
      <c r="C471" s="6" t="inlineStr">
        <is>
          <t>2024-09</t>
        </is>
      </c>
      <c r="D471" s="9" t="n">
        <v>737599</v>
      </c>
      <c r="E471" s="6" t="n">
        <v>35</v>
      </c>
      <c r="F471" s="6" t="n">
        <v>0</v>
      </c>
      <c r="G471" s="6" t="n">
        <v>0</v>
      </c>
      <c r="H471" s="7" t="n">
        <v>19</v>
      </c>
      <c r="I471" s="6" t="inlineStr">
        <is>
          <t>Back(近强)</t>
        </is>
      </c>
    </row>
    <row r="472">
      <c r="A472" s="11" t="inlineStr">
        <is>
          <t>2024-07-26</t>
        </is>
      </c>
      <c r="B472" s="11" t="inlineStr">
        <is>
          <t>MA2409</t>
        </is>
      </c>
      <c r="C472" s="11" t="inlineStr">
        <is>
          <t>2024-09</t>
        </is>
      </c>
      <c r="D472" s="14" t="n">
        <v>686859</v>
      </c>
      <c r="E472" s="11" t="n">
        <v>34</v>
      </c>
      <c r="F472" s="11" t="n">
        <v>0</v>
      </c>
      <c r="G472" s="11" t="n">
        <v>0</v>
      </c>
      <c r="H472" s="12" t="n">
        <v>14</v>
      </c>
      <c r="I472" s="11" t="inlineStr">
        <is>
          <t>Back(近强)</t>
        </is>
      </c>
    </row>
    <row r="473">
      <c r="A473" s="6" t="inlineStr">
        <is>
          <t>2024-07-29</t>
        </is>
      </c>
      <c r="B473" s="6" t="inlineStr">
        <is>
          <t>MA2409</t>
        </is>
      </c>
      <c r="C473" s="6" t="inlineStr">
        <is>
          <t>2024-09</t>
        </is>
      </c>
      <c r="D473" s="9" t="n">
        <v>703403</v>
      </c>
      <c r="E473" s="6" t="n">
        <v>33</v>
      </c>
      <c r="F473" s="6" t="n">
        <v>0</v>
      </c>
      <c r="G473" s="6" t="n">
        <v>0</v>
      </c>
      <c r="H473" s="7" t="n">
        <v>15</v>
      </c>
      <c r="I473" s="6" t="inlineStr">
        <is>
          <t>Back(近强)</t>
        </is>
      </c>
    </row>
    <row r="474">
      <c r="A474" s="11" t="inlineStr">
        <is>
          <t>2024-07-30</t>
        </is>
      </c>
      <c r="B474" s="11" t="inlineStr">
        <is>
          <t>MA2409</t>
        </is>
      </c>
      <c r="C474" s="11" t="inlineStr">
        <is>
          <t>2024-09</t>
        </is>
      </c>
      <c r="D474" s="14" t="n">
        <v>745081</v>
      </c>
      <c r="E474" s="11" t="n">
        <v>32</v>
      </c>
      <c r="F474" s="11" t="n">
        <v>0</v>
      </c>
      <c r="G474" s="11" t="n">
        <v>0</v>
      </c>
      <c r="H474" s="12" t="n">
        <v>11</v>
      </c>
      <c r="I474" s="11" t="inlineStr">
        <is>
          <t>Back(近强)</t>
        </is>
      </c>
    </row>
    <row r="475">
      <c r="A475" s="6" t="inlineStr">
        <is>
          <t>2024-07-31</t>
        </is>
      </c>
      <c r="B475" s="6" t="inlineStr">
        <is>
          <t>MA2409</t>
        </is>
      </c>
      <c r="C475" s="6" t="inlineStr">
        <is>
          <t>2024-09</t>
        </is>
      </c>
      <c r="D475" s="9" t="n">
        <v>684009</v>
      </c>
      <c r="E475" s="6" t="n">
        <v>31</v>
      </c>
      <c r="F475" s="6" t="n">
        <v>0</v>
      </c>
      <c r="G475" s="6" t="n">
        <v>0</v>
      </c>
      <c r="H475" s="7" t="n">
        <v>16</v>
      </c>
      <c r="I475" s="6" t="inlineStr">
        <is>
          <t>Back(近强)</t>
        </is>
      </c>
    </row>
    <row r="476">
      <c r="A476" s="11" t="inlineStr">
        <is>
          <t>2024-08-01</t>
        </is>
      </c>
      <c r="B476" s="11" t="inlineStr">
        <is>
          <t>MA2409</t>
        </is>
      </c>
      <c r="C476" s="11" t="inlineStr">
        <is>
          <t>2024-09</t>
        </is>
      </c>
      <c r="D476" s="14" t="n">
        <v>650059</v>
      </c>
      <c r="E476" s="11" t="n">
        <v>30</v>
      </c>
      <c r="F476" s="11" t="n">
        <v>0</v>
      </c>
      <c r="G476" s="11" t="n">
        <v>0</v>
      </c>
      <c r="H476" s="12" t="n">
        <v>-22</v>
      </c>
      <c r="I476" s="11" t="inlineStr">
        <is>
          <t>结构不明</t>
        </is>
      </c>
    </row>
    <row r="477">
      <c r="A477" s="6" t="inlineStr">
        <is>
          <t>2024-08-02</t>
        </is>
      </c>
      <c r="B477" s="6" t="inlineStr">
        <is>
          <t>MA2409</t>
        </is>
      </c>
      <c r="C477" s="6" t="inlineStr">
        <is>
          <t>2024-09</t>
        </is>
      </c>
      <c r="D477" s="9" t="n">
        <v>626831</v>
      </c>
      <c r="E477" s="6" t="n">
        <v>29</v>
      </c>
      <c r="F477" s="6" t="n">
        <v>0</v>
      </c>
      <c r="G477" s="6" t="n">
        <v>0</v>
      </c>
      <c r="H477" s="7" t="n">
        <v>-23</v>
      </c>
      <c r="I477" s="6" t="inlineStr">
        <is>
          <t>结构不明</t>
        </is>
      </c>
    </row>
    <row r="478">
      <c r="A478" s="11" t="inlineStr">
        <is>
          <t>2024-08-05</t>
        </is>
      </c>
      <c r="B478" s="11" t="inlineStr">
        <is>
          <t>MA2409</t>
        </is>
      </c>
      <c r="C478" s="11" t="inlineStr">
        <is>
          <t>2024-09</t>
        </is>
      </c>
      <c r="D478" s="14" t="n">
        <v>609015</v>
      </c>
      <c r="E478" s="11" t="n">
        <v>28</v>
      </c>
      <c r="F478" s="11" t="n">
        <v>0</v>
      </c>
      <c r="G478" s="11" t="n">
        <v>0</v>
      </c>
      <c r="H478" s="12" t="n">
        <v>14</v>
      </c>
      <c r="I478" s="11" t="inlineStr">
        <is>
          <t>Back(近强)</t>
        </is>
      </c>
    </row>
    <row r="479">
      <c r="A479" s="6" t="inlineStr">
        <is>
          <t>2024-08-06</t>
        </is>
      </c>
      <c r="B479" s="6" t="inlineStr">
        <is>
          <t>MA2409</t>
        </is>
      </c>
      <c r="C479" s="6" t="inlineStr">
        <is>
          <t>2024-09</t>
        </is>
      </c>
      <c r="D479" s="9" t="n">
        <v>576779</v>
      </c>
      <c r="E479" s="6" t="n">
        <v>27</v>
      </c>
      <c r="F479" s="6" t="n">
        <v>0</v>
      </c>
      <c r="G479" s="6" t="n">
        <v>0</v>
      </c>
      <c r="H479" s="7" t="n">
        <v>-20</v>
      </c>
      <c r="I479" s="6" t="inlineStr">
        <is>
          <t>结构不明</t>
        </is>
      </c>
    </row>
    <row r="480">
      <c r="A480" s="11" t="inlineStr">
        <is>
          <t>2024-08-07</t>
        </is>
      </c>
      <c r="B480" s="11" t="inlineStr">
        <is>
          <t>MA2409</t>
        </is>
      </c>
      <c r="C480" s="11" t="inlineStr">
        <is>
          <t>2024-09</t>
        </is>
      </c>
      <c r="D480" s="14" t="n">
        <v>560088</v>
      </c>
      <c r="E480" s="11" t="n">
        <v>26</v>
      </c>
      <c r="F480" s="11" t="n">
        <v>0</v>
      </c>
      <c r="G480" s="11" t="n">
        <v>0</v>
      </c>
      <c r="H480" s="12" t="n">
        <v>-22</v>
      </c>
      <c r="I480" s="11" t="inlineStr">
        <is>
          <t>结构不明</t>
        </is>
      </c>
    </row>
    <row r="481">
      <c r="A481" s="6" t="inlineStr">
        <is>
          <t>2024-08-08</t>
        </is>
      </c>
      <c r="B481" s="6" t="inlineStr">
        <is>
          <t>MA2409</t>
        </is>
      </c>
      <c r="C481" s="6" t="inlineStr">
        <is>
          <t>2024-09</t>
        </is>
      </c>
      <c r="D481" s="9" t="n">
        <v>502971</v>
      </c>
      <c r="E481" s="6" t="n">
        <v>25</v>
      </c>
      <c r="F481" s="6" t="n">
        <v>0</v>
      </c>
      <c r="G481" s="6" t="n">
        <v>0</v>
      </c>
      <c r="H481" s="7" t="n">
        <v>-17</v>
      </c>
      <c r="I481" s="6" t="inlineStr">
        <is>
          <t>结构不明</t>
        </is>
      </c>
    </row>
    <row r="482">
      <c r="A482" s="11" t="inlineStr">
        <is>
          <t>2024-08-09</t>
        </is>
      </c>
      <c r="B482" s="11" t="inlineStr">
        <is>
          <t>MA2409</t>
        </is>
      </c>
      <c r="C482" s="11" t="inlineStr">
        <is>
          <t>2024-09</t>
        </is>
      </c>
      <c r="D482" s="14" t="n">
        <v>472186</v>
      </c>
      <c r="E482" s="11" t="n">
        <v>24</v>
      </c>
      <c r="F482" s="11" t="n">
        <v>0</v>
      </c>
      <c r="G482" s="11" t="n">
        <v>0</v>
      </c>
      <c r="H482" s="12" t="n">
        <v>-25</v>
      </c>
      <c r="I482" s="11" t="inlineStr">
        <is>
          <t>结构不明</t>
        </is>
      </c>
    </row>
    <row r="483">
      <c r="A483" s="6" t="inlineStr">
        <is>
          <t>2024-08-12</t>
        </is>
      </c>
      <c r="B483" s="6" t="inlineStr">
        <is>
          <t>MA2409</t>
        </is>
      </c>
      <c r="C483" s="6" t="inlineStr">
        <is>
          <t>2024-09</t>
        </is>
      </c>
      <c r="D483" s="9" t="n">
        <v>457998</v>
      </c>
      <c r="E483" s="6" t="n">
        <v>23</v>
      </c>
      <c r="F483" s="6" t="n">
        <v>0</v>
      </c>
      <c r="G483" s="6" t="n">
        <v>1</v>
      </c>
      <c r="H483" s="7" t="n">
        <v>-27</v>
      </c>
      <c r="I483" s="6" t="inlineStr">
        <is>
          <t>结构不明</t>
        </is>
      </c>
    </row>
    <row r="484">
      <c r="A484" s="11" t="inlineStr">
        <is>
          <t>2024-08-13</t>
        </is>
      </c>
      <c r="B484" s="11" t="inlineStr">
        <is>
          <t>MA2501</t>
        </is>
      </c>
      <c r="C484" s="11" t="inlineStr">
        <is>
          <t>2025-01</t>
        </is>
      </c>
      <c r="D484" s="14" t="n">
        <v>475742</v>
      </c>
      <c r="E484" s="11" t="n">
        <v>103</v>
      </c>
      <c r="F484" s="11" t="n">
        <v>1</v>
      </c>
      <c r="G484" s="11" t="n">
        <v>0</v>
      </c>
      <c r="H484" s="12" t="n">
        <v>93</v>
      </c>
      <c r="I484" s="11" t="inlineStr">
        <is>
          <t>Back(近强)</t>
        </is>
      </c>
    </row>
    <row r="485">
      <c r="A485" s="6" t="inlineStr">
        <is>
          <t>2024-08-14</t>
        </is>
      </c>
      <c r="B485" s="6" t="inlineStr">
        <is>
          <t>MA2501</t>
        </is>
      </c>
      <c r="C485" s="6" t="inlineStr">
        <is>
          <t>2025-01</t>
        </is>
      </c>
      <c r="D485" s="9" t="n">
        <v>512878</v>
      </c>
      <c r="E485" s="6" t="n">
        <v>102</v>
      </c>
      <c r="F485" s="6" t="n">
        <v>0</v>
      </c>
      <c r="G485" s="6" t="n">
        <v>0</v>
      </c>
      <c r="H485" s="7" t="n">
        <v>42</v>
      </c>
      <c r="I485" s="6" t="inlineStr">
        <is>
          <t>Back(近强)</t>
        </is>
      </c>
    </row>
    <row r="486">
      <c r="A486" s="11" t="inlineStr">
        <is>
          <t>2024-08-15</t>
        </is>
      </c>
      <c r="B486" s="11" t="inlineStr">
        <is>
          <t>MA2501</t>
        </is>
      </c>
      <c r="C486" s="11" t="inlineStr">
        <is>
          <t>2025-01</t>
        </is>
      </c>
      <c r="D486" s="14" t="n">
        <v>575113</v>
      </c>
      <c r="E486" s="11" t="n">
        <v>101</v>
      </c>
      <c r="F486" s="11" t="n">
        <v>0</v>
      </c>
      <c r="G486" s="11" t="n">
        <v>0</v>
      </c>
      <c r="H486" s="12" t="n">
        <v>35</v>
      </c>
      <c r="I486" s="11" t="inlineStr">
        <is>
          <t>Back(近强)</t>
        </is>
      </c>
    </row>
    <row r="487">
      <c r="A487" s="6" t="inlineStr">
        <is>
          <t>2024-08-16</t>
        </is>
      </c>
      <c r="B487" s="6" t="inlineStr">
        <is>
          <t>MA2501</t>
        </is>
      </c>
      <c r="C487" s="6" t="inlineStr">
        <is>
          <t>2025-01</t>
        </is>
      </c>
      <c r="D487" s="9" t="n">
        <v>666727</v>
      </c>
      <c r="E487" s="6" t="n">
        <v>100</v>
      </c>
      <c r="F487" s="6" t="n">
        <v>0</v>
      </c>
      <c r="G487" s="6" t="n">
        <v>0</v>
      </c>
      <c r="H487" s="7" t="n">
        <v>22</v>
      </c>
      <c r="I487" s="6" t="inlineStr">
        <is>
          <t>Back(近强)</t>
        </is>
      </c>
    </row>
    <row r="488">
      <c r="A488" s="11" t="inlineStr">
        <is>
          <t>2024-08-19</t>
        </is>
      </c>
      <c r="B488" s="11" t="inlineStr">
        <is>
          <t>MA2501</t>
        </is>
      </c>
      <c r="C488" s="11" t="inlineStr">
        <is>
          <t>2025-01</t>
        </is>
      </c>
      <c r="D488" s="14" t="n">
        <v>667467</v>
      </c>
      <c r="E488" s="11" t="n">
        <v>99</v>
      </c>
      <c r="F488" s="11" t="n">
        <v>0</v>
      </c>
      <c r="G488" s="11" t="n">
        <v>0</v>
      </c>
      <c r="H488" s="12" t="n">
        <v>33</v>
      </c>
      <c r="I488" s="11" t="inlineStr">
        <is>
          <t>Back(近强)</t>
        </is>
      </c>
    </row>
    <row r="489">
      <c r="A489" s="6" t="inlineStr">
        <is>
          <t>2024-08-20</t>
        </is>
      </c>
      <c r="B489" s="6" t="inlineStr">
        <is>
          <t>MA2501</t>
        </is>
      </c>
      <c r="C489" s="6" t="inlineStr">
        <is>
          <t>2025-01</t>
        </is>
      </c>
      <c r="D489" s="9" t="n">
        <v>694751</v>
      </c>
      <c r="E489" s="6" t="n">
        <v>98</v>
      </c>
      <c r="F489" s="6" t="n">
        <v>0</v>
      </c>
      <c r="G489" s="6" t="n">
        <v>0</v>
      </c>
      <c r="H489" s="7" t="n">
        <v>47</v>
      </c>
      <c r="I489" s="6" t="inlineStr">
        <is>
          <t>Back(近强)</t>
        </is>
      </c>
    </row>
    <row r="490">
      <c r="A490" s="11" t="inlineStr">
        <is>
          <t>2024-08-21</t>
        </is>
      </c>
      <c r="B490" s="11" t="inlineStr">
        <is>
          <t>MA2501</t>
        </is>
      </c>
      <c r="C490" s="11" t="inlineStr">
        <is>
          <t>2025-01</t>
        </is>
      </c>
      <c r="D490" s="14" t="n">
        <v>697139</v>
      </c>
      <c r="E490" s="11" t="n">
        <v>97</v>
      </c>
      <c r="F490" s="11" t="n">
        <v>0</v>
      </c>
      <c r="G490" s="11" t="n">
        <v>0</v>
      </c>
      <c r="H490" s="12" t="n">
        <v>51</v>
      </c>
      <c r="I490" s="11" t="inlineStr">
        <is>
          <t>Back(近强)</t>
        </is>
      </c>
    </row>
    <row r="491">
      <c r="A491" s="6" t="inlineStr">
        <is>
          <t>2024-08-22</t>
        </is>
      </c>
      <c r="B491" s="6" t="inlineStr">
        <is>
          <t>MA2501</t>
        </is>
      </c>
      <c r="C491" s="6" t="inlineStr">
        <is>
          <t>2025-01</t>
        </is>
      </c>
      <c r="D491" s="9" t="n">
        <v>664743</v>
      </c>
      <c r="E491" s="6" t="n">
        <v>96</v>
      </c>
      <c r="F491" s="6" t="n">
        <v>0</v>
      </c>
      <c r="G491" s="6" t="n">
        <v>0</v>
      </c>
      <c r="H491" s="7" t="n">
        <v>52</v>
      </c>
      <c r="I491" s="6" t="inlineStr">
        <is>
          <t>Back(近强)</t>
        </is>
      </c>
    </row>
    <row r="492">
      <c r="A492" s="11" t="inlineStr">
        <is>
          <t>2024-08-23</t>
        </is>
      </c>
      <c r="B492" s="11" t="inlineStr">
        <is>
          <t>MA2501</t>
        </is>
      </c>
      <c r="C492" s="11" t="inlineStr">
        <is>
          <t>2025-01</t>
        </is>
      </c>
      <c r="D492" s="14" t="n">
        <v>649716</v>
      </c>
      <c r="E492" s="11" t="n">
        <v>95</v>
      </c>
      <c r="F492" s="11" t="n">
        <v>0</v>
      </c>
      <c r="G492" s="11" t="n">
        <v>0</v>
      </c>
      <c r="H492" s="12" t="n">
        <v>49</v>
      </c>
      <c r="I492" s="11" t="inlineStr">
        <is>
          <t>Back(近强)</t>
        </is>
      </c>
    </row>
    <row r="493">
      <c r="A493" s="6" t="inlineStr">
        <is>
          <t>2024-08-26</t>
        </is>
      </c>
      <c r="B493" s="6" t="inlineStr">
        <is>
          <t>MA2501</t>
        </is>
      </c>
      <c r="C493" s="6" t="inlineStr">
        <is>
          <t>2025-01</t>
        </is>
      </c>
      <c r="D493" s="9" t="n">
        <v>650398</v>
      </c>
      <c r="E493" s="6" t="n">
        <v>94</v>
      </c>
      <c r="F493" s="6" t="n">
        <v>0</v>
      </c>
      <c r="G493" s="6" t="n">
        <v>0</v>
      </c>
      <c r="H493" s="7" t="n">
        <v>56</v>
      </c>
      <c r="I493" s="6" t="inlineStr">
        <is>
          <t>Back(近强)</t>
        </is>
      </c>
    </row>
    <row r="494">
      <c r="A494" s="11" t="inlineStr">
        <is>
          <t>2024-08-27</t>
        </is>
      </c>
      <c r="B494" s="11" t="inlineStr">
        <is>
          <t>MA2501</t>
        </is>
      </c>
      <c r="C494" s="11" t="inlineStr">
        <is>
          <t>2025-01</t>
        </is>
      </c>
      <c r="D494" s="14" t="n">
        <v>639397</v>
      </c>
      <c r="E494" s="11" t="n">
        <v>93</v>
      </c>
      <c r="F494" s="11" t="n">
        <v>0</v>
      </c>
      <c r="G494" s="11" t="n">
        <v>0</v>
      </c>
      <c r="H494" s="12" t="n">
        <v>65</v>
      </c>
      <c r="I494" s="11" t="inlineStr">
        <is>
          <t>Back(近强)</t>
        </is>
      </c>
    </row>
    <row r="495">
      <c r="A495" s="6" t="inlineStr">
        <is>
          <t>2024-08-28</t>
        </is>
      </c>
      <c r="B495" s="6" t="inlineStr">
        <is>
          <t>MA2501</t>
        </is>
      </c>
      <c r="C495" s="6" t="inlineStr">
        <is>
          <t>2025-01</t>
        </is>
      </c>
      <c r="D495" s="9" t="n">
        <v>633168</v>
      </c>
      <c r="E495" s="6" t="n">
        <v>92</v>
      </c>
      <c r="F495" s="6" t="n">
        <v>0</v>
      </c>
      <c r="G495" s="6" t="n">
        <v>0</v>
      </c>
      <c r="H495" s="7" t="n">
        <v>65</v>
      </c>
      <c r="I495" s="6" t="inlineStr">
        <is>
          <t>Back(近强)</t>
        </is>
      </c>
    </row>
    <row r="496">
      <c r="A496" s="11" t="inlineStr">
        <is>
          <t>2024-08-29</t>
        </is>
      </c>
      <c r="B496" s="11" t="inlineStr">
        <is>
          <t>MA2501</t>
        </is>
      </c>
      <c r="C496" s="11" t="inlineStr">
        <is>
          <t>2025-01</t>
        </is>
      </c>
      <c r="D496" s="14" t="n">
        <v>625414</v>
      </c>
      <c r="E496" s="11" t="n">
        <v>91</v>
      </c>
      <c r="F496" s="11" t="n">
        <v>0</v>
      </c>
      <c r="G496" s="11" t="n">
        <v>0</v>
      </c>
      <c r="H496" s="12" t="n">
        <v>63</v>
      </c>
      <c r="I496" s="11" t="inlineStr">
        <is>
          <t>Back(近强)</t>
        </is>
      </c>
    </row>
    <row r="497">
      <c r="A497" s="6" t="inlineStr">
        <is>
          <t>2024-08-30</t>
        </is>
      </c>
      <c r="B497" s="6" t="inlineStr">
        <is>
          <t>MA2501</t>
        </is>
      </c>
      <c r="C497" s="6" t="inlineStr">
        <is>
          <t>2025-01</t>
        </is>
      </c>
      <c r="D497" s="9" t="n">
        <v>617644</v>
      </c>
      <c r="E497" s="6" t="n">
        <v>90</v>
      </c>
      <c r="F497" s="6" t="n">
        <v>0</v>
      </c>
      <c r="G497" s="6" t="n">
        <v>0</v>
      </c>
      <c r="H497" s="7" t="n">
        <v>58</v>
      </c>
      <c r="I497" s="6" t="inlineStr">
        <is>
          <t>Back(近强)</t>
        </is>
      </c>
    </row>
    <row r="498">
      <c r="A498" s="11" t="inlineStr">
        <is>
          <t>2024-09-02</t>
        </is>
      </c>
      <c r="B498" s="11" t="inlineStr">
        <is>
          <t>MA2501</t>
        </is>
      </c>
      <c r="C498" s="11" t="inlineStr">
        <is>
          <t>2025-01</t>
        </is>
      </c>
      <c r="D498" s="14" t="n">
        <v>622768</v>
      </c>
      <c r="E498" s="11" t="n">
        <v>89</v>
      </c>
      <c r="F498" s="11" t="n">
        <v>0</v>
      </c>
      <c r="G498" s="11" t="n">
        <v>0</v>
      </c>
      <c r="H498" s="12" t="n">
        <v>51</v>
      </c>
      <c r="I498" s="11" t="inlineStr">
        <is>
          <t>Back(近强)</t>
        </is>
      </c>
    </row>
    <row r="499">
      <c r="A499" s="6" t="inlineStr">
        <is>
          <t>2024-09-03</t>
        </is>
      </c>
      <c r="B499" s="6" t="inlineStr">
        <is>
          <t>MA2501</t>
        </is>
      </c>
      <c r="C499" s="6" t="inlineStr">
        <is>
          <t>2025-01</t>
        </is>
      </c>
      <c r="D499" s="9" t="n">
        <v>662972</v>
      </c>
      <c r="E499" s="6" t="n">
        <v>88</v>
      </c>
      <c r="F499" s="6" t="n">
        <v>0</v>
      </c>
      <c r="G499" s="6" t="n">
        <v>0</v>
      </c>
      <c r="H499" s="7" t="n">
        <v>48</v>
      </c>
      <c r="I499" s="6" t="inlineStr">
        <is>
          <t>Back(近强)</t>
        </is>
      </c>
    </row>
    <row r="500">
      <c r="A500" s="11" t="inlineStr">
        <is>
          <t>2024-09-04</t>
        </is>
      </c>
      <c r="B500" s="11" t="inlineStr">
        <is>
          <t>MA2501</t>
        </is>
      </c>
      <c r="C500" s="11" t="inlineStr">
        <is>
          <t>2025-01</t>
        </is>
      </c>
      <c r="D500" s="14" t="n">
        <v>733167</v>
      </c>
      <c r="E500" s="11" t="n">
        <v>87</v>
      </c>
      <c r="F500" s="11" t="n">
        <v>0</v>
      </c>
      <c r="G500" s="11" t="n">
        <v>0</v>
      </c>
      <c r="H500" s="12" t="n">
        <v>41</v>
      </c>
      <c r="I500" s="11" t="inlineStr">
        <is>
          <t>Back(近强)</t>
        </is>
      </c>
    </row>
    <row r="501">
      <c r="A501" s="6" t="inlineStr">
        <is>
          <t>2024-09-05</t>
        </is>
      </c>
      <c r="B501" s="6" t="inlineStr">
        <is>
          <t>MA2501</t>
        </is>
      </c>
      <c r="C501" s="6" t="inlineStr">
        <is>
          <t>2025-01</t>
        </is>
      </c>
      <c r="D501" s="9" t="n">
        <v>771965</v>
      </c>
      <c r="E501" s="6" t="n">
        <v>86</v>
      </c>
      <c r="F501" s="6" t="n">
        <v>0</v>
      </c>
      <c r="G501" s="6" t="n">
        <v>0</v>
      </c>
      <c r="H501" s="7" t="n">
        <v>39</v>
      </c>
      <c r="I501" s="6" t="inlineStr">
        <is>
          <t>Back(近强)</t>
        </is>
      </c>
    </row>
    <row r="502">
      <c r="A502" s="11" t="inlineStr">
        <is>
          <t>2024-09-06</t>
        </is>
      </c>
      <c r="B502" s="11" t="inlineStr">
        <is>
          <t>MA2501</t>
        </is>
      </c>
      <c r="C502" s="11" t="inlineStr">
        <is>
          <t>2025-01</t>
        </is>
      </c>
      <c r="D502" s="14" t="n">
        <v>788828</v>
      </c>
      <c r="E502" s="11" t="n">
        <v>85</v>
      </c>
      <c r="F502" s="11" t="n">
        <v>0</v>
      </c>
      <c r="G502" s="11" t="n">
        <v>0</v>
      </c>
      <c r="H502" s="12" t="n">
        <v>21</v>
      </c>
      <c r="I502" s="11" t="inlineStr">
        <is>
          <t>Back(近强)</t>
        </is>
      </c>
    </row>
    <row r="503">
      <c r="A503" s="6" t="inlineStr">
        <is>
          <t>2024-09-09</t>
        </is>
      </c>
      <c r="B503" s="6" t="inlineStr">
        <is>
          <t>MA2501</t>
        </is>
      </c>
      <c r="C503" s="6" t="inlineStr">
        <is>
          <t>2025-01</t>
        </is>
      </c>
      <c r="D503" s="9" t="n">
        <v>797122</v>
      </c>
      <c r="E503" s="6" t="n">
        <v>84</v>
      </c>
      <c r="F503" s="6" t="n">
        <v>0</v>
      </c>
      <c r="G503" s="6" t="n">
        <v>0</v>
      </c>
      <c r="H503" s="7" t="n">
        <v>16</v>
      </c>
      <c r="I503" s="6" t="inlineStr">
        <is>
          <t>Back(近强)</t>
        </is>
      </c>
    </row>
    <row r="504">
      <c r="A504" s="11" t="inlineStr">
        <is>
          <t>2024-09-10</t>
        </is>
      </c>
      <c r="B504" s="11" t="inlineStr">
        <is>
          <t>MA2501</t>
        </is>
      </c>
      <c r="C504" s="11" t="inlineStr">
        <is>
          <t>2025-01</t>
        </is>
      </c>
      <c r="D504" s="14" t="n">
        <v>839029</v>
      </c>
      <c r="E504" s="11" t="n">
        <v>83</v>
      </c>
      <c r="F504" s="11" t="n">
        <v>0</v>
      </c>
      <c r="G504" s="11" t="n">
        <v>0</v>
      </c>
      <c r="H504" s="12" t="n">
        <v>-25</v>
      </c>
      <c r="I504" s="11" t="inlineStr">
        <is>
          <t>Contango(远强)</t>
        </is>
      </c>
    </row>
    <row r="505">
      <c r="A505" s="6" t="inlineStr">
        <is>
          <t>2024-09-11</t>
        </is>
      </c>
      <c r="B505" s="6" t="inlineStr">
        <is>
          <t>MA2501</t>
        </is>
      </c>
      <c r="C505" s="6" t="inlineStr">
        <is>
          <t>2025-01</t>
        </is>
      </c>
      <c r="D505" s="9" t="n">
        <v>815797</v>
      </c>
      <c r="E505" s="6" t="n">
        <v>82</v>
      </c>
      <c r="F505" s="6" t="n">
        <v>0</v>
      </c>
      <c r="G505" s="6" t="n">
        <v>0</v>
      </c>
      <c r="H505" s="7" t="n">
        <v>1</v>
      </c>
      <c r="I505" s="6" t="inlineStr">
        <is>
          <t>结构不明</t>
        </is>
      </c>
    </row>
    <row r="506">
      <c r="A506" s="11" t="inlineStr">
        <is>
          <t>2024-09-12</t>
        </is>
      </c>
      <c r="B506" s="11" t="inlineStr">
        <is>
          <t>MA2501</t>
        </is>
      </c>
      <c r="C506" s="11" t="inlineStr">
        <is>
          <t>2025-01</t>
        </is>
      </c>
      <c r="D506" s="14" t="n">
        <v>807510</v>
      </c>
      <c r="E506" s="11" t="n">
        <v>81</v>
      </c>
      <c r="F506" s="11" t="n">
        <v>0</v>
      </c>
      <c r="G506" s="11" t="n">
        <v>0</v>
      </c>
      <c r="H506" s="12" t="n">
        <v>41</v>
      </c>
      <c r="I506" s="11" t="inlineStr">
        <is>
          <t>Back(近强)</t>
        </is>
      </c>
    </row>
    <row r="507">
      <c r="A507" s="6" t="inlineStr">
        <is>
          <t>2024-09-13</t>
        </is>
      </c>
      <c r="B507" s="6" t="inlineStr">
        <is>
          <t>MA2501</t>
        </is>
      </c>
      <c r="C507" s="6" t="inlineStr">
        <is>
          <t>2025-01</t>
        </is>
      </c>
      <c r="D507" s="9" t="n">
        <v>767811</v>
      </c>
      <c r="E507" s="6" t="n">
        <v>80</v>
      </c>
      <c r="F507" s="6" t="n">
        <v>0</v>
      </c>
      <c r="G507" s="6" t="n">
        <v>0</v>
      </c>
      <c r="H507" s="7" t="n">
        <v>68</v>
      </c>
      <c r="I507" s="6" t="inlineStr">
        <is>
          <t>Back(近强)</t>
        </is>
      </c>
    </row>
    <row r="508">
      <c r="A508" s="11" t="inlineStr">
        <is>
          <t>2024-09-18</t>
        </is>
      </c>
      <c r="B508" s="11" t="inlineStr">
        <is>
          <t>MA2501</t>
        </is>
      </c>
      <c r="C508" s="11" t="inlineStr">
        <is>
          <t>2025-01</t>
        </is>
      </c>
      <c r="D508" s="14" t="n">
        <v>771095</v>
      </c>
      <c r="E508" s="11" t="n">
        <v>79</v>
      </c>
      <c r="F508" s="11" t="n">
        <v>0</v>
      </c>
      <c r="G508" s="11" t="n">
        <v>0</v>
      </c>
      <c r="H508" s="12" t="n">
        <v>-16</v>
      </c>
      <c r="I508" s="11" t="inlineStr">
        <is>
          <t>结构不明</t>
        </is>
      </c>
    </row>
    <row r="509">
      <c r="A509" s="6" t="inlineStr">
        <is>
          <t>2024-09-19</t>
        </is>
      </c>
      <c r="B509" s="6" t="inlineStr">
        <is>
          <t>MA2501</t>
        </is>
      </c>
      <c r="C509" s="6" t="inlineStr">
        <is>
          <t>2025-01</t>
        </is>
      </c>
      <c r="D509" s="9" t="n">
        <v>770223</v>
      </c>
      <c r="E509" s="6" t="n">
        <v>78</v>
      </c>
      <c r="F509" s="6" t="n">
        <v>0</v>
      </c>
      <c r="G509" s="6" t="n">
        <v>0</v>
      </c>
      <c r="H509" s="7" t="n">
        <v>-17</v>
      </c>
      <c r="I509" s="6" t="inlineStr">
        <is>
          <t>Contango(远强)</t>
        </is>
      </c>
    </row>
    <row r="510">
      <c r="A510" s="11" t="inlineStr">
        <is>
          <t>2024-09-20</t>
        </is>
      </c>
      <c r="B510" s="11" t="inlineStr">
        <is>
          <t>MA2501</t>
        </is>
      </c>
      <c r="C510" s="11" t="inlineStr">
        <is>
          <t>2025-01</t>
        </is>
      </c>
      <c r="D510" s="14" t="n">
        <v>791242</v>
      </c>
      <c r="E510" s="11" t="n">
        <v>77</v>
      </c>
      <c r="F510" s="11" t="n">
        <v>0</v>
      </c>
      <c r="G510" s="11" t="n">
        <v>0</v>
      </c>
      <c r="H510" s="12" t="n">
        <v>-18</v>
      </c>
      <c r="I510" s="11" t="inlineStr">
        <is>
          <t>Contango(远强)</t>
        </is>
      </c>
    </row>
    <row r="511">
      <c r="A511" s="6" t="inlineStr">
        <is>
          <t>2024-09-23</t>
        </is>
      </c>
      <c r="B511" s="6" t="inlineStr">
        <is>
          <t>MA2501</t>
        </is>
      </c>
      <c r="C511" s="6" t="inlineStr">
        <is>
          <t>2025-01</t>
        </is>
      </c>
      <c r="D511" s="9" t="n">
        <v>824551</v>
      </c>
      <c r="E511" s="6" t="n">
        <v>76</v>
      </c>
      <c r="F511" s="6" t="n">
        <v>0</v>
      </c>
      <c r="G511" s="6" t="n">
        <v>0</v>
      </c>
      <c r="H511" s="7" t="n">
        <v>-18</v>
      </c>
      <c r="I511" s="6" t="inlineStr">
        <is>
          <t>Contango(远强)</t>
        </is>
      </c>
    </row>
    <row r="512">
      <c r="A512" s="11" t="inlineStr">
        <is>
          <t>2024-09-24</t>
        </is>
      </c>
      <c r="B512" s="11" t="inlineStr">
        <is>
          <t>MA2501</t>
        </is>
      </c>
      <c r="C512" s="11" t="inlineStr">
        <is>
          <t>2025-01</t>
        </is>
      </c>
      <c r="D512" s="14" t="n">
        <v>771601</v>
      </c>
      <c r="E512" s="11" t="n">
        <v>75</v>
      </c>
      <c r="F512" s="11" t="n">
        <v>0</v>
      </c>
      <c r="G512" s="11" t="n">
        <v>0</v>
      </c>
      <c r="H512" s="12" t="n">
        <v>-2</v>
      </c>
      <c r="I512" s="11" t="inlineStr">
        <is>
          <t>结构不明</t>
        </is>
      </c>
    </row>
    <row r="513">
      <c r="A513" s="6" t="inlineStr">
        <is>
          <t>2024-09-25</t>
        </is>
      </c>
      <c r="B513" s="6" t="inlineStr">
        <is>
          <t>MA2501</t>
        </is>
      </c>
      <c r="C513" s="6" t="inlineStr">
        <is>
          <t>2025-01</t>
        </is>
      </c>
      <c r="D513" s="9" t="n">
        <v>729769</v>
      </c>
      <c r="E513" s="6" t="n">
        <v>74</v>
      </c>
      <c r="F513" s="6" t="n">
        <v>0</v>
      </c>
      <c r="G513" s="6" t="n">
        <v>0</v>
      </c>
      <c r="H513" s="7" t="n">
        <v>-3</v>
      </c>
      <c r="I513" s="6" t="inlineStr">
        <is>
          <t>结构不明</t>
        </is>
      </c>
    </row>
    <row r="514">
      <c r="A514" s="11" t="inlineStr">
        <is>
          <t>2024-09-26</t>
        </is>
      </c>
      <c r="B514" s="11" t="inlineStr">
        <is>
          <t>MA2501</t>
        </is>
      </c>
      <c r="C514" s="11" t="inlineStr">
        <is>
          <t>2025-01</t>
        </is>
      </c>
      <c r="D514" s="14" t="n">
        <v>697947</v>
      </c>
      <c r="E514" s="11" t="n">
        <v>73</v>
      </c>
      <c r="F514" s="11" t="n">
        <v>0</v>
      </c>
      <c r="G514" s="11" t="n">
        <v>0</v>
      </c>
      <c r="H514" s="12" t="n">
        <v>4</v>
      </c>
      <c r="I514" s="11" t="inlineStr">
        <is>
          <t>结构不明</t>
        </is>
      </c>
    </row>
    <row r="515">
      <c r="A515" s="6" t="inlineStr">
        <is>
          <t>2024-09-27</t>
        </is>
      </c>
      <c r="B515" s="6" t="inlineStr">
        <is>
          <t>MA2501</t>
        </is>
      </c>
      <c r="C515" s="6" t="inlineStr">
        <is>
          <t>2025-01</t>
        </is>
      </c>
      <c r="D515" s="9" t="n">
        <v>650407</v>
      </c>
      <c r="E515" s="6" t="n">
        <v>72</v>
      </c>
      <c r="F515" s="6" t="n">
        <v>0</v>
      </c>
      <c r="G515" s="6" t="n">
        <v>0</v>
      </c>
      <c r="H515" s="7" t="n">
        <v>8</v>
      </c>
      <c r="I515" s="6" t="inlineStr">
        <is>
          <t>结构不明</t>
        </is>
      </c>
    </row>
    <row r="516">
      <c r="A516" s="11" t="inlineStr">
        <is>
          <t>2024-09-30</t>
        </is>
      </c>
      <c r="B516" s="11" t="inlineStr">
        <is>
          <t>MA2501</t>
        </is>
      </c>
      <c r="C516" s="11" t="inlineStr">
        <is>
          <t>2025-01</t>
        </is>
      </c>
      <c r="D516" s="14" t="n">
        <v>581373</v>
      </c>
      <c r="E516" s="11" t="n">
        <v>71</v>
      </c>
      <c r="F516" s="11" t="n">
        <v>0</v>
      </c>
      <c r="G516" s="11" t="n">
        <v>0</v>
      </c>
      <c r="H516" s="12" t="n">
        <v>24</v>
      </c>
      <c r="I516" s="11" t="inlineStr">
        <is>
          <t>Back(近强)</t>
        </is>
      </c>
    </row>
    <row r="517">
      <c r="A517" s="6" t="inlineStr">
        <is>
          <t>2024-10-08</t>
        </is>
      </c>
      <c r="B517" s="6" t="inlineStr">
        <is>
          <t>MA2501</t>
        </is>
      </c>
      <c r="C517" s="6" t="inlineStr">
        <is>
          <t>2025-01</t>
        </is>
      </c>
      <c r="D517" s="9" t="n">
        <v>574872</v>
      </c>
      <c r="E517" s="6" t="n">
        <v>70</v>
      </c>
      <c r="F517" s="6" t="n">
        <v>0</v>
      </c>
      <c r="G517" s="6" t="n">
        <v>0</v>
      </c>
      <c r="H517" s="7" t="n">
        <v>12</v>
      </c>
      <c r="I517" s="6" t="inlineStr">
        <is>
          <t>结构不明</t>
        </is>
      </c>
    </row>
    <row r="518">
      <c r="A518" s="11" t="inlineStr">
        <is>
          <t>2024-10-09</t>
        </is>
      </c>
      <c r="B518" s="11" t="inlineStr">
        <is>
          <t>MA2501</t>
        </is>
      </c>
      <c r="C518" s="11" t="inlineStr">
        <is>
          <t>2025-01</t>
        </is>
      </c>
      <c r="D518" s="14" t="n">
        <v>575341</v>
      </c>
      <c r="E518" s="11" t="n">
        <v>69</v>
      </c>
      <c r="F518" s="11" t="n">
        <v>0</v>
      </c>
      <c r="G518" s="11" t="n">
        <v>0</v>
      </c>
      <c r="H518" s="12" t="n">
        <v>29</v>
      </c>
      <c r="I518" s="11" t="inlineStr">
        <is>
          <t>Back(近强)</t>
        </is>
      </c>
    </row>
    <row r="519">
      <c r="A519" s="6" t="inlineStr">
        <is>
          <t>2024-10-10</t>
        </is>
      </c>
      <c r="B519" s="6" t="inlineStr">
        <is>
          <t>MA2501</t>
        </is>
      </c>
      <c r="C519" s="6" t="inlineStr">
        <is>
          <t>2025-01</t>
        </is>
      </c>
      <c r="D519" s="9" t="n">
        <v>578029</v>
      </c>
      <c r="E519" s="6" t="n">
        <v>68</v>
      </c>
      <c r="F519" s="6" t="n">
        <v>0</v>
      </c>
      <c r="G519" s="6" t="n">
        <v>0</v>
      </c>
      <c r="H519" s="7" t="n">
        <v>-1</v>
      </c>
      <c r="I519" s="6" t="inlineStr">
        <is>
          <t>结构不明</t>
        </is>
      </c>
    </row>
    <row r="520">
      <c r="A520" s="11" t="inlineStr">
        <is>
          <t>2024-10-11</t>
        </is>
      </c>
      <c r="B520" s="11" t="inlineStr">
        <is>
          <t>MA2501</t>
        </is>
      </c>
      <c r="C520" s="11" t="inlineStr">
        <is>
          <t>2025-01</t>
        </is>
      </c>
      <c r="D520" s="14" t="n">
        <v>599000</v>
      </c>
      <c r="E520" s="11" t="n">
        <v>67</v>
      </c>
      <c r="F520" s="11" t="n">
        <v>0</v>
      </c>
      <c r="G520" s="11" t="n">
        <v>0</v>
      </c>
      <c r="H520" s="12" t="n">
        <v>13</v>
      </c>
      <c r="I520" s="11" t="inlineStr">
        <is>
          <t>Back(近强)</t>
        </is>
      </c>
    </row>
    <row r="521">
      <c r="A521" s="6" t="inlineStr">
        <is>
          <t>2024-10-14</t>
        </is>
      </c>
      <c r="B521" s="6" t="inlineStr">
        <is>
          <t>MA2501</t>
        </is>
      </c>
      <c r="C521" s="6" t="inlineStr">
        <is>
          <t>2025-01</t>
        </is>
      </c>
      <c r="D521" s="9" t="n">
        <v>617109</v>
      </c>
      <c r="E521" s="6" t="n">
        <v>66</v>
      </c>
      <c r="F521" s="6" t="n">
        <v>0</v>
      </c>
      <c r="G521" s="6" t="n">
        <v>0</v>
      </c>
      <c r="H521" s="7" t="n">
        <v>23</v>
      </c>
      <c r="I521" s="6" t="inlineStr">
        <is>
          <t>Back(近强)</t>
        </is>
      </c>
    </row>
    <row r="522">
      <c r="A522" s="11" t="inlineStr">
        <is>
          <t>2024-10-15</t>
        </is>
      </c>
      <c r="B522" s="11" t="inlineStr">
        <is>
          <t>MA2501</t>
        </is>
      </c>
      <c r="C522" s="11" t="inlineStr">
        <is>
          <t>2025-01</t>
        </is>
      </c>
      <c r="D522" s="14" t="n">
        <v>626029</v>
      </c>
      <c r="E522" s="11" t="n">
        <v>65</v>
      </c>
      <c r="F522" s="11" t="n">
        <v>0</v>
      </c>
      <c r="G522" s="11" t="n">
        <v>0</v>
      </c>
      <c r="H522" s="12" t="n">
        <v>-22</v>
      </c>
      <c r="I522" s="11" t="inlineStr">
        <is>
          <t>Contango(远强)</t>
        </is>
      </c>
    </row>
    <row r="523">
      <c r="A523" s="6" t="inlineStr">
        <is>
          <t>2024-10-16</t>
        </is>
      </c>
      <c r="B523" s="6" t="inlineStr">
        <is>
          <t>MA2501</t>
        </is>
      </c>
      <c r="C523" s="6" t="inlineStr">
        <is>
          <t>2025-01</t>
        </is>
      </c>
      <c r="D523" s="9" t="n">
        <v>631319</v>
      </c>
      <c r="E523" s="6" t="n">
        <v>64</v>
      </c>
      <c r="F523" s="6" t="n">
        <v>0</v>
      </c>
      <c r="G523" s="6" t="n">
        <v>0</v>
      </c>
      <c r="H523" s="7" t="n">
        <v>-42</v>
      </c>
      <c r="I523" s="6" t="inlineStr">
        <is>
          <t>Contango(远强)</t>
        </is>
      </c>
    </row>
    <row r="524">
      <c r="A524" s="11" t="inlineStr">
        <is>
          <t>2024-10-17</t>
        </is>
      </c>
      <c r="B524" s="11" t="inlineStr">
        <is>
          <t>MA2501</t>
        </is>
      </c>
      <c r="C524" s="11" t="inlineStr">
        <is>
          <t>2025-01</t>
        </is>
      </c>
      <c r="D524" s="14" t="n">
        <v>636674</v>
      </c>
      <c r="E524" s="11" t="n">
        <v>63</v>
      </c>
      <c r="F524" s="11" t="n">
        <v>0</v>
      </c>
      <c r="G524" s="11" t="n">
        <v>0</v>
      </c>
      <c r="H524" s="12" t="n">
        <v>-15</v>
      </c>
      <c r="I524" s="11" t="inlineStr">
        <is>
          <t>Contango(远强)</t>
        </is>
      </c>
    </row>
    <row r="525">
      <c r="A525" s="6" t="inlineStr">
        <is>
          <t>2024-10-18</t>
        </is>
      </c>
      <c r="B525" s="6" t="inlineStr">
        <is>
          <t>MA2501</t>
        </is>
      </c>
      <c r="C525" s="6" t="inlineStr">
        <is>
          <t>2025-01</t>
        </is>
      </c>
      <c r="D525" s="9" t="n">
        <v>636172</v>
      </c>
      <c r="E525" s="6" t="n">
        <v>62</v>
      </c>
      <c r="F525" s="6" t="n">
        <v>0</v>
      </c>
      <c r="G525" s="6" t="n">
        <v>0</v>
      </c>
      <c r="H525" s="7" t="n">
        <v>-11</v>
      </c>
      <c r="I525" s="6" t="inlineStr">
        <is>
          <t>Contango(远强)</t>
        </is>
      </c>
    </row>
    <row r="526">
      <c r="A526" s="11" t="inlineStr">
        <is>
          <t>2024-10-21</t>
        </is>
      </c>
      <c r="B526" s="11" t="inlineStr">
        <is>
          <t>MA2501</t>
        </is>
      </c>
      <c r="C526" s="11" t="inlineStr">
        <is>
          <t>2025-01</t>
        </is>
      </c>
      <c r="D526" s="14" t="n">
        <v>725645</v>
      </c>
      <c r="E526" s="11" t="n">
        <v>61</v>
      </c>
      <c r="F526" s="11" t="n">
        <v>0</v>
      </c>
      <c r="G526" s="11" t="n">
        <v>0</v>
      </c>
      <c r="H526" s="12" t="n">
        <v>11</v>
      </c>
      <c r="I526" s="11" t="inlineStr">
        <is>
          <t>结构不明</t>
        </is>
      </c>
    </row>
    <row r="527">
      <c r="A527" s="6" t="inlineStr">
        <is>
          <t>2024-10-22</t>
        </is>
      </c>
      <c r="B527" s="6" t="inlineStr">
        <is>
          <t>MA2501</t>
        </is>
      </c>
      <c r="C527" s="6" t="inlineStr">
        <is>
          <t>2025-01</t>
        </is>
      </c>
      <c r="D527" s="9" t="n">
        <v>667999</v>
      </c>
      <c r="E527" s="6" t="n">
        <v>60</v>
      </c>
      <c r="F527" s="6" t="n">
        <v>0</v>
      </c>
      <c r="G527" s="6" t="n">
        <v>0</v>
      </c>
      <c r="H527" s="7" t="n">
        <v>17</v>
      </c>
      <c r="I527" s="6" t="inlineStr">
        <is>
          <t>Back(近强)</t>
        </is>
      </c>
    </row>
    <row r="528">
      <c r="A528" s="11" t="inlineStr">
        <is>
          <t>2024-10-23</t>
        </is>
      </c>
      <c r="B528" s="11" t="inlineStr">
        <is>
          <t>MA2501</t>
        </is>
      </c>
      <c r="C528" s="11" t="inlineStr">
        <is>
          <t>2025-01</t>
        </is>
      </c>
      <c r="D528" s="14" t="n">
        <v>659332</v>
      </c>
      <c r="E528" s="11" t="n">
        <v>59</v>
      </c>
      <c r="F528" s="11" t="n">
        <v>0</v>
      </c>
      <c r="G528" s="11" t="n">
        <v>0</v>
      </c>
      <c r="H528" s="12" t="n">
        <v>19</v>
      </c>
      <c r="I528" s="11" t="inlineStr">
        <is>
          <t>Back(近强)</t>
        </is>
      </c>
    </row>
    <row r="529">
      <c r="A529" s="6" t="inlineStr">
        <is>
          <t>2024-10-24</t>
        </is>
      </c>
      <c r="B529" s="6" t="inlineStr">
        <is>
          <t>MA2501</t>
        </is>
      </c>
      <c r="C529" s="6" t="inlineStr">
        <is>
          <t>2025-01</t>
        </is>
      </c>
      <c r="D529" s="9" t="n">
        <v>652787</v>
      </c>
      <c r="E529" s="6" t="n">
        <v>58</v>
      </c>
      <c r="F529" s="6" t="n">
        <v>0</v>
      </c>
      <c r="G529" s="6" t="n">
        <v>0</v>
      </c>
      <c r="H529" s="7" t="n">
        <v>15</v>
      </c>
      <c r="I529" s="6" t="inlineStr">
        <is>
          <t>结构不明</t>
        </is>
      </c>
    </row>
    <row r="530">
      <c r="A530" s="11" t="inlineStr">
        <is>
          <t>2024-10-25</t>
        </is>
      </c>
      <c r="B530" s="11" t="inlineStr">
        <is>
          <t>MA2501</t>
        </is>
      </c>
      <c r="C530" s="11" t="inlineStr">
        <is>
          <t>2025-01</t>
        </is>
      </c>
      <c r="D530" s="14" t="n">
        <v>644133</v>
      </c>
      <c r="E530" s="11" t="n">
        <v>57</v>
      </c>
      <c r="F530" s="11" t="n">
        <v>0</v>
      </c>
      <c r="G530" s="11" t="n">
        <v>0</v>
      </c>
      <c r="H530" s="12" t="n">
        <v>21</v>
      </c>
      <c r="I530" s="11" t="inlineStr">
        <is>
          <t>Back(近强)</t>
        </is>
      </c>
    </row>
    <row r="531">
      <c r="A531" s="6" t="inlineStr">
        <is>
          <t>2024-10-28</t>
        </is>
      </c>
      <c r="B531" s="6" t="inlineStr">
        <is>
          <t>MA2501</t>
        </is>
      </c>
      <c r="C531" s="6" t="inlineStr">
        <is>
          <t>2025-01</t>
        </is>
      </c>
      <c r="D531" s="9" t="n">
        <v>664341</v>
      </c>
      <c r="E531" s="6" t="n">
        <v>56</v>
      </c>
      <c r="F531" s="6" t="n">
        <v>0</v>
      </c>
      <c r="G531" s="6" t="n">
        <v>0</v>
      </c>
      <c r="H531" s="7" t="n">
        <v>19</v>
      </c>
      <c r="I531" s="6" t="inlineStr">
        <is>
          <t>Back(近强)</t>
        </is>
      </c>
    </row>
    <row r="532">
      <c r="A532" s="11" t="inlineStr">
        <is>
          <t>2024-10-29</t>
        </is>
      </c>
      <c r="B532" s="11" t="inlineStr">
        <is>
          <t>MA2501</t>
        </is>
      </c>
      <c r="C532" s="11" t="inlineStr">
        <is>
          <t>2025-01</t>
        </is>
      </c>
      <c r="D532" s="14" t="n">
        <v>643457</v>
      </c>
      <c r="E532" s="11" t="n">
        <v>55</v>
      </c>
      <c r="F532" s="11" t="n">
        <v>0</v>
      </c>
      <c r="G532" s="11" t="n">
        <v>0</v>
      </c>
      <c r="H532" s="12" t="n">
        <v>17</v>
      </c>
      <c r="I532" s="11" t="inlineStr">
        <is>
          <t>Back(近强)</t>
        </is>
      </c>
    </row>
    <row r="533">
      <c r="A533" s="6" t="inlineStr">
        <is>
          <t>2024-10-30</t>
        </is>
      </c>
      <c r="B533" s="6" t="inlineStr">
        <is>
          <t>MA2501</t>
        </is>
      </c>
      <c r="C533" s="6" t="inlineStr">
        <is>
          <t>2025-01</t>
        </is>
      </c>
      <c r="D533" s="9" t="n">
        <v>646315</v>
      </c>
      <c r="E533" s="6" t="n">
        <v>54</v>
      </c>
      <c r="F533" s="6" t="n">
        <v>0</v>
      </c>
      <c r="G533" s="6" t="n">
        <v>0</v>
      </c>
      <c r="H533" s="7" t="n">
        <v>11</v>
      </c>
      <c r="I533" s="6" t="inlineStr">
        <is>
          <t>结构不明</t>
        </is>
      </c>
    </row>
    <row r="534">
      <c r="A534" s="11" t="inlineStr">
        <is>
          <t>2024-10-31</t>
        </is>
      </c>
      <c r="B534" s="11" t="inlineStr">
        <is>
          <t>MA2501</t>
        </is>
      </c>
      <c r="C534" s="11" t="inlineStr">
        <is>
          <t>2025-01</t>
        </is>
      </c>
      <c r="D534" s="14" t="n">
        <v>630845</v>
      </c>
      <c r="E534" s="11" t="n">
        <v>53</v>
      </c>
      <c r="F534" s="11" t="n">
        <v>0</v>
      </c>
      <c r="G534" s="11" t="n">
        <v>0</v>
      </c>
      <c r="H534" s="12" t="n">
        <v>9</v>
      </c>
      <c r="I534" s="11" t="inlineStr">
        <is>
          <t>结构不明</t>
        </is>
      </c>
    </row>
    <row r="535">
      <c r="A535" s="6" t="inlineStr">
        <is>
          <t>2024-11-01</t>
        </is>
      </c>
      <c r="B535" s="6" t="inlineStr">
        <is>
          <t>MA2501</t>
        </is>
      </c>
      <c r="C535" s="6" t="inlineStr">
        <is>
          <t>2025-01</t>
        </is>
      </c>
      <c r="D535" s="9" t="n">
        <v>615698</v>
      </c>
      <c r="E535" s="6" t="n">
        <v>52</v>
      </c>
      <c r="F535" s="6" t="n">
        <v>0</v>
      </c>
      <c r="G535" s="6" t="n">
        <v>0</v>
      </c>
      <c r="H535" s="7" t="n">
        <v>19</v>
      </c>
      <c r="I535" s="6" t="inlineStr">
        <is>
          <t>Back(近强)</t>
        </is>
      </c>
    </row>
    <row r="536">
      <c r="A536" s="11" t="inlineStr">
        <is>
          <t>2024-11-04</t>
        </is>
      </c>
      <c r="B536" s="11" t="inlineStr">
        <is>
          <t>MA2501</t>
        </is>
      </c>
      <c r="C536" s="11" t="inlineStr">
        <is>
          <t>2025-01</t>
        </is>
      </c>
      <c r="D536" s="14" t="n">
        <v>608644</v>
      </c>
      <c r="E536" s="11" t="n">
        <v>51</v>
      </c>
      <c r="F536" s="11" t="n">
        <v>0</v>
      </c>
      <c r="G536" s="11" t="n">
        <v>0</v>
      </c>
      <c r="H536" s="12" t="n">
        <v>4</v>
      </c>
      <c r="I536" s="11" t="inlineStr">
        <is>
          <t>结构不明</t>
        </is>
      </c>
    </row>
    <row r="537">
      <c r="A537" s="6" t="inlineStr">
        <is>
          <t>2024-11-05</t>
        </is>
      </c>
      <c r="B537" s="6" t="inlineStr">
        <is>
          <t>MA2501</t>
        </is>
      </c>
      <c r="C537" s="6" t="inlineStr">
        <is>
          <t>2025-01</t>
        </is>
      </c>
      <c r="D537" s="9" t="n">
        <v>609596</v>
      </c>
      <c r="E537" s="6" t="n">
        <v>50</v>
      </c>
      <c r="F537" s="6" t="n">
        <v>0</v>
      </c>
      <c r="G537" s="6" t="n">
        <v>0</v>
      </c>
      <c r="H537" s="7" t="n">
        <v>19</v>
      </c>
      <c r="I537" s="6" t="inlineStr">
        <is>
          <t>Back(近强)</t>
        </is>
      </c>
    </row>
    <row r="538">
      <c r="A538" s="11" t="inlineStr">
        <is>
          <t>2024-11-06</t>
        </is>
      </c>
      <c r="B538" s="11" t="inlineStr">
        <is>
          <t>MA2501</t>
        </is>
      </c>
      <c r="C538" s="11" t="inlineStr">
        <is>
          <t>2025-01</t>
        </is>
      </c>
      <c r="D538" s="14" t="n">
        <v>598746</v>
      </c>
      <c r="E538" s="11" t="n">
        <v>49</v>
      </c>
      <c r="F538" s="11" t="n">
        <v>0</v>
      </c>
      <c r="G538" s="11" t="n">
        <v>0</v>
      </c>
      <c r="H538" s="12" t="n">
        <v>2</v>
      </c>
      <c r="I538" s="11" t="inlineStr">
        <is>
          <t>结构不明</t>
        </is>
      </c>
    </row>
    <row r="539">
      <c r="A539" s="6" t="inlineStr">
        <is>
          <t>2024-11-07</t>
        </is>
      </c>
      <c r="B539" s="6" t="inlineStr">
        <is>
          <t>MA2501</t>
        </is>
      </c>
      <c r="C539" s="6" t="inlineStr">
        <is>
          <t>2025-01</t>
        </is>
      </c>
      <c r="D539" s="9" t="n">
        <v>601252</v>
      </c>
      <c r="E539" s="6" t="n">
        <v>48</v>
      </c>
      <c r="F539" s="6" t="n">
        <v>0</v>
      </c>
      <c r="G539" s="6" t="n">
        <v>0</v>
      </c>
      <c r="H539" s="7" t="n">
        <v>20</v>
      </c>
      <c r="I539" s="6" t="inlineStr">
        <is>
          <t>Back(近强)</t>
        </is>
      </c>
    </row>
    <row r="540">
      <c r="A540" s="11" t="inlineStr">
        <is>
          <t>2024-11-08</t>
        </is>
      </c>
      <c r="B540" s="11" t="inlineStr">
        <is>
          <t>MA2501</t>
        </is>
      </c>
      <c r="C540" s="11" t="inlineStr">
        <is>
          <t>2025-01</t>
        </is>
      </c>
      <c r="D540" s="14" t="n">
        <v>590520</v>
      </c>
      <c r="E540" s="11" t="n">
        <v>47</v>
      </c>
      <c r="F540" s="11" t="n">
        <v>0</v>
      </c>
      <c r="G540" s="11" t="n">
        <v>0</v>
      </c>
      <c r="H540" s="12" t="n">
        <v>30</v>
      </c>
      <c r="I540" s="11" t="inlineStr">
        <is>
          <t>Back(近强)</t>
        </is>
      </c>
    </row>
    <row r="541">
      <c r="A541" s="6" t="inlineStr">
        <is>
          <t>2024-11-11</t>
        </is>
      </c>
      <c r="B541" s="6" t="inlineStr">
        <is>
          <t>MA2501</t>
        </is>
      </c>
      <c r="C541" s="6" t="inlineStr">
        <is>
          <t>2025-01</t>
        </is>
      </c>
      <c r="D541" s="9" t="n">
        <v>586066</v>
      </c>
      <c r="E541" s="6" t="n">
        <v>46</v>
      </c>
      <c r="F541" s="6" t="n">
        <v>0</v>
      </c>
      <c r="G541" s="6" t="n">
        <v>0</v>
      </c>
      <c r="H541" s="7" t="n">
        <v>20</v>
      </c>
      <c r="I541" s="6" t="inlineStr">
        <is>
          <t>Back(近强)</t>
        </is>
      </c>
    </row>
    <row r="542">
      <c r="A542" s="11" t="inlineStr">
        <is>
          <t>2024-11-12</t>
        </is>
      </c>
      <c r="B542" s="11" t="inlineStr">
        <is>
          <t>MA2501</t>
        </is>
      </c>
      <c r="C542" s="11" t="inlineStr">
        <is>
          <t>2025-01</t>
        </is>
      </c>
      <c r="D542" s="14" t="n">
        <v>578063</v>
      </c>
      <c r="E542" s="11" t="n">
        <v>45</v>
      </c>
      <c r="F542" s="11" t="n">
        <v>0</v>
      </c>
      <c r="G542" s="11" t="n">
        <v>0</v>
      </c>
      <c r="H542" s="12" t="n">
        <v>16</v>
      </c>
      <c r="I542" s="11" t="inlineStr">
        <is>
          <t>结构不明</t>
        </is>
      </c>
    </row>
    <row r="543">
      <c r="A543" s="6" t="inlineStr">
        <is>
          <t>2024-11-13</t>
        </is>
      </c>
      <c r="B543" s="6" t="inlineStr">
        <is>
          <t>MA2501</t>
        </is>
      </c>
      <c r="C543" s="6" t="inlineStr">
        <is>
          <t>2025-01</t>
        </is>
      </c>
      <c r="D543" s="9" t="n">
        <v>590779</v>
      </c>
      <c r="E543" s="6" t="n">
        <v>44</v>
      </c>
      <c r="F543" s="6" t="n">
        <v>0</v>
      </c>
      <c r="G543" s="6" t="n">
        <v>0</v>
      </c>
      <c r="H543" s="7" t="n">
        <v>16</v>
      </c>
      <c r="I543" s="6" t="inlineStr">
        <is>
          <t>结构不明</t>
        </is>
      </c>
    </row>
    <row r="544">
      <c r="A544" s="11" t="inlineStr">
        <is>
          <t>2024-11-14</t>
        </is>
      </c>
      <c r="B544" s="11" t="inlineStr">
        <is>
          <t>MA2501</t>
        </is>
      </c>
      <c r="C544" s="11" t="inlineStr">
        <is>
          <t>2025-01</t>
        </is>
      </c>
      <c r="D544" s="14" t="n">
        <v>574250</v>
      </c>
      <c r="E544" s="11" t="n">
        <v>43</v>
      </c>
      <c r="F544" s="11" t="n">
        <v>0</v>
      </c>
      <c r="G544" s="11" t="n">
        <v>0</v>
      </c>
      <c r="H544" s="12" t="n">
        <v>16</v>
      </c>
      <c r="I544" s="11" t="inlineStr">
        <is>
          <t>结构不明</t>
        </is>
      </c>
    </row>
    <row r="545">
      <c r="A545" s="6" t="inlineStr">
        <is>
          <t>2024-11-15</t>
        </is>
      </c>
      <c r="B545" s="6" t="inlineStr">
        <is>
          <t>MA2501</t>
        </is>
      </c>
      <c r="C545" s="6" t="inlineStr">
        <is>
          <t>2025-01</t>
        </is>
      </c>
      <c r="D545" s="9" t="n">
        <v>591770</v>
      </c>
      <c r="E545" s="6" t="n">
        <v>42</v>
      </c>
      <c r="F545" s="6" t="n">
        <v>0</v>
      </c>
      <c r="G545" s="6" t="n">
        <v>0</v>
      </c>
      <c r="H545" s="7" t="n">
        <v>19</v>
      </c>
      <c r="I545" s="6" t="inlineStr">
        <is>
          <t>Back(近强)</t>
        </is>
      </c>
    </row>
    <row r="546">
      <c r="A546" s="11" t="inlineStr">
        <is>
          <t>2024-11-18</t>
        </is>
      </c>
      <c r="B546" s="11" t="inlineStr">
        <is>
          <t>MA2501</t>
        </is>
      </c>
      <c r="C546" s="11" t="inlineStr">
        <is>
          <t>2025-01</t>
        </is>
      </c>
      <c r="D546" s="14" t="n">
        <v>611448</v>
      </c>
      <c r="E546" s="11" t="n">
        <v>41</v>
      </c>
      <c r="F546" s="11" t="n">
        <v>0</v>
      </c>
      <c r="G546" s="11" t="n">
        <v>0</v>
      </c>
      <c r="H546" s="12" t="n">
        <v>15</v>
      </c>
      <c r="I546" s="11" t="inlineStr">
        <is>
          <t>结构不明</t>
        </is>
      </c>
    </row>
    <row r="547">
      <c r="A547" s="6" t="inlineStr">
        <is>
          <t>2024-11-19</t>
        </is>
      </c>
      <c r="B547" s="6" t="inlineStr">
        <is>
          <t>MA2501</t>
        </is>
      </c>
      <c r="C547" s="6" t="inlineStr">
        <is>
          <t>2025-01</t>
        </is>
      </c>
      <c r="D547" s="9" t="n">
        <v>638327</v>
      </c>
      <c r="E547" s="6" t="n">
        <v>40</v>
      </c>
      <c r="F547" s="6" t="n">
        <v>0</v>
      </c>
      <c r="G547" s="6" t="n">
        <v>0</v>
      </c>
      <c r="H547" s="7" t="n">
        <v>16</v>
      </c>
      <c r="I547" s="6" t="inlineStr">
        <is>
          <t>结构不明</t>
        </is>
      </c>
    </row>
    <row r="548">
      <c r="A548" s="11" t="inlineStr">
        <is>
          <t>2024-11-20</t>
        </is>
      </c>
      <c r="B548" s="11" t="inlineStr">
        <is>
          <t>MA2501</t>
        </is>
      </c>
      <c r="C548" s="11" t="inlineStr">
        <is>
          <t>2025-01</t>
        </is>
      </c>
      <c r="D548" s="14" t="n">
        <v>663642</v>
      </c>
      <c r="E548" s="11" t="n">
        <v>39</v>
      </c>
      <c r="F548" s="11" t="n">
        <v>0</v>
      </c>
      <c r="G548" s="11" t="n">
        <v>0</v>
      </c>
      <c r="H548" s="12" t="n">
        <v>19</v>
      </c>
      <c r="I548" s="11" t="inlineStr">
        <is>
          <t>Back(近强)</t>
        </is>
      </c>
    </row>
    <row r="549">
      <c r="A549" s="6" t="inlineStr">
        <is>
          <t>2024-11-21</t>
        </is>
      </c>
      <c r="B549" s="6" t="inlineStr">
        <is>
          <t>MA2501</t>
        </is>
      </c>
      <c r="C549" s="6" t="inlineStr">
        <is>
          <t>2025-01</t>
        </is>
      </c>
      <c r="D549" s="9" t="n">
        <v>691317</v>
      </c>
      <c r="E549" s="6" t="n">
        <v>38</v>
      </c>
      <c r="F549" s="6" t="n">
        <v>0</v>
      </c>
      <c r="G549" s="6" t="n">
        <v>0</v>
      </c>
      <c r="H549" s="7" t="n">
        <v>30</v>
      </c>
      <c r="I549" s="6" t="inlineStr">
        <is>
          <t>Back(近强)</t>
        </is>
      </c>
    </row>
    <row r="550">
      <c r="A550" s="11" t="inlineStr">
        <is>
          <t>2024-11-22</t>
        </is>
      </c>
      <c r="B550" s="11" t="inlineStr">
        <is>
          <t>MA2501</t>
        </is>
      </c>
      <c r="C550" s="11" t="inlineStr">
        <is>
          <t>2025-01</t>
        </is>
      </c>
      <c r="D550" s="14" t="n">
        <v>745004</v>
      </c>
      <c r="E550" s="11" t="n">
        <v>37</v>
      </c>
      <c r="F550" s="11" t="n">
        <v>0</v>
      </c>
      <c r="G550" s="11" t="n">
        <v>0</v>
      </c>
      <c r="H550" s="12" t="n">
        <v>40</v>
      </c>
      <c r="I550" s="11" t="inlineStr">
        <is>
          <t>Back(近强)</t>
        </is>
      </c>
    </row>
    <row r="551">
      <c r="A551" s="6" t="inlineStr">
        <is>
          <t>2024-11-25</t>
        </is>
      </c>
      <c r="B551" s="6" t="inlineStr">
        <is>
          <t>MA2501</t>
        </is>
      </c>
      <c r="C551" s="6" t="inlineStr">
        <is>
          <t>2025-01</t>
        </is>
      </c>
      <c r="D551" s="9" t="n">
        <v>682672</v>
      </c>
      <c r="E551" s="6" t="n">
        <v>36</v>
      </c>
      <c r="F551" s="6" t="n">
        <v>0</v>
      </c>
      <c r="G551" s="6" t="n">
        <v>0</v>
      </c>
      <c r="H551" s="7" t="n">
        <v>31</v>
      </c>
      <c r="I551" s="6" t="inlineStr">
        <is>
          <t>Back(近强)</t>
        </is>
      </c>
    </row>
    <row r="552">
      <c r="A552" s="11" t="inlineStr">
        <is>
          <t>2024-11-26</t>
        </is>
      </c>
      <c r="B552" s="11" t="inlineStr">
        <is>
          <t>MA2501</t>
        </is>
      </c>
      <c r="C552" s="11" t="inlineStr">
        <is>
          <t>2025-01</t>
        </is>
      </c>
      <c r="D552" s="14" t="n">
        <v>689156</v>
      </c>
      <c r="E552" s="11" t="n">
        <v>35</v>
      </c>
      <c r="F552" s="11" t="n">
        <v>0</v>
      </c>
      <c r="G552" s="11" t="n">
        <v>0</v>
      </c>
      <c r="H552" s="12" t="n">
        <v>28</v>
      </c>
      <c r="I552" s="11" t="inlineStr">
        <is>
          <t>Back(近强)</t>
        </is>
      </c>
    </row>
    <row r="553">
      <c r="A553" s="6" t="inlineStr">
        <is>
          <t>2024-11-27</t>
        </is>
      </c>
      <c r="B553" s="6" t="inlineStr">
        <is>
          <t>MA2501</t>
        </is>
      </c>
      <c r="C553" s="6" t="inlineStr">
        <is>
          <t>2025-01</t>
        </is>
      </c>
      <c r="D553" s="9" t="n">
        <v>651366</v>
      </c>
      <c r="E553" s="6" t="n">
        <v>34</v>
      </c>
      <c r="F553" s="6" t="n">
        <v>0</v>
      </c>
      <c r="G553" s="6" t="n">
        <v>0</v>
      </c>
      <c r="H553" s="7" t="n">
        <v>25</v>
      </c>
      <c r="I553" s="6" t="inlineStr">
        <is>
          <t>Back(近强)</t>
        </is>
      </c>
    </row>
    <row r="554">
      <c r="A554" s="11" t="inlineStr">
        <is>
          <t>2024-11-28</t>
        </is>
      </c>
      <c r="B554" s="11" t="inlineStr">
        <is>
          <t>MA2501</t>
        </is>
      </c>
      <c r="C554" s="11" t="inlineStr">
        <is>
          <t>2025-01</t>
        </is>
      </c>
      <c r="D554" s="14" t="n">
        <v>623346</v>
      </c>
      <c r="E554" s="11" t="n">
        <v>33</v>
      </c>
      <c r="F554" s="11" t="n">
        <v>0</v>
      </c>
      <c r="G554" s="11" t="n">
        <v>0</v>
      </c>
      <c r="H554" s="12" t="n">
        <v>48</v>
      </c>
      <c r="I554" s="11" t="inlineStr">
        <is>
          <t>Back(近强)</t>
        </is>
      </c>
    </row>
    <row r="555">
      <c r="A555" s="6" t="inlineStr">
        <is>
          <t>2024-11-29</t>
        </is>
      </c>
      <c r="B555" s="6" t="inlineStr">
        <is>
          <t>MA2501</t>
        </is>
      </c>
      <c r="C555" s="6" t="inlineStr">
        <is>
          <t>2025-01</t>
        </is>
      </c>
      <c r="D555" s="9" t="n">
        <v>574474</v>
      </c>
      <c r="E555" s="6" t="n">
        <v>32</v>
      </c>
      <c r="F555" s="6" t="n">
        <v>0</v>
      </c>
      <c r="G555" s="6" t="n">
        <v>0</v>
      </c>
      <c r="H555" s="7" t="n">
        <v>49</v>
      </c>
      <c r="I555" s="6" t="inlineStr">
        <is>
          <t>Back(近强)</t>
        </is>
      </c>
    </row>
    <row r="556">
      <c r="A556" s="11" t="inlineStr">
        <is>
          <t>2024-12-02</t>
        </is>
      </c>
      <c r="B556" s="11" t="inlineStr">
        <is>
          <t>MA2501</t>
        </is>
      </c>
      <c r="C556" s="11" t="inlineStr">
        <is>
          <t>2025-01</t>
        </is>
      </c>
      <c r="D556" s="14" t="n">
        <v>551779</v>
      </c>
      <c r="E556" s="11" t="n">
        <v>31</v>
      </c>
      <c r="F556" s="11" t="n">
        <v>0</v>
      </c>
      <c r="G556" s="11" t="n">
        <v>0</v>
      </c>
      <c r="H556" s="12" t="n">
        <v>39</v>
      </c>
      <c r="I556" s="11" t="inlineStr">
        <is>
          <t>Back(近强)</t>
        </is>
      </c>
    </row>
    <row r="557">
      <c r="A557" s="6" t="inlineStr">
        <is>
          <t>2024-12-03</t>
        </is>
      </c>
      <c r="B557" s="6" t="inlineStr">
        <is>
          <t>MA2501</t>
        </is>
      </c>
      <c r="C557" s="6" t="inlineStr">
        <is>
          <t>2025-01</t>
        </is>
      </c>
      <c r="D557" s="9" t="n">
        <v>513629</v>
      </c>
      <c r="E557" s="6" t="n">
        <v>30</v>
      </c>
      <c r="F557" s="6" t="n">
        <v>0</v>
      </c>
      <c r="G557" s="6" t="n">
        <v>0</v>
      </c>
      <c r="H557" s="7" t="n">
        <v>43</v>
      </c>
      <c r="I557" s="6" t="inlineStr">
        <is>
          <t>Back(近强)</t>
        </is>
      </c>
    </row>
    <row r="558">
      <c r="A558" s="11" t="inlineStr">
        <is>
          <t>2024-12-04</t>
        </is>
      </c>
      <c r="B558" s="11" t="inlineStr">
        <is>
          <t>MA2501</t>
        </is>
      </c>
      <c r="C558" s="11" t="inlineStr">
        <is>
          <t>2025-01</t>
        </is>
      </c>
      <c r="D558" s="14" t="n">
        <v>483059</v>
      </c>
      <c r="E558" s="11" t="n">
        <v>29</v>
      </c>
      <c r="F558" s="11" t="n">
        <v>0</v>
      </c>
      <c r="G558" s="11" t="n">
        <v>0</v>
      </c>
      <c r="H558" s="12" t="n">
        <v>-38</v>
      </c>
      <c r="I558" s="11" t="inlineStr">
        <is>
          <t>Contango(远强)</t>
        </is>
      </c>
    </row>
    <row r="559">
      <c r="A559" s="6" t="inlineStr">
        <is>
          <t>2024-12-05</t>
        </is>
      </c>
      <c r="B559" s="6" t="inlineStr">
        <is>
          <t>MA2501</t>
        </is>
      </c>
      <c r="C559" s="6" t="inlineStr">
        <is>
          <t>2025-01</t>
        </is>
      </c>
      <c r="D559" s="9" t="n">
        <v>448935</v>
      </c>
      <c r="E559" s="6" t="n">
        <v>28</v>
      </c>
      <c r="F559" s="6" t="n">
        <v>0</v>
      </c>
      <c r="G559" s="6" t="n">
        <v>0</v>
      </c>
      <c r="H559" s="7" t="n">
        <v>-37</v>
      </c>
      <c r="I559" s="6" t="inlineStr">
        <is>
          <t>Contango(远强)</t>
        </is>
      </c>
    </row>
    <row r="560">
      <c r="A560" s="11" t="inlineStr">
        <is>
          <t>2024-12-06</t>
        </is>
      </c>
      <c r="B560" s="11" t="inlineStr">
        <is>
          <t>MA2501</t>
        </is>
      </c>
      <c r="C560" s="11" t="inlineStr">
        <is>
          <t>2025-01</t>
        </is>
      </c>
      <c r="D560" s="14" t="n">
        <v>427094</v>
      </c>
      <c r="E560" s="11" t="n">
        <v>27</v>
      </c>
      <c r="F560" s="11" t="n">
        <v>0</v>
      </c>
      <c r="G560" s="11" t="n">
        <v>1</v>
      </c>
      <c r="H560" s="12" t="n">
        <v>124</v>
      </c>
      <c r="I560" s="11" t="inlineStr">
        <is>
          <t>Back(近强)</t>
        </is>
      </c>
    </row>
    <row r="561">
      <c r="A561" s="6" t="inlineStr">
        <is>
          <t>2024-12-09</t>
        </is>
      </c>
      <c r="B561" s="6" t="inlineStr">
        <is>
          <t>MA2505</t>
        </is>
      </c>
      <c r="C561" s="6" t="inlineStr">
        <is>
          <t>2025-05</t>
        </is>
      </c>
      <c r="D561" s="9" t="n">
        <v>459447</v>
      </c>
      <c r="E561" s="6" t="n">
        <v>103</v>
      </c>
      <c r="F561" s="6" t="n">
        <v>1</v>
      </c>
      <c r="G561" s="6" t="n">
        <v>0</v>
      </c>
      <c r="H561" s="7" t="n">
        <v>12</v>
      </c>
      <c r="I561" s="6" t="inlineStr">
        <is>
          <t>Contango(远强)</t>
        </is>
      </c>
    </row>
    <row r="562">
      <c r="A562" s="11" t="inlineStr">
        <is>
          <t>2024-12-10</t>
        </is>
      </c>
      <c r="B562" s="11" t="inlineStr">
        <is>
          <t>MA2505</t>
        </is>
      </c>
      <c r="C562" s="11" t="inlineStr">
        <is>
          <t>2025-05</t>
        </is>
      </c>
      <c r="D562" s="14" t="n">
        <v>522209</v>
      </c>
      <c r="E562" s="11" t="n">
        <v>102</v>
      </c>
      <c r="F562" s="11" t="n">
        <v>0</v>
      </c>
      <c r="G562" s="11" t="n">
        <v>0</v>
      </c>
      <c r="H562" s="12" t="n">
        <v>17</v>
      </c>
      <c r="I562" s="11" t="inlineStr">
        <is>
          <t>结构不明</t>
        </is>
      </c>
    </row>
    <row r="563">
      <c r="A563" s="6" t="inlineStr">
        <is>
          <t>2024-12-11</t>
        </is>
      </c>
      <c r="B563" s="6" t="inlineStr">
        <is>
          <t>MA2505</t>
        </is>
      </c>
      <c r="C563" s="6" t="inlineStr">
        <is>
          <t>2025-05</t>
        </is>
      </c>
      <c r="D563" s="9" t="n">
        <v>595963</v>
      </c>
      <c r="E563" s="6" t="n">
        <v>101</v>
      </c>
      <c r="F563" s="6" t="n">
        <v>0</v>
      </c>
      <c r="G563" s="6" t="n">
        <v>0</v>
      </c>
      <c r="H563" s="7" t="n">
        <v>19</v>
      </c>
      <c r="I563" s="6" t="inlineStr">
        <is>
          <t>结构不明</t>
        </is>
      </c>
    </row>
    <row r="564">
      <c r="A564" s="11" t="inlineStr">
        <is>
          <t>2024-12-12</t>
        </is>
      </c>
      <c r="B564" s="11" t="inlineStr">
        <is>
          <t>MA2505</t>
        </is>
      </c>
      <c r="C564" s="11" t="inlineStr">
        <is>
          <t>2025-05</t>
        </is>
      </c>
      <c r="D564" s="14" t="n">
        <v>664177</v>
      </c>
      <c r="E564" s="11" t="n">
        <v>100</v>
      </c>
      <c r="F564" s="11" t="n">
        <v>0</v>
      </c>
      <c r="G564" s="11" t="n">
        <v>0</v>
      </c>
      <c r="H564" s="12" t="n">
        <v>16</v>
      </c>
      <c r="I564" s="11" t="inlineStr">
        <is>
          <t>结构不明</t>
        </is>
      </c>
    </row>
    <row r="565">
      <c r="A565" s="6" t="inlineStr">
        <is>
          <t>2024-12-13</t>
        </is>
      </c>
      <c r="B565" s="6" t="inlineStr">
        <is>
          <t>MA2505</t>
        </is>
      </c>
      <c r="C565" s="6" t="inlineStr">
        <is>
          <t>2025-05</t>
        </is>
      </c>
      <c r="D565" s="9" t="n">
        <v>674811</v>
      </c>
      <c r="E565" s="6" t="n">
        <v>99</v>
      </c>
      <c r="F565" s="6" t="n">
        <v>0</v>
      </c>
      <c r="G565" s="6" t="n">
        <v>0</v>
      </c>
      <c r="H565" s="7" t="n">
        <v>11</v>
      </c>
      <c r="I565" s="6" t="inlineStr">
        <is>
          <t>Contango(远强)</t>
        </is>
      </c>
    </row>
    <row r="566">
      <c r="A566" s="11" t="inlineStr">
        <is>
          <t>2024-12-16</t>
        </is>
      </c>
      <c r="B566" s="11" t="inlineStr">
        <is>
          <t>MA2505</t>
        </is>
      </c>
      <c r="C566" s="11" t="inlineStr">
        <is>
          <t>2025-05</t>
        </is>
      </c>
      <c r="D566" s="14" t="n">
        <v>699053</v>
      </c>
      <c r="E566" s="11" t="n">
        <v>98</v>
      </c>
      <c r="F566" s="11" t="n">
        <v>0</v>
      </c>
      <c r="G566" s="11" t="n">
        <v>0</v>
      </c>
      <c r="H566" s="12" t="n">
        <v>12</v>
      </c>
      <c r="I566" s="11" t="inlineStr">
        <is>
          <t>Contango(远强)</t>
        </is>
      </c>
    </row>
    <row r="567">
      <c r="A567" s="6" t="inlineStr">
        <is>
          <t>2024-12-17</t>
        </is>
      </c>
      <c r="B567" s="6" t="inlineStr">
        <is>
          <t>MA2505</t>
        </is>
      </c>
      <c r="C567" s="6" t="inlineStr">
        <is>
          <t>2025-05</t>
        </is>
      </c>
      <c r="D567" s="9" t="n">
        <v>701095</v>
      </c>
      <c r="E567" s="6" t="n">
        <v>97</v>
      </c>
      <c r="F567" s="6" t="n">
        <v>0</v>
      </c>
      <c r="G567" s="6" t="n">
        <v>0</v>
      </c>
      <c r="H567" s="7" t="n">
        <v>1</v>
      </c>
      <c r="I567" s="6" t="inlineStr">
        <is>
          <t>Contango(远强)</t>
        </is>
      </c>
    </row>
    <row r="568">
      <c r="A568" s="11" t="inlineStr">
        <is>
          <t>2024-12-18</t>
        </is>
      </c>
      <c r="B568" s="11" t="inlineStr">
        <is>
          <t>MA2505</t>
        </is>
      </c>
      <c r="C568" s="11" t="inlineStr">
        <is>
          <t>2025-05</t>
        </is>
      </c>
      <c r="D568" s="14" t="n">
        <v>709864</v>
      </c>
      <c r="E568" s="11" t="n">
        <v>96</v>
      </c>
      <c r="F568" s="11" t="n">
        <v>0</v>
      </c>
      <c r="G568" s="11" t="n">
        <v>0</v>
      </c>
      <c r="H568" s="12" t="n">
        <v>-9</v>
      </c>
      <c r="I568" s="11" t="inlineStr">
        <is>
          <t>Contango(远强)</t>
        </is>
      </c>
    </row>
    <row r="569">
      <c r="A569" s="6" t="inlineStr">
        <is>
          <t>2024-12-19</t>
        </is>
      </c>
      <c r="B569" s="6" t="inlineStr">
        <is>
          <t>MA2505</t>
        </is>
      </c>
      <c r="C569" s="6" t="inlineStr">
        <is>
          <t>2025-05</t>
        </is>
      </c>
      <c r="D569" s="9" t="n">
        <v>737113</v>
      </c>
      <c r="E569" s="6" t="n">
        <v>95</v>
      </c>
      <c r="F569" s="6" t="n">
        <v>0</v>
      </c>
      <c r="G569" s="6" t="n">
        <v>0</v>
      </c>
      <c r="H569" s="7" t="n">
        <v>-23</v>
      </c>
      <c r="I569" s="6" t="inlineStr">
        <is>
          <t>Contango(远强)</t>
        </is>
      </c>
    </row>
    <row r="570">
      <c r="A570" s="11" t="inlineStr">
        <is>
          <t>2024-12-20</t>
        </is>
      </c>
      <c r="B570" s="11" t="inlineStr">
        <is>
          <t>MA2505</t>
        </is>
      </c>
      <c r="C570" s="11" t="inlineStr">
        <is>
          <t>2025-05</t>
        </is>
      </c>
      <c r="D570" s="14" t="n">
        <v>727710</v>
      </c>
      <c r="E570" s="11" t="n">
        <v>94</v>
      </c>
      <c r="F570" s="11" t="n">
        <v>0</v>
      </c>
      <c r="G570" s="11" t="n">
        <v>0</v>
      </c>
      <c r="H570" s="12" t="n">
        <v>-41</v>
      </c>
      <c r="I570" s="11" t="inlineStr">
        <is>
          <t>Contango(远强)</t>
        </is>
      </c>
    </row>
    <row r="571">
      <c r="A571" s="6" t="inlineStr">
        <is>
          <t>2024-12-23</t>
        </is>
      </c>
      <c r="B571" s="6" t="inlineStr">
        <is>
          <t>MA2505</t>
        </is>
      </c>
      <c r="C571" s="6" t="inlineStr">
        <is>
          <t>2025-05</t>
        </is>
      </c>
      <c r="D571" s="9" t="n">
        <v>816713</v>
      </c>
      <c r="E571" s="6" t="n">
        <v>93</v>
      </c>
      <c r="F571" s="6" t="n">
        <v>0</v>
      </c>
      <c r="G571" s="6" t="n">
        <v>0</v>
      </c>
      <c r="H571" s="7" t="n">
        <v>-86</v>
      </c>
      <c r="I571" s="6" t="inlineStr">
        <is>
          <t>Contango(远强)</t>
        </is>
      </c>
    </row>
    <row r="572">
      <c r="A572" s="11" t="inlineStr">
        <is>
          <t>2024-12-24</t>
        </is>
      </c>
      <c r="B572" s="11" t="inlineStr">
        <is>
          <t>MA2505</t>
        </is>
      </c>
      <c r="C572" s="11" t="inlineStr">
        <is>
          <t>2025-05</t>
        </is>
      </c>
      <c r="D572" s="14" t="n">
        <v>869013</v>
      </c>
      <c r="E572" s="11" t="n">
        <v>92</v>
      </c>
      <c r="F572" s="11" t="n">
        <v>0</v>
      </c>
      <c r="G572" s="11" t="n">
        <v>0</v>
      </c>
      <c r="H572" s="12" t="n">
        <v>-68</v>
      </c>
      <c r="I572" s="11" t="inlineStr">
        <is>
          <t>Contango(远强)</t>
        </is>
      </c>
    </row>
    <row r="573">
      <c r="A573" s="6" t="inlineStr">
        <is>
          <t>2024-12-25</t>
        </is>
      </c>
      <c r="B573" s="6" t="inlineStr">
        <is>
          <t>MA2505</t>
        </is>
      </c>
      <c r="C573" s="6" t="inlineStr">
        <is>
          <t>2025-05</t>
        </is>
      </c>
      <c r="D573" s="9" t="n">
        <v>866142</v>
      </c>
      <c r="E573" s="6" t="n">
        <v>91</v>
      </c>
      <c r="F573" s="6" t="n">
        <v>0</v>
      </c>
      <c r="G573" s="6" t="n">
        <v>0</v>
      </c>
      <c r="H573" s="7" t="n">
        <v>-58</v>
      </c>
      <c r="I573" s="6" t="inlineStr">
        <is>
          <t>Contango(远强)</t>
        </is>
      </c>
    </row>
    <row r="574">
      <c r="A574" s="11" t="inlineStr">
        <is>
          <t>2024-12-26</t>
        </is>
      </c>
      <c r="B574" s="11" t="inlineStr">
        <is>
          <t>MA2505</t>
        </is>
      </c>
      <c r="C574" s="11" t="inlineStr">
        <is>
          <t>2025-05</t>
        </is>
      </c>
      <c r="D574" s="14" t="n">
        <v>864578</v>
      </c>
      <c r="E574" s="11" t="n">
        <v>90</v>
      </c>
      <c r="F574" s="11" t="n">
        <v>0</v>
      </c>
      <c r="G574" s="11" t="n">
        <v>0</v>
      </c>
      <c r="H574" s="12" t="n">
        <v>-52</v>
      </c>
      <c r="I574" s="11" t="inlineStr">
        <is>
          <t>Contango(远强)</t>
        </is>
      </c>
    </row>
    <row r="575">
      <c r="A575" s="6" t="inlineStr">
        <is>
          <t>2024-12-27</t>
        </is>
      </c>
      <c r="B575" s="6" t="inlineStr">
        <is>
          <t>MA2505</t>
        </is>
      </c>
      <c r="C575" s="6" t="inlineStr">
        <is>
          <t>2025-05</t>
        </is>
      </c>
      <c r="D575" s="9" t="n">
        <v>844004</v>
      </c>
      <c r="E575" s="6" t="n">
        <v>89</v>
      </c>
      <c r="F575" s="6" t="n">
        <v>0</v>
      </c>
      <c r="G575" s="6" t="n">
        <v>0</v>
      </c>
      <c r="H575" s="7" t="n">
        <v>-33</v>
      </c>
      <c r="I575" s="6" t="inlineStr">
        <is>
          <t>Contango(远强)</t>
        </is>
      </c>
    </row>
    <row r="576">
      <c r="A576" s="11" t="inlineStr">
        <is>
          <t>2024-12-30</t>
        </is>
      </c>
      <c r="B576" s="11" t="inlineStr">
        <is>
          <t>MA2505</t>
        </is>
      </c>
      <c r="C576" s="11" t="inlineStr">
        <is>
          <t>2025-05</t>
        </is>
      </c>
      <c r="D576" s="14" t="n">
        <v>875476</v>
      </c>
      <c r="E576" s="11" t="n">
        <v>88</v>
      </c>
      <c r="F576" s="11" t="n">
        <v>0</v>
      </c>
      <c r="G576" s="11" t="n">
        <v>0</v>
      </c>
      <c r="H576" s="12" t="n">
        <v>-44</v>
      </c>
      <c r="I576" s="11" t="inlineStr">
        <is>
          <t>Contango(远强)</t>
        </is>
      </c>
    </row>
    <row r="577">
      <c r="A577" s="6" t="inlineStr">
        <is>
          <t>2024-12-31</t>
        </is>
      </c>
      <c r="B577" s="6" t="inlineStr">
        <is>
          <t>MA2505</t>
        </is>
      </c>
      <c r="C577" s="6" t="inlineStr">
        <is>
          <t>2025-05</t>
        </is>
      </c>
      <c r="D577" s="9" t="n">
        <v>925080</v>
      </c>
      <c r="E577" s="6" t="n">
        <v>87</v>
      </c>
      <c r="F577" s="6" t="n">
        <v>0</v>
      </c>
      <c r="G577" s="6" t="n">
        <v>0</v>
      </c>
      <c r="H577" s="7" t="n">
        <v>-64</v>
      </c>
      <c r="I577" s="6" t="inlineStr">
        <is>
          <t>Contango(远强)</t>
        </is>
      </c>
    </row>
    <row r="578">
      <c r="A578" s="11" t="inlineStr">
        <is>
          <t>2025-01-02</t>
        </is>
      </c>
      <c r="B578" s="11" t="inlineStr">
        <is>
          <t>MA2505</t>
        </is>
      </c>
      <c r="C578" s="11" t="inlineStr">
        <is>
          <t>2025-05</t>
        </is>
      </c>
      <c r="D578" s="14" t="n">
        <v>961329</v>
      </c>
      <c r="E578" s="11" t="n">
        <v>86</v>
      </c>
      <c r="F578" s="11" t="n">
        <v>0</v>
      </c>
      <c r="G578" s="11" t="n">
        <v>0</v>
      </c>
      <c r="H578" s="12" t="n">
        <v>-61</v>
      </c>
      <c r="I578" s="11" t="inlineStr">
        <is>
          <t>Contango(远强)</t>
        </is>
      </c>
    </row>
    <row r="579">
      <c r="A579" s="6" t="inlineStr">
        <is>
          <t>2025-01-03</t>
        </is>
      </c>
      <c r="B579" s="6" t="inlineStr">
        <is>
          <t>MA2505</t>
        </is>
      </c>
      <c r="C579" s="6" t="inlineStr">
        <is>
          <t>2025-05</t>
        </is>
      </c>
      <c r="D579" s="9" t="n">
        <v>913464</v>
      </c>
      <c r="E579" s="6" t="n">
        <v>85</v>
      </c>
      <c r="F579" s="6" t="n">
        <v>0</v>
      </c>
      <c r="G579" s="6" t="n">
        <v>0</v>
      </c>
      <c r="H579" s="7" t="n">
        <v>-48</v>
      </c>
      <c r="I579" s="6" t="inlineStr">
        <is>
          <t>Contango(远强)</t>
        </is>
      </c>
    </row>
    <row r="580">
      <c r="A580" s="11" t="inlineStr">
        <is>
          <t>2025-01-06</t>
        </is>
      </c>
      <c r="B580" s="11" t="inlineStr">
        <is>
          <t>MA2505</t>
        </is>
      </c>
      <c r="C580" s="11" t="inlineStr">
        <is>
          <t>2025-05</t>
        </is>
      </c>
      <c r="D580" s="14" t="n">
        <v>831577</v>
      </c>
      <c r="E580" s="11" t="n">
        <v>84</v>
      </c>
      <c r="F580" s="11" t="n">
        <v>0</v>
      </c>
      <c r="G580" s="11" t="n">
        <v>0</v>
      </c>
      <c r="H580" s="12" t="n">
        <v>-49</v>
      </c>
      <c r="I580" s="11" t="inlineStr">
        <is>
          <t>Contango(远强)</t>
        </is>
      </c>
    </row>
    <row r="581">
      <c r="A581" s="6" t="inlineStr">
        <is>
          <t>2025-01-07</t>
        </is>
      </c>
      <c r="B581" s="6" t="inlineStr">
        <is>
          <t>MA2505</t>
        </is>
      </c>
      <c r="C581" s="6" t="inlineStr">
        <is>
          <t>2025-05</t>
        </is>
      </c>
      <c r="D581" s="9" t="n">
        <v>784428</v>
      </c>
      <c r="E581" s="6" t="n">
        <v>83</v>
      </c>
      <c r="F581" s="6" t="n">
        <v>0</v>
      </c>
      <c r="G581" s="6" t="n">
        <v>0</v>
      </c>
      <c r="H581" s="7" t="n">
        <v>-49</v>
      </c>
      <c r="I581" s="6" t="inlineStr">
        <is>
          <t>Contango(远强)</t>
        </is>
      </c>
    </row>
    <row r="582">
      <c r="A582" s="11" t="inlineStr">
        <is>
          <t>2025-01-08</t>
        </is>
      </c>
      <c r="B582" s="11" t="inlineStr">
        <is>
          <t>MA2505</t>
        </is>
      </c>
      <c r="C582" s="11" t="inlineStr">
        <is>
          <t>2025-05</t>
        </is>
      </c>
      <c r="D582" s="14" t="n">
        <v>786925</v>
      </c>
      <c r="E582" s="11" t="n">
        <v>82</v>
      </c>
      <c r="F582" s="11" t="n">
        <v>0</v>
      </c>
      <c r="G582" s="11" t="n">
        <v>0</v>
      </c>
      <c r="H582" s="12" t="n">
        <v>-35</v>
      </c>
      <c r="I582" s="11" t="inlineStr">
        <is>
          <t>Contango(远强)</t>
        </is>
      </c>
    </row>
    <row r="583">
      <c r="A583" s="6" t="inlineStr">
        <is>
          <t>2025-01-09</t>
        </is>
      </c>
      <c r="B583" s="6" t="inlineStr">
        <is>
          <t>MA2505</t>
        </is>
      </c>
      <c r="C583" s="6" t="inlineStr">
        <is>
          <t>2025-05</t>
        </is>
      </c>
      <c r="D583" s="9" t="n">
        <v>785118</v>
      </c>
      <c r="E583" s="6" t="n">
        <v>81</v>
      </c>
      <c r="F583" s="6" t="n">
        <v>0</v>
      </c>
      <c r="G583" s="6" t="n">
        <v>0</v>
      </c>
      <c r="H583" s="7" t="n">
        <v>-44</v>
      </c>
      <c r="I583" s="6" t="inlineStr">
        <is>
          <t>Contango(远强)</t>
        </is>
      </c>
    </row>
    <row r="584">
      <c r="A584" s="11" t="inlineStr">
        <is>
          <t>2025-01-10</t>
        </is>
      </c>
      <c r="B584" s="11" t="inlineStr">
        <is>
          <t>MA2505</t>
        </is>
      </c>
      <c r="C584" s="11" t="inlineStr">
        <is>
          <t>2025-05</t>
        </is>
      </c>
      <c r="D584" s="14" t="n">
        <v>784625</v>
      </c>
      <c r="E584" s="11" t="n">
        <v>80</v>
      </c>
      <c r="F584" s="11" t="n">
        <v>0</v>
      </c>
      <c r="G584" s="11" t="n">
        <v>0</v>
      </c>
      <c r="H584" s="12" t="n">
        <v>-61</v>
      </c>
      <c r="I584" s="11" t="inlineStr">
        <is>
          <t>Contango(远强)</t>
        </is>
      </c>
    </row>
    <row r="585">
      <c r="A585" s="6" t="inlineStr">
        <is>
          <t>2025-01-13</t>
        </is>
      </c>
      <c r="B585" s="6" t="inlineStr">
        <is>
          <t>MA2505</t>
        </is>
      </c>
      <c r="C585" s="6" t="inlineStr">
        <is>
          <t>2025-05</t>
        </is>
      </c>
      <c r="D585" s="9" t="n">
        <v>777146</v>
      </c>
      <c r="E585" s="6" t="n">
        <v>79</v>
      </c>
      <c r="F585" s="6" t="n">
        <v>0</v>
      </c>
      <c r="G585" s="6" t="n">
        <v>0</v>
      </c>
      <c r="H585" s="7" t="n">
        <v>-44</v>
      </c>
      <c r="I585" s="6" t="inlineStr">
        <is>
          <t>Contango(远强)</t>
        </is>
      </c>
    </row>
    <row r="586">
      <c r="A586" s="11" t="inlineStr">
        <is>
          <t>2025-01-14</t>
        </is>
      </c>
      <c r="B586" s="11" t="inlineStr">
        <is>
          <t>MA2505</t>
        </is>
      </c>
      <c r="C586" s="11" t="inlineStr">
        <is>
          <t>2025-05</t>
        </is>
      </c>
      <c r="D586" s="14" t="n">
        <v>787575</v>
      </c>
      <c r="E586" s="11" t="n">
        <v>78</v>
      </c>
      <c r="F586" s="11" t="n">
        <v>0</v>
      </c>
      <c r="G586" s="11" t="n">
        <v>0</v>
      </c>
      <c r="H586" s="12" t="n">
        <v>-27</v>
      </c>
      <c r="I586" s="11" t="inlineStr">
        <is>
          <t>Contango(远强)</t>
        </is>
      </c>
    </row>
    <row r="587">
      <c r="A587" s="6" t="inlineStr">
        <is>
          <t>2025-01-15</t>
        </is>
      </c>
      <c r="B587" s="6" t="inlineStr">
        <is>
          <t>MA2505</t>
        </is>
      </c>
      <c r="C587" s="6" t="inlineStr">
        <is>
          <t>2025-05</t>
        </is>
      </c>
      <c r="D587" s="9" t="n">
        <v>799791</v>
      </c>
      <c r="E587" s="6" t="n">
        <v>77</v>
      </c>
      <c r="F587" s="6" t="n">
        <v>0</v>
      </c>
      <c r="G587" s="6" t="n">
        <v>0</v>
      </c>
      <c r="H587" s="7" t="n">
        <v>-39</v>
      </c>
      <c r="I587" s="6" t="inlineStr">
        <is>
          <t>Contango(远强)</t>
        </is>
      </c>
    </row>
    <row r="588">
      <c r="A588" s="11" t="inlineStr">
        <is>
          <t>2025-01-16</t>
        </is>
      </c>
      <c r="B588" s="11" t="inlineStr">
        <is>
          <t>MA2505</t>
        </is>
      </c>
      <c r="C588" s="11" t="inlineStr">
        <is>
          <t>2025-05</t>
        </is>
      </c>
      <c r="D588" s="14" t="n">
        <v>769756</v>
      </c>
      <c r="E588" s="11" t="n">
        <v>76</v>
      </c>
      <c r="F588" s="11" t="n">
        <v>0</v>
      </c>
      <c r="G588" s="11" t="n">
        <v>0</v>
      </c>
      <c r="H588" s="12" t="n">
        <v>-32</v>
      </c>
      <c r="I588" s="11" t="inlineStr">
        <is>
          <t>Contango(远强)</t>
        </is>
      </c>
    </row>
    <row r="589">
      <c r="A589" s="6" t="inlineStr">
        <is>
          <t>2025-01-17</t>
        </is>
      </c>
      <c r="B589" s="6" t="inlineStr">
        <is>
          <t>MA2505</t>
        </is>
      </c>
      <c r="C589" s="6" t="inlineStr">
        <is>
          <t>2025-05</t>
        </is>
      </c>
      <c r="D589" s="9" t="n">
        <v>739107</v>
      </c>
      <c r="E589" s="6" t="n">
        <v>75</v>
      </c>
      <c r="F589" s="6" t="n">
        <v>0</v>
      </c>
      <c r="G589" s="6" t="n">
        <v>0</v>
      </c>
      <c r="H589" s="7" t="n">
        <v>-24</v>
      </c>
      <c r="I589" s="6" t="inlineStr">
        <is>
          <t>Contango(远强)</t>
        </is>
      </c>
    </row>
    <row r="590">
      <c r="A590" s="11" t="inlineStr">
        <is>
          <t>2025-01-20</t>
        </is>
      </c>
      <c r="B590" s="11" t="inlineStr">
        <is>
          <t>MA2505</t>
        </is>
      </c>
      <c r="C590" s="11" t="inlineStr">
        <is>
          <t>2025-05</t>
        </is>
      </c>
      <c r="D590" s="14" t="n">
        <v>728771</v>
      </c>
      <c r="E590" s="11" t="n">
        <v>74</v>
      </c>
      <c r="F590" s="11" t="n">
        <v>0</v>
      </c>
      <c r="G590" s="11" t="n">
        <v>0</v>
      </c>
      <c r="H590" s="12" t="n">
        <v>-24</v>
      </c>
      <c r="I590" s="11" t="inlineStr">
        <is>
          <t>Contango(远强)</t>
        </is>
      </c>
    </row>
    <row r="591">
      <c r="A591" s="6" t="inlineStr">
        <is>
          <t>2025-01-21</t>
        </is>
      </c>
      <c r="B591" s="6" t="inlineStr">
        <is>
          <t>MA2505</t>
        </is>
      </c>
      <c r="C591" s="6" t="inlineStr">
        <is>
          <t>2025-05</t>
        </is>
      </c>
      <c r="D591" s="9" t="n">
        <v>710842</v>
      </c>
      <c r="E591" s="6" t="n">
        <v>73</v>
      </c>
      <c r="F591" s="6" t="n">
        <v>0</v>
      </c>
      <c r="G591" s="6" t="n">
        <v>0</v>
      </c>
      <c r="H591" s="7" t="n">
        <v>-29</v>
      </c>
      <c r="I591" s="6" t="inlineStr">
        <is>
          <t>Contango(远强)</t>
        </is>
      </c>
    </row>
    <row r="592">
      <c r="A592" s="11" t="inlineStr">
        <is>
          <t>2025-01-22</t>
        </is>
      </c>
      <c r="B592" s="11" t="inlineStr">
        <is>
          <t>MA2505</t>
        </is>
      </c>
      <c r="C592" s="11" t="inlineStr">
        <is>
          <t>2025-05</t>
        </is>
      </c>
      <c r="D592" s="14" t="n">
        <v>678694</v>
      </c>
      <c r="E592" s="11" t="n">
        <v>72</v>
      </c>
      <c r="F592" s="11" t="n">
        <v>0</v>
      </c>
      <c r="G592" s="11" t="n">
        <v>0</v>
      </c>
      <c r="H592" s="12" t="n">
        <v>-33</v>
      </c>
      <c r="I592" s="11" t="inlineStr">
        <is>
          <t>Contango(远强)</t>
        </is>
      </c>
    </row>
    <row r="593">
      <c r="A593" s="6" t="inlineStr">
        <is>
          <t>2025-01-23</t>
        </is>
      </c>
      <c r="B593" s="6" t="inlineStr">
        <is>
          <t>MA2505</t>
        </is>
      </c>
      <c r="C593" s="6" t="inlineStr">
        <is>
          <t>2025-05</t>
        </is>
      </c>
      <c r="D593" s="9" t="n">
        <v>674687</v>
      </c>
      <c r="E593" s="6" t="n">
        <v>71</v>
      </c>
      <c r="F593" s="6" t="n">
        <v>0</v>
      </c>
      <c r="G593" s="6" t="n">
        <v>0</v>
      </c>
      <c r="H593" s="7" t="n">
        <v>-35</v>
      </c>
      <c r="I593" s="6" t="inlineStr">
        <is>
          <t>Contango(远强)</t>
        </is>
      </c>
    </row>
    <row r="594">
      <c r="A594" s="11" t="inlineStr">
        <is>
          <t>2025-01-24</t>
        </is>
      </c>
      <c r="B594" s="11" t="inlineStr">
        <is>
          <t>MA2505</t>
        </is>
      </c>
      <c r="C594" s="11" t="inlineStr">
        <is>
          <t>2025-05</t>
        </is>
      </c>
      <c r="D594" s="14" t="n">
        <v>654665</v>
      </c>
      <c r="E594" s="11" t="n">
        <v>70</v>
      </c>
      <c r="F594" s="11" t="n">
        <v>0</v>
      </c>
      <c r="G594" s="11" t="n">
        <v>0</v>
      </c>
      <c r="H594" s="12" t="n">
        <v>-31</v>
      </c>
      <c r="I594" s="11" t="inlineStr">
        <is>
          <t>Contango(远强)</t>
        </is>
      </c>
    </row>
    <row r="595">
      <c r="A595" s="6" t="inlineStr">
        <is>
          <t>2025-01-27</t>
        </is>
      </c>
      <c r="B595" s="6" t="inlineStr">
        <is>
          <t>MA2505</t>
        </is>
      </c>
      <c r="C595" s="6" t="inlineStr">
        <is>
          <t>2025-05</t>
        </is>
      </c>
      <c r="D595" s="9" t="n">
        <v>620195</v>
      </c>
      <c r="E595" s="6" t="n">
        <v>69</v>
      </c>
      <c r="F595" s="6" t="n">
        <v>0</v>
      </c>
      <c r="G595" s="6" t="n">
        <v>0</v>
      </c>
      <c r="H595" s="7" t="n">
        <v>-25</v>
      </c>
      <c r="I595" s="6" t="inlineStr">
        <is>
          <t>Contango(远强)</t>
        </is>
      </c>
    </row>
    <row r="596">
      <c r="A596" s="11" t="inlineStr">
        <is>
          <t>2025-02-05</t>
        </is>
      </c>
      <c r="B596" s="11" t="inlineStr">
        <is>
          <t>MA2505</t>
        </is>
      </c>
      <c r="C596" s="11" t="inlineStr">
        <is>
          <t>2025-05</t>
        </is>
      </c>
      <c r="D596" s="14" t="n">
        <v>637921</v>
      </c>
      <c r="E596" s="11" t="n">
        <v>68</v>
      </c>
      <c r="F596" s="11" t="n">
        <v>0</v>
      </c>
      <c r="G596" s="11" t="n">
        <v>0</v>
      </c>
      <c r="H596" s="12" t="n">
        <v>-41</v>
      </c>
      <c r="I596" s="11" t="inlineStr">
        <is>
          <t>Contango(远强)</t>
        </is>
      </c>
    </row>
    <row r="597">
      <c r="A597" s="6" t="inlineStr">
        <is>
          <t>2025-02-06</t>
        </is>
      </c>
      <c r="B597" s="6" t="inlineStr">
        <is>
          <t>MA2505</t>
        </is>
      </c>
      <c r="C597" s="6" t="inlineStr">
        <is>
          <t>2025-05</t>
        </is>
      </c>
      <c r="D597" s="9" t="n">
        <v>711965</v>
      </c>
      <c r="E597" s="6" t="n">
        <v>67</v>
      </c>
      <c r="F597" s="6" t="n">
        <v>0</v>
      </c>
      <c r="G597" s="6" t="n">
        <v>0</v>
      </c>
      <c r="H597" s="7" t="n">
        <v>-38</v>
      </c>
      <c r="I597" s="6" t="inlineStr">
        <is>
          <t>Contango(远强)</t>
        </is>
      </c>
    </row>
    <row r="598">
      <c r="A598" s="11" t="inlineStr">
        <is>
          <t>2025-02-07</t>
        </is>
      </c>
      <c r="B598" s="11" t="inlineStr">
        <is>
          <t>MA2505</t>
        </is>
      </c>
      <c r="C598" s="11" t="inlineStr">
        <is>
          <t>2025-05</t>
        </is>
      </c>
      <c r="D598" s="14" t="n">
        <v>708947</v>
      </c>
      <c r="E598" s="11" t="n">
        <v>66</v>
      </c>
      <c r="F598" s="11" t="n">
        <v>0</v>
      </c>
      <c r="G598" s="11" t="n">
        <v>0</v>
      </c>
      <c r="H598" s="12" t="n">
        <v>-45</v>
      </c>
      <c r="I598" s="11" t="inlineStr">
        <is>
          <t>Contango(远强)</t>
        </is>
      </c>
    </row>
    <row r="599">
      <c r="A599" s="6" t="inlineStr">
        <is>
          <t>2025-02-10</t>
        </is>
      </c>
      <c r="B599" s="6" t="inlineStr">
        <is>
          <t>MA2505</t>
        </is>
      </c>
      <c r="C599" s="6" t="inlineStr">
        <is>
          <t>2025-05</t>
        </is>
      </c>
      <c r="D599" s="9" t="n">
        <v>731380</v>
      </c>
      <c r="E599" s="6" t="n">
        <v>65</v>
      </c>
      <c r="F599" s="6" t="n">
        <v>0</v>
      </c>
      <c r="G599" s="6" t="n">
        <v>0</v>
      </c>
      <c r="H599" s="7" t="n">
        <v>-28</v>
      </c>
      <c r="I599" s="6" t="inlineStr">
        <is>
          <t>Contango(远强)</t>
        </is>
      </c>
    </row>
    <row r="600">
      <c r="A600" s="11" t="inlineStr">
        <is>
          <t>2025-02-11</t>
        </is>
      </c>
      <c r="B600" s="11" t="inlineStr">
        <is>
          <t>MA2505</t>
        </is>
      </c>
      <c r="C600" s="11" t="inlineStr">
        <is>
          <t>2025-05</t>
        </is>
      </c>
      <c r="D600" s="14" t="n">
        <v>730133</v>
      </c>
      <c r="E600" s="11" t="n">
        <v>64</v>
      </c>
      <c r="F600" s="11" t="n">
        <v>0</v>
      </c>
      <c r="G600" s="11" t="n">
        <v>0</v>
      </c>
      <c r="H600" s="12" t="n">
        <v>-10</v>
      </c>
      <c r="I600" s="11" t="inlineStr">
        <is>
          <t>Contango(远强)</t>
        </is>
      </c>
    </row>
    <row r="601">
      <c r="A601" s="6" t="inlineStr">
        <is>
          <t>2025-02-12</t>
        </is>
      </c>
      <c r="B601" s="6" t="inlineStr">
        <is>
          <t>MA2505</t>
        </is>
      </c>
      <c r="C601" s="6" t="inlineStr">
        <is>
          <t>2025-05</t>
        </is>
      </c>
      <c r="D601" s="9" t="n">
        <v>725491</v>
      </c>
      <c r="E601" s="6" t="n">
        <v>63</v>
      </c>
      <c r="F601" s="6" t="n">
        <v>0</v>
      </c>
      <c r="G601" s="6" t="n">
        <v>0</v>
      </c>
      <c r="H601" s="7" t="n">
        <v>-41</v>
      </c>
      <c r="I601" s="6" t="inlineStr">
        <is>
          <t>Contango(远强)</t>
        </is>
      </c>
    </row>
    <row r="602">
      <c r="A602" s="11" t="inlineStr">
        <is>
          <t>2025-02-13</t>
        </is>
      </c>
      <c r="B602" s="11" t="inlineStr">
        <is>
          <t>MA2505</t>
        </is>
      </c>
      <c r="C602" s="11" t="inlineStr">
        <is>
          <t>2025-05</t>
        </is>
      </c>
      <c r="D602" s="14" t="n">
        <v>755041</v>
      </c>
      <c r="E602" s="11" t="n">
        <v>62</v>
      </c>
      <c r="F602" s="11" t="n">
        <v>0</v>
      </c>
      <c r="G602" s="11" t="n">
        <v>0</v>
      </c>
      <c r="H602" s="12" t="n">
        <v>-53</v>
      </c>
      <c r="I602" s="11" t="inlineStr">
        <is>
          <t>Contango(远强)</t>
        </is>
      </c>
    </row>
    <row r="603">
      <c r="A603" s="6" t="inlineStr">
        <is>
          <t>2025-02-14</t>
        </is>
      </c>
      <c r="B603" s="6" t="inlineStr">
        <is>
          <t>MA2505</t>
        </is>
      </c>
      <c r="C603" s="6" t="inlineStr">
        <is>
          <t>2025-05</t>
        </is>
      </c>
      <c r="D603" s="9" t="n">
        <v>780600</v>
      </c>
      <c r="E603" s="6" t="n">
        <v>61</v>
      </c>
      <c r="F603" s="6" t="n">
        <v>0</v>
      </c>
      <c r="G603" s="6" t="n">
        <v>0</v>
      </c>
      <c r="H603" s="7" t="n">
        <v>-1</v>
      </c>
      <c r="I603" s="6" t="inlineStr">
        <is>
          <t>结构不明</t>
        </is>
      </c>
    </row>
    <row r="604">
      <c r="A604" s="11" t="inlineStr">
        <is>
          <t>2025-02-17</t>
        </is>
      </c>
      <c r="B604" s="11" t="inlineStr">
        <is>
          <t>MA2505</t>
        </is>
      </c>
      <c r="C604" s="11" t="inlineStr">
        <is>
          <t>2025-05</t>
        </is>
      </c>
      <c r="D604" s="14" t="n">
        <v>799955</v>
      </c>
      <c r="E604" s="11" t="n">
        <v>60</v>
      </c>
      <c r="F604" s="11" t="n">
        <v>0</v>
      </c>
      <c r="G604" s="11" t="n">
        <v>0</v>
      </c>
      <c r="H604" s="12" t="n">
        <v>-25</v>
      </c>
      <c r="I604" s="11" t="inlineStr">
        <is>
          <t>Contango(远强)</t>
        </is>
      </c>
    </row>
    <row r="605">
      <c r="A605" s="6" t="inlineStr">
        <is>
          <t>2025-02-18</t>
        </is>
      </c>
      <c r="B605" s="6" t="inlineStr">
        <is>
          <t>MA2505</t>
        </is>
      </c>
      <c r="C605" s="6" t="inlineStr">
        <is>
          <t>2025-05</t>
        </is>
      </c>
      <c r="D605" s="9" t="n">
        <v>803416</v>
      </c>
      <c r="E605" s="6" t="n">
        <v>59</v>
      </c>
      <c r="F605" s="6" t="n">
        <v>0</v>
      </c>
      <c r="G605" s="6" t="n">
        <v>0</v>
      </c>
      <c r="H605" s="7" t="n">
        <v>-19</v>
      </c>
      <c r="I605" s="6" t="inlineStr">
        <is>
          <t>Contango(远强)</t>
        </is>
      </c>
    </row>
    <row r="606">
      <c r="A606" s="11" t="inlineStr">
        <is>
          <t>2025-02-19</t>
        </is>
      </c>
      <c r="B606" s="11" t="inlineStr">
        <is>
          <t>MA2505</t>
        </is>
      </c>
      <c r="C606" s="11" t="inlineStr">
        <is>
          <t>2025-05</t>
        </is>
      </c>
      <c r="D606" s="14" t="n">
        <v>803835</v>
      </c>
      <c r="E606" s="11" t="n">
        <v>58</v>
      </c>
      <c r="F606" s="11" t="n">
        <v>0</v>
      </c>
      <c r="G606" s="11" t="n">
        <v>0</v>
      </c>
      <c r="H606" s="12" t="n">
        <v>-9</v>
      </c>
      <c r="I606" s="11" t="inlineStr">
        <is>
          <t>Contango(远强)</t>
        </is>
      </c>
    </row>
    <row r="607">
      <c r="A607" s="6" t="inlineStr">
        <is>
          <t>2025-02-20</t>
        </is>
      </c>
      <c r="B607" s="6" t="inlineStr">
        <is>
          <t>MA2505</t>
        </is>
      </c>
      <c r="C607" s="6" t="inlineStr">
        <is>
          <t>2025-05</t>
        </is>
      </c>
      <c r="D607" s="9" t="n">
        <v>804628</v>
      </c>
      <c r="E607" s="6" t="n">
        <v>57</v>
      </c>
      <c r="F607" s="6" t="n">
        <v>0</v>
      </c>
      <c r="G607" s="6" t="n">
        <v>0</v>
      </c>
      <c r="H607" s="7" t="n">
        <v>-12</v>
      </c>
      <c r="I607" s="6" t="inlineStr">
        <is>
          <t>Contango(远强)</t>
        </is>
      </c>
    </row>
    <row r="608">
      <c r="A608" s="11" t="inlineStr">
        <is>
          <t>2025-02-21</t>
        </is>
      </c>
      <c r="B608" s="11" t="inlineStr">
        <is>
          <t>MA2505</t>
        </is>
      </c>
      <c r="C608" s="11" t="inlineStr">
        <is>
          <t>2025-05</t>
        </is>
      </c>
      <c r="D608" s="14" t="n">
        <v>784503</v>
      </c>
      <c r="E608" s="11" t="n">
        <v>56</v>
      </c>
      <c r="F608" s="11" t="n">
        <v>0</v>
      </c>
      <c r="G608" s="11" t="n">
        <v>0</v>
      </c>
      <c r="H608" s="12" t="n">
        <v>-17</v>
      </c>
      <c r="I608" s="11" t="inlineStr">
        <is>
          <t>Contango(远强)</t>
        </is>
      </c>
    </row>
    <row r="609">
      <c r="A609" s="6" t="inlineStr">
        <is>
          <t>2025-02-24</t>
        </is>
      </c>
      <c r="B609" s="6" t="inlineStr">
        <is>
          <t>MA2505</t>
        </is>
      </c>
      <c r="C609" s="6" t="inlineStr">
        <is>
          <t>2025-05</t>
        </is>
      </c>
      <c r="D609" s="9" t="n">
        <v>782325</v>
      </c>
      <c r="E609" s="6" t="n">
        <v>55</v>
      </c>
      <c r="F609" s="6" t="n">
        <v>0</v>
      </c>
      <c r="G609" s="6" t="n">
        <v>0</v>
      </c>
      <c r="H609" s="7" t="n">
        <v>-16</v>
      </c>
      <c r="I609" s="6" t="inlineStr">
        <is>
          <t>Contango(远强)</t>
        </is>
      </c>
    </row>
    <row r="610">
      <c r="A610" s="11" t="inlineStr">
        <is>
          <t>2025-02-25</t>
        </is>
      </c>
      <c r="B610" s="11" t="inlineStr">
        <is>
          <t>MA2505</t>
        </is>
      </c>
      <c r="C610" s="11" t="inlineStr">
        <is>
          <t>2025-05</t>
        </is>
      </c>
      <c r="D610" s="14" t="n">
        <v>793153</v>
      </c>
      <c r="E610" s="11" t="n">
        <v>54</v>
      </c>
      <c r="F610" s="11" t="n">
        <v>0</v>
      </c>
      <c r="G610" s="11" t="n">
        <v>0</v>
      </c>
      <c r="H610" s="12" t="n">
        <v>-23</v>
      </c>
      <c r="I610" s="11" t="inlineStr">
        <is>
          <t>Contango(远强)</t>
        </is>
      </c>
    </row>
    <row r="611">
      <c r="A611" s="6" t="inlineStr">
        <is>
          <t>2025-02-26</t>
        </is>
      </c>
      <c r="B611" s="6" t="inlineStr">
        <is>
          <t>MA2505</t>
        </is>
      </c>
      <c r="C611" s="6" t="inlineStr">
        <is>
          <t>2025-05</t>
        </is>
      </c>
      <c r="D611" s="9" t="n">
        <v>835686</v>
      </c>
      <c r="E611" s="6" t="n">
        <v>53</v>
      </c>
      <c r="F611" s="6" t="n">
        <v>0</v>
      </c>
      <c r="G611" s="6" t="n">
        <v>0</v>
      </c>
      <c r="H611" s="7" t="n">
        <v>-17</v>
      </c>
      <c r="I611" s="6" t="inlineStr">
        <is>
          <t>Contango(远强)</t>
        </is>
      </c>
    </row>
    <row r="612">
      <c r="A612" s="11" t="inlineStr">
        <is>
          <t>2025-02-27</t>
        </is>
      </c>
      <c r="B612" s="11" t="inlineStr">
        <is>
          <t>MA2505</t>
        </is>
      </c>
      <c r="C612" s="11" t="inlineStr">
        <is>
          <t>2025-05</t>
        </is>
      </c>
      <c r="D612" s="14" t="n">
        <v>814640</v>
      </c>
      <c r="E612" s="11" t="n">
        <v>52</v>
      </c>
      <c r="F612" s="11" t="n">
        <v>0</v>
      </c>
      <c r="G612" s="11" t="n">
        <v>0</v>
      </c>
      <c r="H612" s="12" t="n">
        <v>-11</v>
      </c>
      <c r="I612" s="11" t="inlineStr">
        <is>
          <t>结构不明</t>
        </is>
      </c>
    </row>
    <row r="613">
      <c r="A613" s="6" t="inlineStr">
        <is>
          <t>2025-02-28</t>
        </is>
      </c>
      <c r="B613" s="6" t="inlineStr">
        <is>
          <t>MA2505</t>
        </is>
      </c>
      <c r="C613" s="6" t="inlineStr">
        <is>
          <t>2025-05</t>
        </is>
      </c>
      <c r="D613" s="9" t="n">
        <v>798316</v>
      </c>
      <c r="E613" s="6" t="n">
        <v>51</v>
      </c>
      <c r="F613" s="6" t="n">
        <v>0</v>
      </c>
      <c r="G613" s="6" t="n">
        <v>0</v>
      </c>
      <c r="H613" s="7" t="n">
        <v>-16</v>
      </c>
      <c r="I613" s="6" t="inlineStr">
        <is>
          <t>Contango(远强)</t>
        </is>
      </c>
    </row>
    <row r="614">
      <c r="A614" s="11" t="inlineStr">
        <is>
          <t>2025-03-03</t>
        </is>
      </c>
      <c r="B614" s="11" t="inlineStr">
        <is>
          <t>MA2505</t>
        </is>
      </c>
      <c r="C614" s="11" t="inlineStr">
        <is>
          <t>2025-05</t>
        </is>
      </c>
      <c r="D614" s="14" t="n">
        <v>868263</v>
      </c>
      <c r="E614" s="11" t="n">
        <v>50</v>
      </c>
      <c r="F614" s="11" t="n">
        <v>0</v>
      </c>
      <c r="G614" s="11" t="n">
        <v>0</v>
      </c>
      <c r="H614" s="12" t="n">
        <v>-29</v>
      </c>
      <c r="I614" s="11" t="inlineStr">
        <is>
          <t>Contango(远强)</t>
        </is>
      </c>
    </row>
    <row r="615">
      <c r="A615" s="6" t="inlineStr">
        <is>
          <t>2025-03-04</t>
        </is>
      </c>
      <c r="B615" s="6" t="inlineStr">
        <is>
          <t>MA2505</t>
        </is>
      </c>
      <c r="C615" s="6" t="inlineStr">
        <is>
          <t>2025-05</t>
        </is>
      </c>
      <c r="D615" s="9" t="n">
        <v>887970</v>
      </c>
      <c r="E615" s="6" t="n">
        <v>49</v>
      </c>
      <c r="F615" s="6" t="n">
        <v>0</v>
      </c>
      <c r="G615" s="6" t="n">
        <v>0</v>
      </c>
      <c r="H615" s="7" t="n">
        <v>-28</v>
      </c>
      <c r="I615" s="6" t="inlineStr">
        <is>
          <t>Contango(远强)</t>
        </is>
      </c>
    </row>
    <row r="616">
      <c r="A616" s="11" t="inlineStr">
        <is>
          <t>2025-03-05</t>
        </is>
      </c>
      <c r="B616" s="11" t="inlineStr">
        <is>
          <t>MA2505</t>
        </is>
      </c>
      <c r="C616" s="11" t="inlineStr">
        <is>
          <t>2025-05</t>
        </is>
      </c>
      <c r="D616" s="14" t="n">
        <v>881839</v>
      </c>
      <c r="E616" s="11" t="n">
        <v>48</v>
      </c>
      <c r="F616" s="11" t="n">
        <v>0</v>
      </c>
      <c r="G616" s="11" t="n">
        <v>0</v>
      </c>
      <c r="H616" s="12" t="n">
        <v>-35</v>
      </c>
      <c r="I616" s="11" t="inlineStr">
        <is>
          <t>Contango(远强)</t>
        </is>
      </c>
    </row>
    <row r="617">
      <c r="A617" s="6" t="inlineStr">
        <is>
          <t>2025-03-06</t>
        </is>
      </c>
      <c r="B617" s="6" t="inlineStr">
        <is>
          <t>MA2505</t>
        </is>
      </c>
      <c r="C617" s="6" t="inlineStr">
        <is>
          <t>2025-05</t>
        </is>
      </c>
      <c r="D617" s="9" t="n">
        <v>842249</v>
      </c>
      <c r="E617" s="6" t="n">
        <v>47</v>
      </c>
      <c r="F617" s="6" t="n">
        <v>0</v>
      </c>
      <c r="G617" s="6" t="n">
        <v>0</v>
      </c>
      <c r="H617" s="7" t="n">
        <v>-45</v>
      </c>
      <c r="I617" s="6" t="inlineStr">
        <is>
          <t>Contango(远强)</t>
        </is>
      </c>
    </row>
    <row r="618">
      <c r="A618" s="11" t="inlineStr">
        <is>
          <t>2025-03-07</t>
        </is>
      </c>
      <c r="B618" s="11" t="inlineStr">
        <is>
          <t>MA2505</t>
        </is>
      </c>
      <c r="C618" s="11" t="inlineStr">
        <is>
          <t>2025-05</t>
        </is>
      </c>
      <c r="D618" s="14" t="n">
        <v>864853</v>
      </c>
      <c r="E618" s="11" t="n">
        <v>46</v>
      </c>
      <c r="F618" s="11" t="n">
        <v>0</v>
      </c>
      <c r="G618" s="11" t="n">
        <v>0</v>
      </c>
      <c r="H618" s="12" t="n">
        <v>-59</v>
      </c>
      <c r="I618" s="11" t="inlineStr">
        <is>
          <t>Contango(远强)</t>
        </is>
      </c>
    </row>
    <row r="619">
      <c r="A619" s="6" t="inlineStr">
        <is>
          <t>2025-03-10</t>
        </is>
      </c>
      <c r="B619" s="6" t="inlineStr">
        <is>
          <t>MA2505</t>
        </is>
      </c>
      <c r="C619" s="6" t="inlineStr">
        <is>
          <t>2025-05</t>
        </is>
      </c>
      <c r="D619" s="9" t="n">
        <v>852578</v>
      </c>
      <c r="E619" s="6" t="n">
        <v>45</v>
      </c>
      <c r="F619" s="6" t="n">
        <v>0</v>
      </c>
      <c r="G619" s="6" t="n">
        <v>0</v>
      </c>
      <c r="H619" s="7" t="n">
        <v>-59</v>
      </c>
      <c r="I619" s="6" t="inlineStr">
        <is>
          <t>Contango(远强)</t>
        </is>
      </c>
    </row>
    <row r="620">
      <c r="A620" s="11" t="inlineStr">
        <is>
          <t>2025-03-11</t>
        </is>
      </c>
      <c r="B620" s="11" t="inlineStr">
        <is>
          <t>MA2505</t>
        </is>
      </c>
      <c r="C620" s="11" t="inlineStr">
        <is>
          <t>2025-05</t>
        </is>
      </c>
      <c r="D620" s="14" t="n">
        <v>854479</v>
      </c>
      <c r="E620" s="11" t="n">
        <v>44</v>
      </c>
      <c r="F620" s="11" t="n">
        <v>0</v>
      </c>
      <c r="G620" s="11" t="n">
        <v>0</v>
      </c>
      <c r="H620" s="12" t="n">
        <v>-51</v>
      </c>
      <c r="I620" s="11" t="inlineStr">
        <is>
          <t>Contango(远强)</t>
        </is>
      </c>
    </row>
    <row r="621">
      <c r="A621" s="6" t="inlineStr">
        <is>
          <t>2025-03-12</t>
        </is>
      </c>
      <c r="B621" s="6" t="inlineStr">
        <is>
          <t>MA2505</t>
        </is>
      </c>
      <c r="C621" s="6" t="inlineStr">
        <is>
          <t>2025-05</t>
        </is>
      </c>
      <c r="D621" s="9" t="n">
        <v>880578</v>
      </c>
      <c r="E621" s="6" t="n">
        <v>43</v>
      </c>
      <c r="F621" s="6" t="n">
        <v>0</v>
      </c>
      <c r="G621" s="6" t="n">
        <v>0</v>
      </c>
      <c r="H621" s="7" t="n">
        <v>-103</v>
      </c>
      <c r="I621" s="6" t="inlineStr">
        <is>
          <t>Contango(远强)</t>
        </is>
      </c>
    </row>
    <row r="622">
      <c r="A622" s="11" t="inlineStr">
        <is>
          <t>2025-03-13</t>
        </is>
      </c>
      <c r="B622" s="11" t="inlineStr">
        <is>
          <t>MA2505</t>
        </is>
      </c>
      <c r="C622" s="11" t="inlineStr">
        <is>
          <t>2025-05</t>
        </is>
      </c>
      <c r="D622" s="14" t="n">
        <v>873077</v>
      </c>
      <c r="E622" s="11" t="n">
        <v>42</v>
      </c>
      <c r="F622" s="11" t="n">
        <v>0</v>
      </c>
      <c r="G622" s="11" t="n">
        <v>0</v>
      </c>
      <c r="H622" s="12" t="n">
        <v>-38</v>
      </c>
      <c r="I622" s="11" t="inlineStr">
        <is>
          <t>Contango(远强)</t>
        </is>
      </c>
    </row>
    <row r="623">
      <c r="A623" s="6" t="inlineStr">
        <is>
          <t>2025-03-14</t>
        </is>
      </c>
      <c r="B623" s="6" t="inlineStr">
        <is>
          <t>MA2505</t>
        </is>
      </c>
      <c r="C623" s="6" t="inlineStr">
        <is>
          <t>2025-05</t>
        </is>
      </c>
      <c r="D623" s="9" t="n">
        <v>839908</v>
      </c>
      <c r="E623" s="6" t="n">
        <v>41</v>
      </c>
      <c r="F623" s="6" t="n">
        <v>0</v>
      </c>
      <c r="G623" s="6" t="n">
        <v>0</v>
      </c>
      <c r="H623" s="7" t="n">
        <v>-46</v>
      </c>
      <c r="I623" s="6" t="inlineStr">
        <is>
          <t>Contango(远强)</t>
        </is>
      </c>
    </row>
    <row r="624">
      <c r="A624" s="11" t="inlineStr">
        <is>
          <t>2025-03-17</t>
        </is>
      </c>
      <c r="B624" s="11" t="inlineStr">
        <is>
          <t>MA2505</t>
        </is>
      </c>
      <c r="C624" s="11" t="inlineStr">
        <is>
          <t>2025-05</t>
        </is>
      </c>
      <c r="D624" s="14" t="n">
        <v>810052</v>
      </c>
      <c r="E624" s="11" t="n">
        <v>40</v>
      </c>
      <c r="F624" s="11" t="n">
        <v>0</v>
      </c>
      <c r="G624" s="11" t="n">
        <v>0</v>
      </c>
      <c r="H624" s="12" t="n">
        <v>-53</v>
      </c>
      <c r="I624" s="11" t="inlineStr">
        <is>
          <t>Contango(远强)</t>
        </is>
      </c>
    </row>
    <row r="625">
      <c r="A625" s="6" t="inlineStr">
        <is>
          <t>2025-03-18</t>
        </is>
      </c>
      <c r="B625" s="6" t="inlineStr">
        <is>
          <t>MA2505</t>
        </is>
      </c>
      <c r="C625" s="6" t="inlineStr">
        <is>
          <t>2025-05</t>
        </is>
      </c>
      <c r="D625" s="9" t="n">
        <v>803108</v>
      </c>
      <c r="E625" s="6" t="n">
        <v>39</v>
      </c>
      <c r="F625" s="6" t="n">
        <v>0</v>
      </c>
      <c r="G625" s="6" t="n">
        <v>0</v>
      </c>
      <c r="H625" s="7" t="n">
        <v>-51</v>
      </c>
      <c r="I625" s="6" t="inlineStr">
        <is>
          <t>Contango(远强)</t>
        </is>
      </c>
    </row>
    <row r="626">
      <c r="A626" s="11" t="inlineStr">
        <is>
          <t>2025-03-19</t>
        </is>
      </c>
      <c r="B626" s="11" t="inlineStr">
        <is>
          <t>MA2505</t>
        </is>
      </c>
      <c r="C626" s="11" t="inlineStr">
        <is>
          <t>2025-05</t>
        </is>
      </c>
      <c r="D626" s="14" t="n">
        <v>811617</v>
      </c>
      <c r="E626" s="11" t="n">
        <v>38</v>
      </c>
      <c r="F626" s="11" t="n">
        <v>0</v>
      </c>
      <c r="G626" s="11" t="n">
        <v>0</v>
      </c>
      <c r="H626" s="12" t="n">
        <v>-57</v>
      </c>
      <c r="I626" s="11" t="inlineStr">
        <is>
          <t>Contango(远强)</t>
        </is>
      </c>
    </row>
    <row r="627">
      <c r="A627" s="6" t="inlineStr">
        <is>
          <t>2025-03-20</t>
        </is>
      </c>
      <c r="B627" s="6" t="inlineStr">
        <is>
          <t>MA2505</t>
        </is>
      </c>
      <c r="C627" s="6" t="inlineStr">
        <is>
          <t>2025-05</t>
        </is>
      </c>
      <c r="D627" s="9" t="n">
        <v>810738</v>
      </c>
      <c r="E627" s="6" t="n">
        <v>37</v>
      </c>
      <c r="F627" s="6" t="n">
        <v>0</v>
      </c>
      <c r="G627" s="6" t="n">
        <v>0</v>
      </c>
      <c r="H627" s="7" t="n">
        <v>-76</v>
      </c>
      <c r="I627" s="6" t="inlineStr">
        <is>
          <t>Contango(远强)</t>
        </is>
      </c>
    </row>
    <row r="628">
      <c r="A628" s="11" t="inlineStr">
        <is>
          <t>2025-03-21</t>
        </is>
      </c>
      <c r="B628" s="11" t="inlineStr">
        <is>
          <t>MA2505</t>
        </is>
      </c>
      <c r="C628" s="11" t="inlineStr">
        <is>
          <t>2025-05</t>
        </is>
      </c>
      <c r="D628" s="14" t="n">
        <v>797999</v>
      </c>
      <c r="E628" s="11" t="n">
        <v>36</v>
      </c>
      <c r="F628" s="11" t="n">
        <v>0</v>
      </c>
      <c r="G628" s="11" t="n">
        <v>0</v>
      </c>
      <c r="H628" s="12" t="n">
        <v>-82</v>
      </c>
      <c r="I628" s="11" t="inlineStr">
        <is>
          <t>Contango(远强)</t>
        </is>
      </c>
    </row>
    <row r="629">
      <c r="A629" s="6" t="inlineStr">
        <is>
          <t>2025-03-24</t>
        </is>
      </c>
      <c r="B629" s="6" t="inlineStr">
        <is>
          <t>MA2505</t>
        </is>
      </c>
      <c r="C629" s="6" t="inlineStr">
        <is>
          <t>2025-05</t>
        </is>
      </c>
      <c r="D629" s="9" t="n">
        <v>799106</v>
      </c>
      <c r="E629" s="6" t="n">
        <v>35</v>
      </c>
      <c r="F629" s="6" t="n">
        <v>0</v>
      </c>
      <c r="G629" s="6" t="n">
        <v>0</v>
      </c>
      <c r="H629" s="7" t="n">
        <v>-82</v>
      </c>
      <c r="I629" s="6" t="inlineStr">
        <is>
          <t>Contango(远强)</t>
        </is>
      </c>
    </row>
    <row r="630">
      <c r="A630" s="11" t="inlineStr">
        <is>
          <t>2025-03-25</t>
        </is>
      </c>
      <c r="B630" s="11" t="inlineStr">
        <is>
          <t>MA2505</t>
        </is>
      </c>
      <c r="C630" s="11" t="inlineStr">
        <is>
          <t>2025-05</t>
        </is>
      </c>
      <c r="D630" s="14" t="n">
        <v>738645</v>
      </c>
      <c r="E630" s="11" t="n">
        <v>34</v>
      </c>
      <c r="F630" s="11" t="n">
        <v>0</v>
      </c>
      <c r="G630" s="11" t="n">
        <v>0</v>
      </c>
      <c r="H630" s="12" t="n">
        <v>-79</v>
      </c>
      <c r="I630" s="11" t="inlineStr">
        <is>
          <t>Contango(远强)</t>
        </is>
      </c>
    </row>
    <row r="631">
      <c r="A631" s="6" t="inlineStr">
        <is>
          <t>2025-03-26</t>
        </is>
      </c>
      <c r="B631" s="6" t="inlineStr">
        <is>
          <t>MA2505</t>
        </is>
      </c>
      <c r="C631" s="6" t="inlineStr">
        <is>
          <t>2025-05</t>
        </is>
      </c>
      <c r="D631" s="9" t="n">
        <v>721212</v>
      </c>
      <c r="E631" s="6" t="n">
        <v>33</v>
      </c>
      <c r="F631" s="6" t="n">
        <v>0</v>
      </c>
      <c r="G631" s="6" t="n">
        <v>0</v>
      </c>
      <c r="H631" s="7" t="n">
        <v>-77</v>
      </c>
      <c r="I631" s="6" t="inlineStr">
        <is>
          <t>Contango(远强)</t>
        </is>
      </c>
    </row>
    <row r="632">
      <c r="A632" s="11" t="inlineStr">
        <is>
          <t>2025-03-27</t>
        </is>
      </c>
      <c r="B632" s="11" t="inlineStr">
        <is>
          <t>MA2505</t>
        </is>
      </c>
      <c r="C632" s="11" t="inlineStr">
        <is>
          <t>2025-05</t>
        </is>
      </c>
      <c r="D632" s="14" t="n">
        <v>700100</v>
      </c>
      <c r="E632" s="11" t="n">
        <v>32</v>
      </c>
      <c r="F632" s="11" t="n">
        <v>0</v>
      </c>
      <c r="G632" s="11" t="n">
        <v>0</v>
      </c>
      <c r="H632" s="12" t="n">
        <v>-75</v>
      </c>
      <c r="I632" s="11" t="inlineStr">
        <is>
          <t>Contango(远强)</t>
        </is>
      </c>
    </row>
    <row r="633">
      <c r="A633" s="6" t="inlineStr">
        <is>
          <t>2025-03-28</t>
        </is>
      </c>
      <c r="B633" s="6" t="inlineStr">
        <is>
          <t>MA2505</t>
        </is>
      </c>
      <c r="C633" s="6" t="inlineStr">
        <is>
          <t>2025-05</t>
        </is>
      </c>
      <c r="D633" s="9" t="n">
        <v>691192</v>
      </c>
      <c r="E633" s="6" t="n">
        <v>31</v>
      </c>
      <c r="F633" s="6" t="n">
        <v>0</v>
      </c>
      <c r="G633" s="6" t="n">
        <v>0</v>
      </c>
      <c r="H633" s="7" t="n">
        <v>-99</v>
      </c>
      <c r="I633" s="6" t="inlineStr">
        <is>
          <t>Contango(远强)</t>
        </is>
      </c>
    </row>
    <row r="634">
      <c r="A634" s="11" t="inlineStr">
        <is>
          <t>2025-03-31</t>
        </is>
      </c>
      <c r="B634" s="11" t="inlineStr">
        <is>
          <t>MA2505</t>
        </is>
      </c>
      <c r="C634" s="11" t="inlineStr">
        <is>
          <t>2025-05</t>
        </is>
      </c>
      <c r="D634" s="14" t="n">
        <v>694074</v>
      </c>
      <c r="E634" s="11" t="n">
        <v>30</v>
      </c>
      <c r="F634" s="11" t="n">
        <v>0</v>
      </c>
      <c r="G634" s="11" t="n">
        <v>0</v>
      </c>
      <c r="H634" s="12" t="n">
        <v>-109</v>
      </c>
      <c r="I634" s="11" t="inlineStr">
        <is>
          <t>Contango(远强)</t>
        </is>
      </c>
    </row>
    <row r="635">
      <c r="A635" s="6" t="inlineStr">
        <is>
          <t>2025-04-01</t>
        </is>
      </c>
      <c r="B635" s="6" t="inlineStr">
        <is>
          <t>MA2505</t>
        </is>
      </c>
      <c r="C635" s="6" t="inlineStr">
        <is>
          <t>2025-05</t>
        </is>
      </c>
      <c r="D635" s="9" t="n">
        <v>696009</v>
      </c>
      <c r="E635" s="6" t="n">
        <v>29</v>
      </c>
      <c r="F635" s="6" t="n">
        <v>0</v>
      </c>
      <c r="G635" s="6" t="n">
        <v>0</v>
      </c>
      <c r="H635" s="7" t="n">
        <v>-83</v>
      </c>
      <c r="I635" s="6" t="inlineStr">
        <is>
          <t>Contango(远强)</t>
        </is>
      </c>
    </row>
    <row r="636">
      <c r="A636" s="11" t="inlineStr">
        <is>
          <t>2025-04-02</t>
        </is>
      </c>
      <c r="B636" s="11" t="inlineStr">
        <is>
          <t>MA2505</t>
        </is>
      </c>
      <c r="C636" s="11" t="inlineStr">
        <is>
          <t>2025-05</t>
        </is>
      </c>
      <c r="D636" s="14" t="n">
        <v>667025</v>
      </c>
      <c r="E636" s="11" t="n">
        <v>28</v>
      </c>
      <c r="F636" s="11" t="n">
        <v>0</v>
      </c>
      <c r="G636" s="11" t="n">
        <v>0</v>
      </c>
      <c r="H636" s="12" t="n">
        <v>53</v>
      </c>
      <c r="I636" s="11" t="inlineStr">
        <is>
          <t>Back(近强)</t>
        </is>
      </c>
    </row>
    <row r="637">
      <c r="A637" s="6" t="inlineStr">
        <is>
          <t>2025-04-03</t>
        </is>
      </c>
      <c r="B637" s="6" t="inlineStr">
        <is>
          <t>MA2505</t>
        </is>
      </c>
      <c r="C637" s="6" t="inlineStr">
        <is>
          <t>2025-05</t>
        </is>
      </c>
      <c r="D637" s="9" t="n">
        <v>636265</v>
      </c>
      <c r="E637" s="6" t="n">
        <v>27</v>
      </c>
      <c r="F637" s="6" t="n">
        <v>0</v>
      </c>
      <c r="G637" s="6" t="n">
        <v>0</v>
      </c>
      <c r="H637" s="7" t="n">
        <v>-97</v>
      </c>
      <c r="I637" s="6" t="inlineStr">
        <is>
          <t>Contango(远强)</t>
        </is>
      </c>
    </row>
    <row r="638">
      <c r="A638" s="11" t="inlineStr">
        <is>
          <t>2025-04-07</t>
        </is>
      </c>
      <c r="B638" s="11" t="inlineStr">
        <is>
          <t>MA2505</t>
        </is>
      </c>
      <c r="C638" s="11" t="inlineStr">
        <is>
          <t>2025-05</t>
        </is>
      </c>
      <c r="D638" s="14" t="n">
        <v>567595</v>
      </c>
      <c r="E638" s="11" t="n">
        <v>26</v>
      </c>
      <c r="F638" s="11" t="n">
        <v>0</v>
      </c>
      <c r="G638" s="11" t="n">
        <v>0</v>
      </c>
      <c r="H638" s="12" t="n">
        <v>-105</v>
      </c>
      <c r="I638" s="11" t="inlineStr">
        <is>
          <t>Contango(远强)</t>
        </is>
      </c>
    </row>
    <row r="639">
      <c r="A639" s="6" t="inlineStr">
        <is>
          <t>2025-04-09</t>
        </is>
      </c>
      <c r="B639" s="6" t="inlineStr">
        <is>
          <t>MA2505</t>
        </is>
      </c>
      <c r="C639" s="6" t="inlineStr">
        <is>
          <t>2025-05</t>
        </is>
      </c>
      <c r="D639" s="9" t="n">
        <v>495957</v>
      </c>
      <c r="E639" s="6" t="n">
        <v>24</v>
      </c>
      <c r="F639" s="6" t="n">
        <v>0</v>
      </c>
      <c r="G639" s="6" t="n">
        <v>1</v>
      </c>
      <c r="H639" s="7" t="n">
        <v>-148</v>
      </c>
      <c r="I639" s="6" t="inlineStr">
        <is>
          <t>Contango(远强)</t>
        </is>
      </c>
    </row>
    <row r="640">
      <c r="A640" s="11" t="inlineStr">
        <is>
          <t>2025-04-10</t>
        </is>
      </c>
      <c r="B640" s="11" t="inlineStr">
        <is>
          <t>MA2509</t>
        </is>
      </c>
      <c r="C640" s="11" t="inlineStr">
        <is>
          <t>2025-09</t>
        </is>
      </c>
      <c r="D640" s="14" t="n">
        <v>469938</v>
      </c>
      <c r="E640" s="11" t="n">
        <v>107</v>
      </c>
      <c r="F640" s="11" t="n">
        <v>1</v>
      </c>
      <c r="G640" s="11" t="n">
        <v>0</v>
      </c>
      <c r="H640" s="12" t="n">
        <v>-208</v>
      </c>
      <c r="I640" s="11" t="inlineStr">
        <is>
          <t>Contango(远强)</t>
        </is>
      </c>
    </row>
    <row r="641">
      <c r="A641" s="6" t="inlineStr">
        <is>
          <t>2025-04-11</t>
        </is>
      </c>
      <c r="B641" s="6" t="inlineStr">
        <is>
          <t>MA2509</t>
        </is>
      </c>
      <c r="C641" s="6" t="inlineStr">
        <is>
          <t>2025-09</t>
        </is>
      </c>
      <c r="D641" s="9" t="n">
        <v>498741</v>
      </c>
      <c r="E641" s="6" t="n">
        <v>106</v>
      </c>
      <c r="F641" s="6" t="n">
        <v>0</v>
      </c>
      <c r="G641" s="6" t="n">
        <v>0</v>
      </c>
      <c r="H641" s="7" t="n">
        <v>-170</v>
      </c>
      <c r="I641" s="6" t="inlineStr">
        <is>
          <t>Contango(远强)</t>
        </is>
      </c>
    </row>
    <row r="642">
      <c r="A642" s="11" t="inlineStr">
        <is>
          <t>2025-04-14</t>
        </is>
      </c>
      <c r="B642" s="11" t="inlineStr">
        <is>
          <t>MA2509</t>
        </is>
      </c>
      <c r="C642" s="11" t="inlineStr">
        <is>
          <t>2025-09</t>
        </is>
      </c>
      <c r="D642" s="14" t="n">
        <v>579457</v>
      </c>
      <c r="E642" s="11" t="n">
        <v>105</v>
      </c>
      <c r="F642" s="11" t="n">
        <v>0</v>
      </c>
      <c r="G642" s="11" t="n">
        <v>0</v>
      </c>
      <c r="H642" s="12" t="n">
        <v>-90</v>
      </c>
      <c r="I642" s="11" t="inlineStr">
        <is>
          <t>Contango(远强)</t>
        </is>
      </c>
    </row>
    <row r="643">
      <c r="A643" s="6" t="inlineStr">
        <is>
          <t>2025-04-15</t>
        </is>
      </c>
      <c r="B643" s="6" t="inlineStr">
        <is>
          <t>MA2509</t>
        </is>
      </c>
      <c r="C643" s="6" t="inlineStr">
        <is>
          <t>2025-09</t>
        </is>
      </c>
      <c r="D643" s="9" t="n">
        <v>606360</v>
      </c>
      <c r="E643" s="6" t="n">
        <v>104</v>
      </c>
      <c r="F643" s="6" t="n">
        <v>0</v>
      </c>
      <c r="G643" s="6" t="n">
        <v>0</v>
      </c>
      <c r="H643" s="7" t="n">
        <v>-223</v>
      </c>
      <c r="I643" s="6" t="inlineStr">
        <is>
          <t>Contango(远强)</t>
        </is>
      </c>
    </row>
    <row r="644">
      <c r="A644" s="11" t="inlineStr">
        <is>
          <t>2025-04-16</t>
        </is>
      </c>
      <c r="B644" s="11" t="inlineStr">
        <is>
          <t>MA2509</t>
        </is>
      </c>
      <c r="C644" s="11" t="inlineStr">
        <is>
          <t>2025-09</t>
        </is>
      </c>
      <c r="D644" s="14" t="n">
        <v>619754</v>
      </c>
      <c r="E644" s="11" t="n">
        <v>103</v>
      </c>
      <c r="F644" s="11" t="n">
        <v>0</v>
      </c>
      <c r="G644" s="11" t="n">
        <v>0</v>
      </c>
      <c r="H644" s="12" t="n">
        <v>-107</v>
      </c>
      <c r="I644" s="11" t="inlineStr">
        <is>
          <t>Contango(远强)</t>
        </is>
      </c>
    </row>
    <row r="645">
      <c r="A645" s="6" t="inlineStr">
        <is>
          <t>2025-04-17</t>
        </is>
      </c>
      <c r="B645" s="6" t="inlineStr">
        <is>
          <t>MA2509</t>
        </is>
      </c>
      <c r="C645" s="6" t="inlineStr">
        <is>
          <t>2025-09</t>
        </is>
      </c>
      <c r="D645" s="9" t="n">
        <v>668645</v>
      </c>
      <c r="E645" s="6" t="n">
        <v>102</v>
      </c>
      <c r="F645" s="6" t="n">
        <v>0</v>
      </c>
      <c r="G645" s="6" t="n">
        <v>0</v>
      </c>
      <c r="H645" s="7" t="n">
        <v>-95</v>
      </c>
      <c r="I645" s="6" t="inlineStr">
        <is>
          <t>Contango(远强)</t>
        </is>
      </c>
    </row>
    <row r="646">
      <c r="A646" s="11" t="inlineStr">
        <is>
          <t>2025-04-18</t>
        </is>
      </c>
      <c r="B646" s="11" t="inlineStr">
        <is>
          <t>MA2509</t>
        </is>
      </c>
      <c r="C646" s="11" t="inlineStr">
        <is>
          <t>2025-09</t>
        </is>
      </c>
      <c r="D646" s="14" t="n">
        <v>670149</v>
      </c>
      <c r="E646" s="11" t="n">
        <v>101</v>
      </c>
      <c r="F646" s="11" t="n">
        <v>0</v>
      </c>
      <c r="G646" s="11" t="n">
        <v>0</v>
      </c>
      <c r="H646" s="12" t="n">
        <v>-80</v>
      </c>
      <c r="I646" s="11" t="inlineStr">
        <is>
          <t>Contango(远强)</t>
        </is>
      </c>
    </row>
    <row r="647">
      <c r="A647" s="6" t="inlineStr">
        <is>
          <t>2025-04-21</t>
        </is>
      </c>
      <c r="B647" s="6" t="inlineStr">
        <is>
          <t>MA2509</t>
        </is>
      </c>
      <c r="C647" s="6" t="inlineStr">
        <is>
          <t>2025-09</t>
        </is>
      </c>
      <c r="D647" s="9" t="n">
        <v>657226</v>
      </c>
      <c r="E647" s="6" t="n">
        <v>100</v>
      </c>
      <c r="F647" s="6" t="n">
        <v>0</v>
      </c>
      <c r="G647" s="6" t="n">
        <v>0</v>
      </c>
      <c r="H647" s="7" t="n">
        <v>-78</v>
      </c>
      <c r="I647" s="6" t="inlineStr">
        <is>
          <t>Contango(远强)</t>
        </is>
      </c>
    </row>
    <row r="648">
      <c r="A648" s="11" t="inlineStr">
        <is>
          <t>2025-04-22</t>
        </is>
      </c>
      <c r="B648" s="11" t="inlineStr">
        <is>
          <t>MA2509</t>
        </is>
      </c>
      <c r="C648" s="11" t="inlineStr">
        <is>
          <t>2025-09</t>
        </is>
      </c>
      <c r="D648" s="14" t="n">
        <v>665951</v>
      </c>
      <c r="E648" s="11" t="n">
        <v>99</v>
      </c>
      <c r="F648" s="11" t="n">
        <v>0</v>
      </c>
      <c r="G648" s="11" t="n">
        <v>0</v>
      </c>
      <c r="H648" s="12" t="n">
        <v>-75</v>
      </c>
      <c r="I648" s="11" t="inlineStr">
        <is>
          <t>Contango(远强)</t>
        </is>
      </c>
    </row>
    <row r="649">
      <c r="A649" s="6" t="inlineStr">
        <is>
          <t>2025-04-23</t>
        </is>
      </c>
      <c r="B649" s="6" t="inlineStr">
        <is>
          <t>MA2509</t>
        </is>
      </c>
      <c r="C649" s="6" t="inlineStr">
        <is>
          <t>2025-09</t>
        </is>
      </c>
      <c r="D649" s="9" t="n">
        <v>672315</v>
      </c>
      <c r="E649" s="6" t="n">
        <v>98</v>
      </c>
      <c r="F649" s="6" t="n">
        <v>0</v>
      </c>
      <c r="G649" s="6" t="n">
        <v>0</v>
      </c>
      <c r="H649" s="7" t="n">
        <v>-85</v>
      </c>
      <c r="I649" s="6" t="inlineStr">
        <is>
          <t>Contango(远强)</t>
        </is>
      </c>
    </row>
    <row r="650">
      <c r="A650" s="11" t="inlineStr">
        <is>
          <t>2025-04-24</t>
        </is>
      </c>
      <c r="B650" s="11" t="inlineStr">
        <is>
          <t>MA2509</t>
        </is>
      </c>
      <c r="C650" s="11" t="inlineStr">
        <is>
          <t>2025-09</t>
        </is>
      </c>
      <c r="D650" s="14" t="n">
        <v>657812</v>
      </c>
      <c r="E650" s="11" t="n">
        <v>97</v>
      </c>
      <c r="F650" s="11" t="n">
        <v>0</v>
      </c>
      <c r="G650" s="11" t="n">
        <v>0</v>
      </c>
      <c r="H650" s="12" t="n">
        <v>-86</v>
      </c>
      <c r="I650" s="11" t="inlineStr">
        <is>
          <t>Contango(远强)</t>
        </is>
      </c>
    </row>
    <row r="651">
      <c r="A651" s="6" t="inlineStr">
        <is>
          <t>2025-04-25</t>
        </is>
      </c>
      <c r="B651" s="6" t="inlineStr">
        <is>
          <t>MA2509</t>
        </is>
      </c>
      <c r="C651" s="6" t="inlineStr">
        <is>
          <t>2025-09</t>
        </is>
      </c>
      <c r="D651" s="9" t="n">
        <v>662561</v>
      </c>
      <c r="E651" s="6" t="n">
        <v>96</v>
      </c>
      <c r="F651" s="6" t="n">
        <v>0</v>
      </c>
      <c r="G651" s="6" t="n">
        <v>0</v>
      </c>
      <c r="H651" s="7" t="n">
        <v>-82</v>
      </c>
      <c r="I651" s="6" t="inlineStr">
        <is>
          <t>Contango(远强)</t>
        </is>
      </c>
    </row>
    <row r="652">
      <c r="A652" s="11" t="inlineStr">
        <is>
          <t>2025-04-28</t>
        </is>
      </c>
      <c r="B652" s="11" t="inlineStr">
        <is>
          <t>MA2509</t>
        </is>
      </c>
      <c r="C652" s="11" t="inlineStr">
        <is>
          <t>2025-09</t>
        </is>
      </c>
      <c r="D652" s="14" t="n">
        <v>679905</v>
      </c>
      <c r="E652" s="11" t="n">
        <v>95</v>
      </c>
      <c r="F652" s="11" t="n">
        <v>0</v>
      </c>
      <c r="G652" s="11" t="n">
        <v>0</v>
      </c>
      <c r="H652" s="12" t="n">
        <v>-79</v>
      </c>
      <c r="I652" s="11" t="inlineStr">
        <is>
          <t>Contango(远强)</t>
        </is>
      </c>
    </row>
    <row r="653">
      <c r="A653" s="6" t="inlineStr">
        <is>
          <t>2025-04-29</t>
        </is>
      </c>
      <c r="B653" s="6" t="inlineStr">
        <is>
          <t>MA2509</t>
        </is>
      </c>
      <c r="C653" s="6" t="inlineStr">
        <is>
          <t>2025-09</t>
        </is>
      </c>
      <c r="D653" s="9" t="n">
        <v>654944</v>
      </c>
      <c r="E653" s="6" t="n">
        <v>94</v>
      </c>
      <c r="F653" s="6" t="n">
        <v>0</v>
      </c>
      <c r="G653" s="6" t="n">
        <v>0</v>
      </c>
      <c r="H653" s="7" t="n">
        <v>-77</v>
      </c>
      <c r="I653" s="6" t="inlineStr">
        <is>
          <t>Contango(远强)</t>
        </is>
      </c>
    </row>
    <row r="654">
      <c r="A654" s="11" t="inlineStr">
        <is>
          <t>2025-04-30</t>
        </is>
      </c>
      <c r="B654" s="11" t="inlineStr">
        <is>
          <t>MA2509</t>
        </is>
      </c>
      <c r="C654" s="11" t="inlineStr">
        <is>
          <t>2025-09</t>
        </is>
      </c>
      <c r="D654" s="14" t="n">
        <v>635491</v>
      </c>
      <c r="E654" s="11" t="n">
        <v>93</v>
      </c>
      <c r="F654" s="11" t="n">
        <v>0</v>
      </c>
      <c r="G654" s="11" t="n">
        <v>0</v>
      </c>
      <c r="H654" s="12" t="n">
        <v>-60</v>
      </c>
      <c r="I654" s="11" t="inlineStr">
        <is>
          <t>Contango(远强)</t>
        </is>
      </c>
    </row>
    <row r="655">
      <c r="A655" s="6" t="inlineStr">
        <is>
          <t>2025-05-06</t>
        </is>
      </c>
      <c r="B655" s="6" t="inlineStr">
        <is>
          <t>MA2509</t>
        </is>
      </c>
      <c r="C655" s="6" t="inlineStr">
        <is>
          <t>2025-09</t>
        </is>
      </c>
      <c r="D655" s="9" t="n">
        <v>693078</v>
      </c>
      <c r="E655" s="6" t="n">
        <v>92</v>
      </c>
      <c r="F655" s="6" t="n">
        <v>0</v>
      </c>
      <c r="G655" s="6" t="n">
        <v>0</v>
      </c>
      <c r="H655" s="7" t="n">
        <v>-81</v>
      </c>
      <c r="I655" s="6" t="inlineStr">
        <is>
          <t>Contango(远强)</t>
        </is>
      </c>
    </row>
    <row r="656">
      <c r="A656" s="11" t="inlineStr">
        <is>
          <t>2025-05-07</t>
        </is>
      </c>
      <c r="B656" s="11" t="inlineStr">
        <is>
          <t>MA2509</t>
        </is>
      </c>
      <c r="C656" s="11" t="inlineStr">
        <is>
          <t>2025-09</t>
        </is>
      </c>
      <c r="D656" s="14" t="n">
        <v>725631</v>
      </c>
      <c r="E656" s="11" t="n">
        <v>91</v>
      </c>
      <c r="F656" s="11" t="n">
        <v>0</v>
      </c>
      <c r="G656" s="11" t="n">
        <v>0</v>
      </c>
      <c r="H656" s="12" t="n">
        <v>-74</v>
      </c>
      <c r="I656" s="11" t="inlineStr">
        <is>
          <t>Contango(远强)</t>
        </is>
      </c>
    </row>
    <row r="657">
      <c r="A657" s="6" t="inlineStr">
        <is>
          <t>2025-05-08</t>
        </is>
      </c>
      <c r="B657" s="6" t="inlineStr">
        <is>
          <t>MA2509</t>
        </is>
      </c>
      <c r="C657" s="6" t="inlineStr">
        <is>
          <t>2025-09</t>
        </is>
      </c>
      <c r="D657" s="9" t="n">
        <v>771425</v>
      </c>
      <c r="E657" s="6" t="n">
        <v>90</v>
      </c>
      <c r="F657" s="6" t="n">
        <v>0</v>
      </c>
      <c r="G657" s="6" t="n">
        <v>0</v>
      </c>
      <c r="H657" s="7" t="n">
        <v>-79</v>
      </c>
      <c r="I657" s="6" t="inlineStr">
        <is>
          <t>Contango(远强)</t>
        </is>
      </c>
    </row>
    <row r="658">
      <c r="A658" s="11" t="inlineStr">
        <is>
          <t>2025-05-09</t>
        </is>
      </c>
      <c r="B658" s="11" t="inlineStr">
        <is>
          <t>MA2509</t>
        </is>
      </c>
      <c r="C658" s="11" t="inlineStr">
        <is>
          <t>2025-09</t>
        </is>
      </c>
      <c r="D658" s="14" t="n">
        <v>767835</v>
      </c>
      <c r="E658" s="11" t="n">
        <v>89</v>
      </c>
      <c r="F658" s="11" t="n">
        <v>0</v>
      </c>
      <c r="G658" s="11" t="n">
        <v>0</v>
      </c>
      <c r="H658" s="12" t="n">
        <v>-76</v>
      </c>
      <c r="I658" s="11" t="inlineStr">
        <is>
          <t>Contango(远强)</t>
        </is>
      </c>
    </row>
    <row r="659">
      <c r="A659" s="6" t="inlineStr">
        <is>
          <t>2025-05-12</t>
        </is>
      </c>
      <c r="B659" s="6" t="inlineStr">
        <is>
          <t>MA2509</t>
        </is>
      </c>
      <c r="C659" s="6" t="inlineStr">
        <is>
          <t>2025-09</t>
        </is>
      </c>
      <c r="D659" s="9" t="n">
        <v>757482</v>
      </c>
      <c r="E659" s="6" t="n">
        <v>88</v>
      </c>
      <c r="F659" s="6" t="n">
        <v>0</v>
      </c>
      <c r="G659" s="6" t="n">
        <v>0</v>
      </c>
      <c r="H659" s="7" t="n">
        <v>-68</v>
      </c>
      <c r="I659" s="6" t="inlineStr">
        <is>
          <t>Contango(远强)</t>
        </is>
      </c>
    </row>
    <row r="660">
      <c r="A660" s="11" t="inlineStr">
        <is>
          <t>2025-05-13</t>
        </is>
      </c>
      <c r="B660" s="11" t="inlineStr">
        <is>
          <t>MA2509</t>
        </is>
      </c>
      <c r="C660" s="11" t="inlineStr">
        <is>
          <t>2025-09</t>
        </is>
      </c>
      <c r="D660" s="14" t="n">
        <v>764050</v>
      </c>
      <c r="E660" s="11" t="n">
        <v>87</v>
      </c>
      <c r="F660" s="11" t="n">
        <v>0</v>
      </c>
      <c r="G660" s="11" t="n">
        <v>0</v>
      </c>
      <c r="H660" s="12" t="n">
        <v>-89</v>
      </c>
      <c r="I660" s="11" t="inlineStr">
        <is>
          <t>Contango(远强)</t>
        </is>
      </c>
    </row>
    <row r="661">
      <c r="A661" s="6" t="inlineStr">
        <is>
          <t>2025-05-14</t>
        </is>
      </c>
      <c r="B661" s="6" t="inlineStr">
        <is>
          <t>MA2509</t>
        </is>
      </c>
      <c r="C661" s="6" t="inlineStr">
        <is>
          <t>2025-09</t>
        </is>
      </c>
      <c r="D661" s="9" t="n">
        <v>789664</v>
      </c>
      <c r="E661" s="6" t="n">
        <v>86</v>
      </c>
      <c r="F661" s="6" t="n">
        <v>0</v>
      </c>
      <c r="G661" s="6" t="n">
        <v>0</v>
      </c>
      <c r="H661" s="7" t="n">
        <v>-85</v>
      </c>
      <c r="I661" s="6" t="inlineStr">
        <is>
          <t>Contango(远强)</t>
        </is>
      </c>
    </row>
    <row r="662">
      <c r="A662" s="11" t="inlineStr">
        <is>
          <t>2025-05-15</t>
        </is>
      </c>
      <c r="B662" s="11" t="inlineStr">
        <is>
          <t>MA2509</t>
        </is>
      </c>
      <c r="C662" s="11" t="inlineStr">
        <is>
          <t>2025-09</t>
        </is>
      </c>
      <c r="D662" s="14" t="n">
        <v>734318</v>
      </c>
      <c r="E662" s="11" t="n">
        <v>85</v>
      </c>
      <c r="F662" s="11" t="n">
        <v>0</v>
      </c>
      <c r="G662" s="11" t="n">
        <v>0</v>
      </c>
      <c r="H662" s="12" t="n">
        <v>-80</v>
      </c>
      <c r="I662" s="11" t="inlineStr">
        <is>
          <t>Contango(远强)</t>
        </is>
      </c>
    </row>
    <row r="663">
      <c r="A663" s="6" t="inlineStr">
        <is>
          <t>2025-05-16</t>
        </is>
      </c>
      <c r="B663" s="6" t="inlineStr">
        <is>
          <t>MA2509</t>
        </is>
      </c>
      <c r="C663" s="6" t="inlineStr">
        <is>
          <t>2025-09</t>
        </is>
      </c>
      <c r="D663" s="9" t="n">
        <v>717983</v>
      </c>
      <c r="E663" s="6" t="n">
        <v>84</v>
      </c>
      <c r="F663" s="6" t="n">
        <v>0</v>
      </c>
      <c r="G663" s="6" t="n">
        <v>0</v>
      </c>
      <c r="H663" s="7" t="n">
        <v>-18</v>
      </c>
      <c r="I663" s="6" t="inlineStr">
        <is>
          <t>Back(近强)</t>
        </is>
      </c>
    </row>
    <row r="664">
      <c r="A664" s="11" t="inlineStr">
        <is>
          <t>2025-05-19</t>
        </is>
      </c>
      <c r="B664" s="11" t="inlineStr">
        <is>
          <t>MA2509</t>
        </is>
      </c>
      <c r="C664" s="11" t="inlineStr">
        <is>
          <t>2025-09</t>
        </is>
      </c>
      <c r="D664" s="14" t="n">
        <v>732433</v>
      </c>
      <c r="E664" s="11" t="n">
        <v>83</v>
      </c>
      <c r="F664" s="11" t="n">
        <v>0</v>
      </c>
      <c r="G664" s="11" t="n">
        <v>0</v>
      </c>
      <c r="H664" s="12" t="n">
        <v>-28</v>
      </c>
      <c r="I664" s="11" t="inlineStr">
        <is>
          <t>Back(近强)</t>
        </is>
      </c>
    </row>
    <row r="665">
      <c r="A665" s="6" t="inlineStr">
        <is>
          <t>2025-05-20</t>
        </is>
      </c>
      <c r="B665" s="6" t="inlineStr">
        <is>
          <t>MA2509</t>
        </is>
      </c>
      <c r="C665" s="6" t="inlineStr">
        <is>
          <t>2025-09</t>
        </is>
      </c>
      <c r="D665" s="9" t="n">
        <v>765378</v>
      </c>
      <c r="E665" s="6" t="n">
        <v>82</v>
      </c>
      <c r="F665" s="6" t="n">
        <v>0</v>
      </c>
      <c r="G665" s="6" t="n">
        <v>0</v>
      </c>
      <c r="H665" s="7" t="n">
        <v>-10</v>
      </c>
      <c r="I665" s="6" t="inlineStr">
        <is>
          <t>Back(近强)</t>
        </is>
      </c>
    </row>
    <row r="666">
      <c r="A666" s="11" t="inlineStr">
        <is>
          <t>2025-05-21</t>
        </is>
      </c>
      <c r="B666" s="11" t="inlineStr">
        <is>
          <t>MA2509</t>
        </is>
      </c>
      <c r="C666" s="11" t="inlineStr">
        <is>
          <t>2025-09</t>
        </is>
      </c>
      <c r="D666" s="14" t="n">
        <v>751479</v>
      </c>
      <c r="E666" s="11" t="n">
        <v>81</v>
      </c>
      <c r="F666" s="11" t="n">
        <v>0</v>
      </c>
      <c r="G666" s="11" t="n">
        <v>0</v>
      </c>
      <c r="H666" s="12" t="n">
        <v>-8</v>
      </c>
      <c r="I666" s="11" t="inlineStr">
        <is>
          <t>Back(近强)</t>
        </is>
      </c>
    </row>
    <row r="667">
      <c r="A667" s="6" t="inlineStr">
        <is>
          <t>2025-05-22</t>
        </is>
      </c>
      <c r="B667" s="6" t="inlineStr">
        <is>
          <t>MA2509</t>
        </is>
      </c>
      <c r="C667" s="6" t="inlineStr">
        <is>
          <t>2025-09</t>
        </is>
      </c>
      <c r="D667" s="9" t="n">
        <v>773662</v>
      </c>
      <c r="E667" s="6" t="n">
        <v>80</v>
      </c>
      <c r="F667" s="6" t="n">
        <v>0</v>
      </c>
      <c r="G667" s="6" t="n">
        <v>0</v>
      </c>
      <c r="H667" s="7" t="n">
        <v>-7</v>
      </c>
      <c r="I667" s="6" t="inlineStr">
        <is>
          <t>Back(近强)</t>
        </is>
      </c>
    </row>
    <row r="668">
      <c r="A668" s="11" t="inlineStr">
        <is>
          <t>2025-05-23</t>
        </is>
      </c>
      <c r="B668" s="11" t="inlineStr">
        <is>
          <t>MA2509</t>
        </is>
      </c>
      <c r="C668" s="11" t="inlineStr">
        <is>
          <t>2025-09</t>
        </is>
      </c>
      <c r="D668" s="14" t="n">
        <v>790286</v>
      </c>
      <c r="E668" s="11" t="n">
        <v>79</v>
      </c>
      <c r="F668" s="11" t="n">
        <v>0</v>
      </c>
      <c r="G668" s="11" t="n">
        <v>0</v>
      </c>
      <c r="H668" s="12" t="n">
        <v>-9</v>
      </c>
      <c r="I668" s="11" t="inlineStr">
        <is>
          <t>Back(近强)</t>
        </is>
      </c>
    </row>
    <row r="669">
      <c r="A669" s="6" t="inlineStr">
        <is>
          <t>2025-05-26</t>
        </is>
      </c>
      <c r="B669" s="6" t="inlineStr">
        <is>
          <t>MA2509</t>
        </is>
      </c>
      <c r="C669" s="6" t="inlineStr">
        <is>
          <t>2025-09</t>
        </is>
      </c>
      <c r="D669" s="9" t="n">
        <v>805879</v>
      </c>
      <c r="E669" s="6" t="n">
        <v>78</v>
      </c>
      <c r="F669" s="6" t="n">
        <v>0</v>
      </c>
      <c r="G669" s="6" t="n">
        <v>0</v>
      </c>
      <c r="H669" s="7" t="n">
        <v>-17</v>
      </c>
      <c r="I669" s="6" t="inlineStr">
        <is>
          <t>Back(近强)</t>
        </is>
      </c>
    </row>
    <row r="670">
      <c r="A670" s="11" t="inlineStr">
        <is>
          <t>2025-05-28</t>
        </is>
      </c>
      <c r="B670" s="11" t="inlineStr">
        <is>
          <t>MA2509</t>
        </is>
      </c>
      <c r="C670" s="11" t="inlineStr">
        <is>
          <t>2025-09</t>
        </is>
      </c>
      <c r="D670" s="14" t="n">
        <v>840031</v>
      </c>
      <c r="E670" s="11" t="n">
        <v>76</v>
      </c>
      <c r="F670" s="11" t="n">
        <v>0</v>
      </c>
      <c r="G670" s="11" t="n">
        <v>0</v>
      </c>
      <c r="H670" s="12" t="n">
        <v>-23</v>
      </c>
      <c r="I670" s="11" t="inlineStr">
        <is>
          <t>Back(近强)</t>
        </is>
      </c>
    </row>
    <row r="671">
      <c r="A671" s="6" t="inlineStr">
        <is>
          <t>2025-05-29</t>
        </is>
      </c>
      <c r="B671" s="6" t="inlineStr">
        <is>
          <t>MA2509</t>
        </is>
      </c>
      <c r="C671" s="6" t="inlineStr">
        <is>
          <t>2025-09</t>
        </is>
      </c>
      <c r="D671" s="9" t="n">
        <v>849416</v>
      </c>
      <c r="E671" s="6" t="n">
        <v>75</v>
      </c>
      <c r="F671" s="6" t="n">
        <v>0</v>
      </c>
      <c r="G671" s="6" t="n">
        <v>0</v>
      </c>
      <c r="H671" s="7" t="n">
        <v>-21</v>
      </c>
      <c r="I671" s="6" t="inlineStr">
        <is>
          <t>Back(近强)</t>
        </is>
      </c>
    </row>
    <row r="672">
      <c r="A672" s="11" t="inlineStr">
        <is>
          <t>2025-05-30</t>
        </is>
      </c>
      <c r="B672" s="11" t="inlineStr">
        <is>
          <t>MA2509</t>
        </is>
      </c>
      <c r="C672" s="11" t="inlineStr">
        <is>
          <t>2025-09</t>
        </is>
      </c>
      <c r="D672" s="14" t="n">
        <v>824339</v>
      </c>
      <c r="E672" s="11" t="n">
        <v>74</v>
      </c>
      <c r="F672" s="11" t="n">
        <v>0</v>
      </c>
      <c r="G672" s="11" t="n">
        <v>0</v>
      </c>
      <c r="H672" s="12" t="n">
        <v>-36</v>
      </c>
      <c r="I672" s="11" t="inlineStr">
        <is>
          <t>结构不明</t>
        </is>
      </c>
    </row>
    <row r="673">
      <c r="A673" s="6" t="inlineStr">
        <is>
          <t>2025-06-03</t>
        </is>
      </c>
      <c r="B673" s="6" t="inlineStr">
        <is>
          <t>MA2509</t>
        </is>
      </c>
      <c r="C673" s="6" t="inlineStr">
        <is>
          <t>2025-09</t>
        </is>
      </c>
      <c r="D673" s="9" t="n">
        <v>841450</v>
      </c>
      <c r="E673" s="6" t="n">
        <v>73</v>
      </c>
      <c r="F673" s="6" t="n">
        <v>0</v>
      </c>
      <c r="G673" s="6" t="n">
        <v>0</v>
      </c>
      <c r="H673" s="7" t="n">
        <v>-47</v>
      </c>
      <c r="I673" s="6" t="inlineStr">
        <is>
          <t>结构不明</t>
        </is>
      </c>
    </row>
    <row r="674">
      <c r="A674" s="11" t="inlineStr">
        <is>
          <t>2025-06-04</t>
        </is>
      </c>
      <c r="B674" s="11" t="inlineStr">
        <is>
          <t>MA2509</t>
        </is>
      </c>
      <c r="C674" s="11" t="inlineStr">
        <is>
          <t>2025-09</t>
        </is>
      </c>
      <c r="D674" s="14" t="n">
        <v>835598</v>
      </c>
      <c r="E674" s="11" t="n">
        <v>72</v>
      </c>
      <c r="F674" s="11" t="n">
        <v>0</v>
      </c>
      <c r="G674" s="11" t="n">
        <v>0</v>
      </c>
      <c r="H674" s="12" t="n">
        <v>-48</v>
      </c>
      <c r="I674" s="11" t="inlineStr">
        <is>
          <t>结构不明</t>
        </is>
      </c>
    </row>
    <row r="675">
      <c r="A675" s="6" t="inlineStr">
        <is>
          <t>2025-06-05</t>
        </is>
      </c>
      <c r="B675" s="6" t="inlineStr">
        <is>
          <t>MA2509</t>
        </is>
      </c>
      <c r="C675" s="6" t="inlineStr">
        <is>
          <t>2025-09</t>
        </is>
      </c>
      <c r="D675" s="9" t="n">
        <v>812450</v>
      </c>
      <c r="E675" s="6" t="n">
        <v>71</v>
      </c>
      <c r="F675" s="6" t="n">
        <v>0</v>
      </c>
      <c r="G675" s="6" t="n">
        <v>0</v>
      </c>
      <c r="H675" s="7" t="n">
        <v>-31</v>
      </c>
      <c r="I675" s="6" t="inlineStr">
        <is>
          <t>Back(近强)</t>
        </is>
      </c>
    </row>
    <row r="676">
      <c r="A676" s="11" t="inlineStr">
        <is>
          <t>2025-06-06</t>
        </is>
      </c>
      <c r="B676" s="11" t="inlineStr">
        <is>
          <t>MA2509</t>
        </is>
      </c>
      <c r="C676" s="11" t="inlineStr">
        <is>
          <t>2025-09</t>
        </is>
      </c>
      <c r="D676" s="14" t="n">
        <v>799644</v>
      </c>
      <c r="E676" s="11" t="n">
        <v>70</v>
      </c>
      <c r="F676" s="11" t="n">
        <v>0</v>
      </c>
      <c r="G676" s="11" t="n">
        <v>0</v>
      </c>
      <c r="H676" s="12" t="n">
        <v>-22</v>
      </c>
      <c r="I676" s="11" t="inlineStr">
        <is>
          <t>Back(近强)</t>
        </is>
      </c>
    </row>
    <row r="677">
      <c r="A677" s="6" t="inlineStr">
        <is>
          <t>2025-06-09</t>
        </is>
      </c>
      <c r="B677" s="6" t="inlineStr">
        <is>
          <t>MA2509</t>
        </is>
      </c>
      <c r="C677" s="6" t="inlineStr">
        <is>
          <t>2025-09</t>
        </is>
      </c>
      <c r="D677" s="9" t="n">
        <v>819092</v>
      </c>
      <c r="E677" s="6" t="n">
        <v>69</v>
      </c>
      <c r="F677" s="6" t="n">
        <v>0</v>
      </c>
      <c r="G677" s="6" t="n">
        <v>0</v>
      </c>
      <c r="H677" s="7" t="n">
        <v>-14</v>
      </c>
      <c r="I677" s="6" t="inlineStr">
        <is>
          <t>Back(近强)</t>
        </is>
      </c>
    </row>
    <row r="678">
      <c r="A678" s="11" t="inlineStr">
        <is>
          <t>2025-06-10</t>
        </is>
      </c>
      <c r="B678" s="11" t="inlineStr">
        <is>
          <t>MA2509</t>
        </is>
      </c>
      <c r="C678" s="11" t="inlineStr">
        <is>
          <t>2025-09</t>
        </is>
      </c>
      <c r="D678" s="14" t="n">
        <v>832017</v>
      </c>
      <c r="E678" s="11" t="n">
        <v>68</v>
      </c>
      <c r="F678" s="11" t="n">
        <v>0</v>
      </c>
      <c r="G678" s="11" t="n">
        <v>0</v>
      </c>
      <c r="H678" s="12" t="n">
        <v>-27</v>
      </c>
      <c r="I678" s="11" t="inlineStr">
        <is>
          <t>Back(近强)</t>
        </is>
      </c>
    </row>
    <row r="679">
      <c r="A679" s="6" t="inlineStr">
        <is>
          <t>2025-06-11</t>
        </is>
      </c>
      <c r="B679" s="6" t="inlineStr">
        <is>
          <t>MA2509</t>
        </is>
      </c>
      <c r="C679" s="6" t="inlineStr">
        <is>
          <t>2025-09</t>
        </is>
      </c>
      <c r="D679" s="9" t="n">
        <v>827472</v>
      </c>
      <c r="E679" s="6" t="n">
        <v>67</v>
      </c>
      <c r="F679" s="6" t="n">
        <v>0</v>
      </c>
      <c r="G679" s="6" t="n">
        <v>0</v>
      </c>
      <c r="H679" s="7" t="n">
        <v>-27</v>
      </c>
      <c r="I679" s="6" t="inlineStr">
        <is>
          <t>Back(近强)</t>
        </is>
      </c>
    </row>
    <row r="680">
      <c r="A680" s="11" t="inlineStr">
        <is>
          <t>2025-06-12</t>
        </is>
      </c>
      <c r="B680" s="11" t="inlineStr">
        <is>
          <t>MA2509</t>
        </is>
      </c>
      <c r="C680" s="11" t="inlineStr">
        <is>
          <t>2025-09</t>
        </is>
      </c>
      <c r="D680" s="14" t="n">
        <v>809827</v>
      </c>
      <c r="E680" s="11" t="n">
        <v>66</v>
      </c>
      <c r="F680" s="11" t="n">
        <v>0</v>
      </c>
      <c r="G680" s="11" t="n">
        <v>0</v>
      </c>
      <c r="H680" s="12" t="n">
        <v>-16</v>
      </c>
      <c r="I680" s="11" t="inlineStr">
        <is>
          <t>Back(近强)</t>
        </is>
      </c>
    </row>
    <row r="681">
      <c r="A681" s="6" t="inlineStr">
        <is>
          <t>2025-06-13</t>
        </is>
      </c>
      <c r="B681" s="6" t="inlineStr">
        <is>
          <t>MA2509</t>
        </is>
      </c>
      <c r="C681" s="6" t="inlineStr">
        <is>
          <t>2025-09</t>
        </is>
      </c>
      <c r="D681" s="9" t="n">
        <v>761314</v>
      </c>
      <c r="E681" s="6" t="n">
        <v>65</v>
      </c>
      <c r="F681" s="6" t="n">
        <v>0</v>
      </c>
      <c r="G681" s="6" t="n">
        <v>0</v>
      </c>
      <c r="H681" s="7" t="n">
        <v>-8</v>
      </c>
      <c r="I681" s="6" t="inlineStr">
        <is>
          <t>Back(近强)</t>
        </is>
      </c>
    </row>
    <row r="682">
      <c r="A682" s="11" t="inlineStr">
        <is>
          <t>2025-06-16</t>
        </is>
      </c>
      <c r="B682" s="11" t="inlineStr">
        <is>
          <t>MA2509</t>
        </is>
      </c>
      <c r="C682" s="11" t="inlineStr">
        <is>
          <t>2025-09</t>
        </is>
      </c>
      <c r="D682" s="14" t="n">
        <v>820104</v>
      </c>
      <c r="E682" s="11" t="n">
        <v>64</v>
      </c>
      <c r="F682" s="11" t="n">
        <v>0</v>
      </c>
      <c r="G682" s="11" t="n">
        <v>0</v>
      </c>
      <c r="H682" s="12" t="n">
        <v>-40</v>
      </c>
      <c r="I682" s="11" t="inlineStr">
        <is>
          <t>结构不明</t>
        </is>
      </c>
    </row>
    <row r="683">
      <c r="A683" s="6" t="inlineStr">
        <is>
          <t>2025-06-17</t>
        </is>
      </c>
      <c r="B683" s="6" t="inlineStr">
        <is>
          <t>MA2509</t>
        </is>
      </c>
      <c r="C683" s="6" t="inlineStr">
        <is>
          <t>2025-09</t>
        </is>
      </c>
      <c r="D683" s="9" t="n">
        <v>816411</v>
      </c>
      <c r="E683" s="6" t="n">
        <v>63</v>
      </c>
      <c r="F683" s="6" t="n">
        <v>0</v>
      </c>
      <c r="G683" s="6" t="n">
        <v>0</v>
      </c>
      <c r="H683" s="7" t="n">
        <v>-40</v>
      </c>
      <c r="I683" s="6" t="inlineStr">
        <is>
          <t>结构不明</t>
        </is>
      </c>
    </row>
    <row r="684">
      <c r="A684" s="11" t="inlineStr">
        <is>
          <t>2025-06-18</t>
        </is>
      </c>
      <c r="B684" s="11" t="inlineStr">
        <is>
          <t>MA2509</t>
        </is>
      </c>
      <c r="C684" s="11" t="inlineStr">
        <is>
          <t>2025-09</t>
        </is>
      </c>
      <c r="D684" s="14" t="n">
        <v>891921</v>
      </c>
      <c r="E684" s="11" t="n">
        <v>62</v>
      </c>
      <c r="F684" s="11" t="n">
        <v>0</v>
      </c>
      <c r="G684" s="11" t="n">
        <v>0</v>
      </c>
      <c r="H684" s="12" t="n">
        <v>-30</v>
      </c>
      <c r="I684" s="11" t="inlineStr">
        <is>
          <t>Back(近强)</t>
        </is>
      </c>
    </row>
    <row r="685">
      <c r="A685" s="6" t="inlineStr">
        <is>
          <t>2025-06-19</t>
        </is>
      </c>
      <c r="B685" s="6" t="inlineStr">
        <is>
          <t>MA2509</t>
        </is>
      </c>
      <c r="C685" s="6" t="inlineStr">
        <is>
          <t>2025-09</t>
        </is>
      </c>
      <c r="D685" s="9" t="n">
        <v>909435</v>
      </c>
      <c r="E685" s="6" t="n">
        <v>61</v>
      </c>
      <c r="F685" s="6" t="n">
        <v>0</v>
      </c>
      <c r="G685" s="6" t="n">
        <v>0</v>
      </c>
      <c r="H685" s="7" t="n">
        <v>-30</v>
      </c>
      <c r="I685" s="6" t="inlineStr">
        <is>
          <t>Back(近强)</t>
        </is>
      </c>
    </row>
    <row r="686">
      <c r="A686" s="11" t="inlineStr">
        <is>
          <t>2025-06-20</t>
        </is>
      </c>
      <c r="B686" s="11" t="inlineStr">
        <is>
          <t>MA2509</t>
        </is>
      </c>
      <c r="C686" s="11" t="inlineStr">
        <is>
          <t>2025-09</t>
        </is>
      </c>
      <c r="D686" s="14" t="n">
        <v>884703</v>
      </c>
      <c r="E686" s="11" t="n">
        <v>60</v>
      </c>
      <c r="F686" s="11" t="n">
        <v>0</v>
      </c>
      <c r="G686" s="11" t="n">
        <v>0</v>
      </c>
      <c r="H686" s="12" t="n">
        <v>-25</v>
      </c>
      <c r="I686" s="11" t="inlineStr">
        <is>
          <t>Back(近强)</t>
        </is>
      </c>
    </row>
    <row r="687">
      <c r="A687" s="6" t="inlineStr">
        <is>
          <t>2025-06-23</t>
        </is>
      </c>
      <c r="B687" s="6" t="inlineStr">
        <is>
          <t>MA2509</t>
        </is>
      </c>
      <c r="C687" s="6" t="inlineStr">
        <is>
          <t>2025-09</t>
        </is>
      </c>
      <c r="D687" s="9" t="n">
        <v>993455</v>
      </c>
      <c r="E687" s="6" t="n">
        <v>59</v>
      </c>
      <c r="F687" s="6" t="n">
        <v>0</v>
      </c>
      <c r="G687" s="6" t="n">
        <v>0</v>
      </c>
      <c r="H687" s="7" t="n">
        <v>-36</v>
      </c>
      <c r="I687" s="6" t="inlineStr">
        <is>
          <t>结构不明</t>
        </is>
      </c>
    </row>
    <row r="688">
      <c r="A688" s="11" t="inlineStr">
        <is>
          <t>2025-06-24</t>
        </is>
      </c>
      <c r="B688" s="11" t="inlineStr">
        <is>
          <t>MA2509</t>
        </is>
      </c>
      <c r="C688" s="11" t="inlineStr">
        <is>
          <t>2025-09</t>
        </is>
      </c>
      <c r="D688" s="14" t="n">
        <v>896727</v>
      </c>
      <c r="E688" s="11" t="n">
        <v>58</v>
      </c>
      <c r="F688" s="11" t="n">
        <v>0</v>
      </c>
      <c r="G688" s="11" t="n">
        <v>0</v>
      </c>
      <c r="H688" s="12" t="n">
        <v>-44</v>
      </c>
      <c r="I688" s="11" t="inlineStr">
        <is>
          <t>结构不明</t>
        </is>
      </c>
    </row>
    <row r="689">
      <c r="A689" s="6" t="inlineStr">
        <is>
          <t>2025-06-25</t>
        </is>
      </c>
      <c r="B689" s="6" t="inlineStr">
        <is>
          <t>MA2509</t>
        </is>
      </c>
      <c r="C689" s="6" t="inlineStr">
        <is>
          <t>2025-09</t>
        </is>
      </c>
      <c r="D689" s="9" t="n">
        <v>904456</v>
      </c>
      <c r="E689" s="6" t="n">
        <v>57</v>
      </c>
      <c r="F689" s="6" t="n">
        <v>0</v>
      </c>
      <c r="G689" s="6" t="n">
        <v>0</v>
      </c>
      <c r="H689" s="7" t="n">
        <v>-38</v>
      </c>
      <c r="I689" s="6" t="inlineStr">
        <is>
          <t>结构不明</t>
        </is>
      </c>
    </row>
    <row r="690">
      <c r="A690" s="11" t="inlineStr">
        <is>
          <t>2025-06-26</t>
        </is>
      </c>
      <c r="B690" s="11" t="inlineStr">
        <is>
          <t>MA2509</t>
        </is>
      </c>
      <c r="C690" s="11" t="inlineStr">
        <is>
          <t>2025-09</t>
        </is>
      </c>
      <c r="D690" s="14" t="n">
        <v>857159</v>
      </c>
      <c r="E690" s="11" t="n">
        <v>56</v>
      </c>
      <c r="F690" s="11" t="n">
        <v>0</v>
      </c>
      <c r="G690" s="11" t="n">
        <v>0</v>
      </c>
      <c r="H690" s="12" t="n">
        <v>-33</v>
      </c>
      <c r="I690" s="11" t="inlineStr">
        <is>
          <t>Back(近强)</t>
        </is>
      </c>
    </row>
    <row r="691">
      <c r="A691" s="6" t="inlineStr">
        <is>
          <t>2025-06-27</t>
        </is>
      </c>
      <c r="B691" s="6" t="inlineStr">
        <is>
          <t>MA2509</t>
        </is>
      </c>
      <c r="C691" s="6" t="inlineStr">
        <is>
          <t>2025-09</t>
        </is>
      </c>
      <c r="D691" s="9" t="n">
        <v>784498</v>
      </c>
      <c r="E691" s="6" t="n">
        <v>55</v>
      </c>
      <c r="F691" s="6" t="n">
        <v>0</v>
      </c>
      <c r="G691" s="6" t="n">
        <v>0</v>
      </c>
      <c r="H691" s="7" t="n">
        <v>-41</v>
      </c>
      <c r="I691" s="6" t="inlineStr">
        <is>
          <t>结构不明</t>
        </is>
      </c>
    </row>
    <row r="692">
      <c r="A692" s="11" t="inlineStr">
        <is>
          <t>2025-06-30</t>
        </is>
      </c>
      <c r="B692" s="11" t="inlineStr">
        <is>
          <t>MA2509</t>
        </is>
      </c>
      <c r="C692" s="11" t="inlineStr">
        <is>
          <t>2025-09</t>
        </is>
      </c>
      <c r="D692" s="14" t="n">
        <v>759974</v>
      </c>
      <c r="E692" s="11" t="n">
        <v>54</v>
      </c>
      <c r="F692" s="11" t="n">
        <v>0</v>
      </c>
      <c r="G692" s="11" t="n">
        <v>0</v>
      </c>
      <c r="H692" s="12" t="n">
        <v>-47</v>
      </c>
      <c r="I692" s="11" t="inlineStr">
        <is>
          <t>结构不明</t>
        </is>
      </c>
    </row>
    <row r="693">
      <c r="A693" s="6" t="inlineStr">
        <is>
          <t>2025-07-01</t>
        </is>
      </c>
      <c r="B693" s="6" t="inlineStr">
        <is>
          <t>MA2509</t>
        </is>
      </c>
      <c r="C693" s="6" t="inlineStr">
        <is>
          <t>2025-09</t>
        </is>
      </c>
      <c r="D693" s="9" t="n">
        <v>756727</v>
      </c>
      <c r="E693" s="6" t="n">
        <v>53</v>
      </c>
      <c r="F693" s="6" t="n">
        <v>0</v>
      </c>
      <c r="G693" s="6" t="n">
        <v>0</v>
      </c>
      <c r="H693" s="7" t="n">
        <v>-22</v>
      </c>
      <c r="I693" s="6" t="inlineStr">
        <is>
          <t>Back(近强)</t>
        </is>
      </c>
    </row>
    <row r="694">
      <c r="A694" s="11" t="inlineStr">
        <is>
          <t>2025-07-02</t>
        </is>
      </c>
      <c r="B694" s="11" t="inlineStr">
        <is>
          <t>MA2509</t>
        </is>
      </c>
      <c r="C694" s="11" t="inlineStr">
        <is>
          <t>2025-09</t>
        </is>
      </c>
      <c r="D694" s="14" t="n">
        <v>736158</v>
      </c>
      <c r="E694" s="11" t="n">
        <v>52</v>
      </c>
      <c r="F694" s="11" t="n">
        <v>0</v>
      </c>
      <c r="G694" s="11" t="n">
        <v>0</v>
      </c>
      <c r="H694" s="12" t="n">
        <v>-39</v>
      </c>
      <c r="I694" s="11" t="inlineStr">
        <is>
          <t>结构不明</t>
        </is>
      </c>
    </row>
    <row r="695">
      <c r="A695" s="6" t="inlineStr">
        <is>
          <t>2025-07-03</t>
        </is>
      </c>
      <c r="B695" s="6" t="inlineStr">
        <is>
          <t>MA2509</t>
        </is>
      </c>
      <c r="C695" s="6" t="inlineStr">
        <is>
          <t>2025-09</t>
        </is>
      </c>
      <c r="D695" s="9" t="n">
        <v>706992</v>
      </c>
      <c r="E695" s="6" t="n">
        <v>51</v>
      </c>
      <c r="F695" s="6" t="n">
        <v>0</v>
      </c>
      <c r="G695" s="6" t="n">
        <v>0</v>
      </c>
      <c r="H695" s="7" t="n">
        <v>-4</v>
      </c>
      <c r="I695" s="6" t="inlineStr">
        <is>
          <t>Back(近强)</t>
        </is>
      </c>
    </row>
    <row r="696">
      <c r="A696" s="11" t="inlineStr">
        <is>
          <t>2025-07-04</t>
        </is>
      </c>
      <c r="B696" s="11" t="inlineStr">
        <is>
          <t>MA2509</t>
        </is>
      </c>
      <c r="C696" s="11" t="inlineStr">
        <is>
          <t>2025-09</t>
        </is>
      </c>
      <c r="D696" s="14" t="n">
        <v>694763</v>
      </c>
      <c r="E696" s="11" t="n">
        <v>50</v>
      </c>
      <c r="F696" s="11" t="n">
        <v>0</v>
      </c>
      <c r="G696" s="11" t="n">
        <v>0</v>
      </c>
      <c r="H696" s="12" t="n">
        <v>1</v>
      </c>
      <c r="I696" s="11" t="inlineStr">
        <is>
          <t>Back(近强)</t>
        </is>
      </c>
    </row>
    <row r="697">
      <c r="A697" s="6" t="inlineStr">
        <is>
          <t>2025-07-07</t>
        </is>
      </c>
      <c r="B697" s="6" t="inlineStr">
        <is>
          <t>MA2509</t>
        </is>
      </c>
      <c r="C697" s="6" t="inlineStr">
        <is>
          <t>2025-09</t>
        </is>
      </c>
      <c r="D697" s="9" t="n">
        <v>685709</v>
      </c>
      <c r="E697" s="6" t="n">
        <v>49</v>
      </c>
      <c r="F697" s="6" t="n">
        <v>0</v>
      </c>
      <c r="G697" s="6" t="n">
        <v>0</v>
      </c>
      <c r="H697" s="7" t="n">
        <v>20</v>
      </c>
      <c r="I697" s="6" t="inlineStr">
        <is>
          <t>Back(近强)</t>
        </is>
      </c>
    </row>
    <row r="698">
      <c r="A698" s="11" t="inlineStr">
        <is>
          <t>2025-07-08</t>
        </is>
      </c>
      <c r="B698" s="11" t="inlineStr">
        <is>
          <t>MA2509</t>
        </is>
      </c>
      <c r="C698" s="11" t="inlineStr">
        <is>
          <t>2025-09</t>
        </is>
      </c>
      <c r="D698" s="14" t="n">
        <v>694298</v>
      </c>
      <c r="E698" s="11" t="n">
        <v>48</v>
      </c>
      <c r="F698" s="11" t="n">
        <v>0</v>
      </c>
      <c r="G698" s="11" t="n">
        <v>0</v>
      </c>
      <c r="H698" s="12" t="n">
        <v>20</v>
      </c>
      <c r="I698" s="11" t="inlineStr">
        <is>
          <t>Back(近强)</t>
        </is>
      </c>
    </row>
    <row r="699">
      <c r="A699" s="6" t="inlineStr">
        <is>
          <t>2025-07-09</t>
        </is>
      </c>
      <c r="B699" s="6" t="inlineStr">
        <is>
          <t>MA2509</t>
        </is>
      </c>
      <c r="C699" s="6" t="inlineStr">
        <is>
          <t>2025-09</t>
        </is>
      </c>
      <c r="D699" s="9" t="n">
        <v>711306</v>
      </c>
      <c r="E699" s="6" t="n">
        <v>47</v>
      </c>
      <c r="F699" s="6" t="n">
        <v>0</v>
      </c>
      <c r="G699" s="6" t="n">
        <v>0</v>
      </c>
      <c r="H699" s="7" t="n">
        <v>-12</v>
      </c>
      <c r="I699" s="6" t="inlineStr">
        <is>
          <t>Back(近强)</t>
        </is>
      </c>
    </row>
    <row r="700">
      <c r="A700" s="11" t="inlineStr">
        <is>
          <t>2025-07-10</t>
        </is>
      </c>
      <c r="B700" s="11" t="inlineStr">
        <is>
          <t>MA2509</t>
        </is>
      </c>
      <c r="C700" s="11" t="inlineStr">
        <is>
          <t>2025-09</t>
        </is>
      </c>
      <c r="D700" s="14" t="n">
        <v>695469</v>
      </c>
      <c r="E700" s="11" t="n">
        <v>46</v>
      </c>
      <c r="F700" s="11" t="n">
        <v>0</v>
      </c>
      <c r="G700" s="11" t="n">
        <v>0</v>
      </c>
      <c r="H700" s="12" t="n">
        <v>-8</v>
      </c>
      <c r="I700" s="11" t="inlineStr">
        <is>
          <t>Back(近强)</t>
        </is>
      </c>
    </row>
    <row r="701">
      <c r="A701" s="6" t="inlineStr">
        <is>
          <t>2025-07-11</t>
        </is>
      </c>
      <c r="B701" s="6" t="inlineStr">
        <is>
          <t>MA2509</t>
        </is>
      </c>
      <c r="C701" s="6" t="inlineStr">
        <is>
          <t>2025-09</t>
        </is>
      </c>
      <c r="D701" s="9" t="n">
        <v>685261</v>
      </c>
      <c r="E701" s="6" t="n">
        <v>45</v>
      </c>
      <c r="F701" s="6" t="n">
        <v>0</v>
      </c>
      <c r="G701" s="6" t="n">
        <v>0</v>
      </c>
      <c r="H701" s="7" t="n">
        <v>-3</v>
      </c>
      <c r="I701" s="6" t="inlineStr">
        <is>
          <t>Back(近强)</t>
        </is>
      </c>
    </row>
    <row r="702">
      <c r="A702" s="11" t="inlineStr">
        <is>
          <t>2025-07-14</t>
        </is>
      </c>
      <c r="B702" s="11" t="inlineStr">
        <is>
          <t>MA2509</t>
        </is>
      </c>
      <c r="C702" s="11" t="inlineStr">
        <is>
          <t>2025-09</t>
        </is>
      </c>
      <c r="D702" s="14" t="n">
        <v>655520</v>
      </c>
      <c r="E702" s="11" t="n">
        <v>44</v>
      </c>
      <c r="F702" s="11" t="n">
        <v>0</v>
      </c>
      <c r="G702" s="11" t="n">
        <v>0</v>
      </c>
      <c r="H702" s="12" t="n">
        <v>16</v>
      </c>
      <c r="I702" s="11" t="inlineStr">
        <is>
          <t>Back(近强)</t>
        </is>
      </c>
    </row>
    <row r="703">
      <c r="A703" s="6" t="inlineStr">
        <is>
          <t>2025-07-15</t>
        </is>
      </c>
      <c r="B703" s="6" t="inlineStr">
        <is>
          <t>MA2509</t>
        </is>
      </c>
      <c r="C703" s="6" t="inlineStr">
        <is>
          <t>2025-09</t>
        </is>
      </c>
      <c r="D703" s="9" t="n">
        <v>650875</v>
      </c>
      <c r="E703" s="6" t="n">
        <v>43</v>
      </c>
      <c r="F703" s="6" t="n">
        <v>0</v>
      </c>
      <c r="G703" s="6" t="n">
        <v>0</v>
      </c>
      <c r="H703" s="7" t="n">
        <v>16</v>
      </c>
      <c r="I703" s="6" t="inlineStr">
        <is>
          <t>Back(近强)</t>
        </is>
      </c>
    </row>
    <row r="704">
      <c r="A704" s="11" t="inlineStr">
        <is>
          <t>2025-07-16</t>
        </is>
      </c>
      <c r="B704" s="11" t="inlineStr">
        <is>
          <t>MA2509</t>
        </is>
      </c>
      <c r="C704" s="11" t="inlineStr">
        <is>
          <t>2025-09</t>
        </is>
      </c>
      <c r="D704" s="14" t="n">
        <v>654082</v>
      </c>
      <c r="E704" s="11" t="n">
        <v>42</v>
      </c>
      <c r="F704" s="11" t="n">
        <v>0</v>
      </c>
      <c r="G704" s="11" t="n">
        <v>0</v>
      </c>
      <c r="H704" s="12" t="n">
        <v>20</v>
      </c>
      <c r="I704" s="11" t="inlineStr">
        <is>
          <t>Back(近强)</t>
        </is>
      </c>
    </row>
    <row r="705">
      <c r="A705" s="6" t="inlineStr">
        <is>
          <t>2025-07-17</t>
        </is>
      </c>
      <c r="B705" s="6" t="inlineStr">
        <is>
          <t>MA2509</t>
        </is>
      </c>
      <c r="C705" s="6" t="inlineStr">
        <is>
          <t>2025-09</t>
        </is>
      </c>
      <c r="D705" s="9" t="n">
        <v>653886</v>
      </c>
      <c r="E705" s="6" t="n">
        <v>41</v>
      </c>
      <c r="F705" s="6" t="n">
        <v>0</v>
      </c>
      <c r="G705" s="6" t="n">
        <v>0</v>
      </c>
      <c r="H705" s="7" t="n">
        <v>23</v>
      </c>
      <c r="I705" s="6" t="inlineStr">
        <is>
          <t>Back(近强)</t>
        </is>
      </c>
    </row>
    <row r="706">
      <c r="A706" s="11" t="inlineStr">
        <is>
          <t>2025-07-18</t>
        </is>
      </c>
      <c r="B706" s="11" t="inlineStr">
        <is>
          <t>MA2509</t>
        </is>
      </c>
      <c r="C706" s="11" t="inlineStr">
        <is>
          <t>2025-09</t>
        </is>
      </c>
      <c r="D706" s="14" t="n">
        <v>669737</v>
      </c>
      <c r="E706" s="11" t="n">
        <v>40</v>
      </c>
      <c r="F706" s="11" t="n">
        <v>0</v>
      </c>
      <c r="G706" s="11" t="n">
        <v>0</v>
      </c>
      <c r="H706" s="12" t="n">
        <v>29</v>
      </c>
      <c r="I706" s="11" t="inlineStr">
        <is>
          <t>Back(近强)</t>
        </is>
      </c>
    </row>
    <row r="707">
      <c r="A707" s="6" t="inlineStr">
        <is>
          <t>2025-07-21</t>
        </is>
      </c>
      <c r="B707" s="6" t="inlineStr">
        <is>
          <t>MA2509</t>
        </is>
      </c>
      <c r="C707" s="6" t="inlineStr">
        <is>
          <t>2025-09</t>
        </is>
      </c>
      <c r="D707" s="9" t="n">
        <v>650630</v>
      </c>
      <c r="E707" s="6" t="n">
        <v>39</v>
      </c>
      <c r="F707" s="6" t="n">
        <v>0</v>
      </c>
      <c r="G707" s="6" t="n">
        <v>0</v>
      </c>
      <c r="H707" s="7" t="n">
        <v>30</v>
      </c>
      <c r="I707" s="6" t="inlineStr">
        <is>
          <t>Back(近强)</t>
        </is>
      </c>
    </row>
    <row r="708">
      <c r="A708" s="11" t="inlineStr">
        <is>
          <t>2025-07-22</t>
        </is>
      </c>
      <c r="B708" s="11" t="inlineStr">
        <is>
          <t>MA2509</t>
        </is>
      </c>
      <c r="C708" s="11" t="inlineStr">
        <is>
          <t>2025-09</t>
        </is>
      </c>
      <c r="D708" s="14" t="n">
        <v>660678</v>
      </c>
      <c r="E708" s="11" t="n">
        <v>38</v>
      </c>
      <c r="F708" s="11" t="n">
        <v>0</v>
      </c>
      <c r="G708" s="11" t="n">
        <v>0</v>
      </c>
      <c r="H708" s="12" t="n">
        <v>34</v>
      </c>
      <c r="I708" s="11" t="inlineStr">
        <is>
          <t>Back(近强)</t>
        </is>
      </c>
    </row>
    <row r="709">
      <c r="A709" s="6" t="inlineStr">
        <is>
          <t>2025-07-23</t>
        </is>
      </c>
      <c r="B709" s="6" t="inlineStr">
        <is>
          <t>MA2509</t>
        </is>
      </c>
      <c r="C709" s="6" t="inlineStr">
        <is>
          <t>2025-09</t>
        </is>
      </c>
      <c r="D709" s="9" t="n">
        <v>666635</v>
      </c>
      <c r="E709" s="6" t="n">
        <v>37</v>
      </c>
      <c r="F709" s="6" t="n">
        <v>0</v>
      </c>
      <c r="G709" s="6" t="n">
        <v>0</v>
      </c>
      <c r="H709" s="7" t="n">
        <v>29</v>
      </c>
      <c r="I709" s="6" t="inlineStr">
        <is>
          <t>Back(近强)</t>
        </is>
      </c>
    </row>
    <row r="710">
      <c r="A710" s="11" t="inlineStr">
        <is>
          <t>2025-07-24</t>
        </is>
      </c>
      <c r="B710" s="11" t="inlineStr">
        <is>
          <t>MA2509</t>
        </is>
      </c>
      <c r="C710" s="11" t="inlineStr">
        <is>
          <t>2025-09</t>
        </is>
      </c>
      <c r="D710" s="14" t="n">
        <v>632187</v>
      </c>
      <c r="E710" s="11" t="n">
        <v>36</v>
      </c>
      <c r="F710" s="11" t="n">
        <v>0</v>
      </c>
      <c r="G710" s="11" t="n">
        <v>0</v>
      </c>
      <c r="H710" s="12" t="n">
        <v>28</v>
      </c>
      <c r="I710" s="11" t="inlineStr">
        <is>
          <t>Back(近强)</t>
        </is>
      </c>
    </row>
    <row r="711">
      <c r="A711" s="6" t="inlineStr">
        <is>
          <t>2025-07-25</t>
        </is>
      </c>
      <c r="B711" s="6" t="inlineStr">
        <is>
          <t>MA2509</t>
        </is>
      </c>
      <c r="C711" s="6" t="inlineStr">
        <is>
          <t>2025-09</t>
        </is>
      </c>
      <c r="D711" s="9" t="n">
        <v>663635</v>
      </c>
      <c r="E711" s="6" t="n">
        <v>35</v>
      </c>
      <c r="F711" s="6" t="n">
        <v>0</v>
      </c>
      <c r="G711" s="6" t="n">
        <v>0</v>
      </c>
      <c r="H711" s="7" t="n">
        <v>30</v>
      </c>
      <c r="I711" s="6" t="inlineStr">
        <is>
          <t>Back(近强)</t>
        </is>
      </c>
    </row>
    <row r="712">
      <c r="A712" s="11" t="inlineStr">
        <is>
          <t>2025-07-28</t>
        </is>
      </c>
      <c r="B712" s="11" t="inlineStr">
        <is>
          <t>MA2509</t>
        </is>
      </c>
      <c r="C712" s="11" t="inlineStr">
        <is>
          <t>2025-09</t>
        </is>
      </c>
      <c r="D712" s="14" t="n">
        <v>616715</v>
      </c>
      <c r="E712" s="11" t="n">
        <v>34</v>
      </c>
      <c r="F712" s="11" t="n">
        <v>0</v>
      </c>
      <c r="G712" s="11" t="n">
        <v>0</v>
      </c>
      <c r="H712" s="12" t="n">
        <v>49</v>
      </c>
      <c r="I712" s="11" t="inlineStr">
        <is>
          <t>Back(近强)</t>
        </is>
      </c>
    </row>
    <row r="713">
      <c r="A713" s="6" t="inlineStr">
        <is>
          <t>2025-07-29</t>
        </is>
      </c>
      <c r="B713" s="6" t="inlineStr">
        <is>
          <t>MA2509</t>
        </is>
      </c>
      <c r="C713" s="6" t="inlineStr">
        <is>
          <t>2025-09</t>
        </is>
      </c>
      <c r="D713" s="9" t="n">
        <v>576028</v>
      </c>
      <c r="E713" s="6" t="n">
        <v>33</v>
      </c>
      <c r="F713" s="6" t="n">
        <v>0</v>
      </c>
      <c r="G713" s="6" t="n">
        <v>0</v>
      </c>
      <c r="H713" s="7" t="n">
        <v>19</v>
      </c>
      <c r="I713" s="6" t="inlineStr">
        <is>
          <t>Back(近强)</t>
        </is>
      </c>
    </row>
    <row r="714">
      <c r="A714" s="11" t="inlineStr">
        <is>
          <t>2025-07-30</t>
        </is>
      </c>
      <c r="B714" s="11" t="inlineStr">
        <is>
          <t>MA2509</t>
        </is>
      </c>
      <c r="C714" s="11" t="inlineStr">
        <is>
          <t>2025-09</t>
        </is>
      </c>
      <c r="D714" s="14" t="n">
        <v>579345</v>
      </c>
      <c r="E714" s="11" t="n">
        <v>32</v>
      </c>
      <c r="F714" s="11" t="n">
        <v>0</v>
      </c>
      <c r="G714" s="11" t="n">
        <v>0</v>
      </c>
      <c r="H714" s="12" t="n">
        <v>44</v>
      </c>
      <c r="I714" s="11" t="inlineStr">
        <is>
          <t>Back(近强)</t>
        </is>
      </c>
    </row>
    <row r="715">
      <c r="A715" s="6" t="inlineStr">
        <is>
          <t>2025-07-31</t>
        </is>
      </c>
      <c r="B715" s="6" t="inlineStr">
        <is>
          <t>MA2509</t>
        </is>
      </c>
      <c r="C715" s="6" t="inlineStr">
        <is>
          <t>2025-09</t>
        </is>
      </c>
      <c r="D715" s="9" t="n">
        <v>564414</v>
      </c>
      <c r="E715" s="6" t="n">
        <v>31</v>
      </c>
      <c r="F715" s="6" t="n">
        <v>0</v>
      </c>
      <c r="G715" s="6" t="n">
        <v>0</v>
      </c>
      <c r="H715" s="7" t="n">
        <v>50</v>
      </c>
      <c r="I715" s="6" t="inlineStr">
        <is>
          <t>Back(近强)</t>
        </is>
      </c>
    </row>
    <row r="716">
      <c r="A716" s="11" t="inlineStr">
        <is>
          <t>2025-08-01</t>
        </is>
      </c>
      <c r="B716" s="11" t="inlineStr">
        <is>
          <t>MA2509</t>
        </is>
      </c>
      <c r="C716" s="11" t="inlineStr">
        <is>
          <t>2025-09</t>
        </is>
      </c>
      <c r="D716" s="14" t="n">
        <v>533076</v>
      </c>
      <c r="E716" s="11" t="n">
        <v>30</v>
      </c>
      <c r="F716" s="11" t="n">
        <v>0</v>
      </c>
      <c r="G716" s="11" t="n">
        <v>0</v>
      </c>
      <c r="H716" s="12" t="n">
        <v>-29</v>
      </c>
      <c r="I716" s="11" t="inlineStr">
        <is>
          <t>结构不明</t>
        </is>
      </c>
    </row>
    <row r="717">
      <c r="A717" s="6" t="inlineStr">
        <is>
          <t>2025-08-04</t>
        </is>
      </c>
      <c r="B717" s="6" t="inlineStr">
        <is>
          <t>MA2509</t>
        </is>
      </c>
      <c r="C717" s="6" t="inlineStr">
        <is>
          <t>2025-09</t>
        </is>
      </c>
      <c r="D717" s="9" t="n">
        <v>498785</v>
      </c>
      <c r="E717" s="6" t="n">
        <v>29</v>
      </c>
      <c r="F717" s="6" t="n">
        <v>0</v>
      </c>
      <c r="G717" s="6" t="n">
        <v>0</v>
      </c>
      <c r="H717" s="7" t="n">
        <v>-29</v>
      </c>
      <c r="I717" s="6" t="inlineStr">
        <is>
          <t>结构不明</t>
        </is>
      </c>
    </row>
    <row r="718">
      <c r="A718" s="11" t="inlineStr">
        <is>
          <t>2025-08-05</t>
        </is>
      </c>
      <c r="B718" s="11" t="inlineStr">
        <is>
          <t>MA2509</t>
        </is>
      </c>
      <c r="C718" s="11" t="inlineStr">
        <is>
          <t>2025-09</t>
        </is>
      </c>
      <c r="D718" s="14" t="n">
        <v>484212</v>
      </c>
      <c r="E718" s="11" t="n">
        <v>28</v>
      </c>
      <c r="F718" s="11" t="n">
        <v>0</v>
      </c>
      <c r="G718" s="11" t="n">
        <v>0</v>
      </c>
      <c r="H718" s="12" t="n">
        <v>42</v>
      </c>
      <c r="I718" s="11" t="inlineStr">
        <is>
          <t>Back(近强)</t>
        </is>
      </c>
    </row>
    <row r="719">
      <c r="A719" s="6" t="inlineStr">
        <is>
          <t>2025-08-06</t>
        </is>
      </c>
      <c r="B719" s="6" t="inlineStr">
        <is>
          <t>MA2509</t>
        </is>
      </c>
      <c r="C719" s="6" t="inlineStr">
        <is>
          <t>2025-09</t>
        </is>
      </c>
      <c r="D719" s="9" t="n">
        <v>454433</v>
      </c>
      <c r="E719" s="6" t="n">
        <v>27</v>
      </c>
      <c r="F719" s="6" t="n">
        <v>0</v>
      </c>
      <c r="G719" s="6" t="n">
        <v>0</v>
      </c>
      <c r="H719" s="7" t="n">
        <v>-31</v>
      </c>
      <c r="I719" s="6" t="inlineStr">
        <is>
          <t>结构不明</t>
        </is>
      </c>
    </row>
    <row r="720">
      <c r="A720" s="11" t="inlineStr">
        <is>
          <t>2025-08-07</t>
        </is>
      </c>
      <c r="B720" s="11" t="inlineStr">
        <is>
          <t>MA2509</t>
        </is>
      </c>
      <c r="C720" s="11" t="inlineStr">
        <is>
          <t>2025-09</t>
        </is>
      </c>
      <c r="D720" s="14" t="n">
        <v>436712</v>
      </c>
      <c r="E720" s="11" t="n">
        <v>26</v>
      </c>
      <c r="F720" s="11" t="n">
        <v>0</v>
      </c>
      <c r="G720" s="11" t="n">
        <v>0</v>
      </c>
      <c r="H720" s="12" t="n">
        <v>-29</v>
      </c>
      <c r="I720" s="11" t="inlineStr">
        <is>
          <t>结构不明</t>
        </is>
      </c>
    </row>
    <row r="721">
      <c r="A721" s="6" t="inlineStr">
        <is>
          <t>2025-08-08</t>
        </is>
      </c>
      <c r="B721" s="6" t="inlineStr">
        <is>
          <t>MA2509</t>
        </is>
      </c>
      <c r="C721" s="6" t="inlineStr">
        <is>
          <t>2025-09</t>
        </is>
      </c>
      <c r="D721" s="9" t="n">
        <v>406384</v>
      </c>
      <c r="E721" s="6" t="n">
        <v>25</v>
      </c>
      <c r="F721" s="6" t="n">
        <v>0</v>
      </c>
      <c r="G721" s="6" t="n">
        <v>1</v>
      </c>
      <c r="H721" s="7" t="n">
        <v>-26</v>
      </c>
      <c r="I721" s="6" t="inlineStr">
        <is>
          <t>Back(近强)</t>
        </is>
      </c>
    </row>
    <row r="722">
      <c r="A722" s="11" t="inlineStr">
        <is>
          <t>2025-08-11</t>
        </is>
      </c>
      <c r="B722" s="11" t="inlineStr">
        <is>
          <t>MA2601</t>
        </is>
      </c>
      <c r="C722" s="11" t="inlineStr">
        <is>
          <t>2026-01</t>
        </is>
      </c>
      <c r="D722" s="14" t="n">
        <v>420764</v>
      </c>
      <c r="E722" s="11" t="n">
        <v>106</v>
      </c>
      <c r="F722" s="11" t="n">
        <v>1</v>
      </c>
      <c r="G722" s="11" t="n">
        <v>0</v>
      </c>
      <c r="H722" s="12" t="n">
        <v>96</v>
      </c>
      <c r="I722" s="11" t="inlineStr">
        <is>
          <t>Back(近强)</t>
        </is>
      </c>
    </row>
    <row r="723">
      <c r="A723" s="6" t="inlineStr">
        <is>
          <t>2025-08-12</t>
        </is>
      </c>
      <c r="B723" s="6" t="inlineStr">
        <is>
          <t>MA2601</t>
        </is>
      </c>
      <c r="C723" s="6" t="inlineStr">
        <is>
          <t>2026-01</t>
        </is>
      </c>
      <c r="D723" s="9" t="n">
        <v>454099</v>
      </c>
      <c r="E723" s="6" t="n">
        <v>105</v>
      </c>
      <c r="F723" s="6" t="n">
        <v>0</v>
      </c>
      <c r="G723" s="6" t="n">
        <v>0</v>
      </c>
      <c r="H723" s="7" t="n">
        <v>105</v>
      </c>
      <c r="I723" s="6" t="inlineStr">
        <is>
          <t>Back(近强)</t>
        </is>
      </c>
    </row>
    <row r="724">
      <c r="A724" s="11" t="inlineStr">
        <is>
          <t>2025-08-13</t>
        </is>
      </c>
      <c r="B724" s="11" t="inlineStr">
        <is>
          <t>MA2601</t>
        </is>
      </c>
      <c r="C724" s="11" t="inlineStr">
        <is>
          <t>2026-01</t>
        </is>
      </c>
      <c r="D724" s="14" t="n">
        <v>484012</v>
      </c>
      <c r="E724" s="11" t="n">
        <v>104</v>
      </c>
      <c r="F724" s="11" t="n">
        <v>0</v>
      </c>
      <c r="G724" s="11" t="n">
        <v>0</v>
      </c>
      <c r="H724" s="12" t="n">
        <v>104</v>
      </c>
      <c r="I724" s="11" t="inlineStr">
        <is>
          <t>Back(近强)</t>
        </is>
      </c>
    </row>
    <row r="725">
      <c r="A725" s="6" t="inlineStr">
        <is>
          <t>2025-08-14</t>
        </is>
      </c>
      <c r="B725" s="6" t="inlineStr">
        <is>
          <t>MA2601</t>
        </is>
      </c>
      <c r="C725" s="6" t="inlineStr">
        <is>
          <t>2026-01</t>
        </is>
      </c>
      <c r="D725" s="9" t="n">
        <v>557439</v>
      </c>
      <c r="E725" s="6" t="n">
        <v>103</v>
      </c>
      <c r="F725" s="6" t="n">
        <v>0</v>
      </c>
      <c r="G725" s="6" t="n">
        <v>0</v>
      </c>
      <c r="H725" s="7" t="n">
        <v>95</v>
      </c>
      <c r="I725" s="6" t="inlineStr">
        <is>
          <t>Back(近强)</t>
        </is>
      </c>
    </row>
    <row r="726">
      <c r="A726" s="11" t="inlineStr">
        <is>
          <t>2025-08-15</t>
        </is>
      </c>
      <c r="B726" s="11" t="inlineStr">
        <is>
          <t>MA2601</t>
        </is>
      </c>
      <c r="C726" s="11" t="inlineStr">
        <is>
          <t>2026-01</t>
        </is>
      </c>
      <c r="D726" s="14" t="n">
        <v>623445</v>
      </c>
      <c r="E726" s="11" t="n">
        <v>102</v>
      </c>
      <c r="F726" s="11" t="n">
        <v>0</v>
      </c>
      <c r="G726" s="11" t="n">
        <v>0</v>
      </c>
      <c r="H726" s="12" t="n">
        <v>96</v>
      </c>
      <c r="I726" s="11" t="inlineStr">
        <is>
          <t>Back(近强)</t>
        </is>
      </c>
    </row>
    <row r="727">
      <c r="A727" s="6" t="inlineStr">
        <is>
          <t>2025-08-18</t>
        </is>
      </c>
      <c r="B727" s="6" t="inlineStr">
        <is>
          <t>MA2601</t>
        </is>
      </c>
      <c r="C727" s="6" t="inlineStr">
        <is>
          <t>2026-01</t>
        </is>
      </c>
      <c r="D727" s="9" t="n">
        <v>665628</v>
      </c>
      <c r="E727" s="6" t="n">
        <v>101</v>
      </c>
      <c r="F727" s="6" t="n">
        <v>0</v>
      </c>
      <c r="G727" s="6" t="n">
        <v>0</v>
      </c>
      <c r="H727" s="7" t="n">
        <v>103</v>
      </c>
      <c r="I727" s="6" t="inlineStr">
        <is>
          <t>Back(近强)</t>
        </is>
      </c>
    </row>
    <row r="728">
      <c r="A728" s="11" t="inlineStr">
        <is>
          <t>2025-08-19</t>
        </is>
      </c>
      <c r="B728" s="11" t="inlineStr">
        <is>
          <t>MA2601</t>
        </is>
      </c>
      <c r="C728" s="11" t="inlineStr">
        <is>
          <t>2026-01</t>
        </is>
      </c>
      <c r="D728" s="14" t="n">
        <v>686276</v>
      </c>
      <c r="E728" s="11" t="n">
        <v>100</v>
      </c>
      <c r="F728" s="11" t="n">
        <v>0</v>
      </c>
      <c r="G728" s="11" t="n">
        <v>0</v>
      </c>
      <c r="H728" s="12" t="n">
        <v>106</v>
      </c>
      <c r="I728" s="11" t="inlineStr">
        <is>
          <t>Back(近强)</t>
        </is>
      </c>
    </row>
    <row r="729">
      <c r="A729" s="6" t="inlineStr">
        <is>
          <t>2025-08-20</t>
        </is>
      </c>
      <c r="B729" s="6" t="inlineStr">
        <is>
          <t>MA2601</t>
        </is>
      </c>
      <c r="C729" s="6" t="inlineStr">
        <is>
          <t>2026-01</t>
        </is>
      </c>
      <c r="D729" s="9" t="n">
        <v>674733</v>
      </c>
      <c r="E729" s="6" t="n">
        <v>99</v>
      </c>
      <c r="F729" s="6" t="n">
        <v>0</v>
      </c>
      <c r="G729" s="6" t="n">
        <v>0</v>
      </c>
      <c r="H729" s="7" t="n">
        <v>109</v>
      </c>
      <c r="I729" s="6" t="inlineStr">
        <is>
          <t>Back(近强)</t>
        </is>
      </c>
    </row>
    <row r="730">
      <c r="A730" s="11" t="inlineStr">
        <is>
          <t>2025-08-21</t>
        </is>
      </c>
      <c r="B730" s="11" t="inlineStr">
        <is>
          <t>MA2601</t>
        </is>
      </c>
      <c r="C730" s="11" t="inlineStr">
        <is>
          <t>2026-01</t>
        </is>
      </c>
      <c r="D730" s="14" t="n">
        <v>680234</v>
      </c>
      <c r="E730" s="11" t="n">
        <v>98</v>
      </c>
      <c r="F730" s="11" t="n">
        <v>0</v>
      </c>
      <c r="G730" s="11" t="n">
        <v>0</v>
      </c>
      <c r="H730" s="12" t="n">
        <v>111</v>
      </c>
      <c r="I730" s="11" t="inlineStr">
        <is>
          <t>Back(近强)</t>
        </is>
      </c>
    </row>
    <row r="731">
      <c r="A731" s="6" t="inlineStr">
        <is>
          <t>2025-08-22</t>
        </is>
      </c>
      <c r="B731" s="6" t="inlineStr">
        <is>
          <t>MA2601</t>
        </is>
      </c>
      <c r="C731" s="6" t="inlineStr">
        <is>
          <t>2026-01</t>
        </is>
      </c>
      <c r="D731" s="9" t="n">
        <v>698146</v>
      </c>
      <c r="E731" s="6" t="n">
        <v>97</v>
      </c>
      <c r="F731" s="6" t="n">
        <v>0</v>
      </c>
      <c r="G731" s="6" t="n">
        <v>0</v>
      </c>
      <c r="H731" s="7" t="n">
        <v>111</v>
      </c>
      <c r="I731" s="6" t="inlineStr">
        <is>
          <t>Back(近强)</t>
        </is>
      </c>
    </row>
    <row r="732">
      <c r="A732" s="11" t="inlineStr">
        <is>
          <t>2025-08-25</t>
        </is>
      </c>
      <c r="B732" s="11" t="inlineStr">
        <is>
          <t>MA2601</t>
        </is>
      </c>
      <c r="C732" s="11" t="inlineStr">
        <is>
          <t>2026-01</t>
        </is>
      </c>
      <c r="D732" s="14" t="n">
        <v>675269</v>
      </c>
      <c r="E732" s="11" t="n">
        <v>96</v>
      </c>
      <c r="F732" s="11" t="n">
        <v>0</v>
      </c>
      <c r="G732" s="11" t="n">
        <v>0</v>
      </c>
      <c r="H732" s="12" t="n">
        <v>116</v>
      </c>
      <c r="I732" s="11" t="inlineStr">
        <is>
          <t>Back(近强)</t>
        </is>
      </c>
    </row>
    <row r="733">
      <c r="A733" s="6" t="inlineStr">
        <is>
          <t>2025-08-26</t>
        </is>
      </c>
      <c r="B733" s="6" t="inlineStr">
        <is>
          <t>MA2601</t>
        </is>
      </c>
      <c r="C733" s="6" t="inlineStr">
        <is>
          <t>2026-01</t>
        </is>
      </c>
      <c r="D733" s="9" t="n">
        <v>710322</v>
      </c>
      <c r="E733" s="6" t="n">
        <v>95</v>
      </c>
      <c r="F733" s="6" t="n">
        <v>0</v>
      </c>
      <c r="G733" s="6" t="n">
        <v>0</v>
      </c>
      <c r="H733" s="7" t="n">
        <v>123</v>
      </c>
      <c r="I733" s="6" t="inlineStr">
        <is>
          <t>Back(近强)</t>
        </is>
      </c>
    </row>
    <row r="734">
      <c r="A734" s="11" t="inlineStr">
        <is>
          <t>2025-08-27</t>
        </is>
      </c>
      <c r="B734" s="11" t="inlineStr">
        <is>
          <t>MA2601</t>
        </is>
      </c>
      <c r="C734" s="11" t="inlineStr">
        <is>
          <t>2026-01</t>
        </is>
      </c>
      <c r="D734" s="14" t="n">
        <v>754731</v>
      </c>
      <c r="E734" s="11" t="n">
        <v>94</v>
      </c>
      <c r="F734" s="11" t="n">
        <v>0</v>
      </c>
      <c r="G734" s="11" t="n">
        <v>0</v>
      </c>
      <c r="H734" s="12" t="n">
        <v>125</v>
      </c>
      <c r="I734" s="11" t="inlineStr">
        <is>
          <t>Back(近强)</t>
        </is>
      </c>
    </row>
    <row r="735">
      <c r="A735" s="6" t="inlineStr">
        <is>
          <t>2025-08-28</t>
        </is>
      </c>
      <c r="B735" s="6" t="inlineStr">
        <is>
          <t>MA2601</t>
        </is>
      </c>
      <c r="C735" s="6" t="inlineStr">
        <is>
          <t>2026-01</t>
        </is>
      </c>
      <c r="D735" s="9" t="n">
        <v>785833</v>
      </c>
      <c r="E735" s="6" t="n">
        <v>93</v>
      </c>
      <c r="F735" s="6" t="n">
        <v>0</v>
      </c>
      <c r="G735" s="6" t="n">
        <v>0</v>
      </c>
      <c r="H735" s="7" t="n">
        <v>148</v>
      </c>
      <c r="I735" s="6" t="inlineStr">
        <is>
          <t>Back(近强)</t>
        </is>
      </c>
    </row>
    <row r="736">
      <c r="A736" s="11" t="inlineStr">
        <is>
          <t>2025-08-29</t>
        </is>
      </c>
      <c r="B736" s="11" t="inlineStr">
        <is>
          <t>MA2601</t>
        </is>
      </c>
      <c r="C736" s="11" t="inlineStr">
        <is>
          <t>2026-01</t>
        </is>
      </c>
      <c r="D736" s="14" t="n">
        <v>821019</v>
      </c>
      <c r="E736" s="11" t="n">
        <v>92</v>
      </c>
      <c r="F736" s="11" t="n">
        <v>0</v>
      </c>
      <c r="G736" s="11" t="n">
        <v>0</v>
      </c>
      <c r="H736" s="12" t="n">
        <v>157</v>
      </c>
      <c r="I736" s="11" t="inlineStr">
        <is>
          <t>Back(近强)</t>
        </is>
      </c>
    </row>
    <row r="737">
      <c r="A737" s="6" t="inlineStr">
        <is>
          <t>2025-09-01</t>
        </is>
      </c>
      <c r="B737" s="6" t="inlineStr">
        <is>
          <t>MA2601</t>
        </is>
      </c>
      <c r="C737" s="6" t="inlineStr">
        <is>
          <t>2026-01</t>
        </is>
      </c>
      <c r="D737" s="9" t="n">
        <v>799308</v>
      </c>
      <c r="E737" s="6" t="n">
        <v>91</v>
      </c>
      <c r="F737" s="6" t="n">
        <v>0</v>
      </c>
      <c r="G737" s="6" t="n">
        <v>0</v>
      </c>
      <c r="H737" s="7" t="n">
        <v>159</v>
      </c>
      <c r="I737" s="6" t="inlineStr">
        <is>
          <t>Back(近强)</t>
        </is>
      </c>
    </row>
    <row r="738">
      <c r="A738" s="11" t="inlineStr">
        <is>
          <t>2025-09-02</t>
        </is>
      </c>
      <c r="B738" s="11" t="inlineStr">
        <is>
          <t>MA2601</t>
        </is>
      </c>
      <c r="C738" s="11" t="inlineStr">
        <is>
          <t>2026-01</t>
        </is>
      </c>
      <c r="D738" s="14" t="n">
        <v>807495</v>
      </c>
      <c r="E738" s="11" t="n">
        <v>90</v>
      </c>
      <c r="F738" s="11" t="n">
        <v>0</v>
      </c>
      <c r="G738" s="11" t="n">
        <v>0</v>
      </c>
      <c r="H738" s="12" t="n">
        <v>160</v>
      </c>
      <c r="I738" s="11" t="inlineStr">
        <is>
          <t>Back(近强)</t>
        </is>
      </c>
    </row>
    <row r="739">
      <c r="A739" s="6" t="inlineStr">
        <is>
          <t>2025-09-03</t>
        </is>
      </c>
      <c r="B739" s="6" t="inlineStr">
        <is>
          <t>MA2601</t>
        </is>
      </c>
      <c r="C739" s="6" t="inlineStr">
        <is>
          <t>2026-01</t>
        </is>
      </c>
      <c r="D739" s="9" t="n">
        <v>795320</v>
      </c>
      <c r="E739" s="6" t="n">
        <v>89</v>
      </c>
      <c r="F739" s="6" t="n">
        <v>0</v>
      </c>
      <c r="G739" s="6" t="n">
        <v>0</v>
      </c>
      <c r="H739" s="7" t="n">
        <v>156</v>
      </c>
      <c r="I739" s="6" t="inlineStr">
        <is>
          <t>Back(近强)</t>
        </is>
      </c>
    </row>
    <row r="740">
      <c r="A740" s="11" t="inlineStr">
        <is>
          <t>2025-09-04</t>
        </is>
      </c>
      <c r="B740" s="11" t="inlineStr">
        <is>
          <t>MA2601</t>
        </is>
      </c>
      <c r="C740" s="11" t="inlineStr">
        <is>
          <t>2026-01</t>
        </is>
      </c>
      <c r="D740" s="14" t="n">
        <v>801993</v>
      </c>
      <c r="E740" s="11" t="n">
        <v>88</v>
      </c>
      <c r="F740" s="11" t="n">
        <v>0</v>
      </c>
      <c r="G740" s="11" t="n">
        <v>0</v>
      </c>
      <c r="H740" s="12" t="n">
        <v>151</v>
      </c>
      <c r="I740" s="11" t="inlineStr">
        <is>
          <t>Back(近强)</t>
        </is>
      </c>
    </row>
    <row r="741">
      <c r="A741" s="6" t="inlineStr">
        <is>
          <t>2025-09-05</t>
        </is>
      </c>
      <c r="B741" s="6" t="inlineStr">
        <is>
          <t>MA2601</t>
        </is>
      </c>
      <c r="C741" s="6" t="inlineStr">
        <is>
          <t>2026-01</t>
        </is>
      </c>
      <c r="D741" s="9" t="n">
        <v>777813</v>
      </c>
      <c r="E741" s="6" t="n">
        <v>87</v>
      </c>
      <c r="F741" s="6" t="n">
        <v>0</v>
      </c>
      <c r="G741" s="6" t="n">
        <v>0</v>
      </c>
      <c r="H741" s="7" t="n">
        <v>155</v>
      </c>
      <c r="I741" s="6" t="inlineStr">
        <is>
          <t>Back(近强)</t>
        </is>
      </c>
    </row>
    <row r="742">
      <c r="A742" s="11" t="inlineStr">
        <is>
          <t>2025-09-08</t>
        </is>
      </c>
      <c r="B742" s="11" t="inlineStr">
        <is>
          <t>MA2601</t>
        </is>
      </c>
      <c r="C742" s="11" t="inlineStr">
        <is>
          <t>2026-01</t>
        </is>
      </c>
      <c r="D742" s="14" t="n">
        <v>776260</v>
      </c>
      <c r="E742" s="11" t="n">
        <v>86</v>
      </c>
      <c r="F742" s="11" t="n">
        <v>0</v>
      </c>
      <c r="G742" s="11" t="n">
        <v>0</v>
      </c>
      <c r="H742" s="12" t="n">
        <v>160</v>
      </c>
      <c r="I742" s="11" t="inlineStr">
        <is>
          <t>Back(近强)</t>
        </is>
      </c>
    </row>
    <row r="743">
      <c r="A743" s="6" t="inlineStr">
        <is>
          <t>2025-09-09</t>
        </is>
      </c>
      <c r="B743" s="6" t="inlineStr">
        <is>
          <t>MA2601</t>
        </is>
      </c>
      <c r="C743" s="6" t="inlineStr">
        <is>
          <t>2026-01</t>
        </is>
      </c>
      <c r="D743" s="9" t="n">
        <v>768625</v>
      </c>
      <c r="E743" s="6" t="n">
        <v>85</v>
      </c>
      <c r="F743" s="6" t="n">
        <v>0</v>
      </c>
      <c r="G743" s="6" t="n">
        <v>0</v>
      </c>
      <c r="H743" s="7" t="n">
        <v>151</v>
      </c>
      <c r="I743" s="6" t="inlineStr">
        <is>
          <t>Back(近强)</t>
        </is>
      </c>
    </row>
    <row r="744">
      <c r="A744" s="11" t="inlineStr">
        <is>
          <t>2025-09-10</t>
        </is>
      </c>
      <c r="B744" s="11" t="inlineStr">
        <is>
          <t>MA2601</t>
        </is>
      </c>
      <c r="C744" s="11" t="inlineStr">
        <is>
          <t>2026-01</t>
        </is>
      </c>
      <c r="D744" s="14" t="n">
        <v>755966</v>
      </c>
      <c r="E744" s="11" t="n">
        <v>84</v>
      </c>
      <c r="F744" s="11" t="n">
        <v>0</v>
      </c>
      <c r="G744" s="11" t="n">
        <v>0</v>
      </c>
      <c r="H744" s="12" t="n">
        <v>142</v>
      </c>
      <c r="I744" s="11" t="inlineStr">
        <is>
          <t>Back(近强)</t>
        </is>
      </c>
    </row>
    <row r="745">
      <c r="A745" s="6" t="inlineStr">
        <is>
          <t>2025-09-11</t>
        </is>
      </c>
      <c r="B745" s="6" t="inlineStr">
        <is>
          <t>MA2601</t>
        </is>
      </c>
      <c r="C745" s="6" t="inlineStr">
        <is>
          <t>2026-01</t>
        </is>
      </c>
      <c r="D745" s="9" t="n">
        <v>775400</v>
      </c>
      <c r="E745" s="6" t="n">
        <v>83</v>
      </c>
      <c r="F745" s="6" t="n">
        <v>0</v>
      </c>
      <c r="G745" s="6" t="n">
        <v>0</v>
      </c>
      <c r="H745" s="7" t="n">
        <v>174</v>
      </c>
      <c r="I745" s="6" t="inlineStr">
        <is>
          <t>Back(近强)</t>
        </is>
      </c>
    </row>
    <row r="746">
      <c r="A746" s="11" t="inlineStr">
        <is>
          <t>2025-09-12</t>
        </is>
      </c>
      <c r="B746" s="11" t="inlineStr">
        <is>
          <t>MA2601</t>
        </is>
      </c>
      <c r="C746" s="11" t="inlineStr">
        <is>
          <t>2026-01</t>
        </is>
      </c>
      <c r="D746" s="14" t="n">
        <v>798411</v>
      </c>
      <c r="E746" s="11" t="n">
        <v>82</v>
      </c>
      <c r="F746" s="11" t="n">
        <v>0</v>
      </c>
      <c r="G746" s="11" t="n">
        <v>0</v>
      </c>
      <c r="H746" s="12" t="n">
        <v>149</v>
      </c>
      <c r="I746" s="11" t="inlineStr">
        <is>
          <t>Back(近强)</t>
        </is>
      </c>
    </row>
    <row r="747">
      <c r="A747" s="6" t="inlineStr">
        <is>
          <t>2025-09-15</t>
        </is>
      </c>
      <c r="B747" s="6" t="inlineStr">
        <is>
          <t>MA2601</t>
        </is>
      </c>
      <c r="C747" s="6" t="inlineStr">
        <is>
          <t>2026-01</t>
        </is>
      </c>
      <c r="D747" s="9" t="n">
        <v>783891</v>
      </c>
      <c r="E747" s="6" t="n">
        <v>81</v>
      </c>
      <c r="F747" s="6" t="n">
        <v>0</v>
      </c>
      <c r="G747" s="6" t="n">
        <v>0</v>
      </c>
      <c r="H747" s="7" t="n">
        <v>99</v>
      </c>
      <c r="I747" s="6" t="inlineStr">
        <is>
          <t>Back(近强)</t>
        </is>
      </c>
    </row>
    <row r="748">
      <c r="A748" s="11" t="inlineStr">
        <is>
          <t>2025-09-16</t>
        </is>
      </c>
      <c r="B748" s="11" t="inlineStr">
        <is>
          <t>MA2601</t>
        </is>
      </c>
      <c r="C748" s="11" t="inlineStr">
        <is>
          <t>2026-01</t>
        </is>
      </c>
      <c r="D748" s="14" t="n">
        <v>805395</v>
      </c>
      <c r="E748" s="11" t="n">
        <v>80</v>
      </c>
      <c r="F748" s="11" t="n">
        <v>0</v>
      </c>
      <c r="G748" s="11" t="n">
        <v>0</v>
      </c>
      <c r="H748" s="12" t="n">
        <v>91</v>
      </c>
      <c r="I748" s="11" t="inlineStr">
        <is>
          <t>Back(近强)</t>
        </is>
      </c>
    </row>
    <row r="749">
      <c r="A749" s="6" t="inlineStr">
        <is>
          <t>2025-09-17</t>
        </is>
      </c>
      <c r="B749" s="6" t="inlineStr">
        <is>
          <t>MA2601</t>
        </is>
      </c>
      <c r="C749" s="6" t="inlineStr">
        <is>
          <t>2026-01</t>
        </is>
      </c>
      <c r="D749" s="9" t="n">
        <v>836608</v>
      </c>
      <c r="E749" s="6" t="n">
        <v>79</v>
      </c>
      <c r="F749" s="6" t="n">
        <v>0</v>
      </c>
      <c r="G749" s="6" t="n">
        <v>0</v>
      </c>
      <c r="H749" s="7" t="n">
        <v>87</v>
      </c>
      <c r="I749" s="6" t="inlineStr">
        <is>
          <t>Back(近强)</t>
        </is>
      </c>
    </row>
    <row r="750">
      <c r="A750" s="11" t="inlineStr">
        <is>
          <t>2025-09-18</t>
        </is>
      </c>
      <c r="B750" s="11" t="inlineStr">
        <is>
          <t>MA2601</t>
        </is>
      </c>
      <c r="C750" s="11" t="inlineStr">
        <is>
          <t>2026-01</t>
        </is>
      </c>
      <c r="D750" s="14" t="n">
        <v>942904</v>
      </c>
      <c r="E750" s="11" t="n">
        <v>78</v>
      </c>
      <c r="F750" s="11" t="n">
        <v>0</v>
      </c>
      <c r="G750" s="11" t="n">
        <v>0</v>
      </c>
      <c r="H750" s="12" t="n">
        <v>89</v>
      </c>
      <c r="I750" s="11" t="inlineStr">
        <is>
          <t>Back(近强)</t>
        </is>
      </c>
    </row>
    <row r="751">
      <c r="A751" s="6" t="inlineStr">
        <is>
          <t>2025-09-19</t>
        </is>
      </c>
      <c r="B751" s="6" t="inlineStr">
        <is>
          <t>MA2601</t>
        </is>
      </c>
      <c r="C751" s="6" t="inlineStr">
        <is>
          <t>2026-01</t>
        </is>
      </c>
      <c r="D751" s="9" t="n">
        <v>928408</v>
      </c>
      <c r="E751" s="6" t="n">
        <v>77</v>
      </c>
      <c r="F751" s="6" t="n">
        <v>0</v>
      </c>
      <c r="G751" s="6" t="n">
        <v>0</v>
      </c>
      <c r="H751" s="7" t="n">
        <v>93</v>
      </c>
      <c r="I751" s="6" t="inlineStr">
        <is>
          <t>Back(近强)</t>
        </is>
      </c>
    </row>
    <row r="752">
      <c r="A752" s="11" t="inlineStr">
        <is>
          <t>2025-09-22</t>
        </is>
      </c>
      <c r="B752" s="11" t="inlineStr">
        <is>
          <t>MA2601</t>
        </is>
      </c>
      <c r="C752" s="11" t="inlineStr">
        <is>
          <t>2026-01</t>
        </is>
      </c>
      <c r="D752" s="14" t="n">
        <v>946990</v>
      </c>
      <c r="E752" s="11" t="n">
        <v>76</v>
      </c>
      <c r="F752" s="11" t="n">
        <v>0</v>
      </c>
      <c r="G752" s="11" t="n">
        <v>0</v>
      </c>
      <c r="H752" s="12" t="n">
        <v>95</v>
      </c>
      <c r="I752" s="11" t="inlineStr">
        <is>
          <t>Back(近强)</t>
        </is>
      </c>
    </row>
    <row r="753">
      <c r="A753" s="6" t="inlineStr">
        <is>
          <t>2025-09-23</t>
        </is>
      </c>
      <c r="B753" s="6" t="inlineStr">
        <is>
          <t>MA2601</t>
        </is>
      </c>
      <c r="C753" s="6" t="inlineStr">
        <is>
          <t>2026-01</t>
        </is>
      </c>
      <c r="D753" s="9" t="n">
        <v>967432</v>
      </c>
      <c r="E753" s="6" t="n">
        <v>75</v>
      </c>
      <c r="F753" s="6" t="n">
        <v>0</v>
      </c>
      <c r="G753" s="6" t="n">
        <v>0</v>
      </c>
      <c r="H753" s="7" t="n">
        <v>91</v>
      </c>
      <c r="I753" s="6" t="inlineStr">
        <is>
          <t>Back(近强)</t>
        </is>
      </c>
    </row>
    <row r="754">
      <c r="A754" s="11" t="inlineStr">
        <is>
          <t>2025-09-24</t>
        </is>
      </c>
      <c r="B754" s="11" t="inlineStr">
        <is>
          <t>MA2601</t>
        </is>
      </c>
      <c r="C754" s="11" t="inlineStr">
        <is>
          <t>2026-01</t>
        </is>
      </c>
      <c r="D754" s="14" t="n">
        <v>929200</v>
      </c>
      <c r="E754" s="11" t="n">
        <v>74</v>
      </c>
      <c r="F754" s="11" t="n">
        <v>0</v>
      </c>
      <c r="G754" s="11" t="n">
        <v>0</v>
      </c>
      <c r="H754" s="12" t="n">
        <v>94</v>
      </c>
      <c r="I754" s="11" t="inlineStr">
        <is>
          <t>Back(近强)</t>
        </is>
      </c>
    </row>
    <row r="755">
      <c r="A755" s="6" t="inlineStr">
        <is>
          <t>2025-09-25</t>
        </is>
      </c>
      <c r="B755" s="6" t="inlineStr">
        <is>
          <t>MA2601</t>
        </is>
      </c>
      <c r="C755" s="6" t="inlineStr">
        <is>
          <t>2026-01</t>
        </is>
      </c>
      <c r="D755" s="9" t="n">
        <v>913517</v>
      </c>
      <c r="E755" s="6" t="n">
        <v>73</v>
      </c>
      <c r="F755" s="6" t="n">
        <v>0</v>
      </c>
      <c r="G755" s="6" t="n">
        <v>0</v>
      </c>
      <c r="H755" s="7" t="n">
        <v>92</v>
      </c>
      <c r="I755" s="6" t="inlineStr">
        <is>
          <t>Back(近强)</t>
        </is>
      </c>
    </row>
    <row r="756">
      <c r="A756" s="11" t="inlineStr">
        <is>
          <t>2025-09-26</t>
        </is>
      </c>
      <c r="B756" s="11" t="inlineStr">
        <is>
          <t>MA2601</t>
        </is>
      </c>
      <c r="C756" s="11" t="inlineStr">
        <is>
          <t>2026-01</t>
        </is>
      </c>
      <c r="D756" s="14" t="n">
        <v>885132</v>
      </c>
      <c r="E756" s="11" t="n">
        <v>72</v>
      </c>
      <c r="F756" s="11" t="n">
        <v>0</v>
      </c>
      <c r="G756" s="11" t="n">
        <v>0</v>
      </c>
      <c r="H756" s="12" t="n">
        <v>99</v>
      </c>
      <c r="I756" s="11" t="inlineStr">
        <is>
          <t>Back(近强)</t>
        </is>
      </c>
    </row>
    <row r="757">
      <c r="A757" s="6" t="inlineStr">
        <is>
          <t>2025-09-29</t>
        </is>
      </c>
      <c r="B757" s="6" t="inlineStr">
        <is>
          <t>MA2601</t>
        </is>
      </c>
      <c r="C757" s="6" t="inlineStr">
        <is>
          <t>2026-01</t>
        </is>
      </c>
      <c r="D757" s="9" t="n">
        <v>869500</v>
      </c>
      <c r="E757" s="6" t="n">
        <v>71</v>
      </c>
      <c r="F757" s="6" t="n">
        <v>0</v>
      </c>
      <c r="G757" s="6" t="n">
        <v>0</v>
      </c>
      <c r="H757" s="7" t="n">
        <v>97</v>
      </c>
      <c r="I757" s="6" t="inlineStr">
        <is>
          <t>Back(近强)</t>
        </is>
      </c>
    </row>
    <row r="758">
      <c r="A758" s="11" t="inlineStr">
        <is>
          <t>2025-09-30</t>
        </is>
      </c>
      <c r="B758" s="11" t="inlineStr">
        <is>
          <t>MA2601</t>
        </is>
      </c>
      <c r="C758" s="11" t="inlineStr">
        <is>
          <t>2026-01</t>
        </is>
      </c>
      <c r="D758" s="14" t="n">
        <v>888083</v>
      </c>
      <c r="E758" s="11" t="n">
        <v>70</v>
      </c>
      <c r="F758" s="11" t="n">
        <v>0</v>
      </c>
      <c r="G758" s="11" t="n">
        <v>0</v>
      </c>
      <c r="H758" s="12" t="n">
        <v>93</v>
      </c>
      <c r="I758" s="11" t="inlineStr">
        <is>
          <t>Back(近强)</t>
        </is>
      </c>
    </row>
    <row r="759">
      <c r="A759" s="6" t="inlineStr">
        <is>
          <t>2025-10-09</t>
        </is>
      </c>
      <c r="B759" s="6" t="inlineStr">
        <is>
          <t>MA2601</t>
        </is>
      </c>
      <c r="C759" s="6" t="inlineStr">
        <is>
          <t>2026-01</t>
        </is>
      </c>
      <c r="D759" s="9" t="n">
        <v>999972</v>
      </c>
      <c r="E759" s="6" t="n">
        <v>69</v>
      </c>
      <c r="F759" s="6" t="n">
        <v>0</v>
      </c>
      <c r="G759" s="6" t="n">
        <v>0</v>
      </c>
      <c r="H759" s="7" t="n">
        <v>103</v>
      </c>
      <c r="I759" s="6" t="inlineStr">
        <is>
          <t>Back(近强)</t>
        </is>
      </c>
    </row>
    <row r="760">
      <c r="A760" s="11" t="inlineStr">
        <is>
          <t>2025-10-10</t>
        </is>
      </c>
      <c r="B760" s="11" t="inlineStr">
        <is>
          <t>MA2601</t>
        </is>
      </c>
      <c r="C760" s="11" t="inlineStr">
        <is>
          <t>2026-01</t>
        </is>
      </c>
      <c r="D760" s="14" t="n">
        <v>1001498</v>
      </c>
      <c r="E760" s="11" t="n">
        <v>68</v>
      </c>
      <c r="F760" s="11" t="n">
        <v>0</v>
      </c>
      <c r="G760" s="11" t="n">
        <v>0</v>
      </c>
      <c r="H760" s="12" t="n">
        <v>97</v>
      </c>
      <c r="I760" s="11" t="inlineStr">
        <is>
          <t>Back(近强)</t>
        </is>
      </c>
    </row>
    <row r="761">
      <c r="A761" s="6" t="inlineStr">
        <is>
          <t>2025-10-13</t>
        </is>
      </c>
      <c r="B761" s="6" t="inlineStr">
        <is>
          <t>MA2601</t>
        </is>
      </c>
      <c r="C761" s="6" t="inlineStr">
        <is>
          <t>2026-01</t>
        </is>
      </c>
      <c r="D761" s="9" t="n">
        <v>991942</v>
      </c>
      <c r="E761" s="6" t="n">
        <v>67</v>
      </c>
      <c r="F761" s="6" t="n">
        <v>0</v>
      </c>
      <c r="G761" s="6" t="n">
        <v>0</v>
      </c>
      <c r="H761" s="7" t="n">
        <v>111</v>
      </c>
      <c r="I761" s="6" t="inlineStr">
        <is>
          <t>Back(近强)</t>
        </is>
      </c>
    </row>
    <row r="762">
      <c r="A762" s="11" t="inlineStr">
        <is>
          <t>2025-10-14</t>
        </is>
      </c>
      <c r="B762" s="11" t="inlineStr">
        <is>
          <t>MA2601</t>
        </is>
      </c>
      <c r="C762" s="11" t="inlineStr">
        <is>
          <t>2026-01</t>
        </is>
      </c>
      <c r="D762" s="14" t="n">
        <v>1051360</v>
      </c>
      <c r="E762" s="11" t="n">
        <v>66</v>
      </c>
      <c r="F762" s="11" t="n">
        <v>0</v>
      </c>
      <c r="G762" s="11" t="n">
        <v>0</v>
      </c>
      <c r="H762" s="12" t="n">
        <v>34</v>
      </c>
      <c r="I762" s="11" t="inlineStr">
        <is>
          <t>Back(近强)</t>
        </is>
      </c>
    </row>
    <row r="763">
      <c r="A763" s="6" t="inlineStr">
        <is>
          <t>2025-10-15</t>
        </is>
      </c>
      <c r="B763" s="6" t="inlineStr">
        <is>
          <t>MA2601</t>
        </is>
      </c>
      <c r="C763" s="6" t="inlineStr">
        <is>
          <t>2026-01</t>
        </is>
      </c>
      <c r="D763" s="9" t="n">
        <v>1038960</v>
      </c>
      <c r="E763" s="6" t="n">
        <v>65</v>
      </c>
      <c r="F763" s="6" t="n">
        <v>0</v>
      </c>
      <c r="G763" s="6" t="n">
        <v>0</v>
      </c>
      <c r="H763" s="7" t="n">
        <v>20</v>
      </c>
      <c r="I763" s="6" t="inlineStr">
        <is>
          <t>结构不明</t>
        </is>
      </c>
    </row>
    <row r="764">
      <c r="A764" s="11" t="inlineStr">
        <is>
          <t>2025-10-16</t>
        </is>
      </c>
      <c r="B764" s="11" t="inlineStr">
        <is>
          <t>MA2601</t>
        </is>
      </c>
      <c r="C764" s="11" t="inlineStr">
        <is>
          <t>2026-01</t>
        </is>
      </c>
      <c r="D764" s="14" t="n">
        <v>1039282</v>
      </c>
      <c r="E764" s="11" t="n">
        <v>64</v>
      </c>
      <c r="F764" s="11" t="n">
        <v>0</v>
      </c>
      <c r="G764" s="11" t="n">
        <v>0</v>
      </c>
      <c r="H764" s="12" t="n">
        <v>19</v>
      </c>
      <c r="I764" s="11" t="inlineStr">
        <is>
          <t>结构不明</t>
        </is>
      </c>
    </row>
    <row r="765">
      <c r="A765" s="6" t="inlineStr">
        <is>
          <t>2025-10-17</t>
        </is>
      </c>
      <c r="B765" s="6" t="inlineStr">
        <is>
          <t>MA2601</t>
        </is>
      </c>
      <c r="C765" s="6" t="inlineStr">
        <is>
          <t>2026-01</t>
        </is>
      </c>
      <c r="D765" s="9" t="n">
        <v>1058725</v>
      </c>
      <c r="E765" s="6" t="n">
        <v>63</v>
      </c>
      <c r="F765" s="6" t="n">
        <v>0</v>
      </c>
      <c r="G765" s="6" t="n">
        <v>0</v>
      </c>
      <c r="H765" s="7" t="n">
        <v>32</v>
      </c>
      <c r="I765" s="6" t="inlineStr">
        <is>
          <t>Back(近强)</t>
        </is>
      </c>
    </row>
    <row r="766">
      <c r="A766" s="11" t="inlineStr">
        <is>
          <t>2025-10-20</t>
        </is>
      </c>
      <c r="B766" s="11" t="inlineStr">
        <is>
          <t>MA2601</t>
        </is>
      </c>
      <c r="C766" s="11" t="inlineStr">
        <is>
          <t>2026-01</t>
        </is>
      </c>
      <c r="D766" s="14" t="n">
        <v>1071256</v>
      </c>
      <c r="E766" s="11" t="n">
        <v>62</v>
      </c>
      <c r="F766" s="11" t="n">
        <v>0</v>
      </c>
      <c r="G766" s="11" t="n">
        <v>0</v>
      </c>
      <c r="H766" s="12" t="n">
        <v>26</v>
      </c>
      <c r="I766" s="11" t="inlineStr">
        <is>
          <t>结构不明</t>
        </is>
      </c>
    </row>
    <row r="767">
      <c r="A767" s="6" t="inlineStr">
        <is>
          <t>2025-10-21</t>
        </is>
      </c>
      <c r="B767" s="6" t="inlineStr">
        <is>
          <t>MA2601</t>
        </is>
      </c>
      <c r="C767" s="6" t="inlineStr">
        <is>
          <t>2026-01</t>
        </is>
      </c>
      <c r="D767" s="9" t="n">
        <v>1059019</v>
      </c>
      <c r="E767" s="6" t="n">
        <v>61</v>
      </c>
      <c r="F767" s="6" t="n">
        <v>0</v>
      </c>
      <c r="G767" s="6" t="n">
        <v>0</v>
      </c>
      <c r="H767" s="7" t="n">
        <v>25</v>
      </c>
      <c r="I767" s="6" t="inlineStr">
        <is>
          <t>结构不明</t>
        </is>
      </c>
    </row>
    <row r="768">
      <c r="A768" s="11" t="inlineStr">
        <is>
          <t>2025-10-22</t>
        </is>
      </c>
      <c r="B768" s="11" t="inlineStr">
        <is>
          <t>MA2601</t>
        </is>
      </c>
      <c r="C768" s="11" t="inlineStr">
        <is>
          <t>2026-01</t>
        </is>
      </c>
      <c r="D768" s="14" t="n">
        <v>1097780</v>
      </c>
      <c r="E768" s="11" t="n">
        <v>60</v>
      </c>
      <c r="F768" s="11" t="n">
        <v>0</v>
      </c>
      <c r="G768" s="11" t="n">
        <v>0</v>
      </c>
      <c r="H768" s="12" t="n">
        <v>36</v>
      </c>
      <c r="I768" s="11" t="inlineStr">
        <is>
          <t>Back(近强)</t>
        </is>
      </c>
    </row>
    <row r="769">
      <c r="A769" s="6" t="inlineStr">
        <is>
          <t>2025-10-23</t>
        </is>
      </c>
      <c r="B769" s="6" t="inlineStr">
        <is>
          <t>MA2601</t>
        </is>
      </c>
      <c r="C769" s="6" t="inlineStr">
        <is>
          <t>2026-01</t>
        </is>
      </c>
      <c r="D769" s="9" t="n">
        <v>1066380</v>
      </c>
      <c r="E769" s="6" t="n">
        <v>59</v>
      </c>
      <c r="F769" s="6" t="n">
        <v>0</v>
      </c>
      <c r="G769" s="6" t="n">
        <v>0</v>
      </c>
      <c r="H769" s="7" t="n">
        <v>51</v>
      </c>
      <c r="I769" s="6" t="inlineStr">
        <is>
          <t>Back(近强)</t>
        </is>
      </c>
    </row>
    <row r="770">
      <c r="A770" s="11" t="inlineStr">
        <is>
          <t>2025-10-24</t>
        </is>
      </c>
      <c r="B770" s="11" t="inlineStr">
        <is>
          <t>MA2601</t>
        </is>
      </c>
      <c r="C770" s="11" t="inlineStr">
        <is>
          <t>2026-01</t>
        </is>
      </c>
      <c r="D770" s="14" t="n">
        <v>1080950</v>
      </c>
      <c r="E770" s="11" t="n">
        <v>58</v>
      </c>
      <c r="F770" s="11" t="n">
        <v>0</v>
      </c>
      <c r="G770" s="11" t="n">
        <v>0</v>
      </c>
      <c r="H770" s="12" t="n">
        <v>42</v>
      </c>
      <c r="I770" s="11" t="inlineStr">
        <is>
          <t>Back(近强)</t>
        </is>
      </c>
    </row>
    <row r="771">
      <c r="A771" s="6" t="inlineStr">
        <is>
          <t>2025-10-27</t>
        </is>
      </c>
      <c r="B771" s="6" t="inlineStr">
        <is>
          <t>MA2601</t>
        </is>
      </c>
      <c r="C771" s="6" t="inlineStr">
        <is>
          <t>2026-01</t>
        </is>
      </c>
      <c r="D771" s="9" t="n">
        <v>1102546</v>
      </c>
      <c r="E771" s="6" t="n">
        <v>57</v>
      </c>
      <c r="F771" s="6" t="n">
        <v>0</v>
      </c>
      <c r="G771" s="6" t="n">
        <v>0</v>
      </c>
      <c r="H771" s="7" t="n">
        <v>48</v>
      </c>
      <c r="I771" s="6" t="inlineStr">
        <is>
          <t>Back(近强)</t>
        </is>
      </c>
    </row>
    <row r="772">
      <c r="A772" s="11" t="inlineStr">
        <is>
          <t>2025-10-28</t>
        </is>
      </c>
      <c r="B772" s="11" t="inlineStr">
        <is>
          <t>MA2601</t>
        </is>
      </c>
      <c r="C772" s="11" t="inlineStr">
        <is>
          <t>2026-01</t>
        </is>
      </c>
      <c r="D772" s="14" t="n">
        <v>1221292</v>
      </c>
      <c r="E772" s="11" t="n">
        <v>56</v>
      </c>
      <c r="F772" s="11" t="n">
        <v>0</v>
      </c>
      <c r="G772" s="11" t="n">
        <v>0</v>
      </c>
      <c r="H772" s="12" t="n">
        <v>57</v>
      </c>
      <c r="I772" s="11" t="inlineStr">
        <is>
          <t>Back(近强)</t>
        </is>
      </c>
    </row>
    <row r="773">
      <c r="A773" s="6" t="inlineStr">
        <is>
          <t>2025-10-29</t>
        </is>
      </c>
      <c r="B773" s="6" t="inlineStr">
        <is>
          <t>MA2601</t>
        </is>
      </c>
      <c r="C773" s="6" t="inlineStr">
        <is>
          <t>2026-01</t>
        </is>
      </c>
      <c r="D773" s="9" t="n">
        <v>1197415</v>
      </c>
      <c r="E773" s="6" t="n">
        <v>55</v>
      </c>
      <c r="F773" s="6" t="n">
        <v>0</v>
      </c>
      <c r="G773" s="6" t="n">
        <v>0</v>
      </c>
      <c r="H773" s="7" t="n">
        <v>47</v>
      </c>
      <c r="I773" s="6" t="inlineStr">
        <is>
          <t>Back(近强)</t>
        </is>
      </c>
    </row>
    <row r="774">
      <c r="A774" s="11" t="inlineStr">
        <is>
          <t>2025-10-30</t>
        </is>
      </c>
      <c r="B774" s="11" t="inlineStr">
        <is>
          <t>MA2601</t>
        </is>
      </c>
      <c r="C774" s="11" t="inlineStr">
        <is>
          <t>2026-01</t>
        </is>
      </c>
      <c r="D774" s="14" t="n">
        <v>1320962</v>
      </c>
      <c r="E774" s="11" t="n">
        <v>54</v>
      </c>
      <c r="F774" s="11" t="n">
        <v>0</v>
      </c>
      <c r="G774" s="11" t="n">
        <v>0</v>
      </c>
      <c r="H774" s="12" t="n">
        <v>32</v>
      </c>
      <c r="I774" s="11" t="inlineStr">
        <is>
          <t>结构不明</t>
        </is>
      </c>
    </row>
    <row r="775">
      <c r="A775" s="6" t="inlineStr">
        <is>
          <t>2025-10-31</t>
        </is>
      </c>
      <c r="B775" s="6" t="inlineStr">
        <is>
          <t>MA2601</t>
        </is>
      </c>
      <c r="C775" s="6" t="inlineStr">
        <is>
          <t>2026-01</t>
        </is>
      </c>
      <c r="D775" s="9" t="n">
        <v>1350958</v>
      </c>
      <c r="E775" s="6" t="n">
        <v>53</v>
      </c>
      <c r="F775" s="6" t="n">
        <v>0</v>
      </c>
      <c r="G775" s="6" t="n">
        <v>0</v>
      </c>
      <c r="H775" s="7" t="n">
        <v>51</v>
      </c>
      <c r="I775" s="6" t="inlineStr">
        <is>
          <t>Back(近强)</t>
        </is>
      </c>
    </row>
    <row r="776">
      <c r="A776" s="11" t="inlineStr">
        <is>
          <t>2025-11-03</t>
        </is>
      </c>
      <c r="B776" s="11" t="inlineStr">
        <is>
          <t>MA2601</t>
        </is>
      </c>
      <c r="C776" s="11" t="inlineStr">
        <is>
          <t>2026-01</t>
        </is>
      </c>
      <c r="D776" s="14" t="n">
        <v>1400566</v>
      </c>
      <c r="E776" s="11" t="n">
        <v>52</v>
      </c>
      <c r="F776" s="11" t="n">
        <v>0</v>
      </c>
      <c r="G776" s="11" t="n">
        <v>0</v>
      </c>
      <c r="H776" s="12" t="n">
        <v>39</v>
      </c>
      <c r="I776" s="11" t="inlineStr">
        <is>
          <t>结构不明</t>
        </is>
      </c>
    </row>
    <row r="777">
      <c r="A777" s="6" t="inlineStr">
        <is>
          <t>2025-11-04</t>
        </is>
      </c>
      <c r="B777" s="6" t="inlineStr">
        <is>
          <t>MA2601</t>
        </is>
      </c>
      <c r="C777" s="6" t="inlineStr">
        <is>
          <t>2026-01</t>
        </is>
      </c>
      <c r="D777" s="9" t="n">
        <v>1410421</v>
      </c>
      <c r="E777" s="6" t="n">
        <v>51</v>
      </c>
      <c r="F777" s="6" t="n">
        <v>0</v>
      </c>
      <c r="G777" s="6" t="n">
        <v>0</v>
      </c>
      <c r="H777" s="7" t="n">
        <v>56</v>
      </c>
      <c r="I777" s="6" t="inlineStr">
        <is>
          <t>Back(近强)</t>
        </is>
      </c>
    </row>
    <row r="778">
      <c r="A778" s="11" t="inlineStr">
        <is>
          <t>2025-11-05</t>
        </is>
      </c>
      <c r="B778" s="11" t="inlineStr">
        <is>
          <t>MA2601</t>
        </is>
      </c>
      <c r="C778" s="11" t="inlineStr">
        <is>
          <t>2026-01</t>
        </is>
      </c>
      <c r="D778" s="14" t="n">
        <v>1372748</v>
      </c>
      <c r="E778" s="11" t="n">
        <v>50</v>
      </c>
      <c r="F778" s="11" t="n">
        <v>0</v>
      </c>
      <c r="G778" s="11" t="n">
        <v>0</v>
      </c>
      <c r="H778" s="12" t="n">
        <v>61</v>
      </c>
      <c r="I778" s="11" t="inlineStr">
        <is>
          <t>Back(近强)</t>
        </is>
      </c>
    </row>
    <row r="779">
      <c r="A779" s="6" t="inlineStr">
        <is>
          <t>2025-11-06</t>
        </is>
      </c>
      <c r="B779" s="6" t="inlineStr">
        <is>
          <t>MA2601</t>
        </is>
      </c>
      <c r="C779" s="6" t="inlineStr">
        <is>
          <t>2026-01</t>
        </is>
      </c>
      <c r="D779" s="9" t="n">
        <v>1368330</v>
      </c>
      <c r="E779" s="6" t="n">
        <v>49</v>
      </c>
      <c r="F779" s="6" t="n">
        <v>0</v>
      </c>
      <c r="G779" s="6" t="n">
        <v>0</v>
      </c>
      <c r="H779" s="7" t="n">
        <v>38</v>
      </c>
      <c r="I779" s="6" t="inlineStr">
        <is>
          <t>结构不明</t>
        </is>
      </c>
    </row>
    <row r="780">
      <c r="A780" s="11" t="inlineStr">
        <is>
          <t>2025-11-07</t>
        </is>
      </c>
      <c r="B780" s="11" t="inlineStr">
        <is>
          <t>MA2601</t>
        </is>
      </c>
      <c r="C780" s="11" t="inlineStr">
        <is>
          <t>2026-01</t>
        </is>
      </c>
      <c r="D780" s="14" t="n">
        <v>1390818</v>
      </c>
      <c r="E780" s="11" t="n">
        <v>48</v>
      </c>
      <c r="F780" s="11" t="n">
        <v>0</v>
      </c>
      <c r="G780" s="11" t="n">
        <v>0</v>
      </c>
      <c r="H780" s="12" t="n">
        <v>14</v>
      </c>
      <c r="I780" s="11" t="inlineStr">
        <is>
          <t>Contango(远强)</t>
        </is>
      </c>
    </row>
    <row r="781">
      <c r="A781" s="6" t="inlineStr">
        <is>
          <t>2025-11-10</t>
        </is>
      </c>
      <c r="B781" s="6" t="inlineStr">
        <is>
          <t>MA2601</t>
        </is>
      </c>
      <c r="C781" s="6" t="inlineStr">
        <is>
          <t>2026-01</t>
        </is>
      </c>
      <c r="D781" s="9" t="n">
        <v>1405588</v>
      </c>
      <c r="E781" s="6" t="n">
        <v>47</v>
      </c>
      <c r="F781" s="6" t="n">
        <v>0</v>
      </c>
      <c r="G781" s="6" t="n">
        <v>0</v>
      </c>
      <c r="H781" s="7" t="n">
        <v>43</v>
      </c>
      <c r="I781" s="6" t="inlineStr">
        <is>
          <t>结构不明</t>
        </is>
      </c>
    </row>
    <row r="782">
      <c r="A782" s="11" t="inlineStr">
        <is>
          <t>2025-11-11</t>
        </is>
      </c>
      <c r="B782" s="11" t="inlineStr">
        <is>
          <t>MA2601</t>
        </is>
      </c>
      <c r="C782" s="11" t="inlineStr">
        <is>
          <t>2026-01</t>
        </is>
      </c>
      <c r="D782" s="14" t="n">
        <v>1449761</v>
      </c>
      <c r="E782" s="11" t="n">
        <v>46</v>
      </c>
      <c r="F782" s="11" t="n">
        <v>0</v>
      </c>
      <c r="G782" s="11" t="n">
        <v>0</v>
      </c>
      <c r="H782" s="12" t="n">
        <v>12</v>
      </c>
      <c r="I782" s="11" t="inlineStr">
        <is>
          <t>Contango(远强)</t>
        </is>
      </c>
    </row>
    <row r="783">
      <c r="A783" s="6" t="inlineStr">
        <is>
          <t>2025-11-12</t>
        </is>
      </c>
      <c r="B783" s="6" t="inlineStr">
        <is>
          <t>MA2601</t>
        </is>
      </c>
      <c r="C783" s="6" t="inlineStr">
        <is>
          <t>2026-01</t>
        </is>
      </c>
      <c r="D783" s="9" t="n">
        <v>1407320</v>
      </c>
      <c r="E783" s="6" t="n">
        <v>45</v>
      </c>
      <c r="F783" s="6" t="n">
        <v>0</v>
      </c>
      <c r="G783" s="6" t="n">
        <v>0</v>
      </c>
      <c r="H783" s="7" t="n">
        <v>33</v>
      </c>
      <c r="I783" s="6" t="inlineStr">
        <is>
          <t>结构不明</t>
        </is>
      </c>
    </row>
    <row r="784">
      <c r="A784" s="11" t="inlineStr">
        <is>
          <t>2025-11-13</t>
        </is>
      </c>
      <c r="B784" s="11" t="inlineStr">
        <is>
          <t>MA2601</t>
        </is>
      </c>
      <c r="C784" s="11" t="inlineStr">
        <is>
          <t>2026-01</t>
        </is>
      </c>
      <c r="D784" s="14" t="n">
        <v>1382830</v>
      </c>
      <c r="E784" s="11" t="n">
        <v>44</v>
      </c>
      <c r="F784" s="11" t="n">
        <v>0</v>
      </c>
      <c r="G784" s="11" t="n">
        <v>0</v>
      </c>
      <c r="H784" s="12" t="n">
        <v>51</v>
      </c>
      <c r="I784" s="11" t="inlineStr">
        <is>
          <t>Back(近强)</t>
        </is>
      </c>
    </row>
    <row r="785">
      <c r="A785" s="6" t="inlineStr">
        <is>
          <t>2025-11-14</t>
        </is>
      </c>
      <c r="B785" s="6" t="inlineStr">
        <is>
          <t>MA2601</t>
        </is>
      </c>
      <c r="C785" s="6" t="inlineStr">
        <is>
          <t>2026-01</t>
        </is>
      </c>
      <c r="D785" s="9" t="n">
        <v>1516796</v>
      </c>
      <c r="E785" s="6" t="n">
        <v>43</v>
      </c>
      <c r="F785" s="6" t="n">
        <v>0</v>
      </c>
      <c r="G785" s="6" t="n">
        <v>0</v>
      </c>
      <c r="H785" s="7" t="n">
        <v>43</v>
      </c>
      <c r="I785" s="6" t="inlineStr">
        <is>
          <t>结构不明</t>
        </is>
      </c>
    </row>
    <row r="786">
      <c r="A786" s="11" t="inlineStr">
        <is>
          <t>2025-11-17</t>
        </is>
      </c>
      <c r="B786" s="11" t="inlineStr">
        <is>
          <t>MA2601</t>
        </is>
      </c>
      <c r="C786" s="11" t="inlineStr">
        <is>
          <t>2026-01</t>
        </is>
      </c>
      <c r="D786" s="14" t="n">
        <v>1497531</v>
      </c>
      <c r="E786" s="11" t="n">
        <v>42</v>
      </c>
      <c r="F786" s="11" t="n">
        <v>0</v>
      </c>
      <c r="G786" s="11" t="n">
        <v>0</v>
      </c>
      <c r="H786" s="12" t="n">
        <v>35</v>
      </c>
      <c r="I786" s="11" t="inlineStr">
        <is>
          <t>结构不明</t>
        </is>
      </c>
    </row>
    <row r="787">
      <c r="A787" s="6" t="inlineStr">
        <is>
          <t>2025-11-18</t>
        </is>
      </c>
      <c r="B787" s="6" t="inlineStr">
        <is>
          <t>MA2601</t>
        </is>
      </c>
      <c r="C787" s="6" t="inlineStr">
        <is>
          <t>2026-01</t>
        </is>
      </c>
      <c r="D787" s="9" t="n">
        <v>1458493</v>
      </c>
      <c r="E787" s="6" t="n">
        <v>41</v>
      </c>
      <c r="F787" s="6" t="n">
        <v>0</v>
      </c>
      <c r="G787" s="6" t="n">
        <v>0</v>
      </c>
      <c r="H787" s="7" t="n">
        <v>35</v>
      </c>
      <c r="I787" s="6" t="inlineStr">
        <is>
          <t>结构不明</t>
        </is>
      </c>
    </row>
    <row r="788">
      <c r="A788" s="11" t="inlineStr">
        <is>
          <t>2025-11-19</t>
        </is>
      </c>
      <c r="B788" s="11" t="inlineStr">
        <is>
          <t>MA2601</t>
        </is>
      </c>
      <c r="C788" s="11" t="inlineStr">
        <is>
          <t>2026-01</t>
        </is>
      </c>
      <c r="D788" s="14" t="n">
        <v>1450621</v>
      </c>
      <c r="E788" s="11" t="n">
        <v>40</v>
      </c>
      <c r="F788" s="11" t="n">
        <v>0</v>
      </c>
      <c r="G788" s="11" t="n">
        <v>0</v>
      </c>
      <c r="H788" s="12" t="n">
        <v>34</v>
      </c>
      <c r="I788" s="11" t="inlineStr">
        <is>
          <t>结构不明</t>
        </is>
      </c>
    </row>
    <row r="789">
      <c r="A789" s="6" t="inlineStr">
        <is>
          <t>2025-11-20</t>
        </is>
      </c>
      <c r="B789" s="6" t="inlineStr">
        <is>
          <t>MA2601</t>
        </is>
      </c>
      <c r="C789" s="6" t="inlineStr">
        <is>
          <t>2026-01</t>
        </is>
      </c>
      <c r="D789" s="9" t="n">
        <v>1427832</v>
      </c>
      <c r="E789" s="6" t="n">
        <v>39</v>
      </c>
      <c r="F789" s="6" t="n">
        <v>0</v>
      </c>
      <c r="G789" s="6" t="n">
        <v>0</v>
      </c>
      <c r="H789" s="7" t="n">
        <v>39</v>
      </c>
      <c r="I789" s="6" t="inlineStr">
        <is>
          <t>结构不明</t>
        </is>
      </c>
    </row>
    <row r="790">
      <c r="A790" s="11" t="inlineStr">
        <is>
          <t>2025-11-21</t>
        </is>
      </c>
      <c r="B790" s="11" t="inlineStr">
        <is>
          <t>MA2601</t>
        </is>
      </c>
      <c r="C790" s="11" t="inlineStr">
        <is>
          <t>2026-01</t>
        </is>
      </c>
      <c r="D790" s="14" t="n">
        <v>1402473</v>
      </c>
      <c r="E790" s="11" t="n">
        <v>38</v>
      </c>
      <c r="F790" s="11" t="n">
        <v>0</v>
      </c>
      <c r="G790" s="11" t="n">
        <v>0</v>
      </c>
      <c r="H790" s="12" t="n">
        <v>38</v>
      </c>
      <c r="I790" s="11" t="inlineStr">
        <is>
          <t>结构不明</t>
        </is>
      </c>
    </row>
    <row r="791">
      <c r="A791" s="6" t="inlineStr">
        <is>
          <t>2025-11-24</t>
        </is>
      </c>
      <c r="B791" s="6" t="inlineStr">
        <is>
          <t>MA2601</t>
        </is>
      </c>
      <c r="C791" s="6" t="inlineStr">
        <is>
          <t>2026-01</t>
        </is>
      </c>
      <c r="D791" s="9" t="n">
        <v>1312675</v>
      </c>
      <c r="E791" s="6" t="n">
        <v>37</v>
      </c>
      <c r="F791" s="6" t="n">
        <v>0</v>
      </c>
      <c r="G791" s="6" t="n">
        <v>0</v>
      </c>
      <c r="H791" s="7" t="n">
        <v>36</v>
      </c>
      <c r="I791" s="6" t="inlineStr">
        <is>
          <t>结构不明</t>
        </is>
      </c>
    </row>
    <row r="792">
      <c r="A792" s="11" t="inlineStr">
        <is>
          <t>2025-11-25</t>
        </is>
      </c>
      <c r="B792" s="11" t="inlineStr">
        <is>
          <t>MA2601</t>
        </is>
      </c>
      <c r="C792" s="11" t="inlineStr">
        <is>
          <t>2026-01</t>
        </is>
      </c>
      <c r="D792" s="14" t="n">
        <v>1200371</v>
      </c>
      <c r="E792" s="11" t="n">
        <v>36</v>
      </c>
      <c r="F792" s="11" t="n">
        <v>0</v>
      </c>
      <c r="G792" s="11" t="n">
        <v>0</v>
      </c>
      <c r="H792" s="12" t="n">
        <v>38</v>
      </c>
      <c r="I792" s="11" t="inlineStr">
        <is>
          <t>结构不明</t>
        </is>
      </c>
    </row>
    <row r="793">
      <c r="A793" s="6" t="inlineStr">
        <is>
          <t>2025-11-26</t>
        </is>
      </c>
      <c r="B793" s="6" t="inlineStr">
        <is>
          <t>MA2601</t>
        </is>
      </c>
      <c r="C793" s="6" t="inlineStr">
        <is>
          <t>2026-01</t>
        </is>
      </c>
      <c r="D793" s="9" t="n">
        <v>1154686</v>
      </c>
      <c r="E793" s="6" t="n">
        <v>35</v>
      </c>
      <c r="F793" s="6" t="n">
        <v>0</v>
      </c>
      <c r="G793" s="6" t="n">
        <v>0</v>
      </c>
      <c r="H793" s="7" t="n">
        <v>40</v>
      </c>
      <c r="I793" s="6" t="inlineStr">
        <is>
          <t>结构不明</t>
        </is>
      </c>
    </row>
    <row r="794">
      <c r="A794" s="11" t="inlineStr">
        <is>
          <t>2025-11-27</t>
        </is>
      </c>
      <c r="B794" s="11" t="inlineStr">
        <is>
          <t>MA2601</t>
        </is>
      </c>
      <c r="C794" s="11" t="inlineStr">
        <is>
          <t>2026-01</t>
        </is>
      </c>
      <c r="D794" s="14" t="n">
        <v>1103826</v>
      </c>
      <c r="E794" s="11" t="n">
        <v>34</v>
      </c>
      <c r="F794" s="11" t="n">
        <v>0</v>
      </c>
      <c r="G794" s="11" t="n">
        <v>0</v>
      </c>
      <c r="H794" s="12" t="n">
        <v>41</v>
      </c>
      <c r="I794" s="11" t="inlineStr">
        <is>
          <t>结构不明</t>
        </is>
      </c>
    </row>
    <row r="795">
      <c r="A795" s="6" t="inlineStr">
        <is>
          <t>2025-11-28</t>
        </is>
      </c>
      <c r="B795" s="6" t="inlineStr">
        <is>
          <t>MA2601</t>
        </is>
      </c>
      <c r="C795" s="6" t="inlineStr">
        <is>
          <t>2026-01</t>
        </is>
      </c>
      <c r="D795" s="9" t="n">
        <v>1048516</v>
      </c>
      <c r="E795" s="6" t="n">
        <v>33</v>
      </c>
      <c r="F795" s="6" t="n">
        <v>0</v>
      </c>
      <c r="G795" s="6" t="n">
        <v>0</v>
      </c>
      <c r="H795" s="7" t="n">
        <v>45</v>
      </c>
      <c r="I795" s="6" t="inlineStr">
        <is>
          <t>结构不明</t>
        </is>
      </c>
    </row>
    <row r="796">
      <c r="A796" s="11" t="inlineStr">
        <is>
          <t>2025-12-01</t>
        </is>
      </c>
      <c r="B796" s="11" t="inlineStr">
        <is>
          <t>MA2601</t>
        </is>
      </c>
      <c r="C796" s="11" t="inlineStr">
        <is>
          <t>2026-01</t>
        </is>
      </c>
      <c r="D796" s="14" t="n">
        <v>1003722</v>
      </c>
      <c r="E796" s="11" t="n">
        <v>32</v>
      </c>
      <c r="F796" s="11" t="n">
        <v>0</v>
      </c>
      <c r="G796" s="11" t="n">
        <v>0</v>
      </c>
      <c r="H796" s="12" t="n">
        <v>37</v>
      </c>
      <c r="I796" s="11" t="inlineStr">
        <is>
          <t>结构不明</t>
        </is>
      </c>
    </row>
    <row r="797">
      <c r="A797" s="6" t="inlineStr">
        <is>
          <t>2025-12-02</t>
        </is>
      </c>
      <c r="B797" s="6" t="inlineStr">
        <is>
          <t>MA2601</t>
        </is>
      </c>
      <c r="C797" s="6" t="inlineStr">
        <is>
          <t>2026-01</t>
        </is>
      </c>
      <c r="D797" s="9" t="n">
        <v>978564</v>
      </c>
      <c r="E797" s="6" t="n">
        <v>31</v>
      </c>
      <c r="F797" s="6" t="n">
        <v>0</v>
      </c>
      <c r="G797" s="6" t="n">
        <v>0</v>
      </c>
      <c r="H797" s="7" t="n">
        <v>62</v>
      </c>
      <c r="I797" s="6" t="inlineStr">
        <is>
          <t>Back(近强)</t>
        </is>
      </c>
    </row>
    <row r="798">
      <c r="A798" s="11" t="inlineStr">
        <is>
          <t>2025-12-03</t>
        </is>
      </c>
      <c r="B798" s="11" t="inlineStr">
        <is>
          <t>MA2601</t>
        </is>
      </c>
      <c r="C798" s="11" t="inlineStr">
        <is>
          <t>2026-01</t>
        </is>
      </c>
      <c r="D798" s="14" t="n">
        <v>948396</v>
      </c>
      <c r="E798" s="11" t="n">
        <v>30</v>
      </c>
      <c r="F798" s="11" t="n">
        <v>0</v>
      </c>
      <c r="G798" s="11" t="n">
        <v>0</v>
      </c>
      <c r="H798" s="12" t="n">
        <v>48</v>
      </c>
      <c r="I798" s="11" t="inlineStr">
        <is>
          <t>结构不明</t>
        </is>
      </c>
    </row>
    <row r="799">
      <c r="A799" s="6" t="inlineStr">
        <is>
          <t>2025-12-04</t>
        </is>
      </c>
      <c r="B799" s="6" t="inlineStr">
        <is>
          <t>MA2601</t>
        </is>
      </c>
      <c r="C799" s="6" t="inlineStr">
        <is>
          <t>2026-01</t>
        </is>
      </c>
      <c r="D799" s="9" t="n">
        <v>934566</v>
      </c>
      <c r="E799" s="6" t="n">
        <v>29</v>
      </c>
      <c r="F799" s="6" t="n">
        <v>0</v>
      </c>
      <c r="G799" s="6" t="n">
        <v>0</v>
      </c>
      <c r="H799" s="7" t="n">
        <v>-36</v>
      </c>
      <c r="I799" s="6" t="inlineStr">
        <is>
          <t>Contango(远强)</t>
        </is>
      </c>
    </row>
    <row r="800">
      <c r="A800" s="11" t="inlineStr">
        <is>
          <t>2025-12-05</t>
        </is>
      </c>
      <c r="B800" s="11" t="inlineStr">
        <is>
          <t>MA2601</t>
        </is>
      </c>
      <c r="C800" s="11" t="inlineStr">
        <is>
          <t>2026-01</t>
        </is>
      </c>
      <c r="D800" s="14" t="n">
        <v>872092</v>
      </c>
      <c r="E800" s="11" t="n">
        <v>28</v>
      </c>
      <c r="F800" s="11" t="n">
        <v>0</v>
      </c>
      <c r="G800" s="11" t="n">
        <v>0</v>
      </c>
      <c r="H800" s="12" t="n">
        <v>-38</v>
      </c>
      <c r="I800" s="11" t="inlineStr">
        <is>
          <t>Contango(远强)</t>
        </is>
      </c>
    </row>
    <row r="801">
      <c r="A801" s="6" t="inlineStr">
        <is>
          <t>2025-12-08</t>
        </is>
      </c>
      <c r="B801" s="6" t="inlineStr">
        <is>
          <t>MA2601</t>
        </is>
      </c>
      <c r="C801" s="6" t="inlineStr">
        <is>
          <t>2026-01</t>
        </is>
      </c>
      <c r="D801" s="9" t="n">
        <v>802547</v>
      </c>
      <c r="E801" s="6" t="n">
        <v>27</v>
      </c>
      <c r="F801" s="6" t="n">
        <v>0</v>
      </c>
      <c r="G801" s="6" t="n">
        <v>0</v>
      </c>
      <c r="H801" s="7" t="n">
        <v>71</v>
      </c>
      <c r="I801" s="6" t="inlineStr">
        <is>
          <t>Back(近强)</t>
        </is>
      </c>
    </row>
    <row r="802">
      <c r="A802" s="11" t="inlineStr">
        <is>
          <t>2025-12-09</t>
        </is>
      </c>
      <c r="B802" s="11" t="inlineStr">
        <is>
          <t>MA2601</t>
        </is>
      </c>
      <c r="C802" s="11" t="inlineStr">
        <is>
          <t>2026-01</t>
        </is>
      </c>
      <c r="D802" s="14" t="n">
        <v>723596</v>
      </c>
      <c r="E802" s="11" t="n">
        <v>26</v>
      </c>
      <c r="F802" s="11" t="n">
        <v>0</v>
      </c>
      <c r="G802" s="11" t="n">
        <v>1</v>
      </c>
      <c r="H802" s="12" t="n">
        <v>-33</v>
      </c>
      <c r="I802" s="11" t="inlineStr">
        <is>
          <t>Contango(远强)</t>
        </is>
      </c>
    </row>
    <row r="803">
      <c r="A803" s="6" t="inlineStr">
        <is>
          <t>2025-12-10</t>
        </is>
      </c>
      <c r="B803" s="6" t="inlineStr">
        <is>
          <t>MA2605</t>
        </is>
      </c>
      <c r="C803" s="6" t="inlineStr">
        <is>
          <t>2026-05</t>
        </is>
      </c>
      <c r="D803" s="9" t="n">
        <v>713089</v>
      </c>
      <c r="E803" s="6" t="n">
        <v>102</v>
      </c>
      <c r="F803" s="6" t="n">
        <v>1</v>
      </c>
      <c r="G803" s="6" t="n">
        <v>0</v>
      </c>
      <c r="H803" s="7" t="n">
        <v>76</v>
      </c>
      <c r="I803" s="6" t="inlineStr">
        <is>
          <t>Back(近强)</t>
        </is>
      </c>
    </row>
    <row r="804">
      <c r="A804" s="11" t="inlineStr">
        <is>
          <t>2025-12-11</t>
        </is>
      </c>
      <c r="B804" s="11" t="inlineStr">
        <is>
          <t>MA2605</t>
        </is>
      </c>
      <c r="C804" s="11" t="inlineStr">
        <is>
          <t>2026-05</t>
        </is>
      </c>
      <c r="D804" s="14" t="n">
        <v>769603</v>
      </c>
      <c r="E804" s="11" t="n">
        <v>101</v>
      </c>
      <c r="F804" s="11" t="n">
        <v>0</v>
      </c>
      <c r="G804" s="11" t="n">
        <v>0</v>
      </c>
      <c r="H804" s="12" t="n">
        <v>46</v>
      </c>
      <c r="I804" s="11" t="inlineStr">
        <is>
          <t>结构不明</t>
        </is>
      </c>
    </row>
    <row r="805">
      <c r="A805" s="6" t="inlineStr">
        <is>
          <t>2025-12-12</t>
        </is>
      </c>
      <c r="B805" s="6" t="inlineStr">
        <is>
          <t>MA2605</t>
        </is>
      </c>
      <c r="C805" s="6" t="inlineStr">
        <is>
          <t>2026-05</t>
        </is>
      </c>
      <c r="D805" s="9" t="n">
        <v>833887</v>
      </c>
      <c r="E805" s="6" t="n">
        <v>100</v>
      </c>
      <c r="F805" s="6" t="n">
        <v>0</v>
      </c>
      <c r="G805" s="6" t="n">
        <v>0</v>
      </c>
      <c r="H805" s="7" t="n">
        <v>32</v>
      </c>
      <c r="I805" s="6" t="inlineStr">
        <is>
          <t>Contango(远强)</t>
        </is>
      </c>
    </row>
    <row r="806">
      <c r="A806" s="11" t="inlineStr">
        <is>
          <t>2025-12-15</t>
        </is>
      </c>
      <c r="B806" s="11" t="inlineStr">
        <is>
          <t>MA2605</t>
        </is>
      </c>
      <c r="C806" s="11" t="inlineStr">
        <is>
          <t>2026-05</t>
        </is>
      </c>
      <c r="D806" s="14" t="n">
        <v>847558</v>
      </c>
      <c r="E806" s="11" t="n">
        <v>99</v>
      </c>
      <c r="F806" s="11" t="n">
        <v>0</v>
      </c>
      <c r="G806" s="11" t="n">
        <v>0</v>
      </c>
      <c r="H806" s="12" t="n">
        <v>50</v>
      </c>
      <c r="I806" s="11" t="inlineStr">
        <is>
          <t>结构不明</t>
        </is>
      </c>
    </row>
    <row r="807">
      <c r="A807" s="6" t="inlineStr">
        <is>
          <t>2025-12-16</t>
        </is>
      </c>
      <c r="B807" s="6" t="inlineStr">
        <is>
          <t>MA2605</t>
        </is>
      </c>
      <c r="C807" s="6" t="inlineStr">
        <is>
          <t>2026-05</t>
        </is>
      </c>
      <c r="D807" s="9" t="n">
        <v>896627</v>
      </c>
      <c r="E807" s="6" t="n">
        <v>98</v>
      </c>
      <c r="F807" s="6" t="n">
        <v>0</v>
      </c>
      <c r="G807" s="6" t="n">
        <v>0</v>
      </c>
      <c r="H807" s="7" t="n">
        <v>50</v>
      </c>
      <c r="I807" s="6" t="inlineStr">
        <is>
          <t>结构不明</t>
        </is>
      </c>
    </row>
    <row r="808">
      <c r="A808" s="11" t="inlineStr">
        <is>
          <t>2025-12-17</t>
        </is>
      </c>
      <c r="B808" s="11" t="inlineStr">
        <is>
          <t>MA2605</t>
        </is>
      </c>
      <c r="C808" s="11" t="inlineStr">
        <is>
          <t>2026-05</t>
        </is>
      </c>
      <c r="D808" s="14" t="n">
        <v>874732</v>
      </c>
      <c r="E808" s="11" t="n">
        <v>97</v>
      </c>
      <c r="F808" s="11" t="n">
        <v>0</v>
      </c>
      <c r="G808" s="11" t="n">
        <v>0</v>
      </c>
      <c r="H808" s="12" t="n">
        <v>45</v>
      </c>
      <c r="I808" s="11" t="inlineStr">
        <is>
          <t>结构不明</t>
        </is>
      </c>
    </row>
    <row r="809">
      <c r="A809" s="6" t="inlineStr">
        <is>
          <t>2025-12-18</t>
        </is>
      </c>
      <c r="B809" s="6" t="inlineStr">
        <is>
          <t>MA2605</t>
        </is>
      </c>
      <c r="C809" s="6" t="inlineStr">
        <is>
          <t>2026-05</t>
        </is>
      </c>
      <c r="D809" s="9" t="n">
        <v>867499</v>
      </c>
      <c r="E809" s="6" t="n">
        <v>96</v>
      </c>
      <c r="F809" s="6" t="n">
        <v>0</v>
      </c>
      <c r="G809" s="6" t="n">
        <v>0</v>
      </c>
      <c r="H809" s="7" t="n">
        <v>42</v>
      </c>
      <c r="I809" s="6" t="inlineStr">
        <is>
          <t>结构不明</t>
        </is>
      </c>
    </row>
    <row r="810">
      <c r="A810" s="11" t="inlineStr">
        <is>
          <t>2025-12-19</t>
        </is>
      </c>
      <c r="B810" s="11" t="inlineStr">
        <is>
          <t>MA2605</t>
        </is>
      </c>
      <c r="C810" s="11" t="inlineStr">
        <is>
          <t>2026-05</t>
        </is>
      </c>
      <c r="D810" s="14" t="n">
        <v>868575</v>
      </c>
      <c r="E810" s="11" t="n">
        <v>95</v>
      </c>
      <c r="F810" s="11" t="n">
        <v>0</v>
      </c>
      <c r="G810" s="11" t="n">
        <v>0</v>
      </c>
      <c r="H810" s="12" t="n">
        <v>32</v>
      </c>
      <c r="I810" s="11" t="inlineStr">
        <is>
          <t>Contango(远强)</t>
        </is>
      </c>
    </row>
    <row r="811">
      <c r="A811" s="6" t="inlineStr">
        <is>
          <t>2025-12-22</t>
        </is>
      </c>
      <c r="B811" s="6" t="inlineStr">
        <is>
          <t>MA2605</t>
        </is>
      </c>
      <c r="C811" s="6" t="inlineStr">
        <is>
          <t>2026-05</t>
        </is>
      </c>
      <c r="D811" s="9" t="n">
        <v>847144</v>
      </c>
      <c r="E811" s="6" t="n">
        <v>94</v>
      </c>
      <c r="F811" s="6" t="n">
        <v>0</v>
      </c>
      <c r="G811" s="6" t="n">
        <v>0</v>
      </c>
      <c r="H811" s="7" t="n">
        <v>39</v>
      </c>
      <c r="I811" s="6" t="inlineStr">
        <is>
          <t>结构不明</t>
        </is>
      </c>
    </row>
    <row r="812">
      <c r="A812" s="11" t="inlineStr">
        <is>
          <t>2025-12-23</t>
        </is>
      </c>
      <c r="B812" s="11" t="inlineStr">
        <is>
          <t>MA2605</t>
        </is>
      </c>
      <c r="C812" s="11" t="inlineStr">
        <is>
          <t>2026-05</t>
        </is>
      </c>
      <c r="D812" s="14" t="n">
        <v>855385</v>
      </c>
      <c r="E812" s="11" t="n">
        <v>93</v>
      </c>
      <c r="F812" s="11" t="n">
        <v>0</v>
      </c>
      <c r="G812" s="11" t="n">
        <v>0</v>
      </c>
      <c r="H812" s="12" t="n">
        <v>26</v>
      </c>
      <c r="I812" s="11" t="inlineStr">
        <is>
          <t>Contango(远强)</t>
        </is>
      </c>
    </row>
    <row r="813">
      <c r="A813" s="6" t="inlineStr">
        <is>
          <t>2025-12-24</t>
        </is>
      </c>
      <c r="B813" s="6" t="inlineStr">
        <is>
          <t>MA2605</t>
        </is>
      </c>
      <c r="C813" s="6" t="inlineStr">
        <is>
          <t>2026-05</t>
        </is>
      </c>
      <c r="D813" s="9" t="n">
        <v>797941</v>
      </c>
      <c r="E813" s="6" t="n">
        <v>92</v>
      </c>
      <c r="F813" s="6" t="n">
        <v>0</v>
      </c>
      <c r="G813" s="6" t="n">
        <v>0</v>
      </c>
      <c r="H813" s="7" t="n">
        <v>38</v>
      </c>
      <c r="I813" s="6" t="inlineStr">
        <is>
          <t>结构不明</t>
        </is>
      </c>
    </row>
    <row r="814">
      <c r="A814" s="11" t="inlineStr">
        <is>
          <t>2025-12-25</t>
        </is>
      </c>
      <c r="B814" s="11" t="inlineStr">
        <is>
          <t>MA2605</t>
        </is>
      </c>
      <c r="C814" s="11" t="inlineStr">
        <is>
          <t>2026-05</t>
        </is>
      </c>
      <c r="D814" s="14" t="n">
        <v>794131</v>
      </c>
      <c r="E814" s="11" t="n">
        <v>91</v>
      </c>
      <c r="F814" s="11" t="n">
        <v>0</v>
      </c>
      <c r="G814" s="11" t="n">
        <v>0</v>
      </c>
      <c r="H814" s="12" t="n">
        <v>33</v>
      </c>
      <c r="I814" s="11" t="inlineStr">
        <is>
          <t>Contango(远强)</t>
        </is>
      </c>
    </row>
    <row r="815">
      <c r="A815" s="6" t="inlineStr">
        <is>
          <t>2025-12-26</t>
        </is>
      </c>
      <c r="B815" s="6" t="inlineStr">
        <is>
          <t>MA2605</t>
        </is>
      </c>
      <c r="C815" s="6" t="inlineStr">
        <is>
          <t>2026-05</t>
        </is>
      </c>
      <c r="D815" s="9" t="n">
        <v>781934</v>
      </c>
      <c r="E815" s="6" t="n">
        <v>90</v>
      </c>
      <c r="F815" s="6" t="n">
        <v>0</v>
      </c>
      <c r="G815" s="6" t="n">
        <v>0</v>
      </c>
      <c r="H815" s="7" t="n">
        <v>31</v>
      </c>
      <c r="I815" s="6" t="inlineStr">
        <is>
          <t>Contango(远强)</t>
        </is>
      </c>
    </row>
    <row r="816">
      <c r="A816" s="11" t="inlineStr">
        <is>
          <t>2025-12-29</t>
        </is>
      </c>
      <c r="B816" s="11" t="inlineStr">
        <is>
          <t>MA2605</t>
        </is>
      </c>
      <c r="C816" s="11" t="inlineStr">
        <is>
          <t>2026-05</t>
        </is>
      </c>
      <c r="D816" s="14" t="n">
        <v>773858</v>
      </c>
      <c r="E816" s="11" t="n">
        <v>89</v>
      </c>
      <c r="F816" s="11" t="n">
        <v>0</v>
      </c>
      <c r="G816" s="11" t="n">
        <v>0</v>
      </c>
      <c r="H816" s="12" t="n">
        <v>31</v>
      </c>
      <c r="I816" s="11" t="inlineStr">
        <is>
          <t>Contango(远强)</t>
        </is>
      </c>
    </row>
    <row r="817">
      <c r="A817" s="6" t="inlineStr">
        <is>
          <t>2025-12-30</t>
        </is>
      </c>
      <c r="B817" s="6" t="inlineStr">
        <is>
          <t>MA2605</t>
        </is>
      </c>
      <c r="C817" s="6" t="inlineStr">
        <is>
          <t>2026-05</t>
        </is>
      </c>
      <c r="D817" s="9" t="n">
        <v>814284</v>
      </c>
      <c r="E817" s="6" t="n">
        <v>88</v>
      </c>
      <c r="F817" s="6" t="n">
        <v>0</v>
      </c>
      <c r="G817" s="6" t="n">
        <v>0</v>
      </c>
      <c r="H817" s="7" t="n">
        <v>28</v>
      </c>
      <c r="I817" s="6" t="inlineStr">
        <is>
          <t>Contango(远强)</t>
        </is>
      </c>
    </row>
    <row r="818">
      <c r="A818" s="11" t="inlineStr">
        <is>
          <t>2025-12-31</t>
        </is>
      </c>
      <c r="B818" s="11" t="inlineStr">
        <is>
          <t>MA2605</t>
        </is>
      </c>
      <c r="C818" s="11" t="inlineStr">
        <is>
          <t>2026-05</t>
        </is>
      </c>
      <c r="D818" s="14" t="n">
        <v>731388</v>
      </c>
      <c r="E818" s="11" t="n">
        <v>87</v>
      </c>
      <c r="F818" s="11" t="n">
        <v>0</v>
      </c>
      <c r="G818" s="11" t="n">
        <v>0</v>
      </c>
      <c r="H818" s="12" t="n">
        <v>26</v>
      </c>
      <c r="I818" s="11" t="inlineStr">
        <is>
          <t>Contango(远强)</t>
        </is>
      </c>
    </row>
    <row r="819">
      <c r="A819" s="6" t="inlineStr">
        <is>
          <t>2026-01-05</t>
        </is>
      </c>
      <c r="B819" s="6" t="inlineStr">
        <is>
          <t>MA2605</t>
        </is>
      </c>
      <c r="C819" s="6" t="inlineStr">
        <is>
          <t>2026-05</t>
        </is>
      </c>
      <c r="D819" s="9" t="n">
        <v>773584</v>
      </c>
      <c r="E819" s="6" t="n">
        <v>86</v>
      </c>
      <c r="F819" s="6" t="n">
        <v>0</v>
      </c>
      <c r="G819" s="6" t="n">
        <v>0</v>
      </c>
      <c r="H819" s="7" t="n">
        <v>24</v>
      </c>
      <c r="I819" s="6" t="inlineStr">
        <is>
          <t>Contango(远强)</t>
        </is>
      </c>
    </row>
    <row r="820">
      <c r="A820" s="11" t="inlineStr">
        <is>
          <t>2026-01-06</t>
        </is>
      </c>
      <c r="B820" s="11" t="inlineStr">
        <is>
          <t>MA2605</t>
        </is>
      </c>
      <c r="C820" s="11" t="inlineStr">
        <is>
          <t>2026-05</t>
        </is>
      </c>
      <c r="D820" s="14" t="n">
        <v>824536</v>
      </c>
      <c r="E820" s="11" t="n">
        <v>85</v>
      </c>
      <c r="F820" s="11" t="n">
        <v>0</v>
      </c>
      <c r="G820" s="11" t="n">
        <v>0</v>
      </c>
      <c r="H820" s="12" t="n">
        <v>25</v>
      </c>
      <c r="I820" s="11" t="inlineStr">
        <is>
          <t>Contango(远强)</t>
        </is>
      </c>
    </row>
    <row r="821">
      <c r="A821" s="6" t="inlineStr">
        <is>
          <t>2026-01-07</t>
        </is>
      </c>
      <c r="B821" s="6" t="inlineStr">
        <is>
          <t>MA2605</t>
        </is>
      </c>
      <c r="C821" s="6" t="inlineStr">
        <is>
          <t>2026-05</t>
        </is>
      </c>
      <c r="D821" s="9" t="n">
        <v>818847</v>
      </c>
      <c r="E821" s="6" t="n">
        <v>84</v>
      </c>
      <c r="F821" s="6" t="n">
        <v>0</v>
      </c>
      <c r="G821" s="6" t="n">
        <v>0</v>
      </c>
      <c r="H821" s="7" t="n">
        <v>32</v>
      </c>
      <c r="I821" s="6" t="inlineStr">
        <is>
          <t>Contango(远强)</t>
        </is>
      </c>
    </row>
    <row r="822">
      <c r="A822" s="11" t="inlineStr">
        <is>
          <t>2026-01-08</t>
        </is>
      </c>
      <c r="B822" s="11" t="inlineStr">
        <is>
          <t>MA2605</t>
        </is>
      </c>
      <c r="C822" s="11" t="inlineStr">
        <is>
          <t>2026-05</t>
        </is>
      </c>
      <c r="D822" s="14" t="n">
        <v>870199</v>
      </c>
      <c r="E822" s="11" t="n">
        <v>83</v>
      </c>
      <c r="F822" s="11" t="n">
        <v>0</v>
      </c>
      <c r="G822" s="11" t="n">
        <v>0</v>
      </c>
      <c r="H822" s="12" t="n">
        <v>36</v>
      </c>
      <c r="I822" s="11" t="inlineStr">
        <is>
          <t>Contango(远强)</t>
        </is>
      </c>
    </row>
    <row r="823">
      <c r="A823" s="6" t="inlineStr">
        <is>
          <t>2026-01-09</t>
        </is>
      </c>
      <c r="B823" s="6" t="inlineStr">
        <is>
          <t>MA2605</t>
        </is>
      </c>
      <c r="C823" s="6" t="inlineStr">
        <is>
          <t>2026-05</t>
        </is>
      </c>
      <c r="D823" s="9" t="n">
        <v>812955</v>
      </c>
      <c r="E823" s="6" t="n">
        <v>82</v>
      </c>
      <c r="F823" s="6" t="n">
        <v>0</v>
      </c>
      <c r="G823" s="6" t="n">
        <v>0</v>
      </c>
      <c r="H823" s="7" t="n">
        <v>33</v>
      </c>
      <c r="I823" s="6" t="inlineStr">
        <is>
          <t>Contango(远强)</t>
        </is>
      </c>
    </row>
    <row r="824">
      <c r="A824" s="11" t="inlineStr">
        <is>
          <t>2026-01-12</t>
        </is>
      </c>
      <c r="B824" s="11" t="inlineStr">
        <is>
          <t>MA2605</t>
        </is>
      </c>
      <c r="C824" s="11" t="inlineStr">
        <is>
          <t>2026-05</t>
        </is>
      </c>
      <c r="D824" s="14" t="n">
        <v>863591</v>
      </c>
      <c r="E824" s="11" t="n">
        <v>81</v>
      </c>
      <c r="F824" s="11" t="n">
        <v>0</v>
      </c>
      <c r="G824" s="11" t="n">
        <v>0</v>
      </c>
      <c r="H824" s="12" t="n">
        <v>38</v>
      </c>
      <c r="I824" s="11" t="inlineStr">
        <is>
          <t>Contango(远强)</t>
        </is>
      </c>
    </row>
    <row r="825">
      <c r="A825" s="6" t="inlineStr">
        <is>
          <t>2026-01-13</t>
        </is>
      </c>
      <c r="B825" s="6" t="inlineStr">
        <is>
          <t>MA2605</t>
        </is>
      </c>
      <c r="C825" s="6" t="inlineStr">
        <is>
          <t>2026-05</t>
        </is>
      </c>
      <c r="D825" s="9" t="n">
        <v>830030</v>
      </c>
      <c r="E825" s="6" t="n">
        <v>80</v>
      </c>
      <c r="F825" s="6" t="n">
        <v>0</v>
      </c>
      <c r="G825" s="6" t="n">
        <v>0</v>
      </c>
      <c r="H825" s="7" t="n">
        <v>94</v>
      </c>
      <c r="I825" s="6" t="inlineStr">
        <is>
          <t>Back(近强)</t>
        </is>
      </c>
    </row>
    <row r="826">
      <c r="A826" s="11" t="inlineStr">
        <is>
          <t>2026-01-14</t>
        </is>
      </c>
      <c r="B826" s="11" t="inlineStr">
        <is>
          <t>MA2605</t>
        </is>
      </c>
      <c r="C826" s="11" t="inlineStr">
        <is>
          <t>2026-05</t>
        </is>
      </c>
      <c r="D826" s="14" t="n">
        <v>823784</v>
      </c>
      <c r="E826" s="11" t="n">
        <v>79</v>
      </c>
      <c r="F826" s="11" t="n">
        <v>0</v>
      </c>
      <c r="G826" s="11" t="n">
        <v>0</v>
      </c>
      <c r="H826" s="12" t="n">
        <v>37</v>
      </c>
      <c r="I826" s="11" t="inlineStr">
        <is>
          <t>Contango(远强)</t>
        </is>
      </c>
    </row>
    <row r="827">
      <c r="A827" s="6" t="inlineStr">
        <is>
          <t>2026-01-15</t>
        </is>
      </c>
      <c r="B827" s="6" t="inlineStr">
        <is>
          <t>MA2605</t>
        </is>
      </c>
      <c r="C827" s="6" t="inlineStr">
        <is>
          <t>2026-05</t>
        </is>
      </c>
      <c r="D827" s="9" t="n">
        <v>829375</v>
      </c>
      <c r="E827" s="6" t="n">
        <v>78</v>
      </c>
      <c r="F827" s="6" t="n">
        <v>0</v>
      </c>
      <c r="G827" s="6" t="n">
        <v>0</v>
      </c>
      <c r="H827" s="7" t="n">
        <v>115</v>
      </c>
      <c r="I827" s="6" t="inlineStr">
        <is>
          <t>Back(近强)</t>
        </is>
      </c>
    </row>
    <row r="828">
      <c r="A828" s="11" t="inlineStr">
        <is>
          <t>2026-01-16</t>
        </is>
      </c>
      <c r="B828" s="11" t="inlineStr">
        <is>
          <t>MA2605</t>
        </is>
      </c>
      <c r="C828" s="11" t="inlineStr">
        <is>
          <t>2026-05</t>
        </is>
      </c>
      <c r="D828" s="14" t="n">
        <v>824058</v>
      </c>
      <c r="E828" s="11" t="n">
        <v>77</v>
      </c>
      <c r="F828" s="11" t="n">
        <v>0</v>
      </c>
      <c r="G828" s="11" t="n">
        <v>0</v>
      </c>
      <c r="H828" s="12" t="n">
        <v>84</v>
      </c>
      <c r="I828" s="11" t="inlineStr">
        <is>
          <t>Back(近强)</t>
        </is>
      </c>
    </row>
    <row r="829">
      <c r="A829" s="6" t="inlineStr">
        <is>
          <t>2026-01-19</t>
        </is>
      </c>
      <c r="B829" s="6" t="inlineStr">
        <is>
          <t>MA2605</t>
        </is>
      </c>
      <c r="C829" s="6" t="inlineStr">
        <is>
          <t>2026-05</t>
        </is>
      </c>
      <c r="D829" s="9" t="n">
        <v>858519</v>
      </c>
      <c r="E829" s="6" t="n">
        <v>76</v>
      </c>
      <c r="F829" s="6" t="n">
        <v>0</v>
      </c>
      <c r="G829" s="6" t="n">
        <v>0</v>
      </c>
      <c r="H829" s="7" t="n">
        <v>35</v>
      </c>
      <c r="I829" s="6" t="inlineStr">
        <is>
          <t>Contango(远强)</t>
        </is>
      </c>
    </row>
    <row r="830">
      <c r="A830" s="11" t="inlineStr">
        <is>
          <t>2026-01-20</t>
        </is>
      </c>
      <c r="B830" s="11" t="inlineStr">
        <is>
          <t>MA2605</t>
        </is>
      </c>
      <c r="C830" s="11" t="inlineStr">
        <is>
          <t>2026-05</t>
        </is>
      </c>
      <c r="D830" s="14" t="n">
        <v>830923</v>
      </c>
      <c r="E830" s="11" t="n">
        <v>75</v>
      </c>
      <c r="F830" s="11" t="n">
        <v>0</v>
      </c>
      <c r="G830" s="11" t="n">
        <v>0</v>
      </c>
      <c r="H830" s="12" t="n">
        <v>28</v>
      </c>
      <c r="I830" s="11" t="inlineStr">
        <is>
          <t>Contango(远强)</t>
        </is>
      </c>
    </row>
    <row r="831">
      <c r="A831" s="6" t="inlineStr">
        <is>
          <t>2026-01-21</t>
        </is>
      </c>
      <c r="B831" s="6" t="inlineStr">
        <is>
          <t>MA2605</t>
        </is>
      </c>
      <c r="C831" s="6" t="inlineStr">
        <is>
          <t>2026-05</t>
        </is>
      </c>
      <c r="D831" s="9" t="n">
        <v>848962</v>
      </c>
      <c r="E831" s="6" t="n">
        <v>74</v>
      </c>
      <c r="F831" s="6" t="n">
        <v>0</v>
      </c>
      <c r="G831" s="6" t="n">
        <v>0</v>
      </c>
      <c r="H831" s="7" t="n">
        <v>26</v>
      </c>
      <c r="I831" s="6" t="inlineStr">
        <is>
          <t>Contango(远强)</t>
        </is>
      </c>
    </row>
    <row r="832">
      <c r="A832" s="11" t="inlineStr">
        <is>
          <t>2026-01-22</t>
        </is>
      </c>
      <c r="B832" s="11" t="inlineStr">
        <is>
          <t>MA2605</t>
        </is>
      </c>
      <c r="C832" s="11" t="inlineStr">
        <is>
          <t>2026-05</t>
        </is>
      </c>
      <c r="D832" s="14" t="n">
        <v>817171</v>
      </c>
      <c r="E832" s="11" t="n">
        <v>73</v>
      </c>
      <c r="F832" s="11" t="n">
        <v>0</v>
      </c>
      <c r="G832" s="11" t="n">
        <v>0</v>
      </c>
      <c r="H832" s="12" t="n">
        <v>30</v>
      </c>
      <c r="I832" s="11" t="inlineStr">
        <is>
          <t>Contango(远强)</t>
        </is>
      </c>
    </row>
    <row r="833">
      <c r="A833" s="6" t="inlineStr">
        <is>
          <t>2026-01-23</t>
        </is>
      </c>
      <c r="B833" s="6" t="inlineStr">
        <is>
          <t>MA2605</t>
        </is>
      </c>
      <c r="C833" s="6" t="inlineStr">
        <is>
          <t>2026-05</t>
        </is>
      </c>
      <c r="D833" s="9" t="n">
        <v>806994</v>
      </c>
      <c r="E833" s="6" t="n">
        <v>72</v>
      </c>
      <c r="F833" s="6" t="n">
        <v>0</v>
      </c>
      <c r="G833" s="6" t="n">
        <v>0</v>
      </c>
      <c r="H833" s="7" t="n">
        <v>46</v>
      </c>
      <c r="I833" s="6" t="inlineStr">
        <is>
          <t>结构不明</t>
        </is>
      </c>
    </row>
    <row r="834">
      <c r="A834" s="11" t="inlineStr">
        <is>
          <t>2026-01-26</t>
        </is>
      </c>
      <c r="B834" s="11" t="inlineStr">
        <is>
          <t>MA2605</t>
        </is>
      </c>
      <c r="C834" s="11" t="inlineStr">
        <is>
          <t>2026-05</t>
        </is>
      </c>
      <c r="D834" s="14" t="n">
        <v>855550</v>
      </c>
      <c r="E834" s="11" t="n">
        <v>71</v>
      </c>
      <c r="F834" s="11" t="n">
        <v>0</v>
      </c>
      <c r="G834" s="11" t="n">
        <v>0</v>
      </c>
      <c r="H834" s="12" t="n">
        <v>45</v>
      </c>
      <c r="I834" s="11" t="inlineStr">
        <is>
          <t>结构不明</t>
        </is>
      </c>
    </row>
    <row r="835">
      <c r="A835" s="6" t="inlineStr">
        <is>
          <t>2026-01-27</t>
        </is>
      </c>
      <c r="B835" s="6" t="inlineStr">
        <is>
          <t>MA2605</t>
        </is>
      </c>
      <c r="C835" s="6" t="inlineStr">
        <is>
          <t>2026-05</t>
        </is>
      </c>
      <c r="D835" s="9" t="n">
        <v>846819</v>
      </c>
      <c r="E835" s="6" t="n">
        <v>70</v>
      </c>
      <c r="F835" s="6" t="n">
        <v>0</v>
      </c>
      <c r="G835" s="6" t="n">
        <v>0</v>
      </c>
      <c r="H835" s="7" t="n">
        <v>54</v>
      </c>
      <c r="I835" s="6" t="inlineStr">
        <is>
          <t>结构不明</t>
        </is>
      </c>
    </row>
    <row r="836">
      <c r="A836" s="11" t="inlineStr">
        <is>
          <t>2026-01-28</t>
        </is>
      </c>
      <c r="B836" s="11" t="inlineStr">
        <is>
          <t>MA2605</t>
        </is>
      </c>
      <c r="C836" s="11" t="inlineStr">
        <is>
          <t>2026-05</t>
        </is>
      </c>
      <c r="D836" s="14" t="n">
        <v>824556</v>
      </c>
      <c r="E836" s="11" t="n">
        <v>69</v>
      </c>
      <c r="F836" s="11" t="n">
        <v>0</v>
      </c>
      <c r="G836" s="11" t="n">
        <v>0</v>
      </c>
      <c r="H836" s="12" t="n">
        <v>54</v>
      </c>
      <c r="I836" s="11" t="inlineStr">
        <is>
          <t>结构不明</t>
        </is>
      </c>
    </row>
    <row r="837">
      <c r="A837" s="6" t="inlineStr">
        <is>
          <t>2026-01-29</t>
        </is>
      </c>
      <c r="B837" s="6" t="inlineStr">
        <is>
          <t>MA2605</t>
        </is>
      </c>
      <c r="C837" s="6" t="inlineStr">
        <is>
          <t>2026-05</t>
        </is>
      </c>
      <c r="D837" s="9" t="n">
        <v>815097</v>
      </c>
      <c r="E837" s="6" t="n">
        <v>68</v>
      </c>
      <c r="F837" s="6" t="n">
        <v>0</v>
      </c>
      <c r="G837" s="6" t="n">
        <v>0</v>
      </c>
      <c r="H837" s="7" t="n">
        <v>47</v>
      </c>
      <c r="I837" s="6" t="inlineStr">
        <is>
          <t>结构不明</t>
        </is>
      </c>
    </row>
    <row r="838">
      <c r="A838" s="11" t="inlineStr">
        <is>
          <t>2026-01-30</t>
        </is>
      </c>
      <c r="B838" s="11" t="inlineStr">
        <is>
          <t>MA2605</t>
        </is>
      </c>
      <c r="C838" s="11" t="inlineStr">
        <is>
          <t>2026-05</t>
        </is>
      </c>
      <c r="D838" s="14" t="n">
        <v>827100</v>
      </c>
      <c r="E838" s="11" t="n">
        <v>67</v>
      </c>
      <c r="F838" s="11" t="n">
        <v>0</v>
      </c>
      <c r="G838" s="11" t="n">
        <v>0</v>
      </c>
      <c r="H838" s="12" t="n">
        <v>60</v>
      </c>
      <c r="I838" s="11" t="inlineStr">
        <is>
          <t>Back(近强)</t>
        </is>
      </c>
    </row>
    <row r="839">
      <c r="A839" s="6" t="inlineStr">
        <is>
          <t>2026-02-02</t>
        </is>
      </c>
      <c r="B839" s="6" t="inlineStr">
        <is>
          <t>MA2605</t>
        </is>
      </c>
      <c r="C839" s="6" t="inlineStr">
        <is>
          <t>2026-05</t>
        </is>
      </c>
      <c r="D839" s="9" t="n">
        <v>813310</v>
      </c>
      <c r="E839" s="6" t="n">
        <v>66</v>
      </c>
      <c r="F839" s="6" t="n">
        <v>0</v>
      </c>
      <c r="G839" s="6" t="n">
        <v>0</v>
      </c>
      <c r="H839" s="7" t="n">
        <v>42</v>
      </c>
      <c r="I839" s="6" t="inlineStr">
        <is>
          <t>结构不明</t>
        </is>
      </c>
    </row>
    <row r="840">
      <c r="A840" s="11" t="inlineStr">
        <is>
          <t>2026-02-03</t>
        </is>
      </c>
      <c r="B840" s="11" t="inlineStr">
        <is>
          <t>MA2605</t>
        </is>
      </c>
      <c r="C840" s="11" t="inlineStr">
        <is>
          <t>2026-05</t>
        </is>
      </c>
      <c r="D840" s="14" t="n">
        <v>817035</v>
      </c>
      <c r="E840" s="11" t="n">
        <v>65</v>
      </c>
      <c r="F840" s="11" t="n">
        <v>0</v>
      </c>
      <c r="G840" s="11" t="n">
        <v>0</v>
      </c>
      <c r="H840" s="12" t="n">
        <v>26</v>
      </c>
      <c r="I840" s="11" t="inlineStr">
        <is>
          <t>Contango(远强)</t>
        </is>
      </c>
    </row>
    <row r="841">
      <c r="A841" s="6" t="inlineStr">
        <is>
          <t>2026-02-04</t>
        </is>
      </c>
      <c r="B841" s="6" t="inlineStr">
        <is>
          <t>MA2605</t>
        </is>
      </c>
      <c r="C841" s="6" t="inlineStr">
        <is>
          <t>2026-05</t>
        </is>
      </c>
      <c r="D841" s="9" t="n">
        <v>821944</v>
      </c>
      <c r="E841" s="6" t="n">
        <v>64</v>
      </c>
      <c r="F841" s="6" t="n">
        <v>0</v>
      </c>
      <c r="G841" s="6" t="n">
        <v>0</v>
      </c>
      <c r="H841" s="7" t="n">
        <v>26</v>
      </c>
      <c r="I841" s="6" t="inlineStr">
        <is>
          <t>Contango(远强)</t>
        </is>
      </c>
    </row>
    <row r="842">
      <c r="A842" s="11" t="inlineStr">
        <is>
          <t>2026-02-05</t>
        </is>
      </c>
      <c r="B842" s="11" t="inlineStr">
        <is>
          <t>MA2605</t>
        </is>
      </c>
      <c r="C842" s="11" t="inlineStr">
        <is>
          <t>2026-05</t>
        </is>
      </c>
      <c r="D842" s="14" t="n">
        <v>858053</v>
      </c>
      <c r="E842" s="11" t="n">
        <v>63</v>
      </c>
      <c r="F842" s="11" t="n">
        <v>0</v>
      </c>
      <c r="G842" s="11" t="n">
        <v>0</v>
      </c>
      <c r="H842" s="12" t="n">
        <v>25</v>
      </c>
      <c r="I842" s="11" t="inlineStr">
        <is>
          <t>Contango(远强)</t>
        </is>
      </c>
    </row>
    <row r="843">
      <c r="A843" s="6" t="inlineStr">
        <is>
          <t>2026-02-06</t>
        </is>
      </c>
      <c r="B843" s="6" t="inlineStr">
        <is>
          <t>MA2605</t>
        </is>
      </c>
      <c r="C843" s="6" t="inlineStr">
        <is>
          <t>2026-05</t>
        </is>
      </c>
      <c r="D843" s="9" t="n">
        <v>826289</v>
      </c>
      <c r="E843" s="6" t="n">
        <v>62</v>
      </c>
      <c r="F843" s="6" t="n">
        <v>0</v>
      </c>
      <c r="G843" s="6" t="n">
        <v>0</v>
      </c>
      <c r="H843" s="7" t="n">
        <v>24</v>
      </c>
      <c r="I843" s="6" t="inlineStr">
        <is>
          <t>Contango(远强)</t>
        </is>
      </c>
    </row>
    <row r="844">
      <c r="A844" s="11" t="inlineStr">
        <is>
          <t>2026-02-09</t>
        </is>
      </c>
      <c r="B844" s="11" t="inlineStr">
        <is>
          <t>MA2605</t>
        </is>
      </c>
      <c r="C844" s="11" t="inlineStr">
        <is>
          <t>2026-05</t>
        </is>
      </c>
      <c r="D844" s="14" t="n">
        <v>831646</v>
      </c>
      <c r="E844" s="11" t="n">
        <v>61</v>
      </c>
      <c r="F844" s="11" t="n">
        <v>0</v>
      </c>
      <c r="G844" s="11" t="n">
        <v>0</v>
      </c>
      <c r="H844" s="12" t="n">
        <v>-2</v>
      </c>
      <c r="I844" s="11" t="inlineStr">
        <is>
          <t>Contango(远强)</t>
        </is>
      </c>
    </row>
    <row r="845">
      <c r="A845" s="6" t="inlineStr">
        <is>
          <t>2026-02-10</t>
        </is>
      </c>
      <c r="B845" s="6" t="inlineStr">
        <is>
          <t>MA2605</t>
        </is>
      </c>
      <c r="C845" s="6" t="inlineStr">
        <is>
          <t>2026-05</t>
        </is>
      </c>
      <c r="D845" s="9" t="n">
        <v>807370</v>
      </c>
      <c r="E845" s="6" t="n">
        <v>60</v>
      </c>
      <c r="F845" s="6" t="n">
        <v>0</v>
      </c>
      <c r="G845" s="6" t="n">
        <v>0</v>
      </c>
      <c r="H845" s="7" t="n">
        <v>37</v>
      </c>
      <c r="I845" s="6" t="inlineStr">
        <is>
          <t>Contango(远强)</t>
        </is>
      </c>
    </row>
    <row r="846">
      <c r="A846" s="11" t="inlineStr">
        <is>
          <t>2026-02-11</t>
        </is>
      </c>
      <c r="B846" s="11" t="inlineStr">
        <is>
          <t>MA2605</t>
        </is>
      </c>
      <c r="C846" s="11" t="inlineStr">
        <is>
          <t>2026-05</t>
        </is>
      </c>
      <c r="D846" s="14" t="n">
        <v>786703</v>
      </c>
      <c r="E846" s="11" t="n">
        <v>59</v>
      </c>
      <c r="F846" s="11" t="n">
        <v>0</v>
      </c>
      <c r="G846" s="11" t="n">
        <v>0</v>
      </c>
      <c r="H846" s="12" t="n">
        <v>118</v>
      </c>
      <c r="I846" s="11" t="inlineStr">
        <is>
          <t>Back(近强)</t>
        </is>
      </c>
    </row>
    <row r="847">
      <c r="A847" s="6" t="inlineStr">
        <is>
          <t>2026-02-12</t>
        </is>
      </c>
      <c r="B847" s="6" t="inlineStr">
        <is>
          <t>MA2605</t>
        </is>
      </c>
      <c r="C847" s="6" t="inlineStr">
        <is>
          <t>2026-05</t>
        </is>
      </c>
      <c r="D847" s="9" t="n">
        <v>758354</v>
      </c>
      <c r="E847" s="6" t="n">
        <v>58</v>
      </c>
      <c r="F847" s="6" t="n">
        <v>0</v>
      </c>
      <c r="G847" s="6" t="n">
        <v>0</v>
      </c>
      <c r="H847" s="7" t="n">
        <v>51</v>
      </c>
      <c r="I847" s="6" t="inlineStr">
        <is>
          <t>结构不明</t>
        </is>
      </c>
    </row>
    <row r="848">
      <c r="A848" s="11" t="inlineStr">
        <is>
          <t>2026-02-13</t>
        </is>
      </c>
      <c r="B848" s="11" t="inlineStr">
        <is>
          <t>MA2605</t>
        </is>
      </c>
      <c r="C848" s="11" t="inlineStr">
        <is>
          <t>2026-05</t>
        </is>
      </c>
      <c r="D848" s="14" t="n">
        <v>737401</v>
      </c>
      <c r="E848" s="11" t="n">
        <v>57</v>
      </c>
      <c r="F848" s="11" t="n">
        <v>0</v>
      </c>
      <c r="G848" s="11" t="n">
        <v>0</v>
      </c>
      <c r="H848" s="12" t="n">
        <v>29</v>
      </c>
      <c r="I848" s="11" t="inlineStr">
        <is>
          <t>Contango(远强)</t>
        </is>
      </c>
    </row>
    <row r="849">
      <c r="A849" s="6" t="inlineStr">
        <is>
          <t>2026-02-24</t>
        </is>
      </c>
      <c r="B849" s="6" t="inlineStr">
        <is>
          <t>MA2605</t>
        </is>
      </c>
      <c r="C849" s="6" t="inlineStr">
        <is>
          <t>2026-05</t>
        </is>
      </c>
      <c r="D849" s="9" t="n">
        <v>745441</v>
      </c>
      <c r="E849" s="6" t="n">
        <v>56</v>
      </c>
      <c r="F849" s="6" t="n">
        <v>0</v>
      </c>
      <c r="G849" s="6" t="n">
        <v>0</v>
      </c>
      <c r="H849" s="7" t="n">
        <v>37</v>
      </c>
      <c r="I849" s="6" t="inlineStr">
        <is>
          <t>Contango(远强)</t>
        </is>
      </c>
    </row>
    <row r="850">
      <c r="A850" s="11" t="inlineStr">
        <is>
          <t>2026-02-25</t>
        </is>
      </c>
      <c r="B850" s="11" t="inlineStr">
        <is>
          <t>MA2605</t>
        </is>
      </c>
      <c r="C850" s="11" t="inlineStr">
        <is>
          <t>2026-05</t>
        </is>
      </c>
      <c r="D850" s="14" t="n">
        <v>795241</v>
      </c>
      <c r="E850" s="11" t="n">
        <v>55</v>
      </c>
      <c r="F850" s="11" t="n">
        <v>0</v>
      </c>
      <c r="G850" s="11" t="n">
        <v>0</v>
      </c>
      <c r="H850" s="12" t="n">
        <v>33</v>
      </c>
      <c r="I850" s="11" t="inlineStr">
        <is>
          <t>Contango(远强)</t>
        </is>
      </c>
    </row>
    <row r="851">
      <c r="A851" s="6" t="inlineStr">
        <is>
          <t>2026-02-26</t>
        </is>
      </c>
      <c r="B851" s="6" t="inlineStr">
        <is>
          <t>MA2605</t>
        </is>
      </c>
      <c r="C851" s="6" t="inlineStr">
        <is>
          <t>2026-05</t>
        </is>
      </c>
      <c r="D851" s="9" t="n">
        <v>891322</v>
      </c>
      <c r="E851" s="6" t="n">
        <v>54</v>
      </c>
      <c r="F851" s="6" t="n">
        <v>0</v>
      </c>
      <c r="G851" s="6" t="n">
        <v>0</v>
      </c>
      <c r="H851" s="7" t="n">
        <v>30</v>
      </c>
      <c r="I851" s="6" t="inlineStr">
        <is>
          <t>Contango(远强)</t>
        </is>
      </c>
    </row>
    <row r="852">
      <c r="A852" s="11" t="inlineStr">
        <is>
          <t>2026-02-27</t>
        </is>
      </c>
      <c r="B852" s="11" t="inlineStr">
        <is>
          <t>MA2605</t>
        </is>
      </c>
      <c r="C852" s="11" t="inlineStr">
        <is>
          <t>2026-05</t>
        </is>
      </c>
      <c r="D852" s="14" t="n">
        <v>977269</v>
      </c>
      <c r="E852" s="11" t="n">
        <v>53</v>
      </c>
      <c r="F852" s="11" t="n">
        <v>0</v>
      </c>
      <c r="G852" s="11" t="n">
        <v>0</v>
      </c>
      <c r="H852" s="12" t="n">
        <v>14</v>
      </c>
      <c r="I852" s="11" t="inlineStr">
        <is>
          <t>Contango(远强)</t>
        </is>
      </c>
    </row>
    <row r="853">
      <c r="A853" s="6" t="inlineStr">
        <is>
          <t>2026-03-02</t>
        </is>
      </c>
      <c r="B853" s="6" t="inlineStr">
        <is>
          <t>MA2605</t>
        </is>
      </c>
      <c r="C853" s="6" t="inlineStr">
        <is>
          <t>2026-05</t>
        </is>
      </c>
      <c r="D853" s="9" t="n">
        <v>942819</v>
      </c>
      <c r="E853" s="6" t="n">
        <v>52</v>
      </c>
      <c r="F853" s="6" t="n">
        <v>0</v>
      </c>
      <c r="G853" s="6" t="n">
        <v>0</v>
      </c>
      <c r="H853" s="7" t="n">
        <v>77</v>
      </c>
      <c r="I853" s="6" t="inlineStr">
        <is>
          <t>Back(近强)</t>
        </is>
      </c>
    </row>
    <row r="854">
      <c r="A854" s="11" t="inlineStr">
        <is>
          <t>2026-03-03</t>
        </is>
      </c>
      <c r="B854" s="11" t="inlineStr">
        <is>
          <t>MA2605</t>
        </is>
      </c>
      <c r="C854" s="11" t="inlineStr">
        <is>
          <t>2026-05</t>
        </is>
      </c>
      <c r="D854" s="14" t="n">
        <v>942655</v>
      </c>
      <c r="E854" s="11" t="n">
        <v>51</v>
      </c>
      <c r="F854" s="11" t="n">
        <v>0</v>
      </c>
      <c r="G854" s="11" t="n">
        <v>0</v>
      </c>
      <c r="H854" s="12" t="n">
        <v>119</v>
      </c>
      <c r="I854" s="11" t="inlineStr">
        <is>
          <t>Back(近强)</t>
        </is>
      </c>
    </row>
    <row r="855">
      <c r="A855" s="6" t="inlineStr">
        <is>
          <t>2026-03-04</t>
        </is>
      </c>
      <c r="B855" s="6" t="inlineStr">
        <is>
          <t>MA2605</t>
        </is>
      </c>
      <c r="C855" s="6" t="inlineStr">
        <is>
          <t>2026-05</t>
        </is>
      </c>
      <c r="D855" s="9" t="n">
        <v>802920</v>
      </c>
      <c r="E855" s="6" t="n">
        <v>50</v>
      </c>
      <c r="F855" s="6" t="n">
        <v>0</v>
      </c>
      <c r="G855" s="6" t="n">
        <v>0</v>
      </c>
      <c r="H855" s="7" t="n">
        <v>7</v>
      </c>
      <c r="I855" s="6" t="inlineStr">
        <is>
          <t>Contango(远强)</t>
        </is>
      </c>
    </row>
    <row r="856">
      <c r="A856" s="11" t="inlineStr">
        <is>
          <t>2026-03-05</t>
        </is>
      </c>
      <c r="B856" s="11" t="inlineStr">
        <is>
          <t>MA2605</t>
        </is>
      </c>
      <c r="C856" s="11" t="inlineStr">
        <is>
          <t>2026-05</t>
        </is>
      </c>
      <c r="D856" s="14" t="n">
        <v>702756</v>
      </c>
      <c r="E856" s="11" t="n">
        <v>49</v>
      </c>
      <c r="F856" s="11" t="n">
        <v>0</v>
      </c>
      <c r="G856" s="11" t="n">
        <v>0</v>
      </c>
      <c r="H856" s="12" t="n">
        <v>20</v>
      </c>
      <c r="I856" s="11" t="inlineStr">
        <is>
          <t>Contango(远强)</t>
        </is>
      </c>
    </row>
    <row r="857">
      <c r="A857" s="6" t="inlineStr">
        <is>
          <t>2026-03-06</t>
        </is>
      </c>
      <c r="B857" s="6" t="inlineStr">
        <is>
          <t>MA2605</t>
        </is>
      </c>
      <c r="C857" s="6" t="inlineStr">
        <is>
          <t>2026-05</t>
        </is>
      </c>
      <c r="D857" s="9" t="n">
        <v>679685</v>
      </c>
      <c r="E857" s="6" t="n">
        <v>48</v>
      </c>
      <c r="F857" s="6" t="n">
        <v>0</v>
      </c>
      <c r="G857" s="6" t="n">
        <v>0</v>
      </c>
      <c r="H857" s="7" t="n">
        <v>13</v>
      </c>
      <c r="I857" s="6" t="inlineStr">
        <is>
          <t>Contango(远强)</t>
        </is>
      </c>
    </row>
    <row r="858">
      <c r="A858" s="11" t="inlineStr">
        <is>
          <t>2026-03-09</t>
        </is>
      </c>
      <c r="B858" s="11" t="inlineStr">
        <is>
          <t>MA2605</t>
        </is>
      </c>
      <c r="C858" s="11" t="inlineStr">
        <is>
          <t>2026-05</t>
        </is>
      </c>
      <c r="D858" s="14" t="n">
        <v>639205</v>
      </c>
      <c r="E858" s="11" t="n">
        <v>47</v>
      </c>
      <c r="F858" s="11" t="n">
        <v>0</v>
      </c>
      <c r="G858" s="11" t="n">
        <v>0</v>
      </c>
      <c r="H858" s="12" t="n">
        <v>153</v>
      </c>
      <c r="I858" s="11" t="inlineStr">
        <is>
          <t>Back(近强)</t>
        </is>
      </c>
    </row>
    <row r="859">
      <c r="A859" s="6" t="inlineStr">
        <is>
          <t>2026-03-10</t>
        </is>
      </c>
      <c r="B859" s="6" t="inlineStr">
        <is>
          <t>MA2605</t>
        </is>
      </c>
      <c r="C859" s="6" t="inlineStr">
        <is>
          <t>2026-05</t>
        </is>
      </c>
      <c r="D859" s="9" t="n">
        <v>535848</v>
      </c>
      <c r="E859" s="6" t="n">
        <v>46</v>
      </c>
      <c r="F859" s="6" t="n">
        <v>0</v>
      </c>
      <c r="G859" s="6" t="n">
        <v>0</v>
      </c>
      <c r="H859" s="7" t="n">
        <v>49</v>
      </c>
      <c r="I859" s="6" t="inlineStr">
        <is>
          <t>Back(近强)</t>
        </is>
      </c>
    </row>
    <row r="860">
      <c r="A860" s="11" t="inlineStr">
        <is>
          <t>2026-03-11</t>
        </is>
      </c>
      <c r="B860" s="11" t="inlineStr">
        <is>
          <t>MA2605</t>
        </is>
      </c>
      <c r="C860" s="11" t="inlineStr">
        <is>
          <t>2026-05</t>
        </is>
      </c>
      <c r="D860" s="14" t="n">
        <v>554940</v>
      </c>
      <c r="E860" s="11" t="n">
        <v>45</v>
      </c>
      <c r="F860" s="11" t="n">
        <v>0</v>
      </c>
      <c r="G860" s="11" t="n">
        <v>0</v>
      </c>
      <c r="H860" s="12" t="n">
        <v>-42</v>
      </c>
      <c r="I860" s="11" t="inlineStr">
        <is>
          <t>Contango(远强)</t>
        </is>
      </c>
    </row>
    <row r="861">
      <c r="A861" s="6" t="inlineStr">
        <is>
          <t>2026-03-12</t>
        </is>
      </c>
      <c r="B861" s="6" t="inlineStr">
        <is>
          <t>MA2605</t>
        </is>
      </c>
      <c r="C861" s="6" t="inlineStr">
        <is>
          <t>2026-05</t>
        </is>
      </c>
      <c r="D861" s="9" t="n">
        <v>570573</v>
      </c>
      <c r="E861" s="6" t="n">
        <v>44</v>
      </c>
      <c r="F861" s="6" t="n">
        <v>0</v>
      </c>
      <c r="G861" s="6" t="n">
        <v>0</v>
      </c>
      <c r="H861" s="7" t="n">
        <v>76</v>
      </c>
      <c r="I861" s="6" t="inlineStr">
        <is>
          <t>Back(近强)</t>
        </is>
      </c>
    </row>
    <row r="862">
      <c r="A862" s="11" t="inlineStr">
        <is>
          <t>2026-03-13</t>
        </is>
      </c>
      <c r="B862" s="11" t="inlineStr">
        <is>
          <t>MA2605</t>
        </is>
      </c>
      <c r="C862" s="11" t="inlineStr">
        <is>
          <t>2026-05</t>
        </is>
      </c>
      <c r="D862" s="14" t="n">
        <v>584205</v>
      </c>
      <c r="E862" s="11" t="n">
        <v>43</v>
      </c>
      <c r="F862" s="11" t="n">
        <v>0</v>
      </c>
      <c r="G862" s="11" t="n">
        <v>0</v>
      </c>
      <c r="H862" s="12" t="n">
        <v>-6</v>
      </c>
      <c r="I862" s="11" t="inlineStr">
        <is>
          <t>Contango(远强)</t>
        </is>
      </c>
    </row>
    <row r="863">
      <c r="A863" s="6" t="inlineStr">
        <is>
          <t>2026-03-16</t>
        </is>
      </c>
      <c r="B863" s="6" t="inlineStr">
        <is>
          <t>MA2605</t>
        </is>
      </c>
      <c r="C863" s="6" t="inlineStr">
        <is>
          <t>2026-05</t>
        </is>
      </c>
      <c r="D863" s="9" t="n">
        <v>586726</v>
      </c>
      <c r="E863" s="6" t="n">
        <v>42</v>
      </c>
      <c r="F863" s="6" t="n">
        <v>0</v>
      </c>
      <c r="G863" s="6" t="n">
        <v>0</v>
      </c>
      <c r="H863" s="7" t="n">
        <v>-7</v>
      </c>
      <c r="I863" s="6" t="inlineStr">
        <is>
          <t>Contango(远强)</t>
        </is>
      </c>
    </row>
    <row r="864">
      <c r="A864" s="11" t="inlineStr">
        <is>
          <t>2026-03-17</t>
        </is>
      </c>
      <c r="B864" s="11" t="inlineStr">
        <is>
          <t>MA2605</t>
        </is>
      </c>
      <c r="C864" s="11" t="inlineStr">
        <is>
          <t>2026-05</t>
        </is>
      </c>
      <c r="D864" s="14" t="n">
        <v>566887</v>
      </c>
      <c r="E864" s="11" t="n">
        <v>41</v>
      </c>
      <c r="F864" s="11" t="n">
        <v>0</v>
      </c>
      <c r="G864" s="11" t="n">
        <v>0</v>
      </c>
      <c r="H864" s="12" t="n">
        <v>-12</v>
      </c>
      <c r="I864" s="11" t="inlineStr">
        <is>
          <t>Contango(远强)</t>
        </is>
      </c>
    </row>
    <row r="865">
      <c r="A865" s="6" t="inlineStr">
        <is>
          <t>2026-03-18</t>
        </is>
      </c>
      <c r="B865" s="6" t="inlineStr">
        <is>
          <t>MA2605</t>
        </is>
      </c>
      <c r="C865" s="6" t="inlineStr">
        <is>
          <t>2026-05</t>
        </is>
      </c>
      <c r="D865" s="9" t="n">
        <v>611727</v>
      </c>
      <c r="E865" s="6" t="n">
        <v>40</v>
      </c>
      <c r="F865" s="6" t="n">
        <v>0</v>
      </c>
      <c r="G865" s="6" t="n">
        <v>0</v>
      </c>
      <c r="H865" s="7" t="n">
        <v>-14</v>
      </c>
      <c r="I865" s="6" t="inlineStr">
        <is>
          <t>Contango(远强)</t>
        </is>
      </c>
    </row>
    <row r="866">
      <c r="A866" s="11" t="inlineStr">
        <is>
          <t>2026-03-19</t>
        </is>
      </c>
      <c r="B866" s="11" t="inlineStr">
        <is>
          <t>MA2605</t>
        </is>
      </c>
      <c r="C866" s="11" t="inlineStr">
        <is>
          <t>2026-05</t>
        </is>
      </c>
      <c r="D866" s="14" t="n">
        <v>630976</v>
      </c>
      <c r="E866" s="11" t="n">
        <v>39</v>
      </c>
      <c r="F866" s="11" t="n">
        <v>0</v>
      </c>
      <c r="G866" s="11" t="n">
        <v>0</v>
      </c>
      <c r="H866" s="12" t="n">
        <v>19</v>
      </c>
      <c r="I866" s="11" t="inlineStr">
        <is>
          <t>Contango(远强)</t>
        </is>
      </c>
    </row>
    <row r="867">
      <c r="A867" s="6" t="inlineStr">
        <is>
          <t>2026-03-20</t>
        </is>
      </c>
      <c r="B867" s="6" t="inlineStr">
        <is>
          <t>MA2605</t>
        </is>
      </c>
      <c r="C867" s="6" t="inlineStr">
        <is>
          <t>2026-05</t>
        </is>
      </c>
      <c r="D867" s="9" t="n">
        <v>594386</v>
      </c>
      <c r="E867" s="6" t="n">
        <v>38</v>
      </c>
      <c r="F867" s="6" t="n">
        <v>0</v>
      </c>
      <c r="G867" s="6" t="n">
        <v>0</v>
      </c>
      <c r="H867" s="7" t="n">
        <v>30</v>
      </c>
      <c r="I867" s="6" t="inlineStr">
        <is>
          <t>Contango(远强)</t>
        </is>
      </c>
    </row>
    <row r="868">
      <c r="A868" s="11" t="inlineStr">
        <is>
          <t>2026-03-23</t>
        </is>
      </c>
      <c r="B868" s="11" t="inlineStr">
        <is>
          <t>MA2605</t>
        </is>
      </c>
      <c r="C868" s="11" t="inlineStr">
        <is>
          <t>2026-05</t>
        </is>
      </c>
      <c r="D868" s="14" t="n">
        <v>591331</v>
      </c>
      <c r="E868" s="11" t="n">
        <v>37</v>
      </c>
      <c r="F868" s="11" t="n">
        <v>0</v>
      </c>
      <c r="G868" s="11" t="n">
        <v>0</v>
      </c>
      <c r="H868" s="12" t="n">
        <v>38</v>
      </c>
      <c r="I868" s="11" t="inlineStr">
        <is>
          <t>结构不明</t>
        </is>
      </c>
    </row>
    <row r="869">
      <c r="A869" s="6" t="inlineStr">
        <is>
          <t>2026-03-24</t>
        </is>
      </c>
      <c r="B869" s="6" t="inlineStr">
        <is>
          <t>MA2605</t>
        </is>
      </c>
      <c r="C869" s="6" t="inlineStr">
        <is>
          <t>2026-05</t>
        </is>
      </c>
      <c r="D869" s="9" t="n">
        <v>551972</v>
      </c>
      <c r="E869" s="6" t="n">
        <v>36</v>
      </c>
      <c r="F869" s="6" t="n">
        <v>0</v>
      </c>
      <c r="G869" s="6" t="n">
        <v>0</v>
      </c>
      <c r="H869" s="7" t="n">
        <v>43</v>
      </c>
      <c r="I869" s="6" t="inlineStr">
        <is>
          <t>Back(近强)</t>
        </is>
      </c>
    </row>
    <row r="870">
      <c r="A870" s="11" t="inlineStr">
        <is>
          <t>2026-03-25</t>
        </is>
      </c>
      <c r="B870" s="11" t="inlineStr">
        <is>
          <t>MA2605</t>
        </is>
      </c>
      <c r="C870" s="11" t="inlineStr">
        <is>
          <t>2026-05</t>
        </is>
      </c>
      <c r="D870" s="14" t="n">
        <v>542325</v>
      </c>
      <c r="E870" s="11" t="n">
        <v>35</v>
      </c>
      <c r="F870" s="11" t="n">
        <v>0</v>
      </c>
      <c r="G870" s="11" t="n">
        <v>0</v>
      </c>
      <c r="H870" s="12" t="n">
        <v>25</v>
      </c>
      <c r="I870" s="11" t="inlineStr">
        <is>
          <t>Contango(远强)</t>
        </is>
      </c>
    </row>
    <row r="871">
      <c r="A871" s="6" t="inlineStr">
        <is>
          <t>2026-03-26</t>
        </is>
      </c>
      <c r="B871" s="6" t="inlineStr">
        <is>
          <t>MA2605</t>
        </is>
      </c>
      <c r="C871" s="6" t="inlineStr">
        <is>
          <t>2026-05</t>
        </is>
      </c>
      <c r="D871" s="9" t="n">
        <v>620701</v>
      </c>
      <c r="E871" s="6" t="n">
        <v>34</v>
      </c>
      <c r="F871" s="6" t="n">
        <v>0</v>
      </c>
      <c r="G871" s="6" t="n">
        <v>0</v>
      </c>
      <c r="H871" s="7" t="n">
        <v>-7</v>
      </c>
      <c r="I871" s="6" t="inlineStr">
        <is>
          <t>Contango(远强)</t>
        </is>
      </c>
    </row>
    <row r="872">
      <c r="A872" s="11" t="inlineStr">
        <is>
          <t>2026-03-27</t>
        </is>
      </c>
      <c r="B872" s="11" t="inlineStr">
        <is>
          <t>MA2605</t>
        </is>
      </c>
      <c r="C872" s="11" t="inlineStr">
        <is>
          <t>2026-05</t>
        </is>
      </c>
      <c r="D872" s="14" t="n">
        <v>656917</v>
      </c>
      <c r="E872" s="11" t="n">
        <v>33</v>
      </c>
      <c r="F872" s="11" t="n">
        <v>0</v>
      </c>
      <c r="G872" s="11" t="n">
        <v>0</v>
      </c>
      <c r="H872" s="12" t="n">
        <v>10</v>
      </c>
      <c r="I872" s="11" t="inlineStr">
        <is>
          <t>Contango(远强)</t>
        </is>
      </c>
    </row>
    <row r="873">
      <c r="A873" s="6" t="inlineStr">
        <is>
          <t>2026-03-30</t>
        </is>
      </c>
      <c r="B873" s="6" t="inlineStr">
        <is>
          <t>MA2605</t>
        </is>
      </c>
      <c r="C873" s="6" t="inlineStr">
        <is>
          <t>2026-05</t>
        </is>
      </c>
      <c r="D873" s="9" t="n">
        <v>647965</v>
      </c>
      <c r="E873" s="6" t="n">
        <v>32</v>
      </c>
      <c r="F873" s="6" t="n">
        <v>0</v>
      </c>
      <c r="G873" s="6" t="n">
        <v>0</v>
      </c>
      <c r="H873" s="7" t="n">
        <v>23</v>
      </c>
      <c r="I873" s="6" t="inlineStr">
        <is>
          <t>Contango(远强)</t>
        </is>
      </c>
    </row>
    <row r="874">
      <c r="A874" s="11" t="inlineStr">
        <is>
          <t>2026-03-31</t>
        </is>
      </c>
      <c r="B874" s="11" t="inlineStr">
        <is>
          <t>MA2605</t>
        </is>
      </c>
      <c r="C874" s="11" t="inlineStr">
        <is>
          <t>2026-05</t>
        </is>
      </c>
      <c r="D874" s="14" t="n">
        <v>590456</v>
      </c>
      <c r="E874" s="11" t="n">
        <v>31</v>
      </c>
      <c r="F874" s="11" t="n">
        <v>0</v>
      </c>
      <c r="G874" s="11" t="n">
        <v>0</v>
      </c>
      <c r="H874" s="12" t="n">
        <v>33</v>
      </c>
      <c r="I874" s="11" t="inlineStr">
        <is>
          <t>Contango(远强)</t>
        </is>
      </c>
    </row>
    <row r="875">
      <c r="A875" s="6" t="inlineStr">
        <is>
          <t>2026-04-01</t>
        </is>
      </c>
      <c r="B875" s="6" t="inlineStr">
        <is>
          <t>MA2605</t>
        </is>
      </c>
      <c r="C875" s="6" t="inlineStr">
        <is>
          <t>2026-05</t>
        </is>
      </c>
      <c r="D875" s="9" t="n">
        <v>555903</v>
      </c>
      <c r="E875" s="6" t="n">
        <v>30</v>
      </c>
      <c r="F875" s="6" t="n">
        <v>0</v>
      </c>
      <c r="G875" s="6" t="n">
        <v>0</v>
      </c>
      <c r="H875" s="7" t="n">
        <v>-39</v>
      </c>
      <c r="I875" s="6" t="inlineStr">
        <is>
          <t>Contango(远强)</t>
        </is>
      </c>
    </row>
    <row r="876">
      <c r="A876" s="11" t="inlineStr">
        <is>
          <t>2026-04-02</t>
        </is>
      </c>
      <c r="B876" s="11" t="inlineStr">
        <is>
          <t>MA2605</t>
        </is>
      </c>
      <c r="C876" s="11" t="inlineStr">
        <is>
          <t>2026-05</t>
        </is>
      </c>
      <c r="D876" s="14" t="n">
        <v>581336</v>
      </c>
      <c r="E876" s="11" t="n">
        <v>29</v>
      </c>
      <c r="F876" s="11" t="n">
        <v>0</v>
      </c>
      <c r="G876" s="11" t="n">
        <v>0</v>
      </c>
      <c r="H876" s="12" t="n">
        <v>-4</v>
      </c>
      <c r="I876" s="11" t="inlineStr">
        <is>
          <t>Contango(远强)</t>
        </is>
      </c>
    </row>
    <row r="877">
      <c r="A877" s="6" t="inlineStr">
        <is>
          <t>2026-04-03</t>
        </is>
      </c>
      <c r="B877" s="6" t="inlineStr">
        <is>
          <t>MA2605</t>
        </is>
      </c>
      <c r="C877" s="6" t="inlineStr">
        <is>
          <t>2026-05</t>
        </is>
      </c>
      <c r="D877" s="9" t="n">
        <v>570224</v>
      </c>
      <c r="E877" s="6" t="n">
        <v>28</v>
      </c>
      <c r="F877" s="6" t="n">
        <v>0</v>
      </c>
      <c r="G877" s="6" t="n">
        <v>0</v>
      </c>
      <c r="H877" s="7" t="n">
        <v>88</v>
      </c>
      <c r="I877" s="6" t="inlineStr">
        <is>
          <t>Back(近强)</t>
        </is>
      </c>
    </row>
    <row r="878">
      <c r="A878" s="11" t="inlineStr">
        <is>
          <t>2026-04-07</t>
        </is>
      </c>
      <c r="B878" s="11" t="inlineStr">
        <is>
          <t>MA2605</t>
        </is>
      </c>
      <c r="C878" s="11" t="inlineStr">
        <is>
          <t>2026-05</t>
        </is>
      </c>
      <c r="D878" s="14" t="n">
        <v>658064</v>
      </c>
      <c r="E878" s="11" t="n">
        <v>27</v>
      </c>
      <c r="F878" s="11" t="n">
        <v>0</v>
      </c>
      <c r="G878" s="11" t="n">
        <v>0</v>
      </c>
      <c r="H878" s="12" t="n">
        <v>111</v>
      </c>
      <c r="I878" s="11" t="inlineStr">
        <is>
          <t>Back(近强)</t>
        </is>
      </c>
    </row>
    <row r="879">
      <c r="A879" s="6" t="inlineStr">
        <is>
          <t>2026-04-08</t>
        </is>
      </c>
      <c r="B879" s="6" t="inlineStr">
        <is>
          <t>MA2605</t>
        </is>
      </c>
      <c r="C879" s="6" t="inlineStr">
        <is>
          <t>2026-05</t>
        </is>
      </c>
      <c r="D879" s="9" t="n">
        <v>482989</v>
      </c>
      <c r="E879" s="6" t="n">
        <v>26</v>
      </c>
      <c r="F879" s="6" t="n">
        <v>0</v>
      </c>
      <c r="G879" s="6" t="n">
        <v>0</v>
      </c>
      <c r="H879" s="7" t="n">
        <v>-51</v>
      </c>
      <c r="I879" s="6" t="inlineStr">
        <is>
          <t>Contango(远强)</t>
        </is>
      </c>
    </row>
    <row r="880">
      <c r="A880" s="11" t="inlineStr">
        <is>
          <t>2026-04-09</t>
        </is>
      </c>
      <c r="B880" s="11" t="inlineStr">
        <is>
          <t>MA2605</t>
        </is>
      </c>
      <c r="C880" s="11" t="inlineStr">
        <is>
          <t>2026-05</t>
        </is>
      </c>
      <c r="D880" s="14" t="n">
        <v>429230</v>
      </c>
      <c r="E880" s="11" t="n">
        <v>25</v>
      </c>
      <c r="F880" s="11" t="n">
        <v>0</v>
      </c>
      <c r="G880" s="11" t="n">
        <v>0</v>
      </c>
      <c r="H880" s="12" t="n">
        <v>55</v>
      </c>
      <c r="I880" s="11" t="inlineStr">
        <is>
          <t>Back(近强)</t>
        </is>
      </c>
    </row>
    <row r="881">
      <c r="A881" s="6" t="inlineStr">
        <is>
          <t>2026-04-10</t>
        </is>
      </c>
      <c r="B881" s="6" t="inlineStr">
        <is>
          <t>MA2605</t>
        </is>
      </c>
      <c r="C881" s="6" t="inlineStr">
        <is>
          <t>2026-05</t>
        </is>
      </c>
      <c r="D881" s="9" t="n">
        <v>417879</v>
      </c>
      <c r="E881" s="6" t="n">
        <v>24</v>
      </c>
      <c r="F881" s="6" t="n">
        <v>0</v>
      </c>
      <c r="G881" s="6" t="n">
        <v>1</v>
      </c>
      <c r="H881" s="7" t="n">
        <v>-186</v>
      </c>
      <c r="I881" s="6" t="inlineStr">
        <is>
          <t>Contango(远强)</t>
        </is>
      </c>
    </row>
    <row r="882">
      <c r="A882" s="11" t="inlineStr">
        <is>
          <t>2026-04-13</t>
        </is>
      </c>
      <c r="B882" s="11" t="inlineStr">
        <is>
          <t>MA2609</t>
        </is>
      </c>
      <c r="C882" s="11" t="inlineStr">
        <is>
          <t>2026-09</t>
        </is>
      </c>
      <c r="D882" s="14" t="n">
        <v>400315</v>
      </c>
      <c r="E882" s="11" t="n">
        <v>104</v>
      </c>
      <c r="F882" s="11" t="n">
        <v>1</v>
      </c>
      <c r="G882" s="11" t="n">
        <v>0</v>
      </c>
      <c r="H882" s="12" t="n">
        <v>-311</v>
      </c>
      <c r="I882" s="11" t="inlineStr">
        <is>
          <t>Contango(远强)</t>
        </is>
      </c>
    </row>
    <row r="883">
      <c r="A883" s="6" t="inlineStr">
        <is>
          <t>2026-04-14</t>
        </is>
      </c>
      <c r="B883" s="6" t="inlineStr">
        <is>
          <t>MA2609</t>
        </is>
      </c>
      <c r="C883" s="6" t="inlineStr">
        <is>
          <t>2026-09</t>
        </is>
      </c>
      <c r="D883" s="9" t="n">
        <v>425613</v>
      </c>
      <c r="E883" s="6" t="n">
        <v>103</v>
      </c>
      <c r="F883" s="6" t="n">
        <v>0</v>
      </c>
      <c r="G883" s="6" t="n">
        <v>0</v>
      </c>
      <c r="H883" s="7" t="n">
        <v>-294</v>
      </c>
      <c r="I883" s="6" t="inlineStr">
        <is>
          <t>Contango(远强)</t>
        </is>
      </c>
    </row>
    <row r="884">
      <c r="A884" s="11" t="inlineStr">
        <is>
          <t>2026-04-15</t>
        </is>
      </c>
      <c r="B884" s="11" t="inlineStr">
        <is>
          <t>MA2609</t>
        </is>
      </c>
      <c r="C884" s="11" t="inlineStr">
        <is>
          <t>2026-09</t>
        </is>
      </c>
      <c r="D884" s="14" t="n">
        <v>473584</v>
      </c>
      <c r="E884" s="11" t="n">
        <v>102</v>
      </c>
      <c r="F884" s="11" t="n">
        <v>0</v>
      </c>
      <c r="G884" s="11" t="n">
        <v>0</v>
      </c>
      <c r="H884" s="12" t="n">
        <v>-311</v>
      </c>
      <c r="I884" s="11" t="inlineStr">
        <is>
          <t>Contango(远强)</t>
        </is>
      </c>
    </row>
    <row r="885">
      <c r="A885" s="6" t="inlineStr">
        <is>
          <t>2026-04-16</t>
        </is>
      </c>
      <c r="B885" s="6" t="inlineStr">
        <is>
          <t>MA2609</t>
        </is>
      </c>
      <c r="C885" s="6" t="inlineStr">
        <is>
          <t>2026-09</t>
        </is>
      </c>
      <c r="D885" s="9" t="n">
        <v>533512</v>
      </c>
      <c r="E885" s="6" t="n">
        <v>101</v>
      </c>
      <c r="F885" s="6" t="n">
        <v>0</v>
      </c>
      <c r="G885" s="6" t="n">
        <v>0</v>
      </c>
      <c r="H885" s="7" t="n">
        <v>-280</v>
      </c>
      <c r="I885" s="6" t="inlineStr">
        <is>
          <t>Contango(远强)</t>
        </is>
      </c>
    </row>
    <row r="886">
      <c r="A886" s="11" t="inlineStr">
        <is>
          <t>2026-04-17</t>
        </is>
      </c>
      <c r="B886" s="11" t="inlineStr">
        <is>
          <t>MA2609</t>
        </is>
      </c>
      <c r="C886" s="11" t="inlineStr">
        <is>
          <t>2026-09</t>
        </is>
      </c>
      <c r="D886" s="14" t="n">
        <v>594382</v>
      </c>
      <c r="E886" s="11" t="n">
        <v>100</v>
      </c>
      <c r="F886" s="11" t="n">
        <v>0</v>
      </c>
      <c r="G886" s="11" t="n">
        <v>0</v>
      </c>
      <c r="H886" s="12" t="n">
        <v>-257</v>
      </c>
      <c r="I886" s="11" t="inlineStr">
        <is>
          <t>Contango(远强)</t>
        </is>
      </c>
    </row>
    <row r="887">
      <c r="A887" s="6" t="inlineStr">
        <is>
          <t>2026-04-20</t>
        </is>
      </c>
      <c r="B887" s="6" t="inlineStr">
        <is>
          <t>MA2609</t>
        </is>
      </c>
      <c r="C887" s="6" t="inlineStr">
        <is>
          <t>2026-09</t>
        </is>
      </c>
      <c r="D887" s="9" t="n">
        <v>627251</v>
      </c>
      <c r="E887" s="6" t="n">
        <v>99</v>
      </c>
      <c r="F887" s="6" t="n">
        <v>0</v>
      </c>
      <c r="G887" s="6" t="n">
        <v>0</v>
      </c>
      <c r="H887" s="7" t="n">
        <v>-266</v>
      </c>
      <c r="I887" s="6" t="inlineStr">
        <is>
          <t>Contango(远强)</t>
        </is>
      </c>
    </row>
    <row r="888">
      <c r="A888" s="11" t="inlineStr">
        <is>
          <t>2026-04-21</t>
        </is>
      </c>
      <c r="B888" s="11" t="inlineStr">
        <is>
          <t>MA2609</t>
        </is>
      </c>
      <c r="C888" s="11" t="inlineStr">
        <is>
          <t>2026-09</t>
        </is>
      </c>
      <c r="D888" s="14" t="n">
        <v>617392</v>
      </c>
      <c r="E888" s="11" t="n">
        <v>98</v>
      </c>
      <c r="F888" s="11" t="n">
        <v>0</v>
      </c>
      <c r="G888" s="11" t="n">
        <v>0</v>
      </c>
      <c r="H888" s="12" t="n">
        <v>-261</v>
      </c>
      <c r="I888" s="11" t="inlineStr">
        <is>
          <t>Contango(远强)</t>
        </is>
      </c>
    </row>
    <row r="889">
      <c r="A889" s="6" t="inlineStr">
        <is>
          <t>2026-04-22</t>
        </is>
      </c>
      <c r="B889" s="6" t="inlineStr">
        <is>
          <t>MA2609</t>
        </is>
      </c>
      <c r="C889" s="6" t="inlineStr">
        <is>
          <t>2026-09</t>
        </is>
      </c>
      <c r="D889" s="9" t="n">
        <v>609729</v>
      </c>
      <c r="E889" s="6" t="n">
        <v>97</v>
      </c>
      <c r="F889" s="6" t="n">
        <v>0</v>
      </c>
      <c r="G889" s="6" t="n">
        <v>0</v>
      </c>
      <c r="H889" s="7" t="n">
        <v>-243</v>
      </c>
      <c r="I889" s="6" t="inlineStr">
        <is>
          <t>Contango(远强)</t>
        </is>
      </c>
    </row>
    <row r="890">
      <c r="A890" s="11" t="inlineStr">
        <is>
          <t>2026-04-23</t>
        </is>
      </c>
      <c r="B890" s="11" t="inlineStr">
        <is>
          <t>MA2609</t>
        </is>
      </c>
      <c r="C890" s="11" t="inlineStr">
        <is>
          <t>2026-09</t>
        </is>
      </c>
      <c r="D890" s="14" t="n">
        <v>615961</v>
      </c>
      <c r="E890" s="11" t="n">
        <v>96</v>
      </c>
      <c r="F890" s="11" t="n">
        <v>0</v>
      </c>
      <c r="G890" s="11" t="n">
        <v>0</v>
      </c>
      <c r="H890" s="12" t="n">
        <v>-218</v>
      </c>
      <c r="I890" s="11" t="inlineStr">
        <is>
          <t>Contango(远强)</t>
        </is>
      </c>
    </row>
    <row r="891">
      <c r="A891" s="6" t="inlineStr">
        <is>
          <t>2026-04-24</t>
        </is>
      </c>
      <c r="B891" s="6" t="inlineStr">
        <is>
          <t>MA2609</t>
        </is>
      </c>
      <c r="C891" s="6" t="inlineStr">
        <is>
          <t>2026-09</t>
        </is>
      </c>
      <c r="D891" s="9" t="n">
        <v>631322</v>
      </c>
      <c r="E891" s="6" t="n">
        <v>95</v>
      </c>
      <c r="F891" s="6" t="n">
        <v>0</v>
      </c>
      <c r="G891" s="6" t="n">
        <v>0</v>
      </c>
      <c r="H891" s="7" t="n">
        <v>-217</v>
      </c>
      <c r="I891" s="6" t="inlineStr">
        <is>
          <t>Contango(远强)</t>
        </is>
      </c>
    </row>
    <row r="892">
      <c r="A892" s="11" t="inlineStr">
        <is>
          <t>2026-04-27</t>
        </is>
      </c>
      <c r="B892" s="11" t="inlineStr">
        <is>
          <t>MA2609</t>
        </is>
      </c>
      <c r="C892" s="11" t="inlineStr">
        <is>
          <t>2026-09</t>
        </is>
      </c>
      <c r="D892" s="14" t="n">
        <v>648738</v>
      </c>
      <c r="E892" s="11" t="n">
        <v>94</v>
      </c>
      <c r="F892" s="11" t="n">
        <v>0</v>
      </c>
      <c r="G892" s="11" t="n">
        <v>0</v>
      </c>
      <c r="H892" s="12" t="n">
        <v>-208</v>
      </c>
      <c r="I892" s="11" t="inlineStr">
        <is>
          <t>Contango(远强)</t>
        </is>
      </c>
    </row>
    <row r="893">
      <c r="A893" s="6" t="inlineStr">
        <is>
          <t>2026-04-28</t>
        </is>
      </c>
      <c r="B893" s="6" t="inlineStr">
        <is>
          <t>MA2609</t>
        </is>
      </c>
      <c r="C893" s="6" t="inlineStr">
        <is>
          <t>2026-09</t>
        </is>
      </c>
      <c r="D893" s="9" t="n">
        <v>676317</v>
      </c>
      <c r="E893" s="6" t="n">
        <v>93</v>
      </c>
      <c r="F893" s="6" t="n">
        <v>0</v>
      </c>
      <c r="G893" s="6" t="n">
        <v>0</v>
      </c>
      <c r="H893" s="7" t="n">
        <v>-190</v>
      </c>
      <c r="I893" s="6" t="inlineStr">
        <is>
          <t>Contango(远强)</t>
        </is>
      </c>
    </row>
    <row r="894">
      <c r="A894" s="11" t="inlineStr">
        <is>
          <t>2026-04-29</t>
        </is>
      </c>
      <c r="B894" s="11" t="inlineStr">
        <is>
          <t>MA2609</t>
        </is>
      </c>
      <c r="C894" s="11" t="inlineStr">
        <is>
          <t>2026-09</t>
        </is>
      </c>
      <c r="D894" s="14" t="n">
        <v>663559</v>
      </c>
      <c r="E894" s="11" t="n">
        <v>92</v>
      </c>
      <c r="F894" s="11" t="n">
        <v>0</v>
      </c>
      <c r="G894" s="11" t="n">
        <v>0</v>
      </c>
      <c r="H894" s="12" t="n">
        <v>-182</v>
      </c>
      <c r="I894" s="11" t="inlineStr">
        <is>
          <t>Contango(远强)</t>
        </is>
      </c>
    </row>
    <row r="895">
      <c r="A895" s="6" t="inlineStr">
        <is>
          <t>2026-04-30</t>
        </is>
      </c>
      <c r="B895" s="6" t="inlineStr">
        <is>
          <t>MA2609</t>
        </is>
      </c>
      <c r="C895" s="6" t="inlineStr">
        <is>
          <t>2026-09</t>
        </is>
      </c>
      <c r="D895" s="9" t="n">
        <v>650887</v>
      </c>
      <c r="E895" s="6" t="n">
        <v>91</v>
      </c>
      <c r="F895" s="6" t="n">
        <v>0</v>
      </c>
      <c r="G895" s="6" t="n">
        <v>0</v>
      </c>
      <c r="H895" s="7" t="n">
        <v>-197</v>
      </c>
      <c r="I895" s="6" t="inlineStr">
        <is>
          <t>Contango(远强)</t>
        </is>
      </c>
    </row>
    <row r="896">
      <c r="A896" s="11" t="inlineStr">
        <is>
          <t>2026-05-06</t>
        </is>
      </c>
      <c r="B896" s="11" t="inlineStr">
        <is>
          <t>MA2609</t>
        </is>
      </c>
      <c r="C896" s="11" t="inlineStr">
        <is>
          <t>2026-09</t>
        </is>
      </c>
      <c r="D896" s="14" t="n">
        <v>684807</v>
      </c>
      <c r="E896" s="11" t="n">
        <v>90</v>
      </c>
      <c r="F896" s="11" t="n">
        <v>0</v>
      </c>
      <c r="G896" s="11" t="n">
        <v>0</v>
      </c>
      <c r="H896" s="12" t="n">
        <v>-205</v>
      </c>
      <c r="I896" s="11" t="inlineStr">
        <is>
          <t>Contango(远强)</t>
        </is>
      </c>
    </row>
    <row r="897">
      <c r="A897" s="6" t="inlineStr">
        <is>
          <t>2026-05-07</t>
        </is>
      </c>
      <c r="B897" s="6" t="inlineStr">
        <is>
          <t>MA2609</t>
        </is>
      </c>
      <c r="C897" s="6" t="inlineStr">
        <is>
          <t>2026-09</t>
        </is>
      </c>
      <c r="D897" s="9" t="n">
        <v>676324</v>
      </c>
      <c r="E897" s="6" t="n">
        <v>89</v>
      </c>
      <c r="F897" s="6" t="n">
        <v>0</v>
      </c>
      <c r="G897" s="6" t="n">
        <v>0</v>
      </c>
      <c r="H897" s="7" t="n">
        <v>-205</v>
      </c>
      <c r="I897" s="6" t="inlineStr">
        <is>
          <t>Contango(远强)</t>
        </is>
      </c>
    </row>
    <row r="898">
      <c r="A898" s="11" t="inlineStr">
        <is>
          <t>2026-05-08</t>
        </is>
      </c>
      <c r="B898" s="11" t="inlineStr">
        <is>
          <t>MA2609</t>
        </is>
      </c>
      <c r="C898" s="11" t="inlineStr">
        <is>
          <t>2026-09</t>
        </is>
      </c>
      <c r="D898" s="14" t="n">
        <v>664309</v>
      </c>
      <c r="E898" s="11" t="n">
        <v>88</v>
      </c>
      <c r="F898" s="11" t="n">
        <v>0</v>
      </c>
      <c r="G898" s="11" t="n">
        <v>0</v>
      </c>
      <c r="H898" s="12" t="n">
        <v>-194</v>
      </c>
      <c r="I898" s="11" t="inlineStr">
        <is>
          <t>Contango(远强)</t>
        </is>
      </c>
    </row>
    <row r="899">
      <c r="A899" s="6" t="inlineStr">
        <is>
          <t>2026-05-11</t>
        </is>
      </c>
      <c r="B899" s="6" t="inlineStr">
        <is>
          <t>MA2609</t>
        </is>
      </c>
      <c r="C899" s="6" t="inlineStr">
        <is>
          <t>2026-09</t>
        </is>
      </c>
      <c r="D899" s="9" t="n">
        <v>663563</v>
      </c>
      <c r="E899" s="6" t="n">
        <v>87</v>
      </c>
      <c r="F899" s="6" t="n">
        <v>0</v>
      </c>
      <c r="G899" s="6" t="n">
        <v>0</v>
      </c>
      <c r="H899" s="7" t="n">
        <v>-223</v>
      </c>
      <c r="I899" s="6" t="inlineStr">
        <is>
          <t>Contango(远强)</t>
        </is>
      </c>
    </row>
    <row r="900">
      <c r="A900" s="11" t="inlineStr">
        <is>
          <t>2026-05-12</t>
        </is>
      </c>
      <c r="B900" s="11" t="inlineStr">
        <is>
          <t>MA2609</t>
        </is>
      </c>
      <c r="C900" s="11" t="inlineStr">
        <is>
          <t>2026-09</t>
        </is>
      </c>
      <c r="D900" s="14" t="n">
        <v>686252</v>
      </c>
      <c r="E900" s="11" t="n">
        <v>86</v>
      </c>
      <c r="F900" s="11" t="n">
        <v>0</v>
      </c>
      <c r="G900" s="11" t="n">
        <v>0</v>
      </c>
      <c r="H900" s="12" t="n">
        <v>-184</v>
      </c>
      <c r="I900" s="11" t="inlineStr">
        <is>
          <t>Contango(远强)</t>
        </is>
      </c>
    </row>
    <row r="901">
      <c r="A901" s="6" t="inlineStr">
        <is>
          <t>2026-05-13</t>
        </is>
      </c>
      <c r="B901" s="6" t="inlineStr">
        <is>
          <t>MA2609</t>
        </is>
      </c>
      <c r="C901" s="6" t="inlineStr">
        <is>
          <t>2026-09</t>
        </is>
      </c>
      <c r="D901" s="9" t="n">
        <v>704077</v>
      </c>
      <c r="E901" s="6" t="n">
        <v>85</v>
      </c>
      <c r="F901" s="6" t="n">
        <v>0</v>
      </c>
      <c r="G901" s="6" t="n">
        <v>0</v>
      </c>
      <c r="H901" s="7" t="n">
        <v>-136</v>
      </c>
      <c r="I901" s="6" t="inlineStr">
        <is>
          <t>Contango(远强)</t>
        </is>
      </c>
    </row>
    <row r="902">
      <c r="A902" s="11" t="inlineStr">
        <is>
          <t>2026-05-14</t>
        </is>
      </c>
      <c r="B902" s="11" t="inlineStr">
        <is>
          <t>MA2609</t>
        </is>
      </c>
      <c r="C902" s="11" t="inlineStr">
        <is>
          <t>2026-09</t>
        </is>
      </c>
      <c r="D902" s="14" t="n">
        <v>686614</v>
      </c>
      <c r="E902" s="11" t="n">
        <v>84</v>
      </c>
      <c r="F902" s="11" t="n">
        <v>0</v>
      </c>
      <c r="G902" s="11" t="n">
        <v>0</v>
      </c>
      <c r="H902" s="12" t="n">
        <v>-200</v>
      </c>
      <c r="I902" s="11" t="inlineStr">
        <is>
          <t>Contango(远强)</t>
        </is>
      </c>
    </row>
    <row r="903">
      <c r="A903" s="6" t="inlineStr">
        <is>
          <t>2026-05-15</t>
        </is>
      </c>
      <c r="B903" s="6" t="inlineStr">
        <is>
          <t>MA2609</t>
        </is>
      </c>
      <c r="C903" s="6" t="inlineStr">
        <is>
          <t>2026-09</t>
        </is>
      </c>
      <c r="D903" s="9" t="n">
        <v>693841</v>
      </c>
      <c r="E903" s="6" t="n">
        <v>83</v>
      </c>
      <c r="F903" s="6" t="n">
        <v>0</v>
      </c>
      <c r="G903" s="6" t="n">
        <v>0</v>
      </c>
      <c r="H903" s="7" t="n">
        <v>-153</v>
      </c>
      <c r="I903" s="6" t="inlineStr">
        <is>
          <t>Contango(远强)</t>
        </is>
      </c>
    </row>
    <row r="904">
      <c r="A904" s="11" t="inlineStr">
        <is>
          <t>2026-05-18</t>
        </is>
      </c>
      <c r="B904" s="11" t="inlineStr">
        <is>
          <t>MA2609</t>
        </is>
      </c>
      <c r="C904" s="11" t="inlineStr">
        <is>
          <t>2026-09</t>
        </is>
      </c>
      <c r="D904" s="14" t="n">
        <v>714212</v>
      </c>
      <c r="E904" s="11" t="n">
        <v>82</v>
      </c>
      <c r="F904" s="11" t="n">
        <v>0</v>
      </c>
      <c r="G904" s="11" t="n">
        <v>0</v>
      </c>
      <c r="H904" s="12" t="n">
        <v>-91</v>
      </c>
      <c r="I904" s="11" t="inlineStr">
        <is>
          <t>Contango(远强)</t>
        </is>
      </c>
    </row>
    <row r="905">
      <c r="A905" s="6" t="inlineStr">
        <is>
          <t>2026-05-19</t>
        </is>
      </c>
      <c r="B905" s="6" t="inlineStr">
        <is>
          <t>MA2609</t>
        </is>
      </c>
      <c r="C905" s="6" t="inlineStr">
        <is>
          <t>2026-09</t>
        </is>
      </c>
      <c r="D905" s="9" t="n">
        <v>710052</v>
      </c>
      <c r="E905" s="6" t="n">
        <v>81</v>
      </c>
      <c r="F905" s="6" t="n">
        <v>0</v>
      </c>
      <c r="G905" s="6" t="n">
        <v>0</v>
      </c>
      <c r="H905" s="7" t="n">
        <v>113</v>
      </c>
      <c r="I905" s="6" t="inlineStr">
        <is>
          <t>Back(近强)</t>
        </is>
      </c>
    </row>
    <row r="906">
      <c r="A906" s="11" t="inlineStr">
        <is>
          <t>2026-05-20</t>
        </is>
      </c>
      <c r="B906" s="11" t="inlineStr">
        <is>
          <t>MA2609</t>
        </is>
      </c>
      <c r="C906" s="11" t="inlineStr">
        <is>
          <t>2026-09</t>
        </is>
      </c>
      <c r="D906" s="14" t="n">
        <v>713779</v>
      </c>
      <c r="E906" s="11" t="n">
        <v>80</v>
      </c>
      <c r="F906" s="11" t="n">
        <v>0</v>
      </c>
      <c r="G906" s="11" t="n">
        <v>0</v>
      </c>
      <c r="H906" s="12" t="n">
        <v>-104</v>
      </c>
      <c r="I906" s="11" t="inlineStr">
        <is>
          <t>Contango(远强)</t>
        </is>
      </c>
    </row>
    <row r="907">
      <c r="A907" s="6" t="inlineStr">
        <is>
          <t>2026-05-21</t>
        </is>
      </c>
      <c r="B907" s="6" t="inlineStr">
        <is>
          <t>MA2609</t>
        </is>
      </c>
      <c r="C907" s="6" t="inlineStr">
        <is>
          <t>2026-09</t>
        </is>
      </c>
      <c r="D907" s="9" t="n">
        <v>713541</v>
      </c>
      <c r="E907" s="6" t="n">
        <v>79</v>
      </c>
      <c r="F907" s="6" t="n">
        <v>0</v>
      </c>
      <c r="G907" s="6" t="n">
        <v>0</v>
      </c>
      <c r="H907" s="7" t="n">
        <v>-106</v>
      </c>
      <c r="I907" s="6" t="inlineStr">
        <is>
          <t>Contango(远强)</t>
        </is>
      </c>
    </row>
    <row r="908">
      <c r="A908" s="11" t="inlineStr">
        <is>
          <t>2026-05-22</t>
        </is>
      </c>
      <c r="B908" s="11" t="inlineStr">
        <is>
          <t>MA2609</t>
        </is>
      </c>
      <c r="C908" s="11" t="inlineStr">
        <is>
          <t>2026-09</t>
        </is>
      </c>
      <c r="D908" s="14" t="n">
        <v>690880</v>
      </c>
      <c r="E908" s="11" t="n">
        <v>78</v>
      </c>
      <c r="F908" s="11" t="n">
        <v>0</v>
      </c>
      <c r="G908" s="11" t="n">
        <v>0</v>
      </c>
      <c r="H908" s="12" t="n">
        <v>-127</v>
      </c>
      <c r="I908" s="11" t="inlineStr">
        <is>
          <t>Contango(远强)</t>
        </is>
      </c>
    </row>
    <row r="909">
      <c r="A909" s="6" t="inlineStr">
        <is>
          <t>2026-05-25</t>
        </is>
      </c>
      <c r="B909" s="6" t="inlineStr">
        <is>
          <t>MA2609</t>
        </is>
      </c>
      <c r="C909" s="6" t="inlineStr">
        <is>
          <t>2026-09</t>
        </is>
      </c>
      <c r="D909" s="9" t="n">
        <v>724481</v>
      </c>
      <c r="E909" s="6" t="n">
        <v>77</v>
      </c>
      <c r="F909" s="6" t="n">
        <v>0</v>
      </c>
      <c r="G909" s="6" t="n">
        <v>0</v>
      </c>
      <c r="H909" s="7" t="n">
        <v>-150</v>
      </c>
      <c r="I909" s="6" t="inlineStr">
        <is>
          <t>Contango(远强)</t>
        </is>
      </c>
    </row>
    <row r="910">
      <c r="A910" s="11" t="inlineStr">
        <is>
          <t>2026-05-26</t>
        </is>
      </c>
      <c r="B910" s="11" t="inlineStr">
        <is>
          <t>MA2609</t>
        </is>
      </c>
      <c r="C910" s="11" t="inlineStr">
        <is>
          <t>2026-09</t>
        </is>
      </c>
      <c r="D910" s="14" t="n">
        <v>709137</v>
      </c>
      <c r="E910" s="11" t="n">
        <v>76</v>
      </c>
      <c r="F910" s="11" t="n">
        <v>0</v>
      </c>
      <c r="G910" s="11" t="n">
        <v>0</v>
      </c>
      <c r="H910" s="12" t="n">
        <v>-177</v>
      </c>
      <c r="I910" s="11" t="inlineStr">
        <is>
          <t>Contango(远强)</t>
        </is>
      </c>
    </row>
    <row r="911">
      <c r="A911" s="6" t="inlineStr">
        <is>
          <t>2026-05-27</t>
        </is>
      </c>
      <c r="B911" s="6" t="inlineStr">
        <is>
          <t>MA2609</t>
        </is>
      </c>
      <c r="C911" s="6" t="inlineStr">
        <is>
          <t>2026-09</t>
        </is>
      </c>
      <c r="D911" s="9" t="n">
        <v>726267</v>
      </c>
      <c r="E911" s="6" t="n">
        <v>75</v>
      </c>
      <c r="F911" s="6" t="n">
        <v>0</v>
      </c>
      <c r="G911" s="6" t="n">
        <v>0</v>
      </c>
      <c r="H911" s="7" t="n">
        <v>-198</v>
      </c>
      <c r="I911" s="6" t="inlineStr">
        <is>
          <t>Contango(远强)</t>
        </is>
      </c>
    </row>
    <row r="912">
      <c r="A912" s="11" t="inlineStr">
        <is>
          <t>2026-05-28</t>
        </is>
      </c>
      <c r="B912" s="11" t="inlineStr">
        <is>
          <t>MA2609</t>
        </is>
      </c>
      <c r="C912" s="11" t="inlineStr">
        <is>
          <t>2026-09</t>
        </is>
      </c>
      <c r="D912" s="14" t="n">
        <v>731776</v>
      </c>
      <c r="E912" s="11" t="n">
        <v>74</v>
      </c>
      <c r="F912" s="11" t="n">
        <v>0</v>
      </c>
      <c r="G912" s="11" t="n">
        <v>0</v>
      </c>
      <c r="H912" s="12" t="n">
        <v>-214</v>
      </c>
      <c r="I912" s="11" t="inlineStr">
        <is>
          <t>Contango(远强)</t>
        </is>
      </c>
    </row>
    <row r="913">
      <c r="A913" s="6" t="inlineStr">
        <is>
          <t>2026-05-29</t>
        </is>
      </c>
      <c r="B913" s="6" t="inlineStr">
        <is>
          <t>MA2609</t>
        </is>
      </c>
      <c r="C913" s="6" t="inlineStr">
        <is>
          <t>2026-09</t>
        </is>
      </c>
      <c r="D913" s="9" t="n">
        <v>724503</v>
      </c>
      <c r="E913" s="6" t="n">
        <v>73</v>
      </c>
      <c r="F913" s="6" t="n">
        <v>0</v>
      </c>
      <c r="G913" s="6" t="n">
        <v>0</v>
      </c>
      <c r="H913" s="7" t="n">
        <v>-226</v>
      </c>
      <c r="I913" s="6" t="inlineStr">
        <is>
          <t>Contango(远强)</t>
        </is>
      </c>
    </row>
    <row r="914">
      <c r="A914" s="11" t="inlineStr">
        <is>
          <t>2026-06-01</t>
        </is>
      </c>
      <c r="B914" s="11" t="inlineStr">
        <is>
          <t>MA2609</t>
        </is>
      </c>
      <c r="C914" s="11" t="inlineStr">
        <is>
          <t>2026-09</t>
        </is>
      </c>
      <c r="D914" s="14" t="n">
        <v>707789</v>
      </c>
      <c r="E914" s="11" t="n">
        <v>72</v>
      </c>
      <c r="F914" s="11" t="n">
        <v>0</v>
      </c>
      <c r="G914" s="11" t="n">
        <v>0</v>
      </c>
      <c r="H914" s="12" t="n">
        <v>-181</v>
      </c>
      <c r="I914" s="11" t="inlineStr">
        <is>
          <t>Contango(远强)</t>
        </is>
      </c>
    </row>
    <row r="915">
      <c r="A915" s="6" t="inlineStr">
        <is>
          <t>2026-06-02</t>
        </is>
      </c>
      <c r="B915" s="6" t="inlineStr">
        <is>
          <t>MA2609</t>
        </is>
      </c>
      <c r="C915" s="6" t="inlineStr">
        <is>
          <t>2026-09</t>
        </is>
      </c>
      <c r="D915" s="9" t="n">
        <v>716423</v>
      </c>
      <c r="E915" s="6" t="n">
        <v>71</v>
      </c>
      <c r="F915" s="6" t="n">
        <v>0</v>
      </c>
      <c r="G915" s="6" t="n">
        <v>0</v>
      </c>
      <c r="H915" s="7" t="n">
        <v>-123</v>
      </c>
      <c r="I915" s="6" t="inlineStr">
        <is>
          <t>Contango(远强)</t>
        </is>
      </c>
    </row>
    <row r="916">
      <c r="A916" s="11" t="inlineStr">
        <is>
          <t>2026-06-03</t>
        </is>
      </c>
      <c r="B916" s="11" t="inlineStr">
        <is>
          <t>MA2609</t>
        </is>
      </c>
      <c r="C916" s="11" t="inlineStr">
        <is>
          <t>2026-09</t>
        </is>
      </c>
      <c r="D916" s="14" t="n">
        <v>726223</v>
      </c>
      <c r="E916" s="11" t="n">
        <v>70</v>
      </c>
      <c r="F916" s="11" t="n">
        <v>0</v>
      </c>
      <c r="G916" s="11" t="n">
        <v>0</v>
      </c>
      <c r="H916" s="12" t="n">
        <v>-182</v>
      </c>
      <c r="I916" s="11" t="inlineStr">
        <is>
          <t>Contango(远强)</t>
        </is>
      </c>
    </row>
    <row r="917">
      <c r="A917" s="6" t="inlineStr">
        <is>
          <t>2026-06-04</t>
        </is>
      </c>
      <c r="B917" s="6" t="inlineStr">
        <is>
          <t>MA2609</t>
        </is>
      </c>
      <c r="C917" s="6" t="inlineStr">
        <is>
          <t>2026-09</t>
        </is>
      </c>
      <c r="D917" s="9" t="n">
        <v>694911</v>
      </c>
      <c r="E917" s="6" t="n">
        <v>69</v>
      </c>
      <c r="F917" s="6" t="n">
        <v>0</v>
      </c>
      <c r="G917" s="6" t="n">
        <v>0</v>
      </c>
      <c r="H917" s="7" t="n">
        <v>-258</v>
      </c>
      <c r="I917" s="6" t="inlineStr">
        <is>
          <t>Contango(远强)</t>
        </is>
      </c>
    </row>
    <row r="918">
      <c r="A918" s="11" t="inlineStr">
        <is>
          <t>2026-06-05</t>
        </is>
      </c>
      <c r="B918" s="11" t="inlineStr">
        <is>
          <t>MA2609</t>
        </is>
      </c>
      <c r="C918" s="11" t="inlineStr">
        <is>
          <t>2026-09</t>
        </is>
      </c>
      <c r="D918" s="14" t="n">
        <v>735338</v>
      </c>
      <c r="E918" s="11" t="n">
        <v>68</v>
      </c>
      <c r="F918" s="11" t="n">
        <v>0</v>
      </c>
      <c r="G918" s="11" t="n">
        <v>0</v>
      </c>
      <c r="H918" s="12" t="n">
        <v>-144</v>
      </c>
      <c r="I918" s="11" t="inlineStr">
        <is>
          <t>Contango(远强)</t>
        </is>
      </c>
    </row>
    <row r="919">
      <c r="A919" s="6" t="inlineStr">
        <is>
          <t>2026-06-08</t>
        </is>
      </c>
      <c r="B919" s="6" t="inlineStr">
        <is>
          <t>MA2609</t>
        </is>
      </c>
      <c r="C919" s="6" t="inlineStr">
        <is>
          <t>2026-09</t>
        </is>
      </c>
      <c r="D919" s="9" t="n">
        <v>816549</v>
      </c>
      <c r="E919" s="6" t="n">
        <v>67</v>
      </c>
      <c r="F919" s="6" t="n">
        <v>0</v>
      </c>
      <c r="G919" s="6" t="n">
        <v>0</v>
      </c>
      <c r="H919" s="7" t="n">
        <v>-91</v>
      </c>
      <c r="I919" s="6" t="inlineStr">
        <is>
          <t>Contango(远强)</t>
        </is>
      </c>
    </row>
    <row r="920">
      <c r="A920" s="11" t="inlineStr">
        <is>
          <t>2026-06-09</t>
        </is>
      </c>
      <c r="B920" s="11" t="inlineStr">
        <is>
          <t>MA2609</t>
        </is>
      </c>
      <c r="C920" s="11" t="inlineStr">
        <is>
          <t>2026-09</t>
        </is>
      </c>
      <c r="D920" s="14" t="n">
        <v>770774</v>
      </c>
      <c r="E920" s="11" t="n">
        <v>66</v>
      </c>
      <c r="F920" s="11" t="n">
        <v>0</v>
      </c>
      <c r="G920" s="11" t="n">
        <v>0</v>
      </c>
      <c r="H920" s="12" t="n">
        <v>-237</v>
      </c>
      <c r="I920" s="11" t="inlineStr">
        <is>
          <t>Contango(远强)</t>
        </is>
      </c>
    </row>
    <row r="921">
      <c r="A921" s="6" t="inlineStr">
        <is>
          <t>2026-06-10</t>
        </is>
      </c>
      <c r="B921" s="6" t="inlineStr">
        <is>
          <t>MA2609</t>
        </is>
      </c>
      <c r="C921" s="6" t="inlineStr">
        <is>
          <t>2026-09</t>
        </is>
      </c>
      <c r="D921" s="9" t="n">
        <v>788063</v>
      </c>
      <c r="E921" s="6" t="n">
        <v>65</v>
      </c>
      <c r="F921" s="6" t="n">
        <v>0</v>
      </c>
      <c r="G921" s="6" t="n">
        <v>0</v>
      </c>
      <c r="H921" s="7" t="n">
        <v>-251</v>
      </c>
      <c r="I921" s="6" t="inlineStr">
        <is>
          <t>Contango(远强)</t>
        </is>
      </c>
    </row>
    <row r="922">
      <c r="A922" s="11" t="inlineStr">
        <is>
          <t>2026-06-11</t>
        </is>
      </c>
      <c r="B922" s="11" t="inlineStr">
        <is>
          <t>MA2609</t>
        </is>
      </c>
      <c r="C922" s="11" t="inlineStr">
        <is>
          <t>2026-09</t>
        </is>
      </c>
      <c r="D922" s="14" t="n">
        <v>837630</v>
      </c>
      <c r="E922" s="11" t="n">
        <v>64</v>
      </c>
      <c r="F922" s="11" t="n">
        <v>0</v>
      </c>
      <c r="G922" s="11" t="n">
        <v>0</v>
      </c>
      <c r="H922" s="12" t="n">
        <v>-125</v>
      </c>
      <c r="I922" s="11" t="inlineStr">
        <is>
          <t>Contango(远强)</t>
        </is>
      </c>
    </row>
    <row r="923">
      <c r="A923" s="6" t="inlineStr">
        <is>
          <t>2026-06-12</t>
        </is>
      </c>
      <c r="B923" s="6" t="inlineStr">
        <is>
          <t>MA2609</t>
        </is>
      </c>
      <c r="C923" s="6" t="inlineStr">
        <is>
          <t>2026-09</t>
        </is>
      </c>
      <c r="D923" s="9" t="n">
        <v>848577</v>
      </c>
      <c r="E923" s="6" t="n">
        <v>63</v>
      </c>
      <c r="F923" s="6" t="n">
        <v>0</v>
      </c>
      <c r="G923" s="6" t="n">
        <v>0</v>
      </c>
      <c r="H923" s="7" t="n">
        <v>-184</v>
      </c>
      <c r="I923" s="6" t="inlineStr">
        <is>
          <t>Contango(远强)</t>
        </is>
      </c>
    </row>
    <row r="924">
      <c r="A924" s="11" t="inlineStr">
        <is>
          <t>2026-06-15</t>
        </is>
      </c>
      <c r="B924" s="11" t="inlineStr">
        <is>
          <t>MA2609</t>
        </is>
      </c>
      <c r="C924" s="11" t="inlineStr">
        <is>
          <t>2026-09</t>
        </is>
      </c>
      <c r="D924" s="14" t="n">
        <v>794847</v>
      </c>
      <c r="E924" s="11" t="n">
        <v>62</v>
      </c>
      <c r="F924" s="11" t="n">
        <v>0</v>
      </c>
      <c r="G924" s="11" t="n">
        <v>0</v>
      </c>
      <c r="H924" s="12" t="n">
        <v>-215</v>
      </c>
      <c r="I924" s="11" t="inlineStr">
        <is>
          <t>Contango(远强)</t>
        </is>
      </c>
    </row>
    <row r="925">
      <c r="A925" s="6" t="inlineStr">
        <is>
          <t>2026-06-16</t>
        </is>
      </c>
      <c r="B925" s="6" t="inlineStr">
        <is>
          <t>MA2609</t>
        </is>
      </c>
      <c r="C925" s="6" t="inlineStr">
        <is>
          <t>2026-09</t>
        </is>
      </c>
      <c r="D925" s="9" t="n">
        <v>761331</v>
      </c>
      <c r="E925" s="6" t="n">
        <v>61</v>
      </c>
      <c r="F925" s="6" t="n">
        <v>0</v>
      </c>
      <c r="G925" s="6" t="n">
        <v>0</v>
      </c>
      <c r="H925" s="7" t="n">
        <v>-246</v>
      </c>
      <c r="I925" s="6" t="inlineStr">
        <is>
          <t>Contango(远强)</t>
        </is>
      </c>
    </row>
    <row r="926">
      <c r="A926" s="11" t="inlineStr">
        <is>
          <t>2026-06-17</t>
        </is>
      </c>
      <c r="B926" s="11" t="inlineStr">
        <is>
          <t>MA2609</t>
        </is>
      </c>
      <c r="C926" s="11" t="inlineStr">
        <is>
          <t>2026-09</t>
        </is>
      </c>
      <c r="D926" s="14" t="n">
        <v>755190</v>
      </c>
      <c r="E926" s="11" t="n">
        <v>60</v>
      </c>
      <c r="F926" s="11" t="n">
        <v>0</v>
      </c>
      <c r="G926" s="11" t="n">
        <v>0</v>
      </c>
      <c r="H926" s="12" t="n">
        <v>-263</v>
      </c>
      <c r="I926" s="11" t="inlineStr">
        <is>
          <t>Contango(远强)</t>
        </is>
      </c>
    </row>
    <row r="927">
      <c r="A927" s="6" t="inlineStr">
        <is>
          <t>2026-06-18</t>
        </is>
      </c>
      <c r="B927" s="6" t="inlineStr">
        <is>
          <t>MA2609</t>
        </is>
      </c>
      <c r="C927" s="6" t="inlineStr">
        <is>
          <t>2026-09</t>
        </is>
      </c>
      <c r="D927" s="9" t="n">
        <v>715618</v>
      </c>
      <c r="E927" s="6" t="n">
        <v>59</v>
      </c>
      <c r="F927" s="6" t="n">
        <v>0</v>
      </c>
      <c r="G927" s="6" t="n">
        <v>0</v>
      </c>
      <c r="H927" s="7" t="n">
        <v>-204</v>
      </c>
      <c r="I927" s="6" t="inlineStr">
        <is>
          <t>Contango(远强)</t>
        </is>
      </c>
    </row>
    <row r="928">
      <c r="A928" s="11" t="inlineStr">
        <is>
          <t>2026-06-22</t>
        </is>
      </c>
      <c r="B928" s="11" t="inlineStr">
        <is>
          <t>MA2609</t>
        </is>
      </c>
      <c r="C928" s="11" t="inlineStr">
        <is>
          <t>2026-09</t>
        </is>
      </c>
      <c r="D928" s="14" t="n">
        <v>692562</v>
      </c>
      <c r="E928" s="11" t="n">
        <v>58</v>
      </c>
      <c r="F928" s="11" t="n">
        <v>0</v>
      </c>
      <c r="G928" s="11" t="n">
        <v>0</v>
      </c>
      <c r="H928" s="12" t="n">
        <v>-180</v>
      </c>
      <c r="I928" s="11" t="inlineStr">
        <is>
          <t>Contango(远强)</t>
        </is>
      </c>
    </row>
    <row r="929">
      <c r="A929" s="6" t="inlineStr">
        <is>
          <t>2026-06-23</t>
        </is>
      </c>
      <c r="B929" s="6" t="inlineStr">
        <is>
          <t>MA2609</t>
        </is>
      </c>
      <c r="C929" s="6" t="inlineStr">
        <is>
          <t>2026-09</t>
        </is>
      </c>
      <c r="D929" s="9" t="n">
        <v>682499</v>
      </c>
      <c r="E929" s="6" t="n">
        <v>57</v>
      </c>
      <c r="F929" s="6" t="n">
        <v>0</v>
      </c>
      <c r="G929" s="6" t="n">
        <v>0</v>
      </c>
      <c r="H929" s="7" t="n">
        <v>-140</v>
      </c>
      <c r="I929" s="6" t="inlineStr">
        <is>
          <t>Contango(远强)</t>
        </is>
      </c>
    </row>
    <row r="930">
      <c r="A930" s="11" t="inlineStr">
        <is>
          <t>2026-06-24</t>
        </is>
      </c>
      <c r="B930" s="11" t="inlineStr">
        <is>
          <t>MA2609</t>
        </is>
      </c>
      <c r="C930" s="11" t="inlineStr">
        <is>
          <t>2026-09</t>
        </is>
      </c>
      <c r="D930" s="14" t="n">
        <v>679449</v>
      </c>
      <c r="E930" s="11" t="n">
        <v>56</v>
      </c>
      <c r="F930" s="11" t="n">
        <v>0</v>
      </c>
      <c r="G930" s="11" t="n">
        <v>0</v>
      </c>
      <c r="H930" s="12" t="n">
        <v>-87</v>
      </c>
      <c r="I930" s="11" t="inlineStr">
        <is>
          <t>Contango(远强)</t>
        </is>
      </c>
    </row>
    <row r="931">
      <c r="A931" s="6" t="inlineStr">
        <is>
          <t>2026-06-25</t>
        </is>
      </c>
      <c r="B931" s="6" t="inlineStr">
        <is>
          <t>MA2609</t>
        </is>
      </c>
      <c r="C931" s="6" t="inlineStr">
        <is>
          <t>2026-09</t>
        </is>
      </c>
      <c r="D931" s="9" t="n">
        <v>716209</v>
      </c>
      <c r="E931" s="6" t="n">
        <v>55</v>
      </c>
      <c r="F931" s="6" t="n">
        <v>0</v>
      </c>
      <c r="G931" s="6" t="n">
        <v>0</v>
      </c>
      <c r="H931" s="7" t="n">
        <v>-72</v>
      </c>
      <c r="I931" s="6" t="inlineStr">
        <is>
          <t>结构不明</t>
        </is>
      </c>
    </row>
    <row r="932">
      <c r="A932" s="11" t="inlineStr">
        <is>
          <t>2026-06-26</t>
        </is>
      </c>
      <c r="B932" s="11" t="inlineStr">
        <is>
          <t>MA2609</t>
        </is>
      </c>
      <c r="C932" s="11" t="inlineStr">
        <is>
          <t>2026-09</t>
        </is>
      </c>
      <c r="D932" s="14" t="n">
        <v>699787</v>
      </c>
      <c r="E932" s="11" t="n">
        <v>54</v>
      </c>
      <c r="F932" s="11" t="n">
        <v>0</v>
      </c>
      <c r="G932" s="11" t="n">
        <v>0</v>
      </c>
      <c r="H932" s="12" t="n">
        <v>-65</v>
      </c>
      <c r="I932" s="11" t="inlineStr">
        <is>
          <t>结构不明</t>
        </is>
      </c>
    </row>
    <row r="933">
      <c r="A933" s="6" t="inlineStr">
        <is>
          <t>2026-06-29</t>
        </is>
      </c>
      <c r="B933" s="6" t="inlineStr">
        <is>
          <t>MA2609</t>
        </is>
      </c>
      <c r="C933" s="6" t="inlineStr">
        <is>
          <t>2026-09</t>
        </is>
      </c>
      <c r="D933" s="9" t="n">
        <v>707950</v>
      </c>
      <c r="E933" s="6" t="n">
        <v>53</v>
      </c>
      <c r="F933" s="6" t="n">
        <v>0</v>
      </c>
      <c r="G933" s="6" t="n">
        <v>0</v>
      </c>
      <c r="H933" s="7" t="n">
        <v>-49</v>
      </c>
      <c r="I933" s="6" t="inlineStr">
        <is>
          <t>结构不明</t>
        </is>
      </c>
    </row>
    <row r="934">
      <c r="A934" s="11" t="inlineStr">
        <is>
          <t>2026-06-30</t>
        </is>
      </c>
      <c r="B934" s="11" t="inlineStr">
        <is>
          <t>MA2609</t>
        </is>
      </c>
      <c r="C934" s="11" t="inlineStr">
        <is>
          <t>2026-09</t>
        </is>
      </c>
      <c r="D934" s="14" t="n">
        <v>700024</v>
      </c>
      <c r="E934" s="11" t="n">
        <v>52</v>
      </c>
      <c r="F934" s="11" t="n">
        <v>0</v>
      </c>
      <c r="G934" s="11" t="n">
        <v>0</v>
      </c>
      <c r="H934" s="12" t="n">
        <v>-11</v>
      </c>
      <c r="I934" s="11" t="inlineStr">
        <is>
          <t>结构不明</t>
        </is>
      </c>
    </row>
    <row r="935">
      <c r="A935" s="6" t="inlineStr">
        <is>
          <t>2026-07-01</t>
        </is>
      </c>
      <c r="B935" s="6" t="inlineStr">
        <is>
          <t>MA2609</t>
        </is>
      </c>
      <c r="C935" s="6" t="inlineStr">
        <is>
          <t>2026-09</t>
        </is>
      </c>
      <c r="D935" s="9" t="n">
        <v>751100</v>
      </c>
      <c r="E935" s="6" t="n">
        <v>51</v>
      </c>
      <c r="F935" s="6" t="n">
        <v>0</v>
      </c>
      <c r="G935" s="6" t="n">
        <v>0</v>
      </c>
      <c r="H935" s="7" t="n">
        <v>-32</v>
      </c>
      <c r="I935" s="6" t="inlineStr">
        <is>
          <t>结构不明</t>
        </is>
      </c>
    </row>
    <row r="936">
      <c r="A936" s="11" t="inlineStr">
        <is>
          <t>2026-07-02</t>
        </is>
      </c>
      <c r="B936" s="11" t="inlineStr">
        <is>
          <t>MA2609</t>
        </is>
      </c>
      <c r="C936" s="11" t="inlineStr">
        <is>
          <t>2026-09</t>
        </is>
      </c>
      <c r="D936" s="14" t="n">
        <v>739481</v>
      </c>
      <c r="E936" s="11" t="n">
        <v>50</v>
      </c>
      <c r="F936" s="11" t="n">
        <v>0</v>
      </c>
      <c r="G936" s="11" t="n">
        <v>0</v>
      </c>
      <c r="H936" s="12" t="n">
        <v>-23</v>
      </c>
      <c r="I936" s="11" t="inlineStr">
        <is>
          <t>结构不明</t>
        </is>
      </c>
    </row>
    <row r="937">
      <c r="A937" s="6" t="inlineStr">
        <is>
          <t>2026-07-03</t>
        </is>
      </c>
      <c r="B937" s="6" t="inlineStr">
        <is>
          <t>MA2609</t>
        </is>
      </c>
      <c r="C937" s="6" t="inlineStr">
        <is>
          <t>2026-09</t>
        </is>
      </c>
      <c r="D937" s="9" t="n">
        <v>691119</v>
      </c>
      <c r="E937" s="6" t="n">
        <v>49</v>
      </c>
      <c r="F937" s="6" t="n">
        <v>0</v>
      </c>
      <c r="G937" s="6" t="n">
        <v>0</v>
      </c>
      <c r="H937" s="7" t="n">
        <v>9</v>
      </c>
      <c r="I937" s="6" t="inlineStr">
        <is>
          <t>结构不明</t>
        </is>
      </c>
    </row>
    <row r="938">
      <c r="A938" s="11" t="inlineStr">
        <is>
          <t>2026-07-06</t>
        </is>
      </c>
      <c r="B938" s="11" t="inlineStr">
        <is>
          <t>MA2609</t>
        </is>
      </c>
      <c r="C938" s="11" t="inlineStr">
        <is>
          <t>2026-09</t>
        </is>
      </c>
      <c r="D938" s="14" t="n">
        <v>678018</v>
      </c>
      <c r="E938" s="11" t="n">
        <v>48</v>
      </c>
      <c r="F938" s="11" t="n">
        <v>0</v>
      </c>
      <c r="G938" s="11" t="n">
        <v>0</v>
      </c>
      <c r="H938" s="12" t="n">
        <v>-5</v>
      </c>
      <c r="I938" s="11" t="inlineStr">
        <is>
          <t>结构不明</t>
        </is>
      </c>
    </row>
    <row r="939">
      <c r="A939" s="6" t="inlineStr">
        <is>
          <t>2026-07-07</t>
        </is>
      </c>
      <c r="B939" s="6" t="inlineStr">
        <is>
          <t>MA2609</t>
        </is>
      </c>
      <c r="C939" s="6" t="inlineStr">
        <is>
          <t>2026-09</t>
        </is>
      </c>
      <c r="D939" s="9" t="n">
        <v>700156</v>
      </c>
      <c r="E939" s="6" t="n">
        <v>47</v>
      </c>
      <c r="F939" s="6" t="n">
        <v>0</v>
      </c>
      <c r="G939" s="6" t="n">
        <v>0</v>
      </c>
      <c r="H939" s="7" t="n">
        <v>29</v>
      </c>
      <c r="I939" s="6" t="inlineStr">
        <is>
          <t>Back(近强)</t>
        </is>
      </c>
    </row>
    <row r="940">
      <c r="A940" s="11" t="inlineStr">
        <is>
          <t>2026-07-08</t>
        </is>
      </c>
      <c r="B940" s="11" t="inlineStr">
        <is>
          <t>MA2609</t>
        </is>
      </c>
      <c r="C940" s="11" t="inlineStr">
        <is>
          <t>2026-09</t>
        </is>
      </c>
      <c r="D940" s="14" t="n">
        <v>697883</v>
      </c>
      <c r="E940" s="11" t="n">
        <v>46</v>
      </c>
      <c r="F940" s="11" t="n">
        <v>0</v>
      </c>
      <c r="G940" s="11" t="n">
        <v>0</v>
      </c>
      <c r="H940" s="12" t="n">
        <v>47</v>
      </c>
      <c r="I940" s="11" t="inlineStr">
        <is>
          <t>Back(近强)</t>
        </is>
      </c>
    </row>
    <row r="941">
      <c r="A941" s="6" t="inlineStr">
        <is>
          <t>2026-07-09</t>
        </is>
      </c>
      <c r="B941" s="6" t="inlineStr">
        <is>
          <t>MA2609</t>
        </is>
      </c>
      <c r="C941" s="6" t="inlineStr">
        <is>
          <t>2026-09</t>
        </is>
      </c>
      <c r="D941" s="9" t="n">
        <v>649423</v>
      </c>
      <c r="E941" s="6" t="n">
        <v>45</v>
      </c>
      <c r="F941" s="6" t="n">
        <v>0</v>
      </c>
      <c r="G941" s="6" t="n">
        <v>0</v>
      </c>
      <c r="H941" s="7" t="n">
        <v>18</v>
      </c>
      <c r="I941" s="6" t="inlineStr">
        <is>
          <t>结构不明</t>
        </is>
      </c>
    </row>
    <row r="942">
      <c r="A942" s="11" t="inlineStr">
        <is>
          <t>2026-07-10</t>
        </is>
      </c>
      <c r="B942" s="11" t="inlineStr">
        <is>
          <t>MA2609</t>
        </is>
      </c>
      <c r="C942" s="11" t="inlineStr">
        <is>
          <t>2026-09</t>
        </is>
      </c>
      <c r="D942" s="14" t="n">
        <v>656517</v>
      </c>
      <c r="E942" s="11" t="n">
        <v>44</v>
      </c>
      <c r="F942" s="11" t="n">
        <v>0</v>
      </c>
      <c r="G942" s="11" t="n">
        <v>0</v>
      </c>
      <c r="H942" s="12" t="n">
        <v>10</v>
      </c>
      <c r="I942" s="11" t="inlineStr">
        <is>
          <t>结构不明</t>
        </is>
      </c>
    </row>
    <row r="943">
      <c r="A943" s="6" t="inlineStr">
        <is>
          <t>2026-07-13</t>
        </is>
      </c>
      <c r="B943" s="6" t="inlineStr">
        <is>
          <t>MA2609</t>
        </is>
      </c>
      <c r="C943" s="6" t="inlineStr">
        <is>
          <t>2026-09</t>
        </is>
      </c>
      <c r="D943" s="9" t="n">
        <v>652549</v>
      </c>
      <c r="E943" s="6" t="n">
        <v>43</v>
      </c>
      <c r="F943" s="6" t="n">
        <v>0</v>
      </c>
      <c r="G943" s="6" t="n">
        <v>0</v>
      </c>
      <c r="H943" s="7" t="n">
        <v>11</v>
      </c>
      <c r="I943" s="6" t="inlineStr">
        <is>
          <t>结构不明</t>
        </is>
      </c>
    </row>
    <row r="944">
      <c r="A944" s="11" t="inlineStr">
        <is>
          <t>2026-07-14</t>
        </is>
      </c>
      <c r="B944" s="11" t="inlineStr">
        <is>
          <t>MA2609</t>
        </is>
      </c>
      <c r="C944" s="11" t="inlineStr">
        <is>
          <t>2026-09</t>
        </is>
      </c>
      <c r="D944" s="14" t="n">
        <v>654749</v>
      </c>
      <c r="E944" s="11" t="n">
        <v>42</v>
      </c>
      <c r="F944" s="11" t="n">
        <v>0</v>
      </c>
      <c r="G944" s="11" t="n">
        <v>0</v>
      </c>
      <c r="H944" s="12" t="n">
        <v>-2</v>
      </c>
      <c r="I944" s="11" t="inlineStr">
        <is>
          <t>结构不明</t>
        </is>
      </c>
    </row>
    <row r="945">
      <c r="A945" s="6" t="inlineStr">
        <is>
          <t>2026-07-15</t>
        </is>
      </c>
      <c r="B945" s="6" t="inlineStr">
        <is>
          <t>MA2609</t>
        </is>
      </c>
      <c r="C945" s="6" t="inlineStr">
        <is>
          <t>2026-09</t>
        </is>
      </c>
      <c r="D945" s="9" t="n">
        <v>661260</v>
      </c>
      <c r="E945" s="6" t="n">
        <v>41</v>
      </c>
      <c r="F945" s="6" t="n">
        <v>0</v>
      </c>
      <c r="G945" s="6" t="n">
        <v>0</v>
      </c>
      <c r="H945" s="7" t="n">
        <v>6</v>
      </c>
      <c r="I945" s="6" t="inlineStr">
        <is>
          <t>结构不明</t>
        </is>
      </c>
    </row>
    <row r="946">
      <c r="A946" s="11" t="inlineStr">
        <is>
          <t>2026-07-16</t>
        </is>
      </c>
      <c r="B946" s="11" t="inlineStr">
        <is>
          <t>MA2609</t>
        </is>
      </c>
      <c r="C946" s="11" t="inlineStr">
        <is>
          <t>2026-09</t>
        </is>
      </c>
      <c r="D946" s="14" t="n">
        <v>665134</v>
      </c>
      <c r="E946" s="11" t="n">
        <v>40</v>
      </c>
      <c r="F946" s="11" t="n">
        <v>0</v>
      </c>
      <c r="G946" s="11" t="n">
        <v>0</v>
      </c>
      <c r="H946" s="12" t="n">
        <v>10</v>
      </c>
      <c r="I946" s="11" t="inlineStr">
        <is>
          <t>结构不明</t>
        </is>
      </c>
    </row>
    <row r="947">
      <c r="A947" s="6" t="inlineStr">
        <is>
          <t>2026-07-17</t>
        </is>
      </c>
      <c r="B947" s="6" t="inlineStr">
        <is>
          <t>MA2609</t>
        </is>
      </c>
      <c r="C947" s="6" t="inlineStr">
        <is>
          <t>2026-09</t>
        </is>
      </c>
      <c r="D947" s="9" t="n">
        <v>654879</v>
      </c>
      <c r="E947" s="6" t="n">
        <v>39</v>
      </c>
      <c r="F947" s="6" t="n">
        <v>0</v>
      </c>
      <c r="G947" s="6" t="n">
        <v>0</v>
      </c>
      <c r="H947" s="7" t="n">
        <v>26</v>
      </c>
      <c r="I947" s="6" t="inlineStr">
        <is>
          <t>Back(近强)</t>
        </is>
      </c>
    </row>
    <row r="948">
      <c r="A948" s="11" t="inlineStr">
        <is>
          <t>2026-07-20</t>
        </is>
      </c>
      <c r="B948" s="11" t="inlineStr">
        <is>
          <t>MA2609</t>
        </is>
      </c>
      <c r="C948" s="11" t="inlineStr">
        <is>
          <t>2026-09</t>
        </is>
      </c>
      <c r="D948" s="14" t="n">
        <v>661579</v>
      </c>
      <c r="E948" s="11" t="n">
        <v>38</v>
      </c>
      <c r="F948" s="11" t="n">
        <v>0</v>
      </c>
      <c r="G948" s="11" t="n">
        <v>0</v>
      </c>
      <c r="H948" s="12" t="n">
        <v>27</v>
      </c>
      <c r="I948" s="11" t="inlineStr">
        <is>
          <t>Back(近强)</t>
        </is>
      </c>
    </row>
    <row r="949">
      <c r="A949" s="6" t="inlineStr">
        <is>
          <t>2026-07-21</t>
        </is>
      </c>
      <c r="B949" s="6" t="inlineStr">
        <is>
          <t>MA2609</t>
        </is>
      </c>
      <c r="C949" s="6" t="inlineStr">
        <is>
          <t>2026-09</t>
        </is>
      </c>
      <c r="D949" s="9" t="n">
        <v>603375</v>
      </c>
      <c r="E949" s="6" t="n">
        <v>37</v>
      </c>
      <c r="F949" s="6" t="n">
        <v>0</v>
      </c>
      <c r="G949" s="6" t="n">
        <v>0</v>
      </c>
      <c r="H949" s="7" t="n">
        <v>26</v>
      </c>
      <c r="I949" s="6" t="inlineStr">
        <is>
          <t>Back(近强)</t>
        </is>
      </c>
    </row>
    <row r="950">
      <c r="A950" s="11" t="inlineStr">
        <is>
          <t>2026-07-22</t>
        </is>
      </c>
      <c r="B950" s="11" t="inlineStr">
        <is>
          <t>MA2609</t>
        </is>
      </c>
      <c r="C950" s="11" t="inlineStr">
        <is>
          <t>2026-09</t>
        </is>
      </c>
      <c r="D950" s="14" t="n">
        <v>638579</v>
      </c>
      <c r="E950" s="11" t="n">
        <v>36</v>
      </c>
      <c r="F950" s="11" t="n">
        <v>0</v>
      </c>
      <c r="G950" s="11" t="n">
        <v>0</v>
      </c>
      <c r="H950" s="12" t="n">
        <v>26</v>
      </c>
      <c r="I950" s="11" t="inlineStr">
        <is>
          <t>Back(近强)</t>
        </is>
      </c>
    </row>
    <row r="951">
      <c r="A951" s="6" t="inlineStr">
        <is>
          <t>2026-07-23</t>
        </is>
      </c>
      <c r="B951" s="6" t="inlineStr">
        <is>
          <t>MA2609</t>
        </is>
      </c>
      <c r="C951" s="6" t="inlineStr">
        <is>
          <t>2026-09</t>
        </is>
      </c>
      <c r="D951" s="9" t="n">
        <v>625617</v>
      </c>
      <c r="E951" s="6" t="n">
        <v>35</v>
      </c>
      <c r="F951" s="6" t="n">
        <v>0</v>
      </c>
      <c r="G951" s="6" t="n">
        <v>0</v>
      </c>
      <c r="H951" s="7" t="n">
        <v>22</v>
      </c>
      <c r="I951" s="6" t="inlineStr">
        <is>
          <t>Back(近强)</t>
        </is>
      </c>
    </row>
    <row r="952">
      <c r="A952" s="11" t="inlineStr">
        <is>
          <t>2026-07-24</t>
        </is>
      </c>
      <c r="B952" s="11" t="inlineStr">
        <is>
          <t>MA2609</t>
        </is>
      </c>
      <c r="C952" s="11" t="inlineStr">
        <is>
          <t>2026-09</t>
        </is>
      </c>
      <c r="D952" s="14" t="n">
        <v>621986</v>
      </c>
      <c r="E952" s="11" t="n">
        <v>34</v>
      </c>
      <c r="F952" s="11" t="n">
        <v>0</v>
      </c>
      <c r="G952" s="11" t="n">
        <v>0</v>
      </c>
      <c r="H952" s="12" t="n">
        <v>23</v>
      </c>
      <c r="I952" s="11" t="inlineStr">
        <is>
          <t>Back(近强)</t>
        </is>
      </c>
    </row>
    <row r="953">
      <c r="A953" s="6" t="inlineStr">
        <is>
          <t>2026-07-27</t>
        </is>
      </c>
      <c r="B953" s="6" t="inlineStr">
        <is>
          <t>MA2609</t>
        </is>
      </c>
      <c r="C953" s="6" t="inlineStr">
        <is>
          <t>2026-09</t>
        </is>
      </c>
      <c r="D953" s="9" t="n">
        <v>599960</v>
      </c>
      <c r="E953" s="6" t="n">
        <v>33</v>
      </c>
      <c r="F953" s="6" t="n">
        <v>0</v>
      </c>
      <c r="G953" s="6" t="n">
        <v>0</v>
      </c>
      <c r="H953" s="7" t="n">
        <v>28</v>
      </c>
      <c r="I953" s="6" t="inlineStr">
        <is>
          <t>Back(近强)</t>
        </is>
      </c>
    </row>
    <row r="954">
      <c r="A954" s="11" t="inlineStr">
        <is>
          <t>2026-07-28</t>
        </is>
      </c>
      <c r="B954" s="11" t="inlineStr">
        <is>
          <t>MA2609</t>
        </is>
      </c>
      <c r="C954" s="11" t="inlineStr">
        <is>
          <t>2026-09</t>
        </is>
      </c>
      <c r="D954" s="14" t="n">
        <v>581945</v>
      </c>
      <c r="E954" s="11" t="n">
        <v>32</v>
      </c>
      <c r="F954" s="11" t="n">
        <v>0</v>
      </c>
      <c r="G954" s="11" t="n">
        <v>0</v>
      </c>
      <c r="H954" s="12" t="n">
        <v>33</v>
      </c>
      <c r="I954" s="11" t="inlineStr">
        <is>
          <t>Back(近强)</t>
        </is>
      </c>
    </row>
    <row r="955">
      <c r="A955" s="6" t="inlineStr">
        <is>
          <t>2026-07-29</t>
        </is>
      </c>
      <c r="B955" s="6" t="inlineStr">
        <is>
          <t>MA2609</t>
        </is>
      </c>
      <c r="C955" s="6" t="inlineStr">
        <is>
          <t>2026-09</t>
        </is>
      </c>
      <c r="D955" s="9" t="n">
        <v>565908</v>
      </c>
      <c r="E955" s="6" t="n">
        <v>31</v>
      </c>
      <c r="F955" s="6" t="n">
        <v>0</v>
      </c>
      <c r="G955" s="6" t="n">
        <v>0</v>
      </c>
      <c r="H955" s="7" t="n">
        <v>29</v>
      </c>
      <c r="I955" s="6" t="inlineStr">
        <is>
          <t>Back(近强)</t>
        </is>
      </c>
    </row>
    <row r="956">
      <c r="A956" s="11" t="inlineStr">
        <is>
          <t>2026-07-30</t>
        </is>
      </c>
      <c r="B956" s="11" t="inlineStr">
        <is>
          <t>MA2609</t>
        </is>
      </c>
      <c r="C956" s="11" t="inlineStr">
        <is>
          <t>2026-09</t>
        </is>
      </c>
      <c r="D956" s="14" t="n">
        <v>567903</v>
      </c>
      <c r="E956" s="11" t="n">
        <v>30</v>
      </c>
      <c r="F956" s="11" t="n">
        <v>0</v>
      </c>
      <c r="G956" s="11" t="n">
        <v>0</v>
      </c>
      <c r="H956" s="12" t="n">
        <v>34</v>
      </c>
      <c r="I956" s="11" t="inlineStr">
        <is>
          <t>Back(近强)</t>
        </is>
      </c>
    </row>
    <row r="957">
      <c r="A957" s="6" t="inlineStr">
        <is>
          <t>2026-07-31</t>
        </is>
      </c>
      <c r="B957" s="6" t="inlineStr">
        <is>
          <t>MA2609</t>
        </is>
      </c>
      <c r="C957" s="6" t="inlineStr">
        <is>
          <t>2026-09</t>
        </is>
      </c>
      <c r="D957" s="9" t="n">
        <v>553497</v>
      </c>
      <c r="E957" s="6" t="n">
        <v>29</v>
      </c>
      <c r="F957" s="6" t="n">
        <v>0</v>
      </c>
      <c r="G957" s="6" t="n">
        <v>0</v>
      </c>
      <c r="H957" s="7" t="n">
        <v>24</v>
      </c>
      <c r="I957" s="6" t="inlineStr">
        <is>
          <t>Back(近强)</t>
        </is>
      </c>
    </row>
    <row r="958">
      <c r="A958" s="11" t="inlineStr">
        <is>
          <t>2026-08-03</t>
        </is>
      </c>
      <c r="B958" s="11" t="inlineStr">
        <is>
          <t>MA2609</t>
        </is>
      </c>
      <c r="C958" s="11" t="inlineStr">
        <is>
          <t>2026-09</t>
        </is>
      </c>
      <c r="D958" s="14" t="n">
        <v>573082</v>
      </c>
      <c r="E958" s="11" t="n">
        <v>28</v>
      </c>
      <c r="F958" s="11" t="n">
        <v>0</v>
      </c>
      <c r="G958" s="11" t="n">
        <v>0</v>
      </c>
      <c r="H958" s="12" t="n">
        <v>28</v>
      </c>
      <c r="I958" s="11" t="inlineStr">
        <is>
          <t>Back(近强)</t>
        </is>
      </c>
    </row>
    <row r="959">
      <c r="A959" s="6" t="inlineStr">
        <is>
          <t>2026-08-04</t>
        </is>
      </c>
      <c r="B959" s="6" t="inlineStr">
        <is>
          <t>MA2609</t>
        </is>
      </c>
      <c r="C959" s="6" t="inlineStr">
        <is>
          <t>2026-09</t>
        </is>
      </c>
      <c r="D959" s="9" t="n">
        <v>546513</v>
      </c>
      <c r="E959" s="6" t="n">
        <v>27</v>
      </c>
      <c r="F959" s="6" t="n">
        <v>0</v>
      </c>
      <c r="G959" s="6" t="n">
        <v>0</v>
      </c>
      <c r="H959" s="7" t="n">
        <v>6</v>
      </c>
      <c r="I959" s="6" t="inlineStr">
        <is>
          <t>结构不明</t>
        </is>
      </c>
    </row>
    <row r="960">
      <c r="A960" s="11" t="inlineStr">
        <is>
          <t>2026-08-05</t>
        </is>
      </c>
      <c r="B960" s="11" t="inlineStr">
        <is>
          <t>MA2609</t>
        </is>
      </c>
      <c r="C960" s="11" t="inlineStr">
        <is>
          <t>2026-09</t>
        </is>
      </c>
      <c r="D960" s="14" t="n">
        <v>511771</v>
      </c>
      <c r="E960" s="11" t="n">
        <v>26</v>
      </c>
      <c r="F960" s="11" t="n">
        <v>0</v>
      </c>
      <c r="G960" s="11" t="n">
        <v>1</v>
      </c>
      <c r="H960" s="12" t="n">
        <v>17</v>
      </c>
      <c r="I960" s="11" t="inlineStr">
        <is>
          <t>Back(近强)</t>
        </is>
      </c>
    </row>
    <row r="961">
      <c r="A961" s="6" t="inlineStr">
        <is>
          <t>2026-08-06</t>
        </is>
      </c>
      <c r="B961" s="6" t="inlineStr">
        <is>
          <t>MA2610</t>
        </is>
      </c>
      <c r="C961" s="6" t="inlineStr">
        <is>
          <t>2026-10</t>
        </is>
      </c>
      <c r="D961" s="9" t="n">
        <v>546872</v>
      </c>
      <c r="E961" s="6" t="n">
        <v>45</v>
      </c>
      <c r="F961" s="6" t="n">
        <v>1</v>
      </c>
      <c r="G961" s="6" t="n">
        <v>0</v>
      </c>
      <c r="H961" s="7" t="n">
        <v>17</v>
      </c>
      <c r="I961" s="6" t="inlineStr">
        <is>
          <t>Back(近强)</t>
        </is>
      </c>
    </row>
    <row r="962">
      <c r="A962" s="11" t="inlineStr">
        <is>
          <t>2026-08-07</t>
        </is>
      </c>
      <c r="B962" s="11" t="inlineStr">
        <is>
          <t>MA2610</t>
        </is>
      </c>
      <c r="C962" s="11" t="inlineStr">
        <is>
          <t>2026-10</t>
        </is>
      </c>
      <c r="D962" s="14" t="n">
        <v>572847</v>
      </c>
      <c r="E962" s="11" t="n">
        <v>44</v>
      </c>
      <c r="F962" s="11" t="n">
        <v>0</v>
      </c>
      <c r="G962" s="11" t="n">
        <v>0</v>
      </c>
      <c r="H962" s="12" t="n">
        <v>3</v>
      </c>
      <c r="I962" s="11" t="inlineStr">
        <is>
          <t>结构不明</t>
        </is>
      </c>
    </row>
    <row r="963">
      <c r="A963" s="6" t="inlineStr">
        <is>
          <t>2026-08-10</t>
        </is>
      </c>
      <c r="B963" s="6" t="inlineStr">
        <is>
          <t>MA2610</t>
        </is>
      </c>
      <c r="C963" s="6" t="inlineStr">
        <is>
          <t>2026-10</t>
        </is>
      </c>
      <c r="D963" s="9" t="n">
        <v>582553</v>
      </c>
      <c r="E963" s="6" t="n">
        <v>43</v>
      </c>
      <c r="F963" s="6" t="n">
        <v>0</v>
      </c>
      <c r="G963" s="6" t="n">
        <v>0</v>
      </c>
      <c r="H963" s="7" t="n">
        <v>3</v>
      </c>
      <c r="I963" s="6" t="inlineStr">
        <is>
          <t>结构不明</t>
        </is>
      </c>
    </row>
    <row r="964">
      <c r="A964" s="11" t="inlineStr">
        <is>
          <t>2026-08-11</t>
        </is>
      </c>
      <c r="B964" s="11" t="inlineStr">
        <is>
          <t>MA2610</t>
        </is>
      </c>
      <c r="C964" s="11" t="inlineStr">
        <is>
          <t>2026-10</t>
        </is>
      </c>
      <c r="D964" s="14" t="n">
        <v>622247</v>
      </c>
      <c r="E964" s="11" t="n">
        <v>42</v>
      </c>
      <c r="F964" s="11" t="n">
        <v>0</v>
      </c>
      <c r="G964" s="11" t="n">
        <v>0</v>
      </c>
      <c r="H964" s="12" t="n">
        <v>9</v>
      </c>
      <c r="I964" s="11" t="inlineStr">
        <is>
          <t>Back(近强)</t>
        </is>
      </c>
    </row>
    <row r="965">
      <c r="A965" s="6" t="inlineStr">
        <is>
          <t>2026-08-12</t>
        </is>
      </c>
      <c r="B965" s="6" t="inlineStr">
        <is>
          <t>MA2610</t>
        </is>
      </c>
      <c r="C965" s="6" t="inlineStr">
        <is>
          <t>2026-10</t>
        </is>
      </c>
      <c r="D965" s="9" t="n">
        <v>649060</v>
      </c>
      <c r="E965" s="6" t="n">
        <v>41</v>
      </c>
      <c r="F965" s="6" t="n">
        <v>0</v>
      </c>
      <c r="G965" s="6" t="n">
        <v>0</v>
      </c>
      <c r="H965" s="7" t="n">
        <v>1</v>
      </c>
      <c r="I965" s="6" t="inlineStr">
        <is>
          <t>结构不明</t>
        </is>
      </c>
    </row>
    <row r="966">
      <c r="A966" s="11" t="inlineStr">
        <is>
          <t>2026-08-13</t>
        </is>
      </c>
      <c r="B966" s="11" t="inlineStr">
        <is>
          <t>MA2610</t>
        </is>
      </c>
      <c r="C966" s="11" t="inlineStr">
        <is>
          <t>2026-10</t>
        </is>
      </c>
      <c r="D966" s="14" t="n">
        <v>698962</v>
      </c>
      <c r="E966" s="11" t="n">
        <v>40</v>
      </c>
      <c r="F966" s="11" t="n">
        <v>0</v>
      </c>
      <c r="G966" s="11" t="n">
        <v>0</v>
      </c>
      <c r="H966" s="12" t="n">
        <v>9</v>
      </c>
      <c r="I966" s="11" t="inlineStr">
        <is>
          <t>Back(近强)</t>
        </is>
      </c>
    </row>
    <row r="967">
      <c r="A967" s="6" t="inlineStr">
        <is>
          <t>2026-08-14</t>
        </is>
      </c>
      <c r="B967" s="6" t="inlineStr">
        <is>
          <t>MA2610</t>
        </is>
      </c>
      <c r="C967" s="6" t="inlineStr">
        <is>
          <t>2026-10</t>
        </is>
      </c>
      <c r="D967" s="9" t="n">
        <v>743462</v>
      </c>
      <c r="E967" s="6" t="n">
        <v>39</v>
      </c>
      <c r="F967" s="6" t="n">
        <v>0</v>
      </c>
      <c r="G967" s="6" t="n">
        <v>0</v>
      </c>
      <c r="H967" s="7" t="n">
        <v>-18</v>
      </c>
      <c r="I967" s="6" t="inlineStr">
        <is>
          <t>结构不明</t>
        </is>
      </c>
    </row>
    <row r="968">
      <c r="A968" s="11" t="inlineStr">
        <is>
          <t>2026-08-17</t>
        </is>
      </c>
      <c r="B968" s="11" t="inlineStr">
        <is>
          <t>MA2610</t>
        </is>
      </c>
      <c r="C968" s="11" t="inlineStr">
        <is>
          <t>2026-10</t>
        </is>
      </c>
      <c r="D968" s="14" t="n">
        <v>776665</v>
      </c>
      <c r="E968" s="11" t="n">
        <v>38</v>
      </c>
      <c r="F968" s="11" t="n">
        <v>0</v>
      </c>
      <c r="G968" s="11" t="n">
        <v>0</v>
      </c>
      <c r="H968" s="12" t="n">
        <v>6</v>
      </c>
      <c r="I968" s="11" t="inlineStr">
        <is>
          <t>结构不明</t>
        </is>
      </c>
    </row>
    <row r="969">
      <c r="A969" s="6" t="inlineStr">
        <is>
          <t>2026-08-18</t>
        </is>
      </c>
      <c r="B969" s="6" t="inlineStr">
        <is>
          <t>MA2610</t>
        </is>
      </c>
      <c r="C969" s="6" t="inlineStr">
        <is>
          <t>2026-10</t>
        </is>
      </c>
      <c r="D969" s="9" t="n">
        <v>801166</v>
      </c>
      <c r="E969" s="6" t="n">
        <v>37</v>
      </c>
      <c r="F969" s="6" t="n">
        <v>0</v>
      </c>
      <c r="G969" s="6" t="n">
        <v>0</v>
      </c>
      <c r="H969" s="7" t="n">
        <v>-5</v>
      </c>
      <c r="I969" s="6" t="inlineStr">
        <is>
          <t>结构不明</t>
        </is>
      </c>
    </row>
    <row r="970">
      <c r="A970" s="11" t="inlineStr">
        <is>
          <t>2026-08-19</t>
        </is>
      </c>
      <c r="B970" s="11" t="inlineStr">
        <is>
          <t>MA2610</t>
        </is>
      </c>
      <c r="C970" s="11" t="inlineStr">
        <is>
          <t>2026-10</t>
        </is>
      </c>
      <c r="D970" s="14" t="n">
        <v>863462</v>
      </c>
      <c r="E970" s="11" t="n">
        <v>36</v>
      </c>
      <c r="F970" s="11" t="n">
        <v>0</v>
      </c>
      <c r="G970" s="11" t="n">
        <v>0</v>
      </c>
      <c r="H970" s="12" t="n">
        <v>-7</v>
      </c>
      <c r="I970" s="11" t="inlineStr">
        <is>
          <t>结构不明</t>
        </is>
      </c>
    </row>
    <row r="971">
      <c r="A971" s="6" t="inlineStr">
        <is>
          <t>2026-08-20</t>
        </is>
      </c>
      <c r="B971" s="6" t="inlineStr">
        <is>
          <t>MA2610</t>
        </is>
      </c>
      <c r="C971" s="6" t="inlineStr">
        <is>
          <t>2026-10</t>
        </is>
      </c>
      <c r="D971" s="9" t="n">
        <v>867734</v>
      </c>
      <c r="E971" s="6" t="n">
        <v>35</v>
      </c>
      <c r="F971" s="6" t="n">
        <v>0</v>
      </c>
      <c r="G971" s="6" t="n">
        <v>0</v>
      </c>
      <c r="H971" s="7" t="n">
        <v>-6</v>
      </c>
      <c r="I971" s="6" t="inlineStr">
        <is>
          <t>结构不明</t>
        </is>
      </c>
    </row>
    <row r="972">
      <c r="A972" s="11" t="inlineStr">
        <is>
          <t>2026-08-21</t>
        </is>
      </c>
      <c r="B972" s="11" t="inlineStr">
        <is>
          <t>MA2610</t>
        </is>
      </c>
      <c r="C972" s="11" t="inlineStr">
        <is>
          <t>2026-10</t>
        </is>
      </c>
      <c r="D972" s="14" t="n">
        <v>873688</v>
      </c>
      <c r="E972" s="11" t="n">
        <v>34</v>
      </c>
      <c r="F972" s="11" t="n">
        <v>0</v>
      </c>
      <c r="G972" s="11" t="n">
        <v>0</v>
      </c>
      <c r="H972" s="12" t="n">
        <v>-13</v>
      </c>
      <c r="I972" s="11" t="inlineStr">
        <is>
          <t>结构不明</t>
        </is>
      </c>
    </row>
    <row r="973">
      <c r="A973" s="6" t="inlineStr">
        <is>
          <t>2026-08-24</t>
        </is>
      </c>
      <c r="B973" s="6" t="inlineStr">
        <is>
          <t>MA2610</t>
        </is>
      </c>
      <c r="C973" s="6" t="inlineStr">
        <is>
          <t>2026-10</t>
        </is>
      </c>
      <c r="D973" s="9" t="n">
        <v>858225</v>
      </c>
      <c r="E973" s="6" t="n">
        <v>33</v>
      </c>
      <c r="F973" s="6" t="n">
        <v>0</v>
      </c>
      <c r="G973" s="6" t="n">
        <v>0</v>
      </c>
      <c r="H973" s="7" t="n">
        <v>-25</v>
      </c>
      <c r="I973" s="6" t="inlineStr">
        <is>
          <t>结构不明</t>
        </is>
      </c>
    </row>
    <row r="974">
      <c r="A974" s="11" t="inlineStr">
        <is>
          <t>2026-08-25</t>
        </is>
      </c>
      <c r="B974" s="11" t="inlineStr">
        <is>
          <t>MA2610</t>
        </is>
      </c>
      <c r="C974" s="11" t="inlineStr">
        <is>
          <t>2026-10</t>
        </is>
      </c>
      <c r="D974" s="14" t="n">
        <v>839343</v>
      </c>
      <c r="E974" s="11" t="n">
        <v>32</v>
      </c>
      <c r="F974" s="11" t="n">
        <v>0</v>
      </c>
      <c r="G974" s="11" t="n">
        <v>0</v>
      </c>
      <c r="H974" s="12" t="n">
        <v>-34</v>
      </c>
      <c r="I974" s="11" t="inlineStr">
        <is>
          <t>结构不明</t>
        </is>
      </c>
    </row>
    <row r="975">
      <c r="A975" s="6" t="inlineStr">
        <is>
          <t>2026-08-26</t>
        </is>
      </c>
      <c r="B975" s="6" t="inlineStr">
        <is>
          <t>MA2610</t>
        </is>
      </c>
      <c r="C975" s="6" t="inlineStr">
        <is>
          <t>2026-10</t>
        </is>
      </c>
      <c r="D975" s="9" t="n">
        <v>823696</v>
      </c>
      <c r="E975" s="6" t="n">
        <v>31</v>
      </c>
      <c r="F975" s="6" t="n">
        <v>0</v>
      </c>
      <c r="G975" s="6" t="n">
        <v>0</v>
      </c>
      <c r="H975" s="7" t="n">
        <v>13</v>
      </c>
      <c r="I975" s="6" t="inlineStr">
        <is>
          <t>Back(近强)</t>
        </is>
      </c>
    </row>
    <row r="976">
      <c r="A976" s="11" t="inlineStr">
        <is>
          <t>2026-08-27</t>
        </is>
      </c>
      <c r="B976" s="11" t="inlineStr">
        <is>
          <t>MA2610</t>
        </is>
      </c>
      <c r="C976" s="11" t="inlineStr">
        <is>
          <t>2026-10</t>
        </is>
      </c>
      <c r="D976" s="14" t="n">
        <v>726057</v>
      </c>
      <c r="E976" s="11" t="n">
        <v>30</v>
      </c>
      <c r="F976" s="11" t="n">
        <v>0</v>
      </c>
      <c r="G976" s="11" t="n">
        <v>0</v>
      </c>
      <c r="H976" s="12" t="n">
        <v>-34</v>
      </c>
      <c r="I976" s="11" t="inlineStr">
        <is>
          <t>结构不明</t>
        </is>
      </c>
    </row>
    <row r="977">
      <c r="A977" s="6" t="inlineStr">
        <is>
          <t>2026-08-28</t>
        </is>
      </c>
      <c r="B977" s="6" t="inlineStr">
        <is>
          <t>MA2610</t>
        </is>
      </c>
      <c r="C977" s="6" t="inlineStr">
        <is>
          <t>2026-10</t>
        </is>
      </c>
      <c r="D977" s="9" t="n">
        <v>739677</v>
      </c>
      <c r="E977" s="6" t="n">
        <v>29</v>
      </c>
      <c r="F977" s="6" t="n">
        <v>0</v>
      </c>
      <c r="G977" s="6" t="n">
        <v>0</v>
      </c>
      <c r="H977" s="7" t="n">
        <v>-57</v>
      </c>
      <c r="I977" s="6" t="inlineStr">
        <is>
          <t>结构不明</t>
        </is>
      </c>
    </row>
    <row r="978">
      <c r="A978" s="11" t="inlineStr">
        <is>
          <t>2026-08-31</t>
        </is>
      </c>
      <c r="B978" s="11" t="inlineStr">
        <is>
          <t>MA2610</t>
        </is>
      </c>
      <c r="C978" s="11" t="inlineStr">
        <is>
          <t>2026-10</t>
        </is>
      </c>
      <c r="D978" s="14" t="n">
        <v>712863</v>
      </c>
      <c r="E978" s="11" t="n">
        <v>28</v>
      </c>
      <c r="F978" s="11" t="n">
        <v>0</v>
      </c>
      <c r="G978" s="11" t="n">
        <v>0</v>
      </c>
      <c r="H978" s="12" t="n">
        <v>-131</v>
      </c>
      <c r="I978" s="11" t="inlineStr">
        <is>
          <t>Contango(远强)</t>
        </is>
      </c>
    </row>
    <row r="979">
      <c r="A979" s="6" t="inlineStr">
        <is>
          <t>2026-09-01</t>
        </is>
      </c>
      <c r="B979" s="6" t="inlineStr">
        <is>
          <t>MA2610</t>
        </is>
      </c>
      <c r="C979" s="6" t="inlineStr">
        <is>
          <t>2026-10</t>
        </is>
      </c>
      <c r="D979" s="9" t="n">
        <v>664795</v>
      </c>
      <c r="E979" s="6" t="n">
        <v>27</v>
      </c>
      <c r="F979" s="6" t="n">
        <v>0</v>
      </c>
      <c r="G979" s="6" t="n">
        <v>0</v>
      </c>
      <c r="H979" s="7" t="n">
        <v>-94</v>
      </c>
      <c r="I979" s="6" t="inlineStr">
        <is>
          <t>Contango(远强)</t>
        </is>
      </c>
    </row>
    <row r="980">
      <c r="A980" s="11" t="inlineStr">
        <is>
          <t>2026-09-02</t>
        </is>
      </c>
      <c r="B980" s="11" t="inlineStr">
        <is>
          <t>MA2610</t>
        </is>
      </c>
      <c r="C980" s="11" t="inlineStr">
        <is>
          <t>2026-10</t>
        </is>
      </c>
      <c r="D980" s="14" t="n">
        <v>625478</v>
      </c>
      <c r="E980" s="11" t="n">
        <v>26</v>
      </c>
      <c r="F980" s="11" t="n">
        <v>0</v>
      </c>
      <c r="G980" s="11" t="n">
        <v>0</v>
      </c>
      <c r="H980" s="12" t="n">
        <v>-116</v>
      </c>
      <c r="I980" s="11" t="inlineStr">
        <is>
          <t>Contango(远强)</t>
        </is>
      </c>
    </row>
    <row r="981">
      <c r="A981" s="6" t="inlineStr">
        <is>
          <t>2026-09-03</t>
        </is>
      </c>
      <c r="B981" s="6" t="inlineStr">
        <is>
          <t>MA2610</t>
        </is>
      </c>
      <c r="C981" s="6" t="inlineStr">
        <is>
          <t>2026-10</t>
        </is>
      </c>
      <c r="D981" s="9" t="n">
        <v>613186</v>
      </c>
      <c r="E981" s="6" t="n">
        <v>25</v>
      </c>
      <c r="F981" s="6" t="n">
        <v>0</v>
      </c>
      <c r="G981" s="6" t="n">
        <v>0</v>
      </c>
      <c r="H981" s="7" t="n">
        <v>-107</v>
      </c>
      <c r="I981" s="6" t="inlineStr">
        <is>
          <t>Contango(远强)</t>
        </is>
      </c>
    </row>
    <row r="982">
      <c r="A982" s="11" t="inlineStr">
        <is>
          <t>2026-09-04</t>
        </is>
      </c>
      <c r="B982" s="11" t="inlineStr">
        <is>
          <t>MA2610</t>
        </is>
      </c>
      <c r="C982" s="11" t="inlineStr">
        <is>
          <t>2026-10</t>
        </is>
      </c>
      <c r="D982" s="14" t="n">
        <v>606495</v>
      </c>
      <c r="E982" s="11" t="n">
        <v>24</v>
      </c>
      <c r="F982" s="11" t="n">
        <v>0</v>
      </c>
      <c r="G982" s="11" t="n">
        <v>0</v>
      </c>
      <c r="H982" s="12" t="n">
        <v>-118</v>
      </c>
      <c r="I982" s="11" t="inlineStr">
        <is>
          <t>Contango(远强)</t>
        </is>
      </c>
    </row>
    <row r="983">
      <c r="A983" s="6" t="inlineStr">
        <is>
          <t>2026-09-07</t>
        </is>
      </c>
      <c r="B983" s="6" t="inlineStr">
        <is>
          <t>MA2610</t>
        </is>
      </c>
      <c r="C983" s="6" t="inlineStr">
        <is>
          <t>2026-10</t>
        </is>
      </c>
      <c r="D983" s="9" t="n">
        <v>620729</v>
      </c>
      <c r="E983" s="6" t="n">
        <v>23</v>
      </c>
      <c r="F983" s="6" t="n">
        <v>0</v>
      </c>
      <c r="G983" s="6" t="n">
        <v>0</v>
      </c>
      <c r="H983" s="7" t="n">
        <v>-88</v>
      </c>
      <c r="I983" s="6" t="inlineStr">
        <is>
          <t>结构不明</t>
        </is>
      </c>
    </row>
    <row r="984">
      <c r="A984" s="11" t="inlineStr">
        <is>
          <t>2026-09-08</t>
        </is>
      </c>
      <c r="B984" s="11" t="inlineStr">
        <is>
          <t>MA2610</t>
        </is>
      </c>
      <c r="C984" s="11" t="inlineStr">
        <is>
          <t>2026-10</t>
        </is>
      </c>
      <c r="D984" s="14" t="n">
        <v>727098</v>
      </c>
      <c r="E984" s="11" t="n">
        <v>22</v>
      </c>
      <c r="F984" s="11" t="n">
        <v>0</v>
      </c>
      <c r="G984" s="11" t="n">
        <v>0</v>
      </c>
      <c r="H984" s="12" t="n">
        <v>-106</v>
      </c>
      <c r="I984" s="11" t="inlineStr">
        <is>
          <t>结构不明</t>
        </is>
      </c>
    </row>
    <row r="985">
      <c r="A985" s="6" t="inlineStr">
        <is>
          <t>2026-09-09</t>
        </is>
      </c>
      <c r="B985" s="6" t="inlineStr">
        <is>
          <t>MA2610</t>
        </is>
      </c>
      <c r="C985" s="6" t="inlineStr">
        <is>
          <t>2026-10</t>
        </is>
      </c>
      <c r="D985" s="9" t="n">
        <v>578655</v>
      </c>
      <c r="E985" s="6" t="n">
        <v>21</v>
      </c>
      <c r="F985" s="6" t="n">
        <v>0</v>
      </c>
      <c r="G985" s="6" t="n">
        <v>1</v>
      </c>
      <c r="H985" s="7" t="n">
        <v>196</v>
      </c>
      <c r="I985" s="6" t="inlineStr">
        <is>
          <t>Back(近强)</t>
        </is>
      </c>
    </row>
    <row r="986">
      <c r="A986" s="11" t="inlineStr">
        <is>
          <t>2026-09-10</t>
        </is>
      </c>
      <c r="B986" s="11" t="inlineStr">
        <is>
          <t>MA2701</t>
        </is>
      </c>
      <c r="C986" s="11" t="inlineStr">
        <is>
          <t>2027-01</t>
        </is>
      </c>
      <c r="D986" s="14" t="n">
        <v>556634</v>
      </c>
      <c r="E986" s="11" t="n">
        <v>22</v>
      </c>
      <c r="F986" s="11" t="n">
        <v>1</v>
      </c>
      <c r="G986" s="11" t="n">
        <v>0</v>
      </c>
      <c r="H986" s="12" t="n">
        <v>-829</v>
      </c>
      <c r="I986" s="11" t="inlineStr">
        <is>
          <t>Contango(远强)</t>
        </is>
      </c>
    </row>
    <row r="987">
      <c r="A987" s="6" t="inlineStr">
        <is>
          <t>2026-09-11</t>
        </is>
      </c>
      <c r="B987" s="6" t="inlineStr">
        <is>
          <t>MA2701</t>
        </is>
      </c>
      <c r="C987" s="6" t="inlineStr">
        <is>
          <t>2027-01</t>
        </is>
      </c>
      <c r="D987" s="9" t="n">
        <v>564760</v>
      </c>
      <c r="E987" s="6" t="n">
        <v>21</v>
      </c>
      <c r="F987" s="6" t="n">
        <v>0</v>
      </c>
      <c r="G987" s="6" t="n">
        <v>0</v>
      </c>
      <c r="H987" s="7" t="n">
        <v>-1165</v>
      </c>
      <c r="I987" s="6" t="inlineStr">
        <is>
          <t>Contango(远强)</t>
        </is>
      </c>
    </row>
    <row r="988">
      <c r="A988" s="11" t="inlineStr">
        <is>
          <t>2026-09-14</t>
        </is>
      </c>
      <c r="B988" s="11" t="inlineStr">
        <is>
          <t>MA2701</t>
        </is>
      </c>
      <c r="C988" s="11" t="inlineStr">
        <is>
          <t>2027-01</t>
        </is>
      </c>
      <c r="D988" s="14" t="n">
        <v>610426</v>
      </c>
      <c r="E988" s="11" t="n">
        <v>20</v>
      </c>
      <c r="F988" s="11" t="n">
        <v>0</v>
      </c>
      <c r="G988" s="11" t="n">
        <v>0</v>
      </c>
      <c r="H988" s="12" t="n">
        <v>-415</v>
      </c>
      <c r="I988" s="11" t="inlineStr">
        <is>
          <t>Contango(远强)</t>
        </is>
      </c>
    </row>
    <row r="989">
      <c r="A989" s="6" t="inlineStr">
        <is>
          <t>2026-09-15</t>
        </is>
      </c>
      <c r="B989" s="6" t="inlineStr">
        <is>
          <t>MA2701</t>
        </is>
      </c>
      <c r="C989" s="6" t="inlineStr">
        <is>
          <t>2027-01</t>
        </is>
      </c>
      <c r="D989" s="9" t="n">
        <v>623567</v>
      </c>
      <c r="E989" s="6" t="n">
        <v>19</v>
      </c>
      <c r="F989" s="6" t="n">
        <v>0</v>
      </c>
      <c r="G989" s="6" t="n">
        <v>0</v>
      </c>
      <c r="H989" s="7" t="n">
        <v>-413</v>
      </c>
      <c r="I989" s="6" t="inlineStr">
        <is>
          <t>Contango(远强)</t>
        </is>
      </c>
    </row>
    <row r="990">
      <c r="A990" s="11" t="inlineStr">
        <is>
          <t>2026-09-16</t>
        </is>
      </c>
      <c r="B990" s="11" t="inlineStr">
        <is>
          <t>MA2701</t>
        </is>
      </c>
      <c r="C990" s="11" t="inlineStr">
        <is>
          <t>2027-01</t>
        </is>
      </c>
      <c r="D990" s="14" t="n">
        <v>664087</v>
      </c>
      <c r="E990" s="11" t="n">
        <v>18</v>
      </c>
      <c r="F990" s="11" t="n">
        <v>0</v>
      </c>
      <c r="G990" s="11" t="n">
        <v>0</v>
      </c>
      <c r="H990" s="12" t="n">
        <v>-493</v>
      </c>
      <c r="I990" s="11" t="inlineStr">
        <is>
          <t>Contango(远强)</t>
        </is>
      </c>
    </row>
    <row r="991">
      <c r="A991" s="6" t="inlineStr">
        <is>
          <t>2026-09-17</t>
        </is>
      </c>
      <c r="B991" s="6" t="inlineStr">
        <is>
          <t>MA2701</t>
        </is>
      </c>
      <c r="C991" s="6" t="inlineStr">
        <is>
          <t>2027-01</t>
        </is>
      </c>
      <c r="D991" s="9" t="n">
        <v>662873</v>
      </c>
      <c r="E991" s="6" t="n">
        <v>17</v>
      </c>
      <c r="F991" s="6" t="n">
        <v>0</v>
      </c>
      <c r="G991" s="6" t="n">
        <v>0</v>
      </c>
      <c r="H991" s="7" t="n">
        <v>-481</v>
      </c>
      <c r="I991" s="6" t="inlineStr">
        <is>
          <t>Contango(远强)</t>
        </is>
      </c>
    </row>
    <row r="992">
      <c r="A992" s="11" t="inlineStr">
        <is>
          <t>2026-09-18</t>
        </is>
      </c>
      <c r="B992" s="11" t="inlineStr">
        <is>
          <t>MA2701</t>
        </is>
      </c>
      <c r="C992" s="11" t="inlineStr">
        <is>
          <t>2027-01</t>
        </is>
      </c>
      <c r="D992" s="14" t="n">
        <v>674984</v>
      </c>
      <c r="E992" s="11" t="n">
        <v>16</v>
      </c>
      <c r="F992" s="11" t="n">
        <v>0</v>
      </c>
      <c r="G992" s="11" t="n">
        <v>0</v>
      </c>
      <c r="H992" s="12" t="n">
        <v>-481</v>
      </c>
      <c r="I992" s="11" t="inlineStr">
        <is>
          <t>Contango(远强)</t>
        </is>
      </c>
    </row>
    <row r="993">
      <c r="A993" s="6" t="inlineStr">
        <is>
          <t>2026-09-21</t>
        </is>
      </c>
      <c r="B993" s="6" t="inlineStr">
        <is>
          <t>MA2701</t>
        </is>
      </c>
      <c r="C993" s="6" t="inlineStr">
        <is>
          <t>2027-01</t>
        </is>
      </c>
      <c r="D993" s="9" t="n">
        <v>712457</v>
      </c>
      <c r="E993" s="6" t="n">
        <v>15</v>
      </c>
      <c r="F993" s="6" t="n">
        <v>0</v>
      </c>
      <c r="G993" s="6" t="n">
        <v>0</v>
      </c>
      <c r="H993" s="7" t="n">
        <v>-546</v>
      </c>
      <c r="I993" s="6" t="inlineStr">
        <is>
          <t>Contango(远强)</t>
        </is>
      </c>
    </row>
    <row r="994">
      <c r="A994" s="11" t="inlineStr">
        <is>
          <t>2026-09-22</t>
        </is>
      </c>
      <c r="B994" s="11" t="inlineStr">
        <is>
          <t>MA2701</t>
        </is>
      </c>
      <c r="C994" s="11" t="inlineStr">
        <is>
          <t>2027-01</t>
        </is>
      </c>
      <c r="D994" s="14" t="n">
        <v>736173</v>
      </c>
      <c r="E994" s="11" t="n">
        <v>14</v>
      </c>
      <c r="F994" s="11" t="n">
        <v>0</v>
      </c>
      <c r="G994" s="11" t="n">
        <v>0</v>
      </c>
      <c r="H994" s="12" t="n">
        <v>-561</v>
      </c>
      <c r="I994" s="11" t="inlineStr">
        <is>
          <t>Contango(远强)</t>
        </is>
      </c>
    </row>
    <row r="995">
      <c r="A995" s="6" t="inlineStr">
        <is>
          <t>2026-09-23</t>
        </is>
      </c>
      <c r="B995" s="6" t="inlineStr">
        <is>
          <t>MA2701</t>
        </is>
      </c>
      <c r="C995" s="6" t="inlineStr">
        <is>
          <t>2027-01</t>
        </is>
      </c>
      <c r="D995" s="9" t="n">
        <v>714634</v>
      </c>
      <c r="E995" s="6" t="n">
        <v>13</v>
      </c>
      <c r="F995" s="6" t="n">
        <v>0</v>
      </c>
      <c r="G995" s="6" t="n">
        <v>0</v>
      </c>
      <c r="H995" s="7" t="n">
        <v>-516</v>
      </c>
      <c r="I995" s="6" t="inlineStr">
        <is>
          <t>Contango(远强)</t>
        </is>
      </c>
    </row>
    <row r="996">
      <c r="A996" s="11" t="inlineStr">
        <is>
          <t>2026-09-24</t>
        </is>
      </c>
      <c r="B996" s="11" t="inlineStr">
        <is>
          <t>MA2701</t>
        </is>
      </c>
      <c r="C996" s="11" t="inlineStr">
        <is>
          <t>2027-01</t>
        </is>
      </c>
      <c r="D996" s="14" t="n">
        <v>706693</v>
      </c>
      <c r="E996" s="11" t="n">
        <v>12</v>
      </c>
      <c r="F996" s="11" t="n">
        <v>0</v>
      </c>
      <c r="G996" s="11" t="n">
        <v>0</v>
      </c>
      <c r="H996" s="12" t="n">
        <v>-553</v>
      </c>
      <c r="I996" s="11" t="inlineStr">
        <is>
          <t>Contango(远强)</t>
        </is>
      </c>
    </row>
    <row r="997">
      <c r="A997" s="6" t="inlineStr">
        <is>
          <t>2026-09-28</t>
        </is>
      </c>
      <c r="B997" s="6" t="inlineStr">
        <is>
          <t>MA2701</t>
        </is>
      </c>
      <c r="C997" s="6" t="inlineStr">
        <is>
          <t>2027-01</t>
        </is>
      </c>
      <c r="D997" s="9" t="n">
        <v>695123</v>
      </c>
      <c r="E997" s="6" t="n">
        <v>11</v>
      </c>
      <c r="F997" s="6" t="n">
        <v>0</v>
      </c>
      <c r="G997" s="6" t="n">
        <v>0</v>
      </c>
      <c r="H997" s="7" t="n">
        <v>-604</v>
      </c>
      <c r="I997" s="6" t="inlineStr">
        <is>
          <t>Contango(远强)</t>
        </is>
      </c>
    </row>
    <row r="998">
      <c r="A998" s="11" t="inlineStr">
        <is>
          <t>2026-09-29</t>
        </is>
      </c>
      <c r="B998" s="11" t="inlineStr">
        <is>
          <t>MA2701</t>
        </is>
      </c>
      <c r="C998" s="11" t="inlineStr">
        <is>
          <t>2027-01</t>
        </is>
      </c>
      <c r="D998" s="14" t="n">
        <v>684554</v>
      </c>
      <c r="E998" s="11" t="n">
        <v>10</v>
      </c>
      <c r="F998" s="11" t="n">
        <v>0</v>
      </c>
      <c r="G998" s="11" t="n">
        <v>0</v>
      </c>
      <c r="H998" s="12" t="n">
        <v>-745</v>
      </c>
      <c r="I998" s="11" t="inlineStr">
        <is>
          <t>Contango(远强)</t>
        </is>
      </c>
    </row>
    <row r="999">
      <c r="A999" s="6" t="inlineStr">
        <is>
          <t>2026-09-30</t>
        </is>
      </c>
      <c r="B999" s="6" t="inlineStr">
        <is>
          <t>MA2701</t>
        </is>
      </c>
      <c r="C999" s="6" t="inlineStr">
        <is>
          <t>2027-01</t>
        </is>
      </c>
      <c r="D999" s="9" t="n">
        <v>660568</v>
      </c>
      <c r="E999" s="6" t="n">
        <v>9</v>
      </c>
      <c r="F999" s="6" t="n">
        <v>0</v>
      </c>
      <c r="G999" s="6" t="n">
        <v>0</v>
      </c>
      <c r="H999" s="7" t="n">
        <v>-878</v>
      </c>
      <c r="I999" s="6" t="inlineStr">
        <is>
          <t>Contango(远强)</t>
        </is>
      </c>
    </row>
    <row r="1000">
      <c r="A1000" s="11" t="inlineStr">
        <is>
          <t>2026-10-08</t>
        </is>
      </c>
      <c r="B1000" s="11" t="inlineStr">
        <is>
          <t>MA2701</t>
        </is>
      </c>
      <c r="C1000" s="11" t="inlineStr">
        <is>
          <t>2027-01</t>
        </is>
      </c>
      <c r="D1000" s="14" t="n">
        <v>690748</v>
      </c>
      <c r="E1000" s="11" t="n">
        <v>8</v>
      </c>
      <c r="F1000" s="11" t="n">
        <v>0</v>
      </c>
      <c r="G1000" s="11" t="n">
        <v>0</v>
      </c>
      <c r="H1000" s="12" t="n">
        <v>-902</v>
      </c>
      <c r="I1000" s="11" t="inlineStr">
        <is>
          <t>Contango(远强)</t>
        </is>
      </c>
    </row>
    <row r="1001">
      <c r="A1001" s="6" t="inlineStr">
        <is>
          <t>2026-10-09</t>
        </is>
      </c>
      <c r="B1001" s="6" t="inlineStr">
        <is>
          <t>MA2701</t>
        </is>
      </c>
      <c r="C1001" s="6" t="inlineStr">
        <is>
          <t>2027-01</t>
        </is>
      </c>
      <c r="D1001" s="9" t="n">
        <v>761175</v>
      </c>
      <c r="E1001" s="6" t="n">
        <v>7</v>
      </c>
      <c r="F1001" s="6" t="n">
        <v>0</v>
      </c>
      <c r="G1001" s="6" t="n">
        <v>0</v>
      </c>
      <c r="H1001" s="7" t="n">
        <v>-1007</v>
      </c>
      <c r="I1001" s="6" t="inlineStr">
        <is>
          <t>Contango(远强)</t>
        </is>
      </c>
    </row>
    <row r="1002">
      <c r="A1002" s="11" t="inlineStr">
        <is>
          <t>2026-10-12</t>
        </is>
      </c>
      <c r="B1002" s="11" t="inlineStr">
        <is>
          <t>MA2701</t>
        </is>
      </c>
      <c r="C1002" s="11" t="inlineStr">
        <is>
          <t>2027-01</t>
        </is>
      </c>
      <c r="D1002" s="14" t="n">
        <v>773423</v>
      </c>
      <c r="E1002" s="11" t="n">
        <v>6</v>
      </c>
      <c r="F1002" s="11" t="n">
        <v>0</v>
      </c>
      <c r="G1002" s="11" t="n">
        <v>0</v>
      </c>
      <c r="H1002" s="12" t="n">
        <v>-805</v>
      </c>
      <c r="I1002" s="11" t="inlineStr">
        <is>
          <t>Contango(远强)</t>
        </is>
      </c>
    </row>
    <row r="1003">
      <c r="A1003" s="6" t="inlineStr">
        <is>
          <t>2026-10-13</t>
        </is>
      </c>
      <c r="B1003" s="6" t="inlineStr">
        <is>
          <t>MA2701</t>
        </is>
      </c>
      <c r="C1003" s="6" t="inlineStr">
        <is>
          <t>2027-01</t>
        </is>
      </c>
      <c r="D1003" s="9" t="n">
        <v>766220</v>
      </c>
      <c r="E1003" s="6" t="n">
        <v>5</v>
      </c>
      <c r="F1003" s="6" t="n">
        <v>0</v>
      </c>
      <c r="G1003" s="6" t="n">
        <v>0</v>
      </c>
      <c r="H1003" s="7" t="n">
        <v>-485</v>
      </c>
      <c r="I1003" s="6" t="inlineStr">
        <is>
          <t>Contango(远强)</t>
        </is>
      </c>
    </row>
    <row r="1004">
      <c r="A1004" s="11" t="inlineStr">
        <is>
          <t>2026-10-14</t>
        </is>
      </c>
      <c r="B1004" s="11" t="inlineStr">
        <is>
          <t>MA2701</t>
        </is>
      </c>
      <c r="C1004" s="11" t="inlineStr">
        <is>
          <t>2027-01</t>
        </is>
      </c>
      <c r="D1004" s="14" t="n">
        <v>804320</v>
      </c>
      <c r="E1004" s="11" t="n">
        <v>4</v>
      </c>
      <c r="F1004" s="11" t="n">
        <v>0</v>
      </c>
      <c r="G1004" s="11" t="n">
        <v>0</v>
      </c>
      <c r="H1004" s="12" t="n">
        <v>-371</v>
      </c>
      <c r="I1004" s="11" t="inlineStr">
        <is>
          <t>Contango(远强)</t>
        </is>
      </c>
    </row>
    <row r="1005">
      <c r="A1005" s="6" t="inlineStr">
        <is>
          <t>2026-10-15</t>
        </is>
      </c>
      <c r="B1005" s="6" t="inlineStr">
        <is>
          <t>MA2701</t>
        </is>
      </c>
      <c r="C1005" s="6" t="inlineStr">
        <is>
          <t>2027-01</t>
        </is>
      </c>
      <c r="D1005" s="9" t="n">
        <v>781032</v>
      </c>
      <c r="E1005" s="6" t="n">
        <v>3</v>
      </c>
      <c r="F1005" s="6" t="n">
        <v>0</v>
      </c>
      <c r="G1005" s="6" t="n">
        <v>0</v>
      </c>
      <c r="H1005" s="7" t="n">
        <v>-184</v>
      </c>
      <c r="I1005" s="6" t="inlineStr">
        <is>
          <t>Contango(远强)</t>
        </is>
      </c>
    </row>
    <row r="1006">
      <c r="A1006" s="11" t="inlineStr">
        <is>
          <t>2026-10-16</t>
        </is>
      </c>
      <c r="B1006" s="11" t="inlineStr">
        <is>
          <t>MA2701</t>
        </is>
      </c>
      <c r="C1006" s="11" t="inlineStr">
        <is>
          <t>2027-01</t>
        </is>
      </c>
      <c r="D1006" s="14" t="n">
        <v>812542</v>
      </c>
      <c r="E1006" s="11" t="n">
        <v>2</v>
      </c>
      <c r="F1006" s="11" t="n">
        <v>0</v>
      </c>
      <c r="G1006" s="11" t="n">
        <v>0</v>
      </c>
      <c r="H1006" s="12" t="n">
        <v>-162</v>
      </c>
      <c r="I1006" s="11" t="inlineStr">
        <is>
          <t>结构不明</t>
        </is>
      </c>
    </row>
    <row r="1007">
      <c r="A1007" s="6" t="inlineStr">
        <is>
          <t>2026-10-19</t>
        </is>
      </c>
      <c r="B1007" s="6" t="inlineStr">
        <is>
          <t>MA2701</t>
        </is>
      </c>
      <c r="C1007" s="6" t="inlineStr">
        <is>
          <t>2027-01</t>
        </is>
      </c>
      <c r="D1007" s="9" t="n">
        <v>839680</v>
      </c>
      <c r="E1007" s="6" t="n">
        <v>1</v>
      </c>
      <c r="F1007" s="6" t="n">
        <v>0</v>
      </c>
      <c r="G1007" s="6" t="n">
        <v>0</v>
      </c>
      <c r="H1007" s="7" t="n">
        <v>-237</v>
      </c>
      <c r="I1007" s="6" t="inlineStr">
        <is>
          <t>Contango(远强)</t>
        </is>
      </c>
    </row>
    <row r="1008">
      <c r="A1008" s="11" t="inlineStr">
        <is>
          <t>2026-10-20</t>
        </is>
      </c>
      <c r="B1008" s="11" t="inlineStr">
        <is>
          <t>MA2701</t>
        </is>
      </c>
      <c r="C1008" s="11" t="inlineStr">
        <is>
          <t>2027-01</t>
        </is>
      </c>
      <c r="D1008" s="14" t="n">
        <v>860774</v>
      </c>
      <c r="E1008" s="11" t="n">
        <v>0</v>
      </c>
      <c r="F1008" s="11" t="n">
        <v>0</v>
      </c>
      <c r="G1008" s="11" t="n">
        <v>0</v>
      </c>
      <c r="H1008" s="12" t="n">
        <v>-227</v>
      </c>
      <c r="I1008" s="11" t="inlineStr">
        <is>
          <t>Contango(远强)</t>
        </is>
      </c>
    </row>
    <row r="1011">
      <c r="A1011" s="18" t="inlineStr">
        <is>
          <t>换月明细</t>
        </is>
      </c>
    </row>
    <row r="1012" ht="30" customHeight="1">
      <c r="A1012" s="19" t="inlineStr">
        <is>
          <t>日期</t>
        </is>
      </c>
      <c r="B1012" s="19" t="inlineStr">
        <is>
          <t>新合约</t>
        </is>
      </c>
      <c r="C1012" s="19" t="inlineStr">
        <is>
          <t>单日基差变动</t>
        </is>
      </c>
    </row>
    <row r="1013">
      <c r="A1013" t="inlineStr">
        <is>
          <t>2022-12-14</t>
        </is>
      </c>
      <c r="B1013" t="inlineStr">
        <is>
          <t>MA2305</t>
        </is>
      </c>
      <c r="C1013" s="20" t="n">
        <v>-44</v>
      </c>
    </row>
    <row r="1014">
      <c r="A1014" t="inlineStr">
        <is>
          <t>2023-04-11</t>
        </is>
      </c>
      <c r="B1014" t="inlineStr">
        <is>
          <t>MA2309</t>
        </is>
      </c>
      <c r="C1014" s="20" t="n">
        <v>33</v>
      </c>
    </row>
    <row r="1015">
      <c r="A1015" t="inlineStr">
        <is>
          <t>2023-08-07</t>
        </is>
      </c>
      <c r="B1015" t="inlineStr">
        <is>
          <t>MA2401</t>
        </is>
      </c>
      <c r="C1015" s="20" t="n">
        <v>-21</v>
      </c>
    </row>
    <row r="1016">
      <c r="A1016" t="inlineStr">
        <is>
          <t>2023-12-05</t>
        </is>
      </c>
      <c r="B1016" t="inlineStr">
        <is>
          <t>MA2405</t>
        </is>
      </c>
      <c r="C1016" s="20" t="n">
        <v>-8.17</v>
      </c>
    </row>
    <row r="1017">
      <c r="A1017" t="inlineStr">
        <is>
          <t>2024-04-11</t>
        </is>
      </c>
      <c r="B1017" t="inlineStr">
        <is>
          <t>MA2409</t>
        </is>
      </c>
      <c r="C1017" s="20" t="n">
        <v>0.33</v>
      </c>
    </row>
    <row r="1018">
      <c r="A1018" t="inlineStr">
        <is>
          <t>2024-08-13</t>
        </is>
      </c>
      <c r="B1018" t="inlineStr">
        <is>
          <t>MA2501</t>
        </is>
      </c>
      <c r="C1018" s="20" t="n">
        <v>41</v>
      </c>
    </row>
    <row r="1019">
      <c r="A1019" t="inlineStr">
        <is>
          <t>2024-12-09</t>
        </is>
      </c>
      <c r="B1019" t="inlineStr">
        <is>
          <t>MA2505</t>
        </is>
      </c>
      <c r="C1019" s="20" t="n">
        <v>6.83</v>
      </c>
    </row>
    <row r="1020">
      <c r="A1020" t="inlineStr">
        <is>
          <t>2025-04-10</t>
        </is>
      </c>
      <c r="B1020" t="inlineStr">
        <is>
          <t>MA2509</t>
        </is>
      </c>
      <c r="C1020" s="20" t="n">
        <v>74.5</v>
      </c>
    </row>
    <row r="1021">
      <c r="A1021" t="inlineStr">
        <is>
          <t>2025-08-11</t>
        </is>
      </c>
      <c r="B1021" t="inlineStr">
        <is>
          <t>MA2601</t>
        </is>
      </c>
      <c r="C1021" s="20" t="n">
        <v>-6.83</v>
      </c>
    </row>
    <row r="1022">
      <c r="A1022" t="inlineStr">
        <is>
          <t>2025-12-10</t>
        </is>
      </c>
      <c r="B1022" t="inlineStr">
        <is>
          <t>MA2605</t>
        </is>
      </c>
      <c r="C1022" s="20" t="n">
        <v>9</v>
      </c>
    </row>
    <row r="1023">
      <c r="A1023" t="inlineStr">
        <is>
          <t>2026-04-13</t>
        </is>
      </c>
      <c r="B1023" t="inlineStr">
        <is>
          <t>MA2609</t>
        </is>
      </c>
      <c r="C1023" s="20" t="n">
        <v>96</v>
      </c>
    </row>
    <row r="1024">
      <c r="A1024" t="inlineStr">
        <is>
          <t>2026-08-06</t>
        </is>
      </c>
      <c r="B1024" t="inlineStr">
        <is>
          <t>MA2610</t>
        </is>
      </c>
      <c r="C1024" s="20" t="n">
        <v>-55.33</v>
      </c>
    </row>
    <row r="1025">
      <c r="A1025" t="inlineStr">
        <is>
          <t>2026-09-10</t>
        </is>
      </c>
      <c r="B1025" t="inlineStr">
        <is>
          <t>MA2701</t>
        </is>
      </c>
      <c r="C1025" s="20" t="n">
        <v>47</v>
      </c>
    </row>
  </sheetData>
  <mergeCells count="1"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5" customWidth="1" min="6" max="6"/>
    <col width="22" customWidth="1" min="7" max="7"/>
    <col width="10" customWidth="1" min="8" max="8"/>
    <col width="11" customWidth="1" min="9" max="9"/>
  </cols>
  <sheetData>
    <row r="1" ht="24" customHeight="1">
      <c r="A1" s="1" t="inlineStr">
        <is>
          <t>10 合约日历核验</t>
        </is>
      </c>
    </row>
    <row r="2">
      <c r="A2" s="2" t="inlineStr">
        <is>
          <t>规则：最后交易日 = 交割月第 10 个交易日。K 线在临近交割时常被数据源截断，属数据可得性差异。</t>
        </is>
      </c>
    </row>
    <row r="4" ht="30" customHeight="1">
      <c r="A4" s="3" t="inlineStr">
        <is>
          <t>合约</t>
        </is>
      </c>
      <c r="B4" s="3" t="inlineStr">
        <is>
          <t>交割月</t>
        </is>
      </c>
      <c r="C4" s="3" t="inlineStr">
        <is>
          <t>首个K线日</t>
        </is>
      </c>
      <c r="D4" s="3" t="inlineStr">
        <is>
          <t>末个K线日</t>
        </is>
      </c>
      <c r="E4" s="3" t="inlineStr">
        <is>
          <t>交割月内K线数</t>
        </is>
      </c>
      <c r="F4" s="3" t="inlineStr">
        <is>
          <t>规则最后交易日</t>
        </is>
      </c>
      <c r="G4" s="3" t="inlineStr">
        <is>
          <t>核验结论</t>
        </is>
      </c>
      <c r="H4" s="3" t="inlineStr">
        <is>
          <t>K线总数</t>
        </is>
      </c>
      <c r="I4" s="3" t="inlineStr">
        <is>
          <t>含现货日数</t>
        </is>
      </c>
    </row>
    <row r="5">
      <c r="A5" s="6" t="inlineStr">
        <is>
          <t>MA1905</t>
        </is>
      </c>
      <c r="B5" s="6" t="inlineStr">
        <is>
          <t>2019-05</t>
        </is>
      </c>
      <c r="C5" s="6" t="inlineStr">
        <is>
          <t>2018-05-18</t>
        </is>
      </c>
      <c r="D5" s="6" t="inlineStr">
        <is>
          <t>2019-05-17</t>
        </is>
      </c>
      <c r="E5" s="6" t="n">
        <v>10</v>
      </c>
      <c r="F5" s="6" t="inlineStr">
        <is>
          <t>2019-05-17</t>
        </is>
      </c>
      <c r="G5" s="6" t="inlineStr">
        <is>
          <t>一致</t>
        </is>
      </c>
      <c r="H5" s="6" t="n">
        <v>242</v>
      </c>
      <c r="I5" s="6" t="n">
        <v>0</v>
      </c>
    </row>
    <row r="6">
      <c r="A6" s="11" t="inlineStr">
        <is>
          <t>MA1906</t>
        </is>
      </c>
      <c r="B6" s="11" t="inlineStr">
        <is>
          <t>2019-06</t>
        </is>
      </c>
      <c r="C6" s="11" t="inlineStr">
        <is>
          <t>2018-07-11</t>
        </is>
      </c>
      <c r="D6" s="11" t="inlineStr">
        <is>
          <t>2019-05-31</t>
        </is>
      </c>
      <c r="E6" s="11" t="n">
        <v>0</v>
      </c>
      <c r="F6" s="11" t="n"/>
      <c r="G6" s="11" t="inlineStr">
        <is>
          <t>交割月K线不足</t>
        </is>
      </c>
      <c r="H6" s="11" t="n">
        <v>128</v>
      </c>
      <c r="I6" s="11" t="n">
        <v>0</v>
      </c>
    </row>
    <row r="7">
      <c r="A7" s="6" t="inlineStr">
        <is>
          <t>MA1907</t>
        </is>
      </c>
      <c r="B7" s="6" t="inlineStr">
        <is>
          <t>2019-07</t>
        </is>
      </c>
      <c r="C7" s="6" t="inlineStr">
        <is>
          <t>2018-08-03</t>
        </is>
      </c>
      <c r="D7" s="6" t="inlineStr">
        <is>
          <t>2019-06-26</t>
        </is>
      </c>
      <c r="E7" s="6" t="n">
        <v>0</v>
      </c>
      <c r="F7" s="6" t="n"/>
      <c r="G7" s="6" t="inlineStr">
        <is>
          <t>交割月K线不足</t>
        </is>
      </c>
      <c r="H7" s="6" t="n">
        <v>110</v>
      </c>
      <c r="I7" s="6" t="n">
        <v>0</v>
      </c>
    </row>
    <row r="8">
      <c r="A8" s="11" t="inlineStr">
        <is>
          <t>MA1908</t>
        </is>
      </c>
      <c r="B8" s="11" t="inlineStr">
        <is>
          <t>2019-08</t>
        </is>
      </c>
      <c r="C8" s="11" t="inlineStr">
        <is>
          <t>2018-08-27</t>
        </is>
      </c>
      <c r="D8" s="11" t="inlineStr">
        <is>
          <t>2019-07-31</t>
        </is>
      </c>
      <c r="E8" s="11" t="n">
        <v>0</v>
      </c>
      <c r="F8" s="11" t="n"/>
      <c r="G8" s="11" t="inlineStr">
        <is>
          <t>交割月K线不足</t>
        </is>
      </c>
      <c r="H8" s="11" t="n">
        <v>90</v>
      </c>
      <c r="I8" s="11" t="n">
        <v>0</v>
      </c>
    </row>
    <row r="9">
      <c r="A9" s="6" t="inlineStr">
        <is>
          <t>MA1909</t>
        </is>
      </c>
      <c r="B9" s="6" t="inlineStr">
        <is>
          <t>2019-09</t>
        </is>
      </c>
      <c r="C9" s="6" t="inlineStr">
        <is>
          <t>2018-09-19</t>
        </is>
      </c>
      <c r="D9" s="6" t="inlineStr">
        <is>
          <t>2019-09-16</t>
        </is>
      </c>
      <c r="E9" s="6" t="n">
        <v>10</v>
      </c>
      <c r="F9" s="6" t="inlineStr">
        <is>
          <t>2019-09-16</t>
        </is>
      </c>
      <c r="G9" s="6" t="inlineStr">
        <is>
          <t>一致</t>
        </is>
      </c>
      <c r="H9" s="6" t="n">
        <v>238</v>
      </c>
      <c r="I9" s="6" t="n">
        <v>0</v>
      </c>
    </row>
    <row r="10">
      <c r="A10" s="11" t="inlineStr">
        <is>
          <t>MA1910</t>
        </is>
      </c>
      <c r="B10" s="11" t="inlineStr">
        <is>
          <t>2019-10</t>
        </is>
      </c>
      <c r="C10" s="11" t="inlineStr">
        <is>
          <t>2018-10-30</t>
        </is>
      </c>
      <c r="D10" s="11" t="inlineStr">
        <is>
          <t>2019-10-16</t>
        </is>
      </c>
      <c r="E10" s="11" t="n">
        <v>1</v>
      </c>
      <c r="F10" s="11" t="n"/>
      <c r="G10" s="11" t="inlineStr">
        <is>
          <t>交割月K线不足</t>
        </is>
      </c>
      <c r="H10" s="11" t="n">
        <v>198</v>
      </c>
      <c r="I10" s="11" t="n">
        <v>0</v>
      </c>
    </row>
    <row r="11">
      <c r="A11" s="6" t="inlineStr">
        <is>
          <t>MA1911</t>
        </is>
      </c>
      <c r="B11" s="6" t="inlineStr">
        <is>
          <t>2019-11</t>
        </is>
      </c>
      <c r="C11" s="6" t="inlineStr">
        <is>
          <t>2018-11-28</t>
        </is>
      </c>
      <c r="D11" s="6" t="inlineStr">
        <is>
          <t>2019-11-14</t>
        </is>
      </c>
      <c r="E11" s="6" t="n">
        <v>8</v>
      </c>
      <c r="F11" s="6" t="n"/>
      <c r="G11" s="6" t="inlineStr">
        <is>
          <t>交割月K线不足</t>
        </is>
      </c>
      <c r="H11" s="6" t="n">
        <v>219</v>
      </c>
      <c r="I11" s="6" t="n">
        <v>0</v>
      </c>
    </row>
    <row r="12">
      <c r="A12" s="11" t="inlineStr">
        <is>
          <t>MA1912</t>
        </is>
      </c>
      <c r="B12" s="11" t="inlineStr">
        <is>
          <t>2019-12</t>
        </is>
      </c>
      <c r="C12" s="11" t="inlineStr">
        <is>
          <t>2018-12-21</t>
        </is>
      </c>
      <c r="D12" s="11" t="inlineStr">
        <is>
          <t>2019-11-29</t>
        </is>
      </c>
      <c r="E12" s="11" t="n">
        <v>0</v>
      </c>
      <c r="F12" s="11" t="n"/>
      <c r="G12" s="11" t="inlineStr">
        <is>
          <t>交割月K线不足</t>
        </is>
      </c>
      <c r="H12" s="11" t="n">
        <v>177</v>
      </c>
      <c r="I12" s="11" t="n">
        <v>0</v>
      </c>
    </row>
    <row r="13">
      <c r="A13" s="6" t="inlineStr">
        <is>
          <t>MA2001</t>
        </is>
      </c>
      <c r="B13" s="6" t="inlineStr">
        <is>
          <t>2020-01</t>
        </is>
      </c>
      <c r="C13" s="6" t="inlineStr">
        <is>
          <t>2019-01-18</t>
        </is>
      </c>
      <c r="D13" s="6" t="inlineStr">
        <is>
          <t>2020-01-15</t>
        </is>
      </c>
      <c r="E13" s="6" t="n">
        <v>10</v>
      </c>
      <c r="F13" s="6" t="inlineStr">
        <is>
          <t>2020-01-15</t>
        </is>
      </c>
      <c r="G13" s="6" t="inlineStr">
        <is>
          <t>一致</t>
        </is>
      </c>
      <c r="H13" s="6" t="n">
        <v>240</v>
      </c>
      <c r="I13" s="6" t="n">
        <v>0</v>
      </c>
    </row>
    <row r="14">
      <c r="A14" s="11" t="inlineStr">
        <is>
          <t>MA2002</t>
        </is>
      </c>
      <c r="B14" s="11" t="inlineStr">
        <is>
          <t>2020-02</t>
        </is>
      </c>
      <c r="C14" s="11" t="inlineStr">
        <is>
          <t>2019-03-06</t>
        </is>
      </c>
      <c r="D14" s="11" t="inlineStr">
        <is>
          <t>2020-02-03</t>
        </is>
      </c>
      <c r="E14" s="11" t="n">
        <v>1</v>
      </c>
      <c r="F14" s="11" t="n"/>
      <c r="G14" s="11" t="inlineStr">
        <is>
          <t>交割月K线不足</t>
        </is>
      </c>
      <c r="H14" s="11" t="n">
        <v>140</v>
      </c>
      <c r="I14" s="11" t="n">
        <v>0</v>
      </c>
    </row>
    <row r="15">
      <c r="A15" s="6" t="inlineStr">
        <is>
          <t>MA2003</t>
        </is>
      </c>
      <c r="B15" s="6" t="inlineStr">
        <is>
          <t>2020-03</t>
        </is>
      </c>
      <c r="C15" s="6" t="inlineStr">
        <is>
          <t>2019-03-20</t>
        </is>
      </c>
      <c r="D15" s="6" t="inlineStr">
        <is>
          <t>2020-03-13</t>
        </is>
      </c>
      <c r="E15" s="6" t="n">
        <v>7</v>
      </c>
      <c r="F15" s="6" t="n"/>
      <c r="G15" s="6" t="inlineStr">
        <is>
          <t>交割月K线不足</t>
        </is>
      </c>
      <c r="H15" s="6" t="n">
        <v>214</v>
      </c>
      <c r="I15" s="6" t="n">
        <v>0</v>
      </c>
    </row>
    <row r="16">
      <c r="A16" s="11" t="inlineStr">
        <is>
          <t>MA2004</t>
        </is>
      </c>
      <c r="B16" s="11" t="inlineStr">
        <is>
          <t>2020-04</t>
        </is>
      </c>
      <c r="C16" s="11" t="inlineStr">
        <is>
          <t>2019-04-23</t>
        </is>
      </c>
      <c r="D16" s="11" t="inlineStr">
        <is>
          <t>2020-04-10</t>
        </is>
      </c>
      <c r="E16" s="11" t="n">
        <v>2</v>
      </c>
      <c r="F16" s="11" t="n"/>
      <c r="G16" s="11" t="inlineStr">
        <is>
          <t>交割月K线不足</t>
        </is>
      </c>
      <c r="H16" s="11" t="n">
        <v>108</v>
      </c>
      <c r="I16" s="11" t="n">
        <v>0</v>
      </c>
    </row>
    <row r="17">
      <c r="A17" s="6" t="inlineStr">
        <is>
          <t>MA2005</t>
        </is>
      </c>
      <c r="B17" s="6" t="inlineStr">
        <is>
          <t>2020-05</t>
        </is>
      </c>
      <c r="C17" s="6" t="inlineStr">
        <is>
          <t>2019-05-20</t>
        </is>
      </c>
      <c r="D17" s="6" t="inlineStr">
        <is>
          <t>2020-05-19</t>
        </is>
      </c>
      <c r="E17" s="6" t="n">
        <v>10</v>
      </c>
      <c r="F17" s="6" t="inlineStr">
        <is>
          <t>2020-05-19</t>
        </is>
      </c>
      <c r="G17" s="6" t="inlineStr">
        <is>
          <t>一致</t>
        </is>
      </c>
      <c r="H17" s="6" t="n">
        <v>243</v>
      </c>
      <c r="I17" s="6" t="n">
        <v>0</v>
      </c>
    </row>
    <row r="18">
      <c r="A18" s="11" t="inlineStr">
        <is>
          <t>MA2006</t>
        </is>
      </c>
      <c r="B18" s="11" t="inlineStr">
        <is>
          <t>2020-06</t>
        </is>
      </c>
      <c r="C18" s="11" t="inlineStr">
        <is>
          <t>2019-06-19</t>
        </is>
      </c>
      <c r="D18" s="11" t="inlineStr">
        <is>
          <t>2020-06-04</t>
        </is>
      </c>
      <c r="E18" s="11" t="n">
        <v>4</v>
      </c>
      <c r="F18" s="11" t="n"/>
      <c r="G18" s="11" t="inlineStr">
        <is>
          <t>交割月K线不足</t>
        </is>
      </c>
      <c r="H18" s="11" t="n">
        <v>167</v>
      </c>
      <c r="I18" s="11" t="n">
        <v>0</v>
      </c>
    </row>
    <row r="19">
      <c r="A19" s="6" t="inlineStr">
        <is>
          <t>MA2007</t>
        </is>
      </c>
      <c r="B19" s="6" t="inlineStr">
        <is>
          <t>2020-07</t>
        </is>
      </c>
      <c r="C19" s="6" t="inlineStr">
        <is>
          <t>2019-07-16</t>
        </is>
      </c>
      <c r="D19" s="6" t="inlineStr">
        <is>
          <t>2020-07-14</t>
        </is>
      </c>
      <c r="E19" s="6" t="n">
        <v>10</v>
      </c>
      <c r="F19" s="6" t="inlineStr">
        <is>
          <t>2020-07-14</t>
        </is>
      </c>
      <c r="G19" s="6" t="inlineStr">
        <is>
          <t>一致</t>
        </is>
      </c>
      <c r="H19" s="6" t="n">
        <v>228</v>
      </c>
      <c r="I19" s="6" t="n">
        <v>0</v>
      </c>
    </row>
    <row r="20">
      <c r="A20" s="11" t="inlineStr">
        <is>
          <t>MA2008</t>
        </is>
      </c>
      <c r="B20" s="11" t="inlineStr">
        <is>
          <t>2020-08</t>
        </is>
      </c>
      <c r="C20" s="11" t="inlineStr">
        <is>
          <t>2019-09-04</t>
        </is>
      </c>
      <c r="D20" s="11" t="inlineStr">
        <is>
          <t>2020-08-12</t>
        </is>
      </c>
      <c r="E20" s="11" t="n">
        <v>3</v>
      </c>
      <c r="F20" s="11" t="n"/>
      <c r="G20" s="11" t="inlineStr">
        <is>
          <t>交割月K线不足</t>
        </is>
      </c>
      <c r="H20" s="11" t="n">
        <v>116</v>
      </c>
      <c r="I20" s="11" t="n">
        <v>0</v>
      </c>
    </row>
    <row r="21">
      <c r="A21" s="6" t="inlineStr">
        <is>
          <t>MA2009</t>
        </is>
      </c>
      <c r="B21" s="6" t="inlineStr">
        <is>
          <t>2020-09</t>
        </is>
      </c>
      <c r="C21" s="6" t="inlineStr">
        <is>
          <t>2019-09-17</t>
        </is>
      </c>
      <c r="D21" s="6" t="inlineStr">
        <is>
          <t>2020-09-14</t>
        </is>
      </c>
      <c r="E21" s="6" t="n">
        <v>10</v>
      </c>
      <c r="F21" s="6" t="inlineStr">
        <is>
          <t>2020-09-14</t>
        </is>
      </c>
      <c r="G21" s="6" t="inlineStr">
        <is>
          <t>一致</t>
        </is>
      </c>
      <c r="H21" s="6" t="n">
        <v>242</v>
      </c>
      <c r="I21" s="6" t="n">
        <v>0</v>
      </c>
    </row>
    <row r="22">
      <c r="A22" s="11" t="inlineStr">
        <is>
          <t>MA2010</t>
        </is>
      </c>
      <c r="B22" s="11" t="inlineStr">
        <is>
          <t>2020-10</t>
        </is>
      </c>
      <c r="C22" s="11" t="inlineStr">
        <is>
          <t>2019-10-22</t>
        </is>
      </c>
      <c r="D22" s="11" t="inlineStr">
        <is>
          <t>2020-10-21</t>
        </is>
      </c>
      <c r="E22" s="11" t="n">
        <v>4</v>
      </c>
      <c r="F22" s="11" t="n"/>
      <c r="G22" s="11" t="inlineStr">
        <is>
          <t>交割月K线不足</t>
        </is>
      </c>
      <c r="H22" s="11" t="n">
        <v>198</v>
      </c>
      <c r="I22" s="11" t="n">
        <v>0</v>
      </c>
    </row>
    <row r="23">
      <c r="A23" s="6" t="inlineStr">
        <is>
          <t>MA2011</t>
        </is>
      </c>
      <c r="B23" s="6" t="inlineStr">
        <is>
          <t>2020-11</t>
        </is>
      </c>
      <c r="C23" s="6" t="inlineStr">
        <is>
          <t>2019-11-22</t>
        </is>
      </c>
      <c r="D23" s="6" t="inlineStr">
        <is>
          <t>2020-11-13</t>
        </is>
      </c>
      <c r="E23" s="6" t="n">
        <v>10</v>
      </c>
      <c r="F23" s="6" t="inlineStr">
        <is>
          <t>2020-11-13</t>
        </is>
      </c>
      <c r="G23" s="6" t="inlineStr">
        <is>
          <t>一致</t>
        </is>
      </c>
      <c r="H23" s="6" t="n">
        <v>226</v>
      </c>
      <c r="I23" s="6" t="n">
        <v>0</v>
      </c>
    </row>
    <row r="24">
      <c r="A24" s="11" t="inlineStr">
        <is>
          <t>MA2012</t>
        </is>
      </c>
      <c r="B24" s="11" t="inlineStr">
        <is>
          <t>2020-12</t>
        </is>
      </c>
      <c r="C24" s="11" t="inlineStr">
        <is>
          <t>2020-01-06</t>
        </is>
      </c>
      <c r="D24" s="11" t="inlineStr">
        <is>
          <t>2020-12-11</t>
        </is>
      </c>
      <c r="E24" s="11" t="n">
        <v>8</v>
      </c>
      <c r="F24" s="11" t="n"/>
      <c r="G24" s="11" t="inlineStr">
        <is>
          <t>交割月K线不足</t>
        </is>
      </c>
      <c r="H24" s="11" t="n">
        <v>219</v>
      </c>
      <c r="I24" s="11" t="n">
        <v>0</v>
      </c>
    </row>
    <row r="25">
      <c r="A25" s="6" t="inlineStr">
        <is>
          <t>MA2101</t>
        </is>
      </c>
      <c r="B25" s="6" t="inlineStr">
        <is>
          <t>2021-01</t>
        </is>
      </c>
      <c r="C25" s="6" t="inlineStr">
        <is>
          <t>2020-02-10</t>
        </is>
      </c>
      <c r="D25" s="6" t="inlineStr">
        <is>
          <t>2021-01-15</t>
        </is>
      </c>
      <c r="E25" s="6" t="n">
        <v>9</v>
      </c>
      <c r="F25" s="6" t="n"/>
      <c r="G25" s="6" t="inlineStr">
        <is>
          <t>交割月K线不足</t>
        </is>
      </c>
      <c r="H25" s="6" t="n">
        <v>231</v>
      </c>
      <c r="I25" s="6" t="n">
        <v>0</v>
      </c>
    </row>
    <row r="26">
      <c r="A26" s="11" t="inlineStr">
        <is>
          <t>MA2102</t>
        </is>
      </c>
      <c r="B26" s="11" t="inlineStr">
        <is>
          <t>2021-02</t>
        </is>
      </c>
      <c r="C26" s="11" t="inlineStr">
        <is>
          <t>2020-02-19</t>
        </is>
      </c>
      <c r="D26" s="11" t="inlineStr">
        <is>
          <t>2021-02-05</t>
        </is>
      </c>
      <c r="E26" s="11" t="n">
        <v>4</v>
      </c>
      <c r="F26" s="11" t="n"/>
      <c r="G26" s="11" t="inlineStr">
        <is>
          <t>交割月K线不足</t>
        </is>
      </c>
      <c r="H26" s="11" t="n">
        <v>214</v>
      </c>
      <c r="I26" s="11" t="n">
        <v>0</v>
      </c>
    </row>
    <row r="27">
      <c r="A27" s="6" t="inlineStr">
        <is>
          <t>MA2103</t>
        </is>
      </c>
      <c r="B27" s="6" t="inlineStr">
        <is>
          <t>2021-03</t>
        </is>
      </c>
      <c r="C27" s="6" t="inlineStr">
        <is>
          <t>2020-03-18</t>
        </is>
      </c>
      <c r="D27" s="6" t="inlineStr">
        <is>
          <t>2021-03-11</t>
        </is>
      </c>
      <c r="E27" s="6" t="n">
        <v>6</v>
      </c>
      <c r="F27" s="6" t="n"/>
      <c r="G27" s="6" t="inlineStr">
        <is>
          <t>交割月K线不足</t>
        </is>
      </c>
      <c r="H27" s="6" t="n">
        <v>234</v>
      </c>
      <c r="I27" s="6" t="n">
        <v>0</v>
      </c>
    </row>
    <row r="28">
      <c r="A28" s="11" t="inlineStr">
        <is>
          <t>MA2104</t>
        </is>
      </c>
      <c r="B28" s="11" t="inlineStr">
        <is>
          <t>2021-04</t>
        </is>
      </c>
      <c r="C28" s="11" t="inlineStr">
        <is>
          <t>2020-04-21</t>
        </is>
      </c>
      <c r="D28" s="11" t="inlineStr">
        <is>
          <t>2021-04-09</t>
        </is>
      </c>
      <c r="E28" s="11" t="n">
        <v>3</v>
      </c>
      <c r="F28" s="11" t="n"/>
      <c r="G28" s="11" t="inlineStr">
        <is>
          <t>交割月K线不足</t>
        </is>
      </c>
      <c r="H28" s="11" t="n">
        <v>183</v>
      </c>
      <c r="I28" s="11" t="n">
        <v>0</v>
      </c>
    </row>
    <row r="29">
      <c r="A29" s="6" t="inlineStr">
        <is>
          <t>MA2105</t>
        </is>
      </c>
      <c r="B29" s="6" t="inlineStr">
        <is>
          <t>2021-05</t>
        </is>
      </c>
      <c r="C29" s="6" t="inlineStr">
        <is>
          <t>2020-05-20</t>
        </is>
      </c>
      <c r="D29" s="6" t="inlineStr">
        <is>
          <t>2021-05-19</t>
        </is>
      </c>
      <c r="E29" s="6" t="n">
        <v>9</v>
      </c>
      <c r="F29" s="6" t="n"/>
      <c r="G29" s="6" t="inlineStr">
        <is>
          <t>交割月K线不足</t>
        </is>
      </c>
      <c r="H29" s="6" t="n">
        <v>242</v>
      </c>
      <c r="I29" s="6" t="n">
        <v>0</v>
      </c>
    </row>
    <row r="30">
      <c r="A30" s="11" t="inlineStr">
        <is>
          <t>MA2106</t>
        </is>
      </c>
      <c r="B30" s="11" t="inlineStr">
        <is>
          <t>2021-06</t>
        </is>
      </c>
      <c r="C30" s="11" t="inlineStr">
        <is>
          <t>2020-06-15</t>
        </is>
      </c>
      <c r="D30" s="11" t="inlineStr">
        <is>
          <t>2021-06-10</t>
        </is>
      </c>
      <c r="E30" s="11" t="n">
        <v>3</v>
      </c>
      <c r="F30" s="11" t="n"/>
      <c r="G30" s="11" t="inlineStr">
        <is>
          <t>交割月K线不足</t>
        </is>
      </c>
      <c r="H30" s="11" t="n">
        <v>190</v>
      </c>
      <c r="I30" s="11" t="n">
        <v>0</v>
      </c>
    </row>
    <row r="31">
      <c r="A31" s="6" t="inlineStr">
        <is>
          <t>MA2107</t>
        </is>
      </c>
      <c r="B31" s="6" t="inlineStr">
        <is>
          <t>2021-07</t>
        </is>
      </c>
      <c r="C31" s="6" t="inlineStr">
        <is>
          <t>2020-07-16</t>
        </is>
      </c>
      <c r="D31" s="6" t="inlineStr">
        <is>
          <t>2021-07-02</t>
        </is>
      </c>
      <c r="E31" s="6" t="n">
        <v>2</v>
      </c>
      <c r="F31" s="6" t="n"/>
      <c r="G31" s="6" t="inlineStr">
        <is>
          <t>交割月K线不足</t>
        </is>
      </c>
      <c r="H31" s="6" t="n">
        <v>215</v>
      </c>
      <c r="I31" s="6" t="n">
        <v>0</v>
      </c>
    </row>
    <row r="32">
      <c r="A32" s="11" t="inlineStr">
        <is>
          <t>MA2108</t>
        </is>
      </c>
      <c r="B32" s="11" t="inlineStr">
        <is>
          <t>2021-08</t>
        </is>
      </c>
      <c r="C32" s="11" t="inlineStr">
        <is>
          <t>2020-08-21</t>
        </is>
      </c>
      <c r="D32" s="11" t="inlineStr">
        <is>
          <t>2021-08-13</t>
        </is>
      </c>
      <c r="E32" s="11" t="n">
        <v>10</v>
      </c>
      <c r="F32" s="11" t="inlineStr">
        <is>
          <t>2021-08-13</t>
        </is>
      </c>
      <c r="G32" s="11" t="inlineStr">
        <is>
          <t>一致</t>
        </is>
      </c>
      <c r="H32" s="11" t="n">
        <v>218</v>
      </c>
      <c r="I32" s="11" t="n">
        <v>0</v>
      </c>
    </row>
    <row r="33">
      <c r="A33" s="6" t="inlineStr">
        <is>
          <t>MA2109</t>
        </is>
      </c>
      <c r="B33" s="6" t="inlineStr">
        <is>
          <t>2021-09</t>
        </is>
      </c>
      <c r="C33" s="6" t="inlineStr">
        <is>
          <t>2020-09-15</t>
        </is>
      </c>
      <c r="D33" s="6" t="inlineStr">
        <is>
          <t>2021-09-14</t>
        </is>
      </c>
      <c r="E33" s="6" t="n">
        <v>9</v>
      </c>
      <c r="F33" s="6" t="n"/>
      <c r="G33" s="6" t="inlineStr">
        <is>
          <t>交割月K线不足</t>
        </is>
      </c>
      <c r="H33" s="6" t="n">
        <v>243</v>
      </c>
      <c r="I33" s="6" t="n">
        <v>0</v>
      </c>
    </row>
    <row r="34">
      <c r="A34" s="11" t="inlineStr">
        <is>
          <t>MA2110</t>
        </is>
      </c>
      <c r="B34" s="11" t="inlineStr">
        <is>
          <t>2021-10</t>
        </is>
      </c>
      <c r="C34" s="11" t="inlineStr">
        <is>
          <t>2020-10-28</t>
        </is>
      </c>
      <c r="D34" s="11" t="inlineStr">
        <is>
          <t>2021-10-20</t>
        </is>
      </c>
      <c r="E34" s="11" t="n">
        <v>9</v>
      </c>
      <c r="F34" s="11" t="n"/>
      <c r="G34" s="11" t="inlineStr">
        <is>
          <t>交割月K线不足</t>
        </is>
      </c>
      <c r="H34" s="11" t="n">
        <v>231</v>
      </c>
      <c r="I34" s="11" t="n">
        <v>0</v>
      </c>
    </row>
    <row r="35">
      <c r="A35" s="6" t="inlineStr">
        <is>
          <t>MA2111</t>
        </is>
      </c>
      <c r="B35" s="6" t="inlineStr">
        <is>
          <t>2021-11</t>
        </is>
      </c>
      <c r="C35" s="6" t="inlineStr">
        <is>
          <t>2020-11-20</t>
        </is>
      </c>
      <c r="D35" s="6" t="inlineStr">
        <is>
          <t>2021-11-08</t>
        </is>
      </c>
      <c r="E35" s="6" t="n">
        <v>6</v>
      </c>
      <c r="F35" s="6" t="n"/>
      <c r="G35" s="6" t="inlineStr">
        <is>
          <t>交割月K线不足</t>
        </is>
      </c>
      <c r="H35" s="6" t="n">
        <v>229</v>
      </c>
      <c r="I35" s="6" t="n">
        <v>0</v>
      </c>
    </row>
    <row r="36">
      <c r="A36" s="11" t="inlineStr">
        <is>
          <t>MA2112</t>
        </is>
      </c>
      <c r="B36" s="11" t="inlineStr">
        <is>
          <t>2021-12</t>
        </is>
      </c>
      <c r="C36" s="11" t="inlineStr">
        <is>
          <t>2020-12-17</t>
        </is>
      </c>
      <c r="D36" s="11" t="inlineStr">
        <is>
          <t>2021-12-13</t>
        </is>
      </c>
      <c r="E36" s="11" t="n">
        <v>7</v>
      </c>
      <c r="F36" s="11" t="n"/>
      <c r="G36" s="11" t="inlineStr">
        <is>
          <t>交割月K线不足</t>
        </is>
      </c>
      <c r="H36" s="11" t="n">
        <v>226</v>
      </c>
      <c r="I36" s="11" t="n">
        <v>0</v>
      </c>
    </row>
    <row r="37">
      <c r="A37" s="6" t="inlineStr">
        <is>
          <t>MA2201</t>
        </is>
      </c>
      <c r="B37" s="6" t="inlineStr">
        <is>
          <t>2022-01</t>
        </is>
      </c>
      <c r="C37" s="6" t="inlineStr">
        <is>
          <t>2021-01-18</t>
        </is>
      </c>
      <c r="D37" s="6" t="inlineStr">
        <is>
          <t>2022-01-17</t>
        </is>
      </c>
      <c r="E37" s="6" t="n">
        <v>10</v>
      </c>
      <c r="F37" s="6" t="inlineStr">
        <is>
          <t>2022-01-17</t>
        </is>
      </c>
      <c r="G37" s="6" t="inlineStr">
        <is>
          <t>一致</t>
        </is>
      </c>
      <c r="H37" s="6" t="n">
        <v>243</v>
      </c>
      <c r="I37" s="6" t="n">
        <v>0</v>
      </c>
    </row>
    <row r="38">
      <c r="A38" s="11" t="inlineStr">
        <is>
          <t>MA2202</t>
        </is>
      </c>
      <c r="B38" s="11" t="inlineStr">
        <is>
          <t>2022-02</t>
        </is>
      </c>
      <c r="C38" s="11" t="inlineStr">
        <is>
          <t>2021-02-22</t>
        </is>
      </c>
      <c r="D38" s="11" t="inlineStr">
        <is>
          <t>2022-02-16</t>
        </is>
      </c>
      <c r="E38" s="11" t="n">
        <v>8</v>
      </c>
      <c r="F38" s="11" t="n"/>
      <c r="G38" s="11" t="inlineStr">
        <is>
          <t>交割月K线不足</t>
        </is>
      </c>
      <c r="H38" s="11" t="n">
        <v>236</v>
      </c>
      <c r="I38" s="11" t="n">
        <v>0</v>
      </c>
    </row>
    <row r="39">
      <c r="A39" s="6" t="inlineStr">
        <is>
          <t>MA2203</t>
        </is>
      </c>
      <c r="B39" s="6" t="inlineStr">
        <is>
          <t>2022-03</t>
        </is>
      </c>
      <c r="C39" s="6" t="inlineStr">
        <is>
          <t>2021-03-15</t>
        </is>
      </c>
      <c r="D39" s="6" t="inlineStr">
        <is>
          <t>2022-03-14</t>
        </is>
      </c>
      <c r="E39" s="6" t="n">
        <v>7</v>
      </c>
      <c r="F39" s="6" t="n"/>
      <c r="G39" s="6" t="inlineStr">
        <is>
          <t>交割月K线不足</t>
        </is>
      </c>
      <c r="H39" s="6" t="n">
        <v>232</v>
      </c>
      <c r="I39" s="6" t="n">
        <v>0</v>
      </c>
    </row>
    <row r="40">
      <c r="A40" s="11" t="inlineStr">
        <is>
          <t>MA2204</t>
        </is>
      </c>
      <c r="B40" s="11" t="inlineStr">
        <is>
          <t>2022-04</t>
        </is>
      </c>
      <c r="C40" s="11" t="inlineStr">
        <is>
          <t>2021-04-29</t>
        </is>
      </c>
      <c r="D40" s="11" t="inlineStr">
        <is>
          <t>2022-04-15</t>
        </is>
      </c>
      <c r="E40" s="11" t="n">
        <v>6</v>
      </c>
      <c r="F40" s="11" t="n"/>
      <c r="G40" s="11" t="inlineStr">
        <is>
          <t>交割月K线不足</t>
        </is>
      </c>
      <c r="H40" s="11" t="n">
        <v>230</v>
      </c>
      <c r="I40" s="11" t="n">
        <v>0</v>
      </c>
    </row>
    <row r="41">
      <c r="A41" s="6" t="inlineStr">
        <is>
          <t>MA2205</t>
        </is>
      </c>
      <c r="B41" s="6" t="inlineStr">
        <is>
          <t>2022-05</t>
        </is>
      </c>
      <c r="C41" s="6" t="inlineStr">
        <is>
          <t>2021-05-20</t>
        </is>
      </c>
      <c r="D41" s="6" t="inlineStr">
        <is>
          <t>2022-05-18</t>
        </is>
      </c>
      <c r="E41" s="6" t="n">
        <v>10</v>
      </c>
      <c r="F41" s="6" t="inlineStr">
        <is>
          <t>2022-05-18</t>
        </is>
      </c>
      <c r="G41" s="6" t="inlineStr">
        <is>
          <t>一致</t>
        </is>
      </c>
      <c r="H41" s="6" t="n">
        <v>241</v>
      </c>
      <c r="I41" s="6" t="n">
        <v>0</v>
      </c>
    </row>
    <row r="42">
      <c r="A42" s="11" t="inlineStr">
        <is>
          <t>MA2206</t>
        </is>
      </c>
      <c r="B42" s="11" t="inlineStr">
        <is>
          <t>2022-06</t>
        </is>
      </c>
      <c r="C42" s="11" t="inlineStr">
        <is>
          <t>2021-06-23</t>
        </is>
      </c>
      <c r="D42" s="11" t="inlineStr">
        <is>
          <t>2022-06-15</t>
        </is>
      </c>
      <c r="E42" s="11" t="n">
        <v>10</v>
      </c>
      <c r="F42" s="11" t="inlineStr">
        <is>
          <t>2022-06-15</t>
        </is>
      </c>
      <c r="G42" s="11" t="inlineStr">
        <is>
          <t>一致</t>
        </is>
      </c>
      <c r="H42" s="11" t="n">
        <v>227</v>
      </c>
      <c r="I42" s="11" t="n">
        <v>0</v>
      </c>
    </row>
    <row r="43">
      <c r="A43" s="6" t="inlineStr">
        <is>
          <t>MA2207</t>
        </is>
      </c>
      <c r="B43" s="6" t="inlineStr">
        <is>
          <t>2022-07</t>
        </is>
      </c>
      <c r="C43" s="6" t="inlineStr">
        <is>
          <t>2021-07-19</t>
        </is>
      </c>
      <c r="D43" s="6" t="inlineStr">
        <is>
          <t>2022-07-14</t>
        </is>
      </c>
      <c r="E43" s="6" t="n">
        <v>8</v>
      </c>
      <c r="F43" s="6" t="n"/>
      <c r="G43" s="6" t="inlineStr">
        <is>
          <t>交割月K线不足</t>
        </is>
      </c>
      <c r="H43" s="6" t="n">
        <v>228</v>
      </c>
      <c r="I43" s="6" t="n">
        <v>0</v>
      </c>
    </row>
    <row r="44">
      <c r="A44" s="11" t="inlineStr">
        <is>
          <t>MA2208</t>
        </is>
      </c>
      <c r="B44" s="11" t="inlineStr">
        <is>
          <t>2022-08</t>
        </is>
      </c>
      <c r="C44" s="11" t="inlineStr">
        <is>
          <t>2021-08-17</t>
        </is>
      </c>
      <c r="D44" s="11" t="inlineStr">
        <is>
          <t>2022-08-08</t>
        </is>
      </c>
      <c r="E44" s="11" t="n">
        <v>3</v>
      </c>
      <c r="F44" s="11" t="n"/>
      <c r="G44" s="11" t="inlineStr">
        <is>
          <t>交割月K线不足</t>
        </is>
      </c>
      <c r="H44" s="11" t="n">
        <v>221</v>
      </c>
      <c r="I44" s="11" t="n">
        <v>0</v>
      </c>
    </row>
    <row r="45">
      <c r="A45" s="6" t="inlineStr">
        <is>
          <t>MA2209</t>
        </is>
      </c>
      <c r="B45" s="6" t="inlineStr">
        <is>
          <t>2022-09</t>
        </is>
      </c>
      <c r="C45" s="6" t="inlineStr">
        <is>
          <t>2021-09-15</t>
        </is>
      </c>
      <c r="D45" s="6" t="inlineStr">
        <is>
          <t>2022-09-15</t>
        </is>
      </c>
      <c r="E45" s="6" t="n">
        <v>9</v>
      </c>
      <c r="F45" s="6" t="n"/>
      <c r="G45" s="6" t="inlineStr">
        <is>
          <t>交割月K线不足</t>
        </is>
      </c>
      <c r="H45" s="6" t="n">
        <v>241</v>
      </c>
      <c r="I45" s="6" t="n">
        <v>20</v>
      </c>
    </row>
    <row r="46">
      <c r="A46" s="11" t="inlineStr">
        <is>
          <t>MA2210</t>
        </is>
      </c>
      <c r="B46" s="11" t="inlineStr">
        <is>
          <t>2022-10</t>
        </is>
      </c>
      <c r="C46" s="11" t="inlineStr">
        <is>
          <t>2021-10-22</t>
        </is>
      </c>
      <c r="D46" s="11" t="inlineStr">
        <is>
          <t>2022-10-19</t>
        </is>
      </c>
      <c r="E46" s="11" t="n">
        <v>6</v>
      </c>
      <c r="F46" s="11" t="n"/>
      <c r="G46" s="11" t="inlineStr">
        <is>
          <t>交割月K线不足</t>
        </is>
      </c>
      <c r="H46" s="11" t="n">
        <v>239</v>
      </c>
      <c r="I46" s="11" t="n">
        <v>36</v>
      </c>
    </row>
    <row r="47">
      <c r="A47" s="6" t="inlineStr">
        <is>
          <t>MA2211</t>
        </is>
      </c>
      <c r="B47" s="6" t="inlineStr">
        <is>
          <t>2022-11</t>
        </is>
      </c>
      <c r="C47" s="6" t="inlineStr">
        <is>
          <t>2021-11-15</t>
        </is>
      </c>
      <c r="D47" s="6" t="inlineStr">
        <is>
          <t>2022-11-14</t>
        </is>
      </c>
      <c r="E47" s="6" t="n">
        <v>10</v>
      </c>
      <c r="F47" s="6" t="inlineStr">
        <is>
          <t>2022-11-14</t>
        </is>
      </c>
      <c r="G47" s="6" t="inlineStr">
        <is>
          <t>一致</t>
        </is>
      </c>
      <c r="H47" s="6" t="n">
        <v>239</v>
      </c>
      <c r="I47" s="6" t="n">
        <v>56</v>
      </c>
    </row>
    <row r="48">
      <c r="A48" s="11" t="inlineStr">
        <is>
          <t>MA2212</t>
        </is>
      </c>
      <c r="B48" s="11" t="inlineStr">
        <is>
          <t>2022-12</t>
        </is>
      </c>
      <c r="C48" s="11" t="inlineStr">
        <is>
          <t>2021-12-15</t>
        </is>
      </c>
      <c r="D48" s="11" t="inlineStr">
        <is>
          <t>2022-12-14</t>
        </is>
      </c>
      <c r="E48" s="11" t="n">
        <v>10</v>
      </c>
      <c r="F48" s="11" t="inlineStr">
        <is>
          <t>2022-12-14</t>
        </is>
      </c>
      <c r="G48" s="11" t="inlineStr">
        <is>
          <t>一致</t>
        </is>
      </c>
      <c r="H48" s="11" t="n">
        <v>239</v>
      </c>
      <c r="I48" s="11" t="n">
        <v>78</v>
      </c>
    </row>
    <row r="49">
      <c r="A49" s="6" t="inlineStr">
        <is>
          <t>MA2301</t>
        </is>
      </c>
      <c r="B49" s="6" t="inlineStr">
        <is>
          <t>2023-01</t>
        </is>
      </c>
      <c r="C49" s="6" t="inlineStr">
        <is>
          <t>2022-01-18</t>
        </is>
      </c>
      <c r="D49" s="6" t="inlineStr">
        <is>
          <t>2023-01-16</t>
        </is>
      </c>
      <c r="E49" s="6" t="n">
        <v>9</v>
      </c>
      <c r="F49" s="6" t="n"/>
      <c r="G49" s="6" t="inlineStr">
        <is>
          <t>交割月K线不足</t>
        </is>
      </c>
      <c r="H49" s="6" t="n">
        <v>241</v>
      </c>
      <c r="I49" s="6" t="n">
        <v>99</v>
      </c>
    </row>
    <row r="50">
      <c r="A50" s="11" t="inlineStr">
        <is>
          <t>MA2302</t>
        </is>
      </c>
      <c r="B50" s="11" t="inlineStr">
        <is>
          <t>2023-02</t>
        </is>
      </c>
      <c r="C50" s="11" t="inlineStr">
        <is>
          <t>2022-02-22</t>
        </is>
      </c>
      <c r="D50" s="11" t="inlineStr">
        <is>
          <t>2023-02-13</t>
        </is>
      </c>
      <c r="E50" s="11" t="n">
        <v>5</v>
      </c>
      <c r="F50" s="11" t="n"/>
      <c r="G50" s="11" t="inlineStr">
        <is>
          <t>交割月K线不足</t>
        </is>
      </c>
      <c r="H50" s="11" t="n">
        <v>233</v>
      </c>
      <c r="I50" s="11" t="n">
        <v>111</v>
      </c>
    </row>
    <row r="51">
      <c r="A51" s="6" t="inlineStr">
        <is>
          <t>MA2303</t>
        </is>
      </c>
      <c r="B51" s="6" t="inlineStr">
        <is>
          <t>2023-03</t>
        </is>
      </c>
      <c r="C51" s="6" t="inlineStr">
        <is>
          <t>2022-03-17</t>
        </is>
      </c>
      <c r="D51" s="6" t="inlineStr">
        <is>
          <t>2023-03-09</t>
        </is>
      </c>
      <c r="E51" s="6" t="n">
        <v>5</v>
      </c>
      <c r="F51" s="6" t="n"/>
      <c r="G51" s="6" t="inlineStr">
        <is>
          <t>交割月K线不足</t>
        </is>
      </c>
      <c r="H51" s="6" t="n">
        <v>234</v>
      </c>
      <c r="I51" s="6" t="n">
        <v>131</v>
      </c>
    </row>
    <row r="52">
      <c r="A52" s="11" t="inlineStr">
        <is>
          <t>MA2304</t>
        </is>
      </c>
      <c r="B52" s="11" t="inlineStr">
        <is>
          <t>2023-04</t>
        </is>
      </c>
      <c r="C52" s="11" t="inlineStr">
        <is>
          <t>2022-04-19</t>
        </is>
      </c>
      <c r="D52" s="11" t="inlineStr">
        <is>
          <t>2023-04-14</t>
        </is>
      </c>
      <c r="E52" s="11" t="n">
        <v>4</v>
      </c>
      <c r="F52" s="11" t="n"/>
      <c r="G52" s="11" t="inlineStr">
        <is>
          <t>交割月K线不足</t>
        </is>
      </c>
      <c r="H52" s="11" t="n">
        <v>237</v>
      </c>
      <c r="I52" s="11" t="n">
        <v>153</v>
      </c>
    </row>
    <row r="53">
      <c r="A53" s="6" t="inlineStr">
        <is>
          <t>MA2305</t>
        </is>
      </c>
      <c r="B53" s="6" t="inlineStr">
        <is>
          <t>2023-05</t>
        </is>
      </c>
      <c r="C53" s="6" t="inlineStr">
        <is>
          <t>2022-05-19</t>
        </is>
      </c>
      <c r="D53" s="6" t="inlineStr">
        <is>
          <t>2023-05-17</t>
        </is>
      </c>
      <c r="E53" s="6" t="n">
        <v>10</v>
      </c>
      <c r="F53" s="6" t="inlineStr">
        <is>
          <t>2023-05-17</t>
        </is>
      </c>
      <c r="G53" s="6" t="inlineStr">
        <is>
          <t>一致</t>
        </is>
      </c>
      <c r="H53" s="6" t="n">
        <v>243</v>
      </c>
      <c r="I53" s="6" t="n">
        <v>177</v>
      </c>
    </row>
    <row r="54">
      <c r="A54" s="11" t="inlineStr">
        <is>
          <t>MA2306</t>
        </is>
      </c>
      <c r="B54" s="11" t="inlineStr">
        <is>
          <t>2023-06</t>
        </is>
      </c>
      <c r="C54" s="11" t="inlineStr">
        <is>
          <t>2022-06-17</t>
        </is>
      </c>
      <c r="D54" s="11" t="inlineStr">
        <is>
          <t>2023-06-12</t>
        </is>
      </c>
      <c r="E54" s="11" t="n">
        <v>5</v>
      </c>
      <c r="F54" s="11" t="n"/>
      <c r="G54" s="11" t="inlineStr">
        <is>
          <t>交割月K线不足</t>
        </is>
      </c>
      <c r="H54" s="11" t="n">
        <v>235</v>
      </c>
      <c r="I54" s="11" t="n">
        <v>192</v>
      </c>
    </row>
    <row r="55">
      <c r="A55" s="6" t="inlineStr">
        <is>
          <t>MA2307</t>
        </is>
      </c>
      <c r="B55" s="6" t="inlineStr">
        <is>
          <t>2023-07</t>
        </is>
      </c>
      <c r="C55" s="6" t="inlineStr">
        <is>
          <t>2022-07-18</t>
        </is>
      </c>
      <c r="D55" s="6" t="inlineStr">
        <is>
          <t>2023-07-11</t>
        </is>
      </c>
      <c r="E55" s="6" t="n">
        <v>6</v>
      </c>
      <c r="F55" s="6" t="n"/>
      <c r="G55" s="6" t="inlineStr">
        <is>
          <t>交割月K线不足</t>
        </is>
      </c>
      <c r="H55" s="6" t="n">
        <v>238</v>
      </c>
      <c r="I55" s="6" t="n">
        <v>213</v>
      </c>
    </row>
    <row r="56">
      <c r="A56" s="11" t="inlineStr">
        <is>
          <t>MA2308</t>
        </is>
      </c>
      <c r="B56" s="11" t="inlineStr">
        <is>
          <t>2023-08</t>
        </is>
      </c>
      <c r="C56" s="11" t="inlineStr">
        <is>
          <t>2022-08-16</t>
        </is>
      </c>
      <c r="D56" s="11" t="inlineStr">
        <is>
          <t>2023-08-14</t>
        </is>
      </c>
      <c r="E56" s="11" t="n">
        <v>6</v>
      </c>
      <c r="F56" s="11" t="n"/>
      <c r="G56" s="11" t="inlineStr">
        <is>
          <t>交割月K线不足</t>
        </is>
      </c>
      <c r="H56" s="11" t="n">
        <v>238</v>
      </c>
      <c r="I56" s="11" t="n">
        <v>234</v>
      </c>
    </row>
    <row r="57">
      <c r="A57" s="6" t="inlineStr">
        <is>
          <t>MA2309</t>
        </is>
      </c>
      <c r="B57" s="6" t="inlineStr">
        <is>
          <t>2023-09</t>
        </is>
      </c>
      <c r="C57" s="6" t="inlineStr">
        <is>
          <t>2022-09-16</t>
        </is>
      </c>
      <c r="D57" s="6" t="inlineStr">
        <is>
          <t>2023-09-14</t>
        </is>
      </c>
      <c r="E57" s="6" t="n">
        <v>10</v>
      </c>
      <c r="F57" s="6" t="inlineStr">
        <is>
          <t>2023-09-14</t>
        </is>
      </c>
      <c r="G57" s="6" t="inlineStr">
        <is>
          <t>一致</t>
        </is>
      </c>
      <c r="H57" s="6" t="n">
        <v>243</v>
      </c>
      <c r="I57" s="6" t="n">
        <v>241</v>
      </c>
    </row>
    <row r="58">
      <c r="A58" s="11" t="inlineStr">
        <is>
          <t>MA2310</t>
        </is>
      </c>
      <c r="B58" s="11" t="inlineStr">
        <is>
          <t>2023-10</t>
        </is>
      </c>
      <c r="C58" s="11" t="inlineStr">
        <is>
          <t>2022-10-24</t>
        </is>
      </c>
      <c r="D58" s="11" t="inlineStr">
        <is>
          <t>2023-10-20</t>
        </is>
      </c>
      <c r="E58" s="11" t="n">
        <v>9</v>
      </c>
      <c r="F58" s="11" t="n"/>
      <c r="G58" s="11" t="inlineStr">
        <is>
          <t>交割月K线不足</t>
        </is>
      </c>
      <c r="H58" s="11" t="n">
        <v>241</v>
      </c>
      <c r="I58" s="11" t="n">
        <v>240</v>
      </c>
    </row>
    <row r="59">
      <c r="A59" s="6" t="inlineStr">
        <is>
          <t>MA2311</t>
        </is>
      </c>
      <c r="B59" s="6" t="inlineStr">
        <is>
          <t>2023-11</t>
        </is>
      </c>
      <c r="C59" s="6" t="inlineStr">
        <is>
          <t>2022-11-15</t>
        </is>
      </c>
      <c r="D59" s="6" t="inlineStr">
        <is>
          <t>2023-11-14</t>
        </is>
      </c>
      <c r="E59" s="6" t="n">
        <v>8</v>
      </c>
      <c r="F59" s="6" t="n"/>
      <c r="G59" s="6" t="inlineStr">
        <is>
          <t>交割月K线不足</t>
        </is>
      </c>
      <c r="H59" s="6" t="n">
        <v>240</v>
      </c>
      <c r="I59" s="6" t="n">
        <v>239</v>
      </c>
    </row>
    <row r="60">
      <c r="A60" s="11" t="inlineStr">
        <is>
          <t>MA2312</t>
        </is>
      </c>
      <c r="B60" s="11" t="inlineStr">
        <is>
          <t>2023-12</t>
        </is>
      </c>
      <c r="C60" s="11" t="inlineStr">
        <is>
          <t>2022-12-16</t>
        </is>
      </c>
      <c r="D60" s="11" t="inlineStr">
        <is>
          <t>2023-12-05</t>
        </is>
      </c>
      <c r="E60" s="11" t="n">
        <v>2</v>
      </c>
      <c r="F60" s="11" t="n"/>
      <c r="G60" s="11" t="inlineStr">
        <is>
          <t>交割月K线不足</t>
        </is>
      </c>
      <c r="H60" s="11" t="n">
        <v>234</v>
      </c>
      <c r="I60" s="11" t="n">
        <v>233</v>
      </c>
    </row>
    <row r="61">
      <c r="A61" s="6" t="inlineStr">
        <is>
          <t>MA2401</t>
        </is>
      </c>
      <c r="B61" s="6" t="inlineStr">
        <is>
          <t>2024-01</t>
        </is>
      </c>
      <c r="C61" s="6" t="inlineStr">
        <is>
          <t>2023-01-17</t>
        </is>
      </c>
      <c r="D61" s="6" t="inlineStr">
        <is>
          <t>2024-01-15</t>
        </is>
      </c>
      <c r="E61" s="6" t="n">
        <v>9</v>
      </c>
      <c r="F61" s="6" t="n"/>
      <c r="G61" s="6" t="inlineStr">
        <is>
          <t>交割月K线不足</t>
        </is>
      </c>
      <c r="H61" s="6" t="n">
        <v>241</v>
      </c>
      <c r="I61" s="6" t="n">
        <v>240</v>
      </c>
    </row>
    <row r="62">
      <c r="A62" s="11" t="inlineStr">
        <is>
          <t>MA2402</t>
        </is>
      </c>
      <c r="B62" s="11" t="inlineStr">
        <is>
          <t>2024-02</t>
        </is>
      </c>
      <c r="C62" s="11" t="inlineStr">
        <is>
          <t>2023-02-15</t>
        </is>
      </c>
      <c r="D62" s="11" t="inlineStr">
        <is>
          <t>2024-02-22</t>
        </is>
      </c>
      <c r="E62" s="11" t="n">
        <v>8</v>
      </c>
      <c r="F62" s="11" t="n"/>
      <c r="G62" s="11" t="inlineStr">
        <is>
          <t>交割月K线不足</t>
        </is>
      </c>
      <c r="H62" s="11" t="n">
        <v>245</v>
      </c>
      <c r="I62" s="11" t="n">
        <v>244</v>
      </c>
    </row>
    <row r="63">
      <c r="A63" s="6" t="inlineStr">
        <is>
          <t>MA2403</t>
        </is>
      </c>
      <c r="B63" s="6" t="inlineStr">
        <is>
          <t>2024-03</t>
        </is>
      </c>
      <c r="C63" s="6" t="inlineStr">
        <is>
          <t>2023-03-15</t>
        </is>
      </c>
      <c r="D63" s="6" t="inlineStr">
        <is>
          <t>2024-03-07</t>
        </is>
      </c>
      <c r="E63" s="6" t="n">
        <v>5</v>
      </c>
      <c r="F63" s="6" t="n"/>
      <c r="G63" s="6" t="inlineStr">
        <is>
          <t>交割月K线不足</t>
        </is>
      </c>
      <c r="H63" s="6" t="n">
        <v>238</v>
      </c>
      <c r="I63" s="6" t="n">
        <v>237</v>
      </c>
    </row>
    <row r="64">
      <c r="A64" s="11" t="inlineStr">
        <is>
          <t>MA2404</t>
        </is>
      </c>
      <c r="B64" s="11" t="inlineStr">
        <is>
          <t>2024-04</t>
        </is>
      </c>
      <c r="C64" s="11" t="inlineStr">
        <is>
          <t>2023-04-19</t>
        </is>
      </c>
      <c r="D64" s="11" t="inlineStr">
        <is>
          <t>2024-04-01</t>
        </is>
      </c>
      <c r="E64" s="11" t="n">
        <v>1</v>
      </c>
      <c r="F64" s="11" t="n"/>
      <c r="G64" s="11" t="inlineStr">
        <is>
          <t>交割月K线不足</t>
        </is>
      </c>
      <c r="H64" s="11" t="n">
        <v>231</v>
      </c>
      <c r="I64" s="11" t="n">
        <v>230</v>
      </c>
    </row>
    <row r="65">
      <c r="A65" s="6" t="inlineStr">
        <is>
          <t>MA2405</t>
        </is>
      </c>
      <c r="B65" s="6" t="inlineStr">
        <is>
          <t>2024-05</t>
        </is>
      </c>
      <c r="C65" s="6" t="inlineStr">
        <is>
          <t>2023-05-18</t>
        </is>
      </c>
      <c r="D65" s="6" t="inlineStr">
        <is>
          <t>2024-05-16</t>
        </is>
      </c>
      <c r="E65" s="6" t="n">
        <v>8</v>
      </c>
      <c r="F65" s="6" t="n"/>
      <c r="G65" s="6" t="inlineStr">
        <is>
          <t>交割月K线不足</t>
        </is>
      </c>
      <c r="H65" s="6" t="n">
        <v>240</v>
      </c>
      <c r="I65" s="6" t="n">
        <v>240</v>
      </c>
    </row>
    <row r="66">
      <c r="A66" s="11" t="inlineStr">
        <is>
          <t>MA2406</t>
        </is>
      </c>
      <c r="B66" s="11" t="inlineStr">
        <is>
          <t>2024-06</t>
        </is>
      </c>
      <c r="C66" s="11" t="inlineStr">
        <is>
          <t>2023-06-15</t>
        </is>
      </c>
      <c r="D66" s="11" t="inlineStr">
        <is>
          <t>2024-06-17</t>
        </is>
      </c>
      <c r="E66" s="11" t="n">
        <v>6</v>
      </c>
      <c r="F66" s="11" t="n"/>
      <c r="G66" s="11" t="inlineStr">
        <is>
          <t>交割月K线不足</t>
        </is>
      </c>
      <c r="H66" s="11" t="n">
        <v>238</v>
      </c>
      <c r="I66" s="11" t="n">
        <v>238</v>
      </c>
    </row>
    <row r="67">
      <c r="A67" s="6" t="inlineStr">
        <is>
          <t>MA2407</t>
        </is>
      </c>
      <c r="B67" s="6" t="inlineStr">
        <is>
          <t>2024-07</t>
        </is>
      </c>
      <c r="C67" s="6" t="inlineStr">
        <is>
          <t>2023-07-17</t>
        </is>
      </c>
      <c r="D67" s="6" t="inlineStr">
        <is>
          <t>2024-07-12</t>
        </is>
      </c>
      <c r="E67" s="6" t="n">
        <v>8</v>
      </c>
      <c r="F67" s="6" t="n"/>
      <c r="G67" s="6" t="inlineStr">
        <is>
          <t>交割月K线不足</t>
        </is>
      </c>
      <c r="H67" s="6" t="n">
        <v>239</v>
      </c>
      <c r="I67" s="6" t="n">
        <v>239</v>
      </c>
    </row>
    <row r="68">
      <c r="A68" s="11" t="inlineStr">
        <is>
          <t>MA2408</t>
        </is>
      </c>
      <c r="B68" s="11" t="inlineStr">
        <is>
          <t>2024-08</t>
        </is>
      </c>
      <c r="C68" s="11" t="inlineStr">
        <is>
          <t>2023-08-15</t>
        </is>
      </c>
      <c r="D68" s="11" t="inlineStr">
        <is>
          <t>2024-08-13</t>
        </is>
      </c>
      <c r="E68" s="11" t="n">
        <v>2</v>
      </c>
      <c r="F68" s="11" t="n"/>
      <c r="G68" s="11" t="inlineStr">
        <is>
          <t>交割月K线不足</t>
        </is>
      </c>
      <c r="H68" s="11" t="n">
        <v>235</v>
      </c>
      <c r="I68" s="11" t="n">
        <v>235</v>
      </c>
    </row>
    <row r="69">
      <c r="A69" s="6" t="inlineStr">
        <is>
          <t>MA2409</t>
        </is>
      </c>
      <c r="B69" s="6" t="inlineStr">
        <is>
          <t>2024-09</t>
        </is>
      </c>
      <c r="C69" s="6" t="inlineStr">
        <is>
          <t>2023-09-15</t>
        </is>
      </c>
      <c r="D69" s="6" t="inlineStr">
        <is>
          <t>2024-09-13</t>
        </is>
      </c>
      <c r="E69" s="6" t="n">
        <v>9</v>
      </c>
      <c r="F69" s="6" t="n"/>
      <c r="G69" s="6" t="inlineStr">
        <is>
          <t>交割月K线不足</t>
        </is>
      </c>
      <c r="H69" s="6" t="n">
        <v>241</v>
      </c>
      <c r="I69" s="6" t="n">
        <v>241</v>
      </c>
    </row>
    <row r="70">
      <c r="A70" s="11" t="inlineStr">
        <is>
          <t>MA2410</t>
        </is>
      </c>
      <c r="B70" s="11" t="inlineStr">
        <is>
          <t>2024-10</t>
        </is>
      </c>
      <c r="C70" s="11" t="inlineStr">
        <is>
          <t>2023-10-23</t>
        </is>
      </c>
      <c r="D70" s="11" t="inlineStr">
        <is>
          <t>2024-10-18</t>
        </is>
      </c>
      <c r="E70" s="11" t="n">
        <v>8</v>
      </c>
      <c r="F70" s="11" t="n"/>
      <c r="G70" s="11" t="inlineStr">
        <is>
          <t>交割月K线不足</t>
        </is>
      </c>
      <c r="H70" s="11" t="n">
        <v>239</v>
      </c>
      <c r="I70" s="11" t="n">
        <v>239</v>
      </c>
    </row>
    <row r="71">
      <c r="A71" s="6" t="inlineStr">
        <is>
          <t>MA2411</t>
        </is>
      </c>
      <c r="B71" s="6" t="inlineStr">
        <is>
          <t>2024-11</t>
        </is>
      </c>
      <c r="C71" s="6" t="inlineStr">
        <is>
          <t>2023-11-15</t>
        </is>
      </c>
      <c r="D71" s="6" t="inlineStr">
        <is>
          <t>2024-11-06</t>
        </is>
      </c>
      <c r="E71" s="6" t="n">
        <v>2</v>
      </c>
      <c r="F71" s="6" t="n"/>
      <c r="G71" s="6" t="inlineStr">
        <is>
          <t>交割月K线不足</t>
        </is>
      </c>
      <c r="H71" s="6" t="n">
        <v>234</v>
      </c>
      <c r="I71" s="6" t="n">
        <v>234</v>
      </c>
    </row>
    <row r="72">
      <c r="A72" s="11" t="inlineStr">
        <is>
          <t>MA2412</t>
        </is>
      </c>
      <c r="B72" s="11" t="inlineStr">
        <is>
          <t>2024-12</t>
        </is>
      </c>
      <c r="C72" s="11" t="inlineStr">
        <is>
          <t>2023-12-15</t>
        </is>
      </c>
      <c r="D72" s="11" t="inlineStr">
        <is>
          <t>2024-12-06</t>
        </is>
      </c>
      <c r="E72" s="11" t="n">
        <v>3</v>
      </c>
      <c r="F72" s="11" t="n"/>
      <c r="G72" s="11" t="inlineStr">
        <is>
          <t>交割月K线不足</t>
        </is>
      </c>
      <c r="H72" s="11" t="n">
        <v>234</v>
      </c>
      <c r="I72" s="11" t="n">
        <v>234</v>
      </c>
    </row>
    <row r="73">
      <c r="A73" s="6" t="inlineStr">
        <is>
          <t>MA2501</t>
        </is>
      </c>
      <c r="B73" s="6" t="inlineStr">
        <is>
          <t>2025-01</t>
        </is>
      </c>
      <c r="C73" s="6" t="inlineStr">
        <is>
          <t>2024-01-16</t>
        </is>
      </c>
      <c r="D73" s="6" t="inlineStr">
        <is>
          <t>2025-01-15</t>
        </is>
      </c>
      <c r="E73" s="6" t="n">
        <v>10</v>
      </c>
      <c r="F73" s="6" t="inlineStr">
        <is>
          <t>2025-01-15</t>
        </is>
      </c>
      <c r="G73" s="6" t="inlineStr">
        <is>
          <t>一致</t>
        </is>
      </c>
      <c r="H73" s="6" t="n">
        <v>242</v>
      </c>
      <c r="I73" s="6" t="n">
        <v>242</v>
      </c>
    </row>
    <row r="74">
      <c r="A74" s="11" t="inlineStr">
        <is>
          <t>MA2502</t>
        </is>
      </c>
      <c r="B74" s="11" t="inlineStr">
        <is>
          <t>2025-02</t>
        </is>
      </c>
      <c r="C74" s="11" t="inlineStr">
        <is>
          <t>2024-02-23</t>
        </is>
      </c>
      <c r="D74" s="11" t="inlineStr">
        <is>
          <t>2025-02-17</t>
        </is>
      </c>
      <c r="E74" s="11" t="n">
        <v>9</v>
      </c>
      <c r="F74" s="11" t="n"/>
      <c r="G74" s="11" t="inlineStr">
        <is>
          <t>交割月K线不足</t>
        </is>
      </c>
      <c r="H74" s="11" t="n">
        <v>236</v>
      </c>
      <c r="I74" s="11" t="n">
        <v>236</v>
      </c>
    </row>
    <row r="75">
      <c r="A75" s="6" t="inlineStr">
        <is>
          <t>MA2503</t>
        </is>
      </c>
      <c r="B75" s="6" t="inlineStr">
        <is>
          <t>2025-03</t>
        </is>
      </c>
      <c r="C75" s="6" t="inlineStr">
        <is>
          <t>2024-03-15</t>
        </is>
      </c>
      <c r="D75" s="6" t="inlineStr">
        <is>
          <t>2025-03-12</t>
        </is>
      </c>
      <c r="E75" s="6" t="n">
        <v>8</v>
      </c>
      <c r="F75" s="6" t="n"/>
      <c r="G75" s="6" t="inlineStr">
        <is>
          <t>交割月K线不足</t>
        </is>
      </c>
      <c r="H75" s="6" t="n">
        <v>238</v>
      </c>
      <c r="I75" s="6" t="n">
        <v>238</v>
      </c>
    </row>
    <row r="76">
      <c r="A76" s="11" t="inlineStr">
        <is>
          <t>MA2504</t>
        </is>
      </c>
      <c r="B76" s="11" t="inlineStr">
        <is>
          <t>2025-04</t>
        </is>
      </c>
      <c r="C76" s="11" t="inlineStr">
        <is>
          <t>2024-04-17</t>
        </is>
      </c>
      <c r="D76" s="11" t="inlineStr">
        <is>
          <t>2025-04-15</t>
        </is>
      </c>
      <c r="E76" s="11" t="n">
        <v>8</v>
      </c>
      <c r="F76" s="11" t="n"/>
      <c r="G76" s="11" t="inlineStr">
        <is>
          <t>交割月K线不足</t>
        </is>
      </c>
      <c r="H76" s="11" t="n">
        <v>239</v>
      </c>
      <c r="I76" s="11" t="n">
        <v>238</v>
      </c>
    </row>
    <row r="77">
      <c r="A77" s="6" t="inlineStr">
        <is>
          <t>MA2505</t>
        </is>
      </c>
      <c r="B77" s="6" t="inlineStr">
        <is>
          <t>2025-05</t>
        </is>
      </c>
      <c r="C77" s="6" t="inlineStr">
        <is>
          <t>2024-05-20</t>
        </is>
      </c>
      <c r="D77" s="6" t="inlineStr">
        <is>
          <t>2025-05-19</t>
        </is>
      </c>
      <c r="E77" s="6" t="n">
        <v>9</v>
      </c>
      <c r="F77" s="6" t="n"/>
      <c r="G77" s="6" t="inlineStr">
        <is>
          <t>交割月K线不足</t>
        </is>
      </c>
      <c r="H77" s="6" t="n">
        <v>241</v>
      </c>
      <c r="I77" s="6" t="n">
        <v>240</v>
      </c>
    </row>
    <row r="78">
      <c r="A78" s="11" t="inlineStr">
        <is>
          <t>MA2506</t>
        </is>
      </c>
      <c r="B78" s="11" t="inlineStr">
        <is>
          <t>2025-06</t>
        </is>
      </c>
      <c r="C78" s="11" t="inlineStr">
        <is>
          <t>2024-06-18</t>
        </is>
      </c>
      <c r="D78" s="11" t="inlineStr">
        <is>
          <t>2025-06-11</t>
        </is>
      </c>
      <c r="E78" s="11" t="n">
        <v>7</v>
      </c>
      <c r="F78" s="11" t="n"/>
      <c r="G78" s="11" t="inlineStr">
        <is>
          <t>交割月K线不足</t>
        </is>
      </c>
      <c r="H78" s="11" t="n">
        <v>235</v>
      </c>
      <c r="I78" s="11" t="n">
        <v>233</v>
      </c>
    </row>
    <row r="79">
      <c r="A79" s="6" t="inlineStr">
        <is>
          <t>MA2507</t>
        </is>
      </c>
      <c r="B79" s="6" t="inlineStr">
        <is>
          <t>2025-07</t>
        </is>
      </c>
      <c r="C79" s="6" t="inlineStr">
        <is>
          <t>2024-07-16</t>
        </is>
      </c>
      <c r="D79" s="6" t="inlineStr">
        <is>
          <t>2025-07-14</t>
        </is>
      </c>
      <c r="E79" s="6" t="n">
        <v>7</v>
      </c>
      <c r="F79" s="6" t="n"/>
      <c r="G79" s="6" t="inlineStr">
        <is>
          <t>交割月K线不足</t>
        </is>
      </c>
      <c r="H79" s="6" t="n">
        <v>237</v>
      </c>
      <c r="I79" s="6" t="n">
        <v>235</v>
      </c>
    </row>
    <row r="80">
      <c r="A80" s="11" t="inlineStr">
        <is>
          <t>MA2508</t>
        </is>
      </c>
      <c r="B80" s="11" t="inlineStr">
        <is>
          <t>2025-08</t>
        </is>
      </c>
      <c r="C80" s="11" t="inlineStr">
        <is>
          <t>2024-08-15</t>
        </is>
      </c>
      <c r="D80" s="11" t="inlineStr">
        <is>
          <t>2025-08-05</t>
        </is>
      </c>
      <c r="E80" s="11" t="n">
        <v>1</v>
      </c>
      <c r="F80" s="11" t="n"/>
      <c r="G80" s="11" t="inlineStr">
        <is>
          <t>交割月K线不足</t>
        </is>
      </c>
      <c r="H80" s="11" t="n">
        <v>230</v>
      </c>
      <c r="I80" s="11" t="n">
        <v>228</v>
      </c>
    </row>
    <row r="81">
      <c r="A81" s="6" t="inlineStr">
        <is>
          <t>MA2509</t>
        </is>
      </c>
      <c r="B81" s="6" t="inlineStr">
        <is>
          <t>2025-09</t>
        </is>
      </c>
      <c r="C81" s="6" t="inlineStr">
        <is>
          <t>2024-09-18</t>
        </is>
      </c>
      <c r="D81" s="6" t="inlineStr">
        <is>
          <t>2025-09-12</t>
        </is>
      </c>
      <c r="E81" s="6" t="n">
        <v>10</v>
      </c>
      <c r="F81" s="6" t="inlineStr">
        <is>
          <t>2025-09-12</t>
        </is>
      </c>
      <c r="G81" s="6" t="inlineStr">
        <is>
          <t>一致</t>
        </is>
      </c>
      <c r="H81" s="6" t="n">
        <v>241</v>
      </c>
      <c r="I81" s="6" t="n">
        <v>239</v>
      </c>
    </row>
    <row r="82">
      <c r="A82" s="11" t="inlineStr">
        <is>
          <t>MA2510</t>
        </is>
      </c>
      <c r="B82" s="11" t="inlineStr">
        <is>
          <t>2025-10</t>
        </is>
      </c>
      <c r="C82" s="11" t="inlineStr">
        <is>
          <t>2024-10-23</t>
        </is>
      </c>
      <c r="D82" s="11" t="inlineStr">
        <is>
          <t>2025-10-17</t>
        </is>
      </c>
      <c r="E82" s="11" t="n">
        <v>5</v>
      </c>
      <c r="F82" s="11" t="n"/>
      <c r="G82" s="11" t="inlineStr">
        <is>
          <t>交割月K线不足</t>
        </is>
      </c>
      <c r="H82" s="11" t="n">
        <v>237</v>
      </c>
      <c r="I82" s="11" t="n">
        <v>235</v>
      </c>
    </row>
    <row r="83">
      <c r="A83" s="6" t="inlineStr">
        <is>
          <t>MA2511</t>
        </is>
      </c>
      <c r="B83" s="6" t="inlineStr">
        <is>
          <t>2025-11</t>
        </is>
      </c>
      <c r="C83" s="6" t="inlineStr">
        <is>
          <t>2024-11-15</t>
        </is>
      </c>
      <c r="D83" s="6" t="inlineStr">
        <is>
          <t>2025-11-14</t>
        </is>
      </c>
      <c r="E83" s="6" t="n">
        <v>7</v>
      </c>
      <c r="F83" s="6" t="n"/>
      <c r="G83" s="6" t="inlineStr">
        <is>
          <t>交割月K线不足</t>
        </is>
      </c>
      <c r="H83" s="6" t="n">
        <v>239</v>
      </c>
      <c r="I83" s="6" t="n">
        <v>237</v>
      </c>
    </row>
    <row r="84">
      <c r="A84" s="11" t="inlineStr">
        <is>
          <t>MA2512</t>
        </is>
      </c>
      <c r="B84" s="11" t="inlineStr">
        <is>
          <t>2025-12</t>
        </is>
      </c>
      <c r="C84" s="11" t="inlineStr">
        <is>
          <t>2024-12-17</t>
        </is>
      </c>
      <c r="D84" s="11" t="inlineStr">
        <is>
          <t>2025-12-08</t>
        </is>
      </c>
      <c r="E84" s="11" t="n">
        <v>4</v>
      </c>
      <c r="F84" s="11" t="n"/>
      <c r="G84" s="11" t="inlineStr">
        <is>
          <t>交割月K线不足</t>
        </is>
      </c>
      <c r="H84" s="11" t="n">
        <v>234</v>
      </c>
      <c r="I84" s="11" t="n">
        <v>232</v>
      </c>
    </row>
    <row r="85">
      <c r="A85" s="6" t="inlineStr">
        <is>
          <t>MA2601</t>
        </is>
      </c>
      <c r="B85" s="6" t="inlineStr">
        <is>
          <t>2026-01</t>
        </is>
      </c>
      <c r="C85" s="6" t="inlineStr">
        <is>
          <t>2025-01-16</t>
        </is>
      </c>
      <c r="D85" s="6" t="inlineStr">
        <is>
          <t>2026-01-16</t>
        </is>
      </c>
      <c r="E85" s="6" t="n">
        <v>10</v>
      </c>
      <c r="F85" s="6" t="inlineStr">
        <is>
          <t>2026-01-16</t>
        </is>
      </c>
      <c r="G85" s="6" t="inlineStr">
        <is>
          <t>一致</t>
        </is>
      </c>
      <c r="H85" s="6" t="n">
        <v>243</v>
      </c>
      <c r="I85" s="6" t="n">
        <v>241</v>
      </c>
    </row>
    <row r="86">
      <c r="A86" s="11" t="inlineStr">
        <is>
          <t>MA2602</t>
        </is>
      </c>
      <c r="B86" s="11" t="inlineStr">
        <is>
          <t>2026-02</t>
        </is>
      </c>
      <c r="C86" s="11" t="inlineStr">
        <is>
          <t>2025-02-19</t>
        </is>
      </c>
      <c r="D86" s="11" t="inlineStr">
        <is>
          <t>2026-02-12</t>
        </is>
      </c>
      <c r="E86" s="11" t="n">
        <v>5</v>
      </c>
      <c r="F86" s="11" t="n"/>
      <c r="G86" s="11" t="inlineStr">
        <is>
          <t>交割月K线不足</t>
        </is>
      </c>
      <c r="H86" s="11" t="n">
        <v>238</v>
      </c>
      <c r="I86" s="11" t="n">
        <v>236</v>
      </c>
    </row>
    <row r="87">
      <c r="A87" s="6" t="inlineStr">
        <is>
          <t>MA2603</t>
        </is>
      </c>
      <c r="B87" s="6" t="inlineStr">
        <is>
          <t>2026-03</t>
        </is>
      </c>
      <c r="C87" s="6" t="inlineStr">
        <is>
          <t>2025-03-17</t>
        </is>
      </c>
      <c r="D87" s="6" t="inlineStr">
        <is>
          <t>2026-03-12</t>
        </is>
      </c>
      <c r="E87" s="6" t="n">
        <v>5</v>
      </c>
      <c r="F87" s="6" t="n"/>
      <c r="G87" s="6" t="inlineStr">
        <is>
          <t>交割月K线不足</t>
        </is>
      </c>
      <c r="H87" s="6" t="n">
        <v>235</v>
      </c>
      <c r="I87" s="6" t="n">
        <v>233</v>
      </c>
    </row>
    <row r="88">
      <c r="A88" s="11" t="inlineStr">
        <is>
          <t>MA2604</t>
        </is>
      </c>
      <c r="B88" s="11" t="inlineStr">
        <is>
          <t>2026-04</t>
        </is>
      </c>
      <c r="C88" s="11" t="inlineStr">
        <is>
          <t>2025-04-17</t>
        </is>
      </c>
      <c r="D88" s="11" t="inlineStr">
        <is>
          <t>2026-04-10</t>
        </is>
      </c>
      <c r="E88" s="11" t="n">
        <v>6</v>
      </c>
      <c r="F88" s="11" t="n"/>
      <c r="G88" s="11" t="inlineStr">
        <is>
          <t>交割月K线不足</t>
        </is>
      </c>
      <c r="H88" s="11" t="n">
        <v>229</v>
      </c>
      <c r="I88" s="11" t="n">
        <v>228</v>
      </c>
    </row>
    <row r="89">
      <c r="A89" s="6" t="inlineStr">
        <is>
          <t>MA2605</t>
        </is>
      </c>
      <c r="B89" s="6" t="inlineStr">
        <is>
          <t>2026-05</t>
        </is>
      </c>
      <c r="C89" s="6" t="inlineStr">
        <is>
          <t>2025-05-20</t>
        </is>
      </c>
      <c r="D89" s="6" t="inlineStr">
        <is>
          <t>2026-05-19</t>
        </is>
      </c>
      <c r="E89" s="6" t="n">
        <v>10</v>
      </c>
      <c r="F89" s="6" t="inlineStr">
        <is>
          <t>2026-05-19</t>
        </is>
      </c>
      <c r="G89" s="6" t="inlineStr">
        <is>
          <t>一致</t>
        </is>
      </c>
      <c r="H89" s="6" t="n">
        <v>242</v>
      </c>
      <c r="I89" s="6" t="n">
        <v>241</v>
      </c>
    </row>
    <row r="90">
      <c r="A90" s="11" t="inlineStr">
        <is>
          <t>MA2606</t>
        </is>
      </c>
      <c r="B90" s="11" t="inlineStr">
        <is>
          <t>2026-06</t>
        </is>
      </c>
      <c r="C90" s="11" t="inlineStr">
        <is>
          <t>2025-06-17</t>
        </is>
      </c>
      <c r="D90" s="11" t="inlineStr">
        <is>
          <t>2026-06-11</t>
        </is>
      </c>
      <c r="E90" s="11" t="n">
        <v>8</v>
      </c>
      <c r="F90" s="11" t="n"/>
      <c r="G90" s="11" t="inlineStr">
        <is>
          <t>交割月K线不足</t>
        </is>
      </c>
      <c r="H90" s="11" t="n">
        <v>236</v>
      </c>
      <c r="I90" s="11" t="n">
        <v>236</v>
      </c>
    </row>
    <row r="91">
      <c r="A91" s="6" t="inlineStr">
        <is>
          <t>MA2607</t>
        </is>
      </c>
      <c r="B91" s="6" t="inlineStr">
        <is>
          <t>2026-07</t>
        </is>
      </c>
      <c r="C91" s="6" t="inlineStr">
        <is>
          <t>2025-07-16</t>
        </is>
      </c>
      <c r="D91" s="6" t="inlineStr">
        <is>
          <t>2026-07-10</t>
        </is>
      </c>
      <c r="E91" s="6" t="n">
        <v>8</v>
      </c>
      <c r="F91" s="6" t="n"/>
      <c r="G91" s="6" t="inlineStr">
        <is>
          <t>交割月K线不足</t>
        </is>
      </c>
      <c r="H91" s="6" t="n">
        <v>239</v>
      </c>
      <c r="I91" s="6" t="n">
        <v>239</v>
      </c>
    </row>
    <row r="92">
      <c r="A92" s="11" t="inlineStr">
        <is>
          <t>MA2608</t>
        </is>
      </c>
      <c r="B92" s="11" t="inlineStr">
        <is>
          <t>2026-08</t>
        </is>
      </c>
      <c r="C92" s="11" t="inlineStr">
        <is>
          <t>2025-08-15</t>
        </is>
      </c>
      <c r="D92" s="11" t="inlineStr">
        <is>
          <t>2026-08-14</t>
        </is>
      </c>
      <c r="E92" s="11" t="n">
        <v>7</v>
      </c>
      <c r="F92" s="11" t="n"/>
      <c r="G92" s="11" t="inlineStr">
        <is>
          <t>交割月K线不足</t>
        </is>
      </c>
      <c r="H92" s="11" t="n">
        <v>237</v>
      </c>
      <c r="I92" s="11" t="n">
        <v>237</v>
      </c>
    </row>
    <row r="93">
      <c r="A93" s="6" t="inlineStr">
        <is>
          <t>MA2609</t>
        </is>
      </c>
      <c r="B93" s="6" t="inlineStr">
        <is>
          <t>2026-09</t>
        </is>
      </c>
      <c r="C93" s="6" t="inlineStr">
        <is>
          <t>2025-09-15</t>
        </is>
      </c>
      <c r="D93" s="6" t="inlineStr">
        <is>
          <t>2026-09-11</t>
        </is>
      </c>
      <c r="E93" s="6" t="n">
        <v>8</v>
      </c>
      <c r="F93" s="6" t="n"/>
      <c r="G93" s="6" t="inlineStr">
        <is>
          <t>交割月K线不足</t>
        </is>
      </c>
      <c r="H93" s="6" t="n">
        <v>240</v>
      </c>
      <c r="I93" s="6" t="n">
        <v>240</v>
      </c>
    </row>
    <row r="94">
      <c r="A94" s="11" t="inlineStr">
        <is>
          <t>MA2610</t>
        </is>
      </c>
      <c r="B94" s="11" t="inlineStr">
        <is>
          <t>2026-10</t>
        </is>
      </c>
      <c r="C94" s="11" t="inlineStr">
        <is>
          <t>2025-10-23</t>
        </is>
      </c>
      <c r="D94" s="11" t="inlineStr">
        <is>
          <t>2026-10-19</t>
        </is>
      </c>
      <c r="E94" s="11" t="n">
        <v>7</v>
      </c>
      <c r="F94" s="11" t="n"/>
      <c r="G94" s="11" t="inlineStr">
        <is>
          <t>交割月K线不足</t>
        </is>
      </c>
      <c r="H94" s="11" t="n">
        <v>238</v>
      </c>
      <c r="I94" s="11" t="n">
        <v>238</v>
      </c>
    </row>
    <row r="95">
      <c r="A95" s="6" t="inlineStr">
        <is>
          <t>MA2611</t>
        </is>
      </c>
      <c r="B95" s="6" t="inlineStr">
        <is>
          <t>2026-11</t>
        </is>
      </c>
      <c r="C95" s="6" t="inlineStr">
        <is>
          <t>2025-11-17</t>
        </is>
      </c>
      <c r="D95" s="6" t="inlineStr">
        <is>
          <t>2026-10-20</t>
        </is>
      </c>
      <c r="E95" s="6" t="n">
        <v>0</v>
      </c>
      <c r="F95" s="6" t="n"/>
      <c r="G95" s="6" t="inlineStr">
        <is>
          <t>交割月K线不足</t>
        </is>
      </c>
      <c r="H95" s="6" t="n">
        <v>223</v>
      </c>
      <c r="I95" s="6" t="n">
        <v>223</v>
      </c>
    </row>
    <row r="96">
      <c r="A96" s="11" t="inlineStr">
        <is>
          <t>MA2612</t>
        </is>
      </c>
      <c r="B96" s="11" t="inlineStr">
        <is>
          <t>2026-12</t>
        </is>
      </c>
      <c r="C96" s="11" t="inlineStr">
        <is>
          <t>2025-12-15</t>
        </is>
      </c>
      <c r="D96" s="11" t="inlineStr">
        <is>
          <t>2026-10-20</t>
        </is>
      </c>
      <c r="E96" s="11" t="n">
        <v>0</v>
      </c>
      <c r="F96" s="11" t="n"/>
      <c r="G96" s="11" t="inlineStr">
        <is>
          <t>交割月K线不足</t>
        </is>
      </c>
      <c r="H96" s="11" t="n">
        <v>203</v>
      </c>
      <c r="I96" s="11" t="n">
        <v>203</v>
      </c>
    </row>
    <row r="97">
      <c r="A97" s="6" t="inlineStr">
        <is>
          <t>MA2701</t>
        </is>
      </c>
      <c r="B97" s="6" t="inlineStr">
        <is>
          <t>2027-01</t>
        </is>
      </c>
      <c r="C97" s="6" t="inlineStr">
        <is>
          <t>2026-01-19</t>
        </is>
      </c>
      <c r="D97" s="6" t="inlineStr">
        <is>
          <t>2026-10-20</t>
        </is>
      </c>
      <c r="E97" s="6" t="n">
        <v>0</v>
      </c>
      <c r="F97" s="6" t="n"/>
      <c r="G97" s="6" t="inlineStr">
        <is>
          <t>交割月K线不足</t>
        </is>
      </c>
      <c r="H97" s="6" t="n">
        <v>180</v>
      </c>
      <c r="I97" s="6" t="n">
        <v>180</v>
      </c>
    </row>
    <row r="98">
      <c r="A98" s="11" t="inlineStr">
        <is>
          <t>MA2702</t>
        </is>
      </c>
      <c r="B98" s="11" t="inlineStr">
        <is>
          <t>2027-02</t>
        </is>
      </c>
      <c r="C98" s="11" t="inlineStr">
        <is>
          <t>2026-02-24</t>
        </is>
      </c>
      <c r="D98" s="11" t="inlineStr">
        <is>
          <t>2026-10-20</t>
        </is>
      </c>
      <c r="E98" s="11" t="n">
        <v>0</v>
      </c>
      <c r="F98" s="11" t="n"/>
      <c r="G98" s="11" t="inlineStr">
        <is>
          <t>交割月K线不足</t>
        </is>
      </c>
      <c r="H98" s="11" t="n">
        <v>160</v>
      </c>
      <c r="I98" s="11" t="n">
        <v>160</v>
      </c>
    </row>
    <row r="99">
      <c r="A99" s="6" t="inlineStr">
        <is>
          <t>MA2703</t>
        </is>
      </c>
      <c r="B99" s="6" t="inlineStr">
        <is>
          <t>2027-03</t>
        </is>
      </c>
      <c r="C99" s="6" t="inlineStr">
        <is>
          <t>2026-03-16</t>
        </is>
      </c>
      <c r="D99" s="6" t="inlineStr">
        <is>
          <t>2026-10-20</t>
        </is>
      </c>
      <c r="E99" s="6" t="n">
        <v>0</v>
      </c>
      <c r="F99" s="6" t="n"/>
      <c r="G99" s="6" t="inlineStr">
        <is>
          <t>交割月K线不足</t>
        </is>
      </c>
      <c r="H99" s="6" t="n">
        <v>146</v>
      </c>
      <c r="I99" s="6" t="n">
        <v>146</v>
      </c>
    </row>
    <row r="100">
      <c r="A100" s="11" t="inlineStr">
        <is>
          <t>MA2704</t>
        </is>
      </c>
      <c r="B100" s="11" t="inlineStr">
        <is>
          <t>2027-04</t>
        </is>
      </c>
      <c r="C100" s="11" t="inlineStr">
        <is>
          <t>2026-04-16</t>
        </is>
      </c>
      <c r="D100" s="11" t="inlineStr">
        <is>
          <t>2026-10-20</t>
        </is>
      </c>
      <c r="E100" s="11" t="n">
        <v>0</v>
      </c>
      <c r="F100" s="11" t="n"/>
      <c r="G100" s="11" t="inlineStr">
        <is>
          <t>交割月K线不足</t>
        </is>
      </c>
      <c r="H100" s="11" t="n">
        <v>124</v>
      </c>
      <c r="I100" s="11" t="n">
        <v>124</v>
      </c>
    </row>
    <row r="101">
      <c r="A101" s="6" t="inlineStr">
        <is>
          <t>MA2705</t>
        </is>
      </c>
      <c r="B101" s="6" t="inlineStr">
        <is>
          <t>2027-05</t>
        </is>
      </c>
      <c r="C101" s="6" t="inlineStr">
        <is>
          <t>2026-05-20</t>
        </is>
      </c>
      <c r="D101" s="6" t="inlineStr">
        <is>
          <t>2026-10-20</t>
        </is>
      </c>
      <c r="E101" s="6" t="n">
        <v>0</v>
      </c>
      <c r="F101" s="6" t="n"/>
      <c r="G101" s="6" t="inlineStr">
        <is>
          <t>交割月K线不足</t>
        </is>
      </c>
      <c r="H101" s="6" t="n">
        <v>103</v>
      </c>
      <c r="I101" s="6" t="n">
        <v>103</v>
      </c>
    </row>
    <row r="102">
      <c r="A102" s="11" t="inlineStr">
        <is>
          <t>MA2706</t>
        </is>
      </c>
      <c r="B102" s="11" t="inlineStr">
        <is>
          <t>2027-06</t>
        </is>
      </c>
      <c r="C102" s="11" t="inlineStr">
        <is>
          <t>2026-06-15</t>
        </is>
      </c>
      <c r="D102" s="11" t="inlineStr">
        <is>
          <t>2026-10-20</t>
        </is>
      </c>
      <c r="E102" s="11" t="n">
        <v>0</v>
      </c>
      <c r="F102" s="11" t="n"/>
      <c r="G102" s="11" t="inlineStr">
        <is>
          <t>交割月K线不足</t>
        </is>
      </c>
      <c r="H102" s="11" t="n">
        <v>85</v>
      </c>
      <c r="I102" s="11" t="n">
        <v>85</v>
      </c>
    </row>
    <row r="103">
      <c r="A103" s="6" t="inlineStr">
        <is>
          <t>MA2707</t>
        </is>
      </c>
      <c r="B103" s="6" t="inlineStr">
        <is>
          <t>2027-07</t>
        </is>
      </c>
      <c r="C103" s="6" t="inlineStr">
        <is>
          <t>2026-07-15</t>
        </is>
      </c>
      <c r="D103" s="6" t="inlineStr">
        <is>
          <t>2026-10-20</t>
        </is>
      </c>
      <c r="E103" s="6" t="n">
        <v>0</v>
      </c>
      <c r="F103" s="6" t="n"/>
      <c r="G103" s="6" t="inlineStr">
        <is>
          <t>交割月K线不足</t>
        </is>
      </c>
      <c r="H103" s="6" t="n">
        <v>64</v>
      </c>
      <c r="I103" s="6" t="n">
        <v>64</v>
      </c>
    </row>
    <row r="104">
      <c r="A104" s="11" t="inlineStr">
        <is>
          <t>MA2708</t>
        </is>
      </c>
      <c r="B104" s="11" t="inlineStr">
        <is>
          <t>2027-08</t>
        </is>
      </c>
      <c r="C104" s="11" t="inlineStr">
        <is>
          <t>2026-08-17</t>
        </is>
      </c>
      <c r="D104" s="11" t="inlineStr">
        <is>
          <t>2026-10-20</t>
        </is>
      </c>
      <c r="E104" s="11" t="n">
        <v>0</v>
      </c>
      <c r="F104" s="11" t="n"/>
      <c r="G104" s="11" t="inlineStr">
        <is>
          <t>交割月K线不足</t>
        </is>
      </c>
      <c r="H104" s="11" t="n">
        <v>41</v>
      </c>
      <c r="I104" s="11" t="n">
        <v>41</v>
      </c>
    </row>
    <row r="105">
      <c r="A105" s="6" t="inlineStr">
        <is>
          <t>MA2709</t>
        </is>
      </c>
      <c r="B105" s="6" t="inlineStr">
        <is>
          <t>2027-09</t>
        </is>
      </c>
      <c r="C105" s="6" t="inlineStr">
        <is>
          <t>2026-09-15</t>
        </is>
      </c>
      <c r="D105" s="6" t="inlineStr">
        <is>
          <t>2026-10-20</t>
        </is>
      </c>
      <c r="E105" s="6" t="n">
        <v>0</v>
      </c>
      <c r="F105" s="6" t="n"/>
      <c r="G105" s="6" t="inlineStr">
        <is>
          <t>交割月K线不足</t>
        </is>
      </c>
      <c r="H105" s="6" t="n">
        <v>20</v>
      </c>
      <c r="I105" s="6" t="n">
        <v>20</v>
      </c>
    </row>
  </sheetData>
  <mergeCells count="1"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34" customWidth="1" min="3" max="3"/>
    <col width="70" customWidth="1" min="4" max="4"/>
  </cols>
  <sheetData>
    <row r="1" ht="24" customHeight="1">
      <c r="A1" s="1" t="inlineStr">
        <is>
          <t>11 数据源清单</t>
        </is>
      </c>
    </row>
    <row r="2">
      <c r="A2" s="2" t="inlineStr">
        <is>
          <t>每一条现货价格都可在 100ppi 原文页核对。</t>
        </is>
      </c>
    </row>
    <row r="4" ht="30" customHeight="1">
      <c r="A4" s="3" t="inlineStr">
        <is>
          <t>项目</t>
        </is>
      </c>
      <c r="B4" s="3" t="inlineStr">
        <is>
          <t>来源</t>
        </is>
      </c>
      <c r="C4" s="3" t="inlineStr">
        <is>
          <t>覆盖</t>
        </is>
      </c>
      <c r="D4" s="3" t="inlineStr">
        <is>
          <t>URL / 说明</t>
        </is>
      </c>
    </row>
    <row r="5">
      <c r="A5" s="5" t="inlineStr">
        <is>
          <t>现货价格</t>
        </is>
      </c>
      <c r="B5" s="5" t="inlineStr">
        <is>
          <t>https://me.100ppi.com/news/list--1217-1..60.html</t>
        </is>
      </c>
      <c r="C5" s="5" t="inlineStr">
        <is>
          <t>1083 点 2022-08-17~2026-10-20</t>
        </is>
      </c>
      <c r="D5" s="5" t="inlineStr">
        <is>
          <t>生意社甲醇基准价（全国交易指导价，含税，元/吨）</t>
        </is>
      </c>
    </row>
    <row r="6">
      <c r="A6" s="5" t="inlineStr">
        <is>
          <t>期货价格</t>
        </is>
      </c>
      <c r="B6" s="5" t="inlineStr">
        <is>
          <t>https://stock.finance.sina.com.cn/futures/api/jsonp.php/.../getDailyKLine</t>
        </is>
      </c>
      <c r="C6" s="5" t="inlineStr">
        <is>
          <t>101 个合约</t>
        </is>
      </c>
      <c r="D6" s="5" t="inlineStr">
        <is>
          <t>d,o,h,l,c,v,p(持仓量),s(结算价)</t>
        </is>
      </c>
    </row>
    <row r="7">
      <c r="A7" s="5" t="inlineStr">
        <is>
          <t>口径核验</t>
        </is>
      </c>
      <c r="B7" s="5" t="inlineStr">
        <is>
          <t>https://www.100ppi.com/graph/future.php?f=futures_date&amp;ppid=817</t>
        </is>
      </c>
      <c r="C7" s="5" t="inlineStr">
        <is>
          <t>4505 点</t>
        </is>
      </c>
      <c r="D7" s="5" t="inlineStr">
        <is>
          <t>主力基差率 = (现货-主力期货)/现货；只用于核验重建口径</t>
        </is>
      </c>
    </row>
    <row r="8">
      <c r="A8" s="5" t="inlineStr">
        <is>
          <t>抓取时间</t>
        </is>
      </c>
      <c r="B8" s="5" t="inlineStr">
        <is>
          <t>2026-10-20 18:33:41</t>
        </is>
      </c>
      <c r="C8" s="5" t="inlineStr"/>
      <c r="D8" s="5" t="inlineStr"/>
    </row>
  </sheetData>
  <mergeCells count="1"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 ht="24" customHeight="1">
      <c r="A1" s="1" t="inlineStr">
        <is>
          <t>12 核心结论（历史统计，非预测，不含交易建议）</t>
        </is>
      </c>
    </row>
    <row r="2">
      <c r="A2" s="2" t="inlineStr">
        <is>
          <t>所有数字可在 04/05 表中复核。</t>
        </is>
      </c>
    </row>
    <row r="4" ht="34" customHeight="1">
      <c r="A4" s="25" t="inlineStr">
        <is>
          <t>最新状态</t>
        </is>
      </c>
      <c r="B4" s="5" t="inlineStr">
        <is>
          <t>2026-10-20 合约 MA2701，基差 +809.7 元/吨，基差率 +20.41%，滚动分位 94.4%（高分位）。</t>
        </is>
      </c>
    </row>
    <row r="5" ht="34" customHeight="1">
      <c r="A5" s="25" t="inlineStr">
        <is>
          <t>1周 分组均值</t>
        </is>
      </c>
      <c r="B5" s="5" t="inlineStr">
        <is>
          <t>低分位 +1.56%｜中间 +0.20%｜高分位 -1.33%</t>
        </is>
      </c>
    </row>
    <row r="6" ht="34" customHeight="1">
      <c r="A6" s="25" t="inlineStr">
        <is>
          <t>4周 分组均值</t>
        </is>
      </c>
      <c r="B6" s="5" t="inlineStr">
        <is>
          <t>低分位 +2.93%｜中间 +1.18%｜高分位 -3.54%</t>
        </is>
      </c>
    </row>
    <row r="7" ht="34" customHeight="1">
      <c r="A7" s="25" t="inlineStr">
        <is>
          <t>1周 低−高</t>
        </is>
      </c>
      <c r="B7" s="5" t="inlineStr">
        <is>
          <t>+2.89%，95%区间 [+1.25%, +4.57%]，块自助 p=0.0007</t>
        </is>
      </c>
    </row>
    <row r="8" ht="34" customHeight="1">
      <c r="A8" s="25" t="inlineStr">
        <is>
          <t>4周 低−高</t>
        </is>
      </c>
      <c r="B8" s="5" t="inlineStr">
        <is>
          <t>+6.47%，95%区间 [+3.78%, +9.01%]，块自助 p=0.0000</t>
        </is>
      </c>
    </row>
    <row r="9" ht="34" customHeight="1">
      <c r="A9" s="25" t="inlineStr">
        <is>
          <t>价格风险分解（4周）</t>
        </is>
      </c>
      <c r="B9" s="5" t="inlineStr">
        <is>
          <t>现货端贡献 +7.72%（p=0.0001）；期货端仅 +1.25%（p=0.4429） → 基差回归主要发生在现货端。</t>
        </is>
      </c>
    </row>
    <row r="10" ht="34" customHeight="1">
      <c r="A10" s="25" t="inlineStr">
        <is>
          <t>非重叠复核（4周）</t>
        </is>
      </c>
      <c r="B10" s="5" t="inlineStr">
        <is>
          <t>5日 +2.72%、10日 +4.30%、20日 +7.19%</t>
        </is>
      </c>
    </row>
    <row r="11" ht="34" customHeight="1">
      <c r="A11" s="25" t="inlineStr">
        <is>
          <t>口径核验</t>
        </is>
      </c>
      <c r="B11" s="5" t="inlineStr">
        <is>
          <t>与 100ppi 公布主力基差率重合 1002 日，±0.5pp 一致率 39.3%，隐含水平差中位 +0.0 元/吨。</t>
        </is>
      </c>
    </row>
    <row r="12" ht="34" customHeight="1">
      <c r="A12" s="25" t="inlineStr">
        <is>
          <t>必须同时读的保留意见</t>
        </is>
      </c>
      <c r="B12" s="5" t="inlineStr">
        <is>
          <t>① 现货为全国基准价，非华东实盘；② 主力连续换月日有伪跳变；③ 样本仅约 4 年，跨年一致性弱；④ 未扣交易成本，不能据此判断可交易性。</t>
        </is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2026-10-20T11:36:15Z</dcterms:created>
  <dcterms:modified xmlns:dcterms="http://purl.org/dc/terms/" xmlns:xsi="http://www.w3.org/2001/XMLSchema-instance" xsi:type="dcterms:W3CDTF">2026-10-20T11:36:21Z</dcterms:modified>
</cp:coreProperties>
</file>
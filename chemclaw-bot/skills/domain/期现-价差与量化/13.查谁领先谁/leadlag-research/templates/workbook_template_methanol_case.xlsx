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说明" sheetId="1" r:id="rId1"/>
    <sheet name="01_指标A_库存原始" sheetId="2" r:id="rId2"/>
    <sheet name="02_指标B_期货原始" sheetId="3" r:id="rId3"/>
    <sheet name="03_发布日期与可得时点" sheetId="4" r:id="rId4"/>
    <sheet name="04_研究样本" sheetId="5" r:id="rId5"/>
    <sheet name="05_Lag+2" sheetId="6" r:id="rId6"/>
    <sheet name="05_Lag0" sheetId="7" r:id="rId7"/>
    <sheet name="05_Lag-2" sheetId="8" r:id="rId8"/>
    <sheet name="06_Lag扫描结果" sheetId="9" r:id="rId9"/>
    <sheet name="07_分段与逐年" sheetId="10" r:id="rId10"/>
    <sheet name="08_滚动相关" sheetId="11" r:id="rId11"/>
    <sheet name="09_回归与稳健性" sheetId="12" r:id="rId12"/>
    <sheet name="10_公式与口径" sheetId="13" r:id="rId13"/>
  </sheets>
  <definedNames>
    <definedName name="_xlnm._FilterDatabase" localSheetId="1" hidden="1">'01_指标A_库存原始'!$A$1:$K$102</definedName>
    <definedName name="_xlnm._FilterDatabase" localSheetId="4" hidden="1">'04_研究样本'!$A$1:$K$102</definedName>
  </definedNames>
  <calcPr calcId="124519" fullCalcOnLoad="1"/>
</workbook>
</file>

<file path=xl/sharedStrings.xml><?xml version="1.0" encoding="utf-8"?>
<sst xmlns="http://schemas.openxmlformats.org/spreadsheetml/2006/main" count="3605" uniqueCount="1421">
  <si>
    <t>甲醇港口库存周度变化 与 甲醇期货周度收益率：领先滞后关系研究</t>
  </si>
  <si>
    <t>数据工作簿 · 指标原始数据 / 发布日期 / Lag 对齐 / 相关系数与样本量 / 逐年检验 / 计算公式</t>
  </si>
  <si>
    <t>研究设定</t>
  </si>
  <si>
    <t>指标 A</t>
  </si>
  <si>
    <t>甲醇港口库存周度变化 ΔI（万吨）</t>
  </si>
  <si>
    <t>指标 B</t>
  </si>
  <si>
    <t>甲醇期货（MA主连）披露日周度收益率 r（%）</t>
  </si>
  <si>
    <t>样本区间</t>
  </si>
  <si>
    <t>2024-10-23 至 2026-10-14，共 101 个周度观测（无缺失周）</t>
  </si>
  <si>
    <t>Lag 窗口</t>
  </si>
  <si>
    <t>±12 周，共 25 个 Lag 全部报告</t>
  </si>
  <si>
    <t>Lag 符号</t>
  </si>
  <si>
    <t>Lag=+k：A（库存变化）领先 B（期货收益）k 周；Lag=−k：B 领先 A k 周</t>
  </si>
  <si>
    <t>对齐基准</t>
  </si>
  <si>
    <t>以库存真实发布日期（精确到分钟）为锚；披露前价格=统计日 11:30 定格收盘，披露后价格=当日 15:00 收盘</t>
  </si>
  <si>
    <t>主设定变换</t>
  </si>
  <si>
    <t>A = ΔI（库存差分，万吨）；B = ln(P_披露日/P_前日) × 100（披露日对数收益，%）</t>
  </si>
  <si>
    <t>结论</t>
  </si>
  <si>
    <t>在 ±12 周窗口内，港口库存变化与随后期货收益之间不存在经得起多重检验的领先关系</t>
  </si>
  <si>
    <t>详细结论</t>
  </si>
  <si>
    <t>25 个 Lag 的线性相关中，未经校正的最小 p 值为 0.024（Lag = −6 周），但经 Benjamini-Hochberg 校正后 q = 0.609、Bonferroni 校正后 q = 1.000；Newey-West 稳健 t 值在全部 Lag 上均不显著。分年度、分阶段、分变换得到的“最优 Lag”在 −12 到 +12 之间漂移，且每个分段的样本量都不足 30 期。结论：现有证据不支持“港口库存领先期货价格”或反之的稳定统计关系。</t>
  </si>
  <si>
    <t>工作表导航</t>
  </si>
  <si>
    <t>01_指标A_库存原始</t>
  </si>
  <si>
    <t>隆众资讯 101 期港口库存原始记录（含文章标题、正文摘要、原文链接）</t>
  </si>
  <si>
    <t>02_指标B_期货原始</t>
  </si>
  <si>
    <t>郑商所 MA 主连日线（研究样本区间内逐日）</t>
  </si>
  <si>
    <t>03_发布日期与可得时点</t>
  </si>
  <si>
    <t>每期统计日、实际发布时间、可得性判断（逐条校验统计日=发布日）</t>
  </si>
  <si>
    <t>04_研究样本</t>
  </si>
  <si>
    <t>统一频率后的研究样本：库存、ΔI、价格锚点、收益率（含 Excel 公式）</t>
  </si>
  <si>
    <t>05_Lag对齐明细</t>
  </si>
  <si>
    <t>选定 Lag 下的逐期配对明细（含库存领先与期货领先两个方向）</t>
  </si>
  <si>
    <t>06_Lag扫描结果</t>
  </si>
  <si>
    <t>25 个 Lag 的 r、n、CI、p、NW t、FDR q、Bonferroni 校正</t>
  </si>
  <si>
    <t>07_分段与逐年</t>
  </si>
  <si>
    <t>分年度 / 分市场阶段 / 分半年的完整 Lag 扫描</t>
  </si>
  <si>
    <t>08_滚动相关</t>
  </si>
  <si>
    <t>26 周滚动相关系数时间序列</t>
  </si>
  <si>
    <t>09_回归与稳健性</t>
  </si>
  <si>
    <t>变换稳健性、伪造时点安慰剂、预测回归</t>
  </si>
  <si>
    <t>10_公式与口径</t>
  </si>
  <si>
    <t>全部计算公式、检验方法与出处</t>
  </si>
  <si>
    <t>本工作簿为统计研究材料，不构成投资建议。统计相关不等于因果关系或可交易预测能力。</t>
  </si>
  <si>
    <t>序号</t>
  </si>
  <si>
    <t>统计日（截至）</t>
  </si>
  <si>
    <t>发布时间</t>
  </si>
  <si>
    <t>港口库存总量(万吨)</t>
  </si>
  <si>
    <t>较上期变化(万吨)</t>
  </si>
  <si>
    <t>环比(%)</t>
  </si>
  <si>
    <t>华东变化(万吨)</t>
  </si>
  <si>
    <t>华南变化(万吨)</t>
  </si>
  <si>
    <t>文档标题</t>
  </si>
  <si>
    <t>正文摘要</t>
  </si>
  <si>
    <t>原文链接</t>
  </si>
  <si>
    <t>2024-10-23</t>
  </si>
  <si>
    <t>2024-10-23 14:06</t>
  </si>
  <si>
    <t>[港口库存]：中国甲醇样本港口库存周数据统计(20241023）</t>
  </si>
  <si>
    <t>截至2024年10月23日，中国甲醇港口库存总量在110.87万吨，较上一期数据增加0.63万吨。其中，华东地区窄幅累库，库存增加1.03万吨；华南地区微库，库存减少0.4万吨。港口甲醇总库存趋势图数</t>
  </si>
  <si>
    <t>隆众原文</t>
  </si>
  <si>
    <t>2024-10-30</t>
  </si>
  <si>
    <t>2024-10-30 14:05</t>
  </si>
  <si>
    <t>[港口库存]：中国甲醇样本港口库存周数据统计(20241030）</t>
  </si>
  <si>
    <t>截至2024年10月30日，中国甲醇港口库存总量在118.78万吨，较上一期数据增加7.91万吨。其中，华东地区累库，库存增加6.97万吨；华南地区累库，库存增加0.94万吨。港口甲醇总库存趋势图数据</t>
  </si>
  <si>
    <t>2024-11-06</t>
  </si>
  <si>
    <t>2024-11-06 14:00</t>
  </si>
  <si>
    <t>[港口库存]：中国甲醇样本港口库存周数据统计(20241106）</t>
  </si>
  <si>
    <t>截至2024年11月6日，中国甲醇港口库存总量在120.64万吨，较上一期数据增加1.86万吨。其中，华东地区窄幅去库，库存减少0.35万吨；华南地区累库，库存增加2.21万吨。港口甲醇总库存趋势图数</t>
  </si>
  <si>
    <t>2024-11-13</t>
  </si>
  <si>
    <t>2024-11-13 14:01</t>
  </si>
  <si>
    <t>[港口库存]：中国甲醇样本港口库存周数据统计(20241113）</t>
  </si>
  <si>
    <t>截至2024年11月13日，中国甲醇港口库存总量在125.28万吨，较上一期数据增加4.64万吨。其中，华东地区累库，库存增加6.6万吨；华南地区去库，库存减少1.96万吨。港口甲醇总库存趋势图数据来</t>
  </si>
  <si>
    <t>2024-11-20</t>
  </si>
  <si>
    <t>2024-11-20 14:00</t>
  </si>
  <si>
    <t>[港口库存]：中国甲醇样本港口库存周数据统计(20241120）</t>
  </si>
  <si>
    <t>截至2024年11月20日，中国甲醇港口库存总量在127.57万吨，较上一期数据增加2.29万吨。其中，华东地区累库，库存增加3.21万吨；华南地区去库，库存减少0.92万吨。港口甲醇总库存趋势图数据</t>
  </si>
  <si>
    <t>2024-11-27</t>
  </si>
  <si>
    <t>2024-11-27 14:02</t>
  </si>
  <si>
    <t>[港口库存]：中国甲醇样本港口库存周数据统计(20241127）</t>
  </si>
  <si>
    <t>截至2024年11月27日，中国甲醇港口库存总量在117.7万吨，较上一期数据下降9.87万吨。其中，华东地区去库，库存减少10.11万吨；华南地区累库，库存增加0.24万吨。港口甲醇总库存趋势图数据</t>
  </si>
  <si>
    <t>2024-12-04</t>
  </si>
  <si>
    <t>2024-12-04 14:00</t>
  </si>
  <si>
    <t>[港口库存]：中国甲醇样本港口库存周数据统计(20241204）</t>
  </si>
  <si>
    <t>截至2024年12月4日，中国甲醇港口库存总量在122.13万吨，较上一期数据增加4.43万吨。其中，华东地区累库，库存增加5.8万吨；华南地区去库，库存减少1.37万吨。港口甲醇总库存趋势图数据来源</t>
  </si>
  <si>
    <t>2024-12-11</t>
  </si>
  <si>
    <t>2024-12-11 14:00</t>
  </si>
  <si>
    <t>[港口库存]：中国甲醇样本港口库存周数据统计(20241211）</t>
  </si>
  <si>
    <t>截至2024年12月11日，中国甲醇港口库存总量在108.50万吨，较上一期数据减少13.63万吨。其中，华东地区去库，库存减少10.85万吨；华南地区去库，库存减少2.78万吨。港口甲醇总库存趋势图</t>
  </si>
  <si>
    <t>2024-12-18</t>
  </si>
  <si>
    <t>2024-12-18 14:00</t>
  </si>
  <si>
    <t>[港口库存]：中国甲醇样本港口库存周数据统计(20241218）</t>
  </si>
  <si>
    <t>截至2024年12月18日，中国甲醇港口库存总量在107.03万吨，较上一期数据减少1.47万吨。其中，华东地区去库，库存减少1.4万吨；华南地区去库，库存减少0.07万吨。港口甲醇总库存趋势图数据来</t>
  </si>
  <si>
    <t>2024-12-25</t>
  </si>
  <si>
    <t>2024-12-25 14:00</t>
  </si>
  <si>
    <t>[港口库存]：中国甲醇样本港口库存周数据统计(20241225）</t>
  </si>
  <si>
    <t>截至2024年12月25日，中国甲醇港口库存总量在95.83万吨，较上一期数据减少11.2万吨。其中，华东地区去库，库存减少8.95万吨；华南地区去库，库存减少2.25万吨。港口甲醇总库存趋势图数据来</t>
  </si>
  <si>
    <t>2025-01-02</t>
  </si>
  <si>
    <t>2025-01-02 14:00</t>
  </si>
  <si>
    <t>[港口库存]：中国甲醇样本港口库存周数据统计(20250102）</t>
  </si>
  <si>
    <t>截至2025年1月2日，中国甲醇港口库存总量在93.36万吨，较上一期数据减少2.47万吨。其中，华东地区去库，库存减少0.9万吨；华南地区去库，库存减少1.57万吨。港口甲醇总库存趋势图数据来源：隆</t>
  </si>
  <si>
    <t>2025-01-08</t>
  </si>
  <si>
    <t>2025-01-08 14:06</t>
  </si>
  <si>
    <t>[港口库存]：中国甲醇样本港口库存周数据统计(20250108）</t>
  </si>
  <si>
    <t>截至2025年1月8日，中国甲醇港口库存总量在84.77万吨，较上一期数据减少8.59万吨。其中，华东地区去库，库存减少8.3万吨；华南地区去库，库存减少0.29万吨。港口甲醇总库存趋势图数据来源：隆</t>
  </si>
  <si>
    <t>2025-01-15</t>
  </si>
  <si>
    <t>2025-01-15 14:00</t>
  </si>
  <si>
    <t>[港口库存]：中国甲醇样本港口库存周数据统计(20250115）</t>
  </si>
  <si>
    <t>截至2025年1月15日，中国甲醇港口库存总量在91.47万吨，较上一期数据增加6.70万吨。其中，华东地区累库，库存增加8.00万吨；华南地区去库，库存减少1.30万吨。港口甲醇总库存趋势图数据来源</t>
  </si>
  <si>
    <t>2025-01-22</t>
  </si>
  <si>
    <t>2025-01-22 14:00</t>
  </si>
  <si>
    <t>[港口库存]：中国甲醇样本港口库存周数据统计(20250122）</t>
  </si>
  <si>
    <t>截至2025年1月22日，中国甲醇港口库存总量在92.97万吨，较上一期数据增加1.50万吨。其中，华东地区累库，库存增加2.16万吨；华南地区去库，库存减少0.66万吨。港口甲醇总库存趋势图数据来源</t>
  </si>
  <si>
    <t>2025-02-05</t>
  </si>
  <si>
    <t>2025-02-05 14:04</t>
  </si>
  <si>
    <t>[港口库存]：中国甲醇样本港口库存周数据统计(20250205）</t>
  </si>
  <si>
    <t>截至2025年2月5日，中国甲醇港口库存总量在95.51万吨，较上一期数据增加2.54万吨。其中，华东地区累库，库存增加0.34万吨；华南地区累库，库存增加2.20万吨。港口甲醇总库存趋势图数据来源：</t>
  </si>
  <si>
    <t>2025-02-12</t>
  </si>
  <si>
    <t>2025-02-12 14:00</t>
  </si>
  <si>
    <t>[港口库存]：中国甲醇样本港口库存周数据统计(20250212）</t>
  </si>
  <si>
    <t>截至2025年2月12日，中国甲醇港口库存总量在96.95万吨，较上一期数据增加1.44万吨。其中，华东地区累库，库存增加2.33万吨；华南地区去库，库存减少0.90万吨。港口甲醇总库存趋势图数据来源</t>
  </si>
  <si>
    <t>2025-02-19</t>
  </si>
  <si>
    <t>2025-02-19 14:00</t>
  </si>
  <si>
    <t>[港口库存]：中国甲醇样本港口库存周数据统计(20250219）</t>
  </si>
  <si>
    <t>截至2025年2月19日，中国甲醇港口库存总量在100.12万吨，较上一期数据增加3.18万吨。其中，华东地区累库，库存增加5.97万吨；华南地区去库，库存减少2.79万吨。港口甲醇总库存趋势图数据来</t>
  </si>
  <si>
    <t>2025-02-26</t>
  </si>
  <si>
    <t>2025-02-26 14:00</t>
  </si>
  <si>
    <t>[港口库存]：中国甲醇样本港口库存周数据统计(20250226）</t>
  </si>
  <si>
    <t>截至2025年2月26日，中国甲醇港口库存总量在106.92万吨，较上一期数据增加6.09万吨。其中，华东地区累库，库存增加5.72万吨；华南地区累库，库存增加0.37万吨。港口甲醇总库存趋势图数据来</t>
  </si>
  <si>
    <t>2025-03-05</t>
  </si>
  <si>
    <t>2025-03-05 14:00</t>
  </si>
  <si>
    <t>[港口库存]：中国甲醇样本港口库存周数据统计(20250305）</t>
  </si>
  <si>
    <t>截至2025年3月5日，中国甲醇港口库存总量在100.61万吨，较上一期数据减少6.30万吨。其中，华东地区去库，库存减少7.58万吨；华南地区累库，库存增加1.28万吨。港口甲醇总库存趋势图数据来源</t>
  </si>
  <si>
    <t>2025-03-12</t>
  </si>
  <si>
    <t>2025-03-12 14:00</t>
  </si>
  <si>
    <t>[港口库存]：中国甲醇样本港口库存周数据统计(20250312）</t>
  </si>
  <si>
    <t>截至2025年3月12日，中国甲醇港口库存总量在91.10万吨，较上一期数据减少9.51万吨。其中，华东地区去库，库存减少9.04万吨；华南地区去库，库存减少0.47万吨。港口甲醇总库存趋势图数据来源</t>
  </si>
  <si>
    <t>2025-03-19</t>
  </si>
  <si>
    <t>2025-03-19 14:00</t>
  </si>
  <si>
    <t>[港口库存]：中国甲醇样本港口库存周数据统计(20250319）</t>
  </si>
  <si>
    <t>截至2025年3月19日，中国甲醇港口库存总量在80.01万吨，较上一期数据减少11.09万吨。其中，华东地区去库，库存减少8.7万吨；华南地区去库，库存减少2.39万吨。 图  2024-2025年</t>
  </si>
  <si>
    <t>2025-03-26</t>
  </si>
  <si>
    <t>2025-03-26 14:00</t>
  </si>
  <si>
    <t>[港口库存]：中国甲醇样本港口库存周数据统计(20250326）</t>
  </si>
  <si>
    <t>截至2025年3月26日，中国甲醇港口库存总量在77.38万吨，较上一期数据减少2.63万吨。其中，华东地区去库，库存减少2.15万吨；华南地区去库，库存减少0.48万吨。 图  2024-2025年</t>
  </si>
  <si>
    <t>2025-04-02</t>
  </si>
  <si>
    <t>2025-04-02 14:00</t>
  </si>
  <si>
    <t>[港口库存]：中国甲醇样本港口库存周数据统计(20250402）</t>
  </si>
  <si>
    <t>截至2025年4月2日，中国甲醇港口库存总量在61.61万吨，较上一期数据减少15.77万吨。其中，华东地区去库，库存减少11.55万吨；华南地区去库，库存减少4.22万吨。 图  2024-2025</t>
  </si>
  <si>
    <t>2025-04-09</t>
  </si>
  <si>
    <t>2025-04-09 14:00</t>
  </si>
  <si>
    <t>[港口库存]：中国甲醇样本港口库存周数据统计(20250409）</t>
  </si>
  <si>
    <t>截至2025年4月9日，中国甲醇港口库存总量在56.98万吨，较上一期数据减少4.63万吨。其中，华东地区去库，库存减少5.1万吨；华南地区累库，库存增加0.47万吨。 图  2024-2025年中国</t>
  </si>
  <si>
    <t>2025-04-16</t>
  </si>
  <si>
    <t>2025-04-16 14:00</t>
  </si>
  <si>
    <t>[港口库存]：中国甲醇样本港口库存周数据统计(20250416）</t>
  </si>
  <si>
    <t>截至2025年4月16日，中国甲醇港口库存总量在58.56万吨，较上一期数据增加1.58万吨。其中，华东地区累库，库存增加3.03万吨；华南地区去库，库存减少1.45万吨。 图  2024-2025年</t>
  </si>
  <si>
    <t>2025-04-23</t>
  </si>
  <si>
    <t>2025-04-23 14:00</t>
  </si>
  <si>
    <t>[港口库存]：中国甲醇样本港口库存周数据统计(20250423）</t>
  </si>
  <si>
    <t>截至2025年4月23日，中国甲醇港口库存总量在46.32万吨，较上一期数据减少12.24万吨。其中，华东地区去库，库存减少9.23万吨；华南地区去库，库存减少3.01万吨。 图  2024-2025</t>
  </si>
  <si>
    <t>2025-04-30</t>
  </si>
  <si>
    <t>2025-04-30 14:00</t>
  </si>
  <si>
    <t>[港口库存]：中国甲醇样本港口库存周数据统计(20250430）</t>
  </si>
  <si>
    <t>截至2025年4月30日，中国甲醇港口库存总量在53.74万吨，较上一期数据增加7.42万吨。其中，华东地区累库，库存增加5.44万吨；华南地区累库，库存增加1.98万吨。 图  2024-2025年</t>
  </si>
  <si>
    <t>2025-05-07</t>
  </si>
  <si>
    <t>2025-05-07 14:00</t>
  </si>
  <si>
    <t>[港口库存]：中国甲醇样本港口库存周数据统计(20250507）</t>
  </si>
  <si>
    <t>截至2025年5月7日，中国甲醇港口库存总量在56.19万吨，较上一期数据增加2.45万吨。其中，华东地区去库，库存减少1.29万吨；华南地区累库，库存增加3.74万吨。 图  2024-2025年中</t>
  </si>
  <si>
    <t>2025-05-14</t>
  </si>
  <si>
    <t>2025-05-14 14:00</t>
  </si>
  <si>
    <t>[港口库存]：中国甲醇样本港口库存周数据统计(20250514）</t>
  </si>
  <si>
    <t>截至2025年5月14日，中国甲醇港口库存总量在48.39万吨，较上一期数据减少7.80万吨。其中，华东地区去库，库存减少5.55万吨；华南地区去库，库存减少2.25万吨。 图  2024-2025年</t>
  </si>
  <si>
    <t>2025-05-21</t>
  </si>
  <si>
    <t>2025-05-21 14:00</t>
  </si>
  <si>
    <t>[港口库存]：中国甲醇样本港口库存周数据统计(20250521）</t>
  </si>
  <si>
    <t>截至2025年5月21日，中国甲醇港口库存总量在49.04万吨，较上一期数据增加0.65万吨。其中，华东地区累库，库存增加0.30万吨；华南地区累库，库存增加0.35万吨。 图  2024-2025年</t>
  </si>
  <si>
    <t>2025-05-28</t>
  </si>
  <si>
    <t>2025-05-28 14:01</t>
  </si>
  <si>
    <t>[港口库存]：中国甲醇样本港口库存周数据统计(20250528）</t>
  </si>
  <si>
    <t>截至2025年5月28日，中国甲醇港口库存总量在52.30万吨，较上一期数据增加3.26万吨。其中，华东地区累库，库存增加4.40万吨；华南地区去库，库存减少1.14万吨。 图  2024-2025年</t>
  </si>
  <si>
    <t>2025-06-04</t>
  </si>
  <si>
    <t>2025-06-04 14:00</t>
  </si>
  <si>
    <t>[港口库存]：中国甲醇样本港口库存周数据统计(20250604）</t>
  </si>
  <si>
    <t>截至2025年6月4日，中国甲醇港口库存总量在58.12万吨，较上一期数据增加5.82万吨。其中，华东地区累库，库存增加5.13万吨；华南地区累库，库存增加0.69万吨。 图  2024-2025年中</t>
  </si>
  <si>
    <t>2025-06-11</t>
  </si>
  <si>
    <t>2025-06-11 14:04</t>
  </si>
  <si>
    <t>[港口库存]：中国甲醇样本港口库存周数据统计(20250611）</t>
  </si>
  <si>
    <t>截至2025年6月11日，中国甲醇港口库存总量在65.22万吨，较上一期数据增加7.10万吨。其中，华东地区累库，库存增加4.57万吨；华南地区累库，库存增加2.53万吨。 图  2024-2025年</t>
  </si>
  <si>
    <t>2025-06-18</t>
  </si>
  <si>
    <t>2025-06-18 14:00</t>
  </si>
  <si>
    <t>[港口库存]：中国甲醇样本港口库存周数据统计(20250618）</t>
  </si>
  <si>
    <t>截至2025年6月18日，中国甲醇港口库存总量在58.64万吨，较上一期数据减少6.58万吨。其中，华东地区去库，库存减少3.10万吨；华南地区去库，库存减少3.48万吨。 图  2024-2025年</t>
  </si>
  <si>
    <t>2025-06-25</t>
  </si>
  <si>
    <t>2025-06-25 14:00</t>
  </si>
  <si>
    <t>[港口库存]：中国甲醇样本港口库存周数据统计(20250625）</t>
  </si>
  <si>
    <t>截至2025年6月25日，中国甲醇港口库存总量在67.05万吨，较上一期数据增加8.41万吨。其中，华东地区累库，库存增加5.90万吨；华南地区累库，库存增加2.51万吨。 图  2024-2025年</t>
  </si>
  <si>
    <t>2025-07-02</t>
  </si>
  <si>
    <t>2025-07-02 14:00</t>
  </si>
  <si>
    <t>[港口库存]：中国甲醇样本港口库存周数据统计(20250702）</t>
  </si>
  <si>
    <t>截至2025年7月2日，中国甲醇港口库存总量在67.37万吨，较上一期数据增加0.32万吨。其中，华东地区累库，库存增加1.35万吨；华南地区去库，库存减少1.03万吨。 图  2024-2025年中</t>
  </si>
  <si>
    <t>2025-07-09</t>
  </si>
  <si>
    <t>2025-07-09 14:00</t>
  </si>
  <si>
    <t>[港口库存]：中国甲醇样本港口库存周数据统计(20250709）</t>
  </si>
  <si>
    <t>截至2025年7月9日，中国甲醇港口库存总量在71.89万吨，较上一期数据增加4.52万吨。其中，华东地区累库，库存增加6.10万吨；华南地区去库，库存减少1.58万吨。 图  2024-2025年中</t>
  </si>
  <si>
    <t>2025-07-16</t>
  </si>
  <si>
    <t>2025-07-16 14:00</t>
  </si>
  <si>
    <t>[港口库存]：中国甲醇样本港口库存周数据统计(20250716）</t>
  </si>
  <si>
    <t>截至2025年7月16日，中国甲醇港口库存总量在79.02万吨，较上一期数据增加7.13万吨。其中，华东地区累库，库存增加6.35万吨；华南地区累库，库存增加0.78万吨。 图  2024-2025年</t>
  </si>
  <si>
    <t>2025-07-23</t>
  </si>
  <si>
    <t>2025-07-23 14:00</t>
  </si>
  <si>
    <t>[港口库存]：中国甲醇样本港口库存周数据统计(20250723）</t>
  </si>
  <si>
    <t>截至2025年7月23日，中国甲醇港口库存总量在72.58万吨，较上一期数据减少6.44万吨。其中，华东地区去库，库存减少8.70万吨；华南地区累库，库存增加2.26万吨。 图  2024-2025年</t>
  </si>
  <si>
    <t>2025-07-30</t>
  </si>
  <si>
    <t>2025-07-30 14:00</t>
  </si>
  <si>
    <t>[港口库存]：中国甲醇样本港口库存周数据统计(20250730）</t>
  </si>
  <si>
    <t>截至2025年7月30日，中国甲醇港口库存总量在80.84万吨，较上一期数据增加8.26万吨。其中，华东地区累库，库存增加2.50万吨；华南地区累库，库存增加5.76万吨。 图  2024-2025年</t>
  </si>
  <si>
    <t>2025-08-06</t>
  </si>
  <si>
    <t>2025-08-06 14:00</t>
  </si>
  <si>
    <t>[港口库存]：中国甲醇样本港口库存周数据统计(20250806）</t>
  </si>
  <si>
    <t>截至2025年8月6日，中国甲醇港口库存总量在92.55万吨，较上一期数据增加11.71万吨。其中，华东地区累库，库存增加7.00万吨；华南地区累库，库存增加4.71万吨。 图  2024-2025年</t>
  </si>
  <si>
    <t>2025-08-13</t>
  </si>
  <si>
    <t>2025-08-13 14:00</t>
  </si>
  <si>
    <t>[港口库存]：中国甲醇样本港口库存周数据统计(20250813）</t>
  </si>
  <si>
    <t>截至2025年8月13日，中国甲醇港口库存总量在102.18万吨，较上一期数据增加9.63万吨。其中，华东地区累库，库存增加4.50万吨；华南地区累库，库存增加5.13万吨。 图  2024-2025</t>
  </si>
  <si>
    <t>2025-08-20</t>
  </si>
  <si>
    <t>2025-08-20 14:00</t>
  </si>
  <si>
    <t>[港口库存]：中国甲醇样本港口库存周数据统计(20250820）</t>
  </si>
  <si>
    <t>截至2025年8月20日，中国甲醇港口库存总量在107.60万吨，较上一期数据增加5.42万吨。其中，华东地区累库，库存增加1.92万吨；华南地区累库，库存增加3.50万吨。 图  2024-2025</t>
  </si>
  <si>
    <t>2025-08-27</t>
  </si>
  <si>
    <t>2025-08-27 14:00</t>
  </si>
  <si>
    <t>[港口库存]：中国甲醇样本港口库存周数据统计(20250827）</t>
  </si>
  <si>
    <t>截至2025年8月27日，中国甲醇港口库存总量在129.93万吨，较上一期数据增加22.33万吨。其中，华东地区累库，库存增加18.28万吨；华南地区累库，库存增加4.05万吨。 图  2024-20</t>
  </si>
  <si>
    <t>2025-09-03</t>
  </si>
  <si>
    <t>2025-09-03 14:00</t>
  </si>
  <si>
    <t>[港口库存]：中国甲醇样本港口库存周数据统计(20250903）</t>
  </si>
  <si>
    <t>截至2025年9月3日，中国甲醇港口库存总量在142.77万吨，较上一期数据增加12.84万吨。其中，华东地区累库，库存增加11.33万吨；华南地区累库，库存增加1.51万吨。 图  2024-202</t>
  </si>
  <si>
    <t>2025-09-10</t>
  </si>
  <si>
    <t>2025-09-10 14:00</t>
  </si>
  <si>
    <t>[港口库存]：中国甲醇样本港口库存周数据统计(20250910）</t>
  </si>
  <si>
    <t>截至2025年9月10日，中国甲醇港口库存总量在155.03万吨，较上一期数据增加12.26万吨。其中，华东地区累库，库存增加8.72万吨；华南地区累库，库存增加3.54万吨。 图  2024-202</t>
  </si>
  <si>
    <t>2025-09-17</t>
  </si>
  <si>
    <t>2025-09-17 14:03</t>
  </si>
  <si>
    <t>[港口库存]：中国甲醇样本港口库存周数据统计(20250917）</t>
  </si>
  <si>
    <t>截至2025年9月17日，中国甲醇港口库存总量在155.78万吨，较上一期数据增加0.75万吨。其中，华东地区去库，库存减少1.56万吨；华南地区累库，库存增加2.31万吨。 图  2024-2025</t>
  </si>
  <si>
    <t>2025-09-24</t>
  </si>
  <si>
    <t>2025-09-24 14:00</t>
  </si>
  <si>
    <t>[港口库存]：中国甲醇样本港口库存周数据统计(20250924）</t>
  </si>
  <si>
    <t>截至2025年9月24日，中国甲醇港口库存总量在149.22万吨，较上一期数据减少6.56万吨。其中，华东地区去库，库存减少4.12万吨；华南地区去库，库存减少2.44万吨。 图  2024-2025</t>
  </si>
  <si>
    <t>2025-10-09</t>
  </si>
  <si>
    <t>2025-10-09 14:00</t>
  </si>
  <si>
    <t>[港口库存]：中国甲醇样本港口库存周数据统计(20251009）</t>
  </si>
  <si>
    <t>截至2025年10月9日，中国甲醇港口库存总量在154.32万吨，较上一期数据增加5.10万吨。其中，华东地区累库，库存增加4.78万吨；华南地区累库，库存增加0.32万吨。 图  2024-2025</t>
  </si>
  <si>
    <t>2025-10-15</t>
  </si>
  <si>
    <t>2025-10-15 14:04</t>
  </si>
  <si>
    <t>[港口库存]：中国甲醇样本港口库存周数据统计(20251015）</t>
  </si>
  <si>
    <t>截至2025年10月15日，中国甲醇港口库存总量在149.14万吨，较上一期数据减少5.18万吨。其中，华东地区去库，库存减少8.35万吨；华南地区累库，库存增加3.17万吨。 图  2024-202</t>
  </si>
  <si>
    <t>2025-10-22</t>
  </si>
  <si>
    <t>2025-10-22 14:00</t>
  </si>
  <si>
    <t>[港口库存]：中国甲醇样本港口库存周数据统计(20251022）</t>
  </si>
  <si>
    <t>截至2025年10月22日，中国甲醇港口库存总量在151.22万吨，较上一期数据增加2.08万吨。其中，华东地区累库，库存增加3万吨；华南地区去库，库存减少0.92万吨。 图  2024-2025年中</t>
  </si>
  <si>
    <t>2025-10-29</t>
  </si>
  <si>
    <t>2025-10-29 14:00</t>
  </si>
  <si>
    <t>[港口库存]：中国甲醇样本港口库存周数据统计(20251029）</t>
  </si>
  <si>
    <t>截至2025年10月29日，中国甲醇港口库存总量在150.65万吨，较上一期数据减少0.57万吨。其中，华东地区去库，库存减少2.97万吨；华南地区累库，库存增加2.40万吨。 图  2024-202</t>
  </si>
  <si>
    <t>2025-11-05</t>
  </si>
  <si>
    <t>2025-11-05 14:01</t>
  </si>
  <si>
    <t>[港口库存]：中国甲醇样本港口库存周数据统计(20251105）</t>
  </si>
  <si>
    <t>截至2025年11月5日，中国甲醇港口库存总量在151.71万吨，较上一期数据增加1.06万吨。其中，华东地区累库，库存增加2.42万吨；华南地区去库，库存减少1.36万吨。 图  2024-2025</t>
  </si>
  <si>
    <t>2025-11-12</t>
  </si>
  <si>
    <t>2025-11-12 14:04</t>
  </si>
  <si>
    <t>[港口库存]：中国甲醇样本港口库存周数据统计(20251112）</t>
  </si>
  <si>
    <t>截至2025年11月12日，中国甲醇港口库存总量在154.36万吨，较上一期数据增加5.65万吨。其中，华东地区累库，库存增加6.49万吨；华南地区去库，库存减少0.84万吨。 图  2024-202</t>
  </si>
  <si>
    <t>2025-11-19</t>
  </si>
  <si>
    <t>2025-11-19 14:10</t>
  </si>
  <si>
    <t>[港口库存]：中国甲醇样本港口库存周数据统计(20251119）</t>
  </si>
  <si>
    <t>截至2025年11月19日，中国甲醇港口库存总量在147.93万吨，较上一期数据减少6.43万吨。其中，华东地区去库，库存减少3.86万吨；华南地区去库，库存减少2.57万吨。 图  2024-202</t>
  </si>
  <si>
    <t>2025-11-26</t>
  </si>
  <si>
    <t>2025-11-26 14:06</t>
  </si>
  <si>
    <t>[港口库存]：中国甲醇样本港口库存周数据统计(20251126）</t>
  </si>
  <si>
    <t>截至2025年11月26日，中国甲醇港口库存总量在136.35万吨，较上一期数据减少11.58万吨。其中，华东地区去库，库存减少8.03万吨；华南地区去库，库存减少3.55万吨。 图  2024-20</t>
  </si>
  <si>
    <t>2025-12-03</t>
  </si>
  <si>
    <t>2025-12-03 14:00</t>
  </si>
  <si>
    <t>[港口库存]：中国甲醇样本港口库存周数据统计(20251203）</t>
  </si>
  <si>
    <t>截至2025年12月3日，中国甲醇港口库存总量在134.94万吨，较上一期数据减少1.41万吨。其中，华东地区累库，库存增加0.13万吨；华南地区去库，库存减少1.54万吨。 图  2024-2025</t>
  </si>
  <si>
    <t>2025-12-10</t>
  </si>
  <si>
    <t>2025-12-10 14:00</t>
  </si>
  <si>
    <t>[港口库存]：中国甲醇样本港口库存周数据统计(20251210）</t>
  </si>
  <si>
    <t>截至2025年12月10日，中国甲醇港口库存总量在123.44万吨，较上一期数据减少11.5万吨。其中，华东地区去库，库存减少10.82万吨；华南地区去库，库存减少0.68万吨。 图  2024-20</t>
  </si>
  <si>
    <t>2025-12-17</t>
  </si>
  <si>
    <t>2025-12-17 14:00</t>
  </si>
  <si>
    <t>[港口库存]：中国甲醇样本港口库存周数据统计(20251217）</t>
  </si>
  <si>
    <t>截至2025年12月17日，中国甲醇港口库存总量在121.88万吨，较上一期数据减少1.56万吨。其中，华东地区去库，库存减少3.10万吨；华南地区累库，库存增加1.54万吨。 图  2024-202</t>
  </si>
  <si>
    <t>2025-12-24</t>
  </si>
  <si>
    <t>2025-12-24 14:00</t>
  </si>
  <si>
    <t>[港口库存]：中国甲醇样本港口库存周数据统计(20251224）</t>
  </si>
  <si>
    <t>截至2025年12月24日，中国甲醇港口库存总量在141.25万吨，较上一期数据增加19.37万吨。其中，华东地区累库，库存增加20.77万吨；华南地区去库，库存减少1.40万吨。 图  2024-2</t>
  </si>
  <si>
    <t>2025-12-31</t>
  </si>
  <si>
    <t>2025-12-31 14:00</t>
  </si>
  <si>
    <t>[港口库存]：中国甲醇样本港口库存周数据统计(20251231）</t>
  </si>
  <si>
    <t>截至2025年12月31日，中国甲醇港口库存总量在147.74万吨，较上一期数据增加6.49万吨。其中，华东地区累库，库存增加3.98万吨；华南地区累库，库存增加2.51万吨。 图  2024-202</t>
  </si>
  <si>
    <t>2026-01-07</t>
  </si>
  <si>
    <t>2026-01-07 14:00</t>
  </si>
  <si>
    <t>[港口库存]：中国甲醇样本港口库存周数据统计(20260107）</t>
  </si>
  <si>
    <t>截至2026年1月7日，中国甲醇港口库存总量在153.72万吨，较上一期数据增加4.08万吨。其中，华东地区累库，库存增加5.72万吨；华南地区去库，库存减少1.64万吨。 图  2024-2026年</t>
  </si>
  <si>
    <t>2026-01-14</t>
  </si>
  <si>
    <t>2026-01-14 14:00</t>
  </si>
  <si>
    <t>[港口库存]：中国甲醇样本港口库存周数据统计(20260114）</t>
  </si>
  <si>
    <t>截至2026年1月14日，中国甲醇港口库存总量在143.53万吨，较上一期数据减少10.19万吨。其中，华东地区去库，库存减少8.44万吨；华南地区去库，库存减少1.75万吨。 图  2024-202</t>
  </si>
  <si>
    <t>2026-01-21</t>
  </si>
  <si>
    <t>2026-01-21 14:00</t>
  </si>
  <si>
    <t>[港口库存]：中国甲醇样本港口库存周数据统计(20260121）</t>
  </si>
  <si>
    <t>截至2026年1月21日，中国甲醇港口库存总量在145.75万吨，较上一期数据增加2.22万吨。其中，华东地区去库，库存减少1.36万吨；华南地区累库，库存增加3.58万吨。 图  2024-2026</t>
  </si>
  <si>
    <t>2026-01-28</t>
  </si>
  <si>
    <t>2026-01-28 14:00</t>
  </si>
  <si>
    <t>[港口库存]：中国甲醇样本港口库存周数据统计(20260128）</t>
  </si>
  <si>
    <t>截至2026年1月28日，中国甲醇港口库存总量在147.21万吨，较上一期数据增加1.46万吨。其中，华东地区累库，库存增加4.76万吨；华南地区去库，库存减少3.3万吨。 图  2024-2026年</t>
  </si>
  <si>
    <t>2026-02-04</t>
  </si>
  <si>
    <t>2026-02-04 14:00</t>
  </si>
  <si>
    <t>[港口库存]：中国甲醇样本港口库存周数据统计(20260204）</t>
  </si>
  <si>
    <t>截至2026年2月4日，中国甲醇港口库存总量在141.10万吨，较上一期数据减少6.11万吨。其中，华东地区去库，库存减少6.48万吨；华南地区累库，库存增加0.37万吨。 图  2024-2026年</t>
  </si>
  <si>
    <t>2026-02-11</t>
  </si>
  <si>
    <t>2026-02-11 14:00</t>
  </si>
  <si>
    <t>[港口库存]：中国甲醇样本港口库存周数据统计(20260211）</t>
  </si>
  <si>
    <t>截至2026年2月11日，中国甲醇港口库存总量在143.22万吨，较上一期数据增加2.12万吨。其中，华东地区累库，库存增加3.66万吨；华南地区去库，库存减少1.54万吨。 图  2024-2026</t>
  </si>
  <si>
    <t>2026-02-25</t>
  </si>
  <si>
    <t>2026-02-25 14:00</t>
  </si>
  <si>
    <t>[港口库存]：中国甲醇样本港口库存周数据统计(20260225）</t>
  </si>
  <si>
    <t>截至2026年2月25日，中国甲醇港口库存总量在144.67万吨，较上一期数据增加1.45万吨。其中，华东地区略有去库，库存减少0.05万吨；华南地区累库，库存增加1.50万吨。 图  2024-20</t>
  </si>
  <si>
    <t>2026-03-04</t>
  </si>
  <si>
    <t>2026-03-04 14:00</t>
  </si>
  <si>
    <t>[港口库存]：中国甲醇样本港口库存周数据统计(20260304）</t>
  </si>
  <si>
    <t>截至2026年3月4日，中国甲醇港口库存总量在144.35万吨，较上一期数据减少0.32万吨。其中，华东地区累库，库存增加2.42万吨；华南地区去库，库存减少2.74万吨。 图  2025-2026年</t>
  </si>
  <si>
    <t>2026-03-11</t>
  </si>
  <si>
    <t>2026-03-11 14:00</t>
  </si>
  <si>
    <t>[港口库存]：中国甲醇样本港口库存周数据统计(20260311）</t>
  </si>
  <si>
    <t>截至2026年3月11日，中国甲醇港口库存总量在131.28万吨，较上一期数据减少13.07万吨。其中，华东地区去库，库存减少9.56万吨；华南地区去库，库存减少3.51万吨。 图  2025-202</t>
  </si>
  <si>
    <t>2026-03-18</t>
  </si>
  <si>
    <t>2026-03-18 14:00</t>
  </si>
  <si>
    <t>[港口库存]：中国甲醇样本港口库存周数据统计(20260318）</t>
  </si>
  <si>
    <t>截至2026年3月18日，中国甲醇港口库存总量在126.17万吨，较上一期数据减少5.11万吨。其中，华东地区去库，库存减少2.76万吨；华南地区去库，库存减少2.35万吨。 图  2025-2026</t>
  </si>
  <si>
    <t>2026-03-25</t>
  </si>
  <si>
    <t>2026-03-25 14:00</t>
  </si>
  <si>
    <t>[港口库存]：中国甲醇样本港口库存周数据统计(20260325）</t>
  </si>
  <si>
    <t>截至2026年3月25日，中国甲醇港口库存总量在115.55万吨，较上一期数据减少10.62万吨。其中，华东地区去库，库存减少8.47万吨；华南地区去库，库存减少2.15万吨。 图  2025-202</t>
  </si>
  <si>
    <t>2026-04-01</t>
  </si>
  <si>
    <t>2026-04-01 14:00</t>
  </si>
  <si>
    <t>[港口库存]：中国甲醇样本港口库存周数据统计(20260401）</t>
  </si>
  <si>
    <t>截至2026年4月1日，中国甲醇港口库存总量在103.40万吨，较上一期数据减少12.15万吨。其中，华东地区去库，库存减少9.22万吨；华南地区去库，库存减少2.93万吨。 图  2025-2026</t>
  </si>
  <si>
    <t>2026-04-08</t>
  </si>
  <si>
    <t>2026-04-08 14:00</t>
  </si>
  <si>
    <t>[港口库存]：中国甲醇样本港口库存周数据统计(20260408）</t>
  </si>
  <si>
    <t>截至2026年4月8日，中国甲醇港口库存总量在102.55万吨，较上一期数据减少0.85万吨。其中，华东地区略有去库，库存减少0.41万吨；华南地区略有去库，库存减少0.44万吨。 图  2025-2</t>
  </si>
  <si>
    <t>2026-04-15</t>
  </si>
  <si>
    <t>2026-04-15 14:00</t>
  </si>
  <si>
    <t>[港口库存]：中国甲醇样本港口库存周数据统计(20260415）</t>
  </si>
  <si>
    <t>截至2026年4月15日，中国甲醇港口库存总量在95.36万吨，较上一期数据减少7.19万吨。其中，华东地区去库，库存减少8.16万吨；华南地区略有累库，库存增加0.97万吨。 图  2025-202</t>
  </si>
  <si>
    <t>2026-04-22</t>
  </si>
  <si>
    <t>2026-04-22 14:03</t>
  </si>
  <si>
    <t>[港口库存]：中国甲醇样本港口库存周数据统计(20260422）</t>
  </si>
  <si>
    <t>截至2026年4月22日，中国甲醇港口库存总量在97.57万吨，较上一期数据增加1.56万吨。其中，华东地区累库，库存增加4.73万吨；华南地区去库，库存减少3.17万吨。 图  2025-2026年</t>
  </si>
  <si>
    <t>2026-04-29</t>
  </si>
  <si>
    <t>2026-04-29 14:00</t>
  </si>
  <si>
    <t>[港口库存]：中国甲醇样本港口库存周数据统计(20260429）</t>
  </si>
  <si>
    <t>截至2026年4月29日，中国甲醇港口库存总量在91.49万吨，较上一期数据减少6.08万吨。其中，华东地区略有去库，库存减少0.28万吨；华南地区去库，库存减少5.8万吨。 图  2025-2026</t>
  </si>
  <si>
    <t>2026-05-06</t>
  </si>
  <si>
    <t>2026-05-06 14:00</t>
  </si>
  <si>
    <t>[港口库存]：中国甲醇样本港口库存周数据统计(20260506）</t>
  </si>
  <si>
    <t>截至2026年5月6日，中国甲醇港口库存总量在92.20万吨，较上一期数据增加0.71万吨。其中，华东地区累库，库存增加4.90万吨；华南地区去库，库存减少4.19万吨。 图  2025-2026年中</t>
  </si>
  <si>
    <t>2026-05-13</t>
  </si>
  <si>
    <t>2026-05-13 14:00</t>
  </si>
  <si>
    <t>[港口库存]：中国甲醇样本港口库存周数据统计(20260513）</t>
  </si>
  <si>
    <t>截至2026年5月13日，中国甲醇港口库存总量在79.68万吨，较上一期数据减少12.52万吨。其中，华东地区去库，库存减少11.51万吨；华南地区去库，库存减少1.01万吨。 图  2025-202</t>
  </si>
  <si>
    <t>2026-05-20</t>
  </si>
  <si>
    <t>2026-05-20 14:00</t>
  </si>
  <si>
    <t>[港口库存]：中国甲醇样本港口库存周数据统计(20260520）</t>
  </si>
  <si>
    <t>截至2026年5月20日，中国甲醇港口库存总量在71.55万吨，较上一期数据减少8.13万吨。其中，华东地区去库，库存减少5.73万吨；华南地区去库，库存减少2.40万吨。 图  2025-2026年</t>
  </si>
  <si>
    <t>2026-05-27</t>
  </si>
  <si>
    <t>2026-05-27 14:04</t>
  </si>
  <si>
    <t>[港口库存]：中国甲醇样本港口库存周数据统计(20260527）</t>
  </si>
  <si>
    <t>截至2026年5月27日，中国甲醇港口库存总量在66.20万吨，较上一期数据减少7.35万吨。其中，华东地区去库，库存减少8.52万吨；华南地区累库，库存增加1.17万吨。 图  2025-2026年</t>
  </si>
  <si>
    <t>2026-06-03</t>
  </si>
  <si>
    <t>2026-06-03 14:02</t>
  </si>
  <si>
    <t>[港口库存]：中国甲醇样本港口库存周数据统计(20260603）</t>
  </si>
  <si>
    <t>截至2026年6月3日，中国甲醇港口库存总量在63.35万吨，较上一期数据减少2.85万吨。其中，华东地区去库，库存减少0.27万吨；华南地区去库，库存减少2.58万吨。 图  2025-2026年中</t>
  </si>
  <si>
    <t>2026-06-10</t>
  </si>
  <si>
    <t>2026-06-10 14:00</t>
  </si>
  <si>
    <t>[港口库存]：中国甲醇样本港口库存周数据统计(20260610）</t>
  </si>
  <si>
    <t>截至2026年6月10日，中国甲醇港口库存总量在56.61万吨，较上一期数据减少6.74万吨。其中，华东地区去库，库存减少6.12万吨；华南地区去库，库存减少0.62万吨。 图  2025-2026年</t>
  </si>
  <si>
    <t>2026-06-17</t>
  </si>
  <si>
    <t>2026-06-17 14:00</t>
  </si>
  <si>
    <t>[港口库存]：中国甲醇样本港口库存周数据统计(20260617）</t>
  </si>
  <si>
    <t>截至2026年6月17日，中国甲醇港口库存总量在63.24万吨，较上一期数据增加6.63万吨。其中，华东地区累库，库存增加3.95万吨；华南地区累库，库存增加2.68万吨。 图  2025-2026年</t>
  </si>
  <si>
    <t>2026-06-24</t>
  </si>
  <si>
    <t>2026-06-24 14:00</t>
  </si>
  <si>
    <t>[港口库存]：中国甲醇样本港口库存周数据统计(20260624）</t>
  </si>
  <si>
    <t>截至2026年6月24日，中国甲醇港口库存总量在56.03万吨，较上一期数据减少7.21万吨。其中，华东地区去库，库存减少4.98万吨；华南地区去库，库存减少2.23万吨。 图  2025-2026年</t>
  </si>
  <si>
    <t>2026-07-01</t>
  </si>
  <si>
    <t>2026-07-01 14:00</t>
  </si>
  <si>
    <t>[港口库存]：中国甲醇样本港口库存周数据统计(20260701）</t>
  </si>
  <si>
    <t>截至2026年7月1日，中国甲醇港口库存总量在49.32万吨，较上一期数据减少6.71万吨。其中，华东地区去库，库存减少2.09万吨；华南地区去库，库存减少4.62万吨。 图  2025-2026年中</t>
  </si>
  <si>
    <t>2026-07-08</t>
  </si>
  <si>
    <t>2026-07-08 14:00</t>
  </si>
  <si>
    <t>[港口库存]：中国甲醇样本港口库存周数据统计(20260708）</t>
  </si>
  <si>
    <t>截至2026年7月8日，中国甲醇港口库存总量在44.67万吨，较上一期数据减少4.65万吨。其中，华东地区去库，库存减少6.52万吨；华南地区累库，库存增加1.87万吨。 图  2025-2026年中</t>
  </si>
  <si>
    <t>2026-07-15</t>
  </si>
  <si>
    <t>2026-07-15 14:00</t>
  </si>
  <si>
    <t>[港口库存]：中国甲醇样本港口库存周数据统计(20260715）</t>
  </si>
  <si>
    <t>截至2026年7月15日，中国甲醇港口库存总量在40.15万吨，较上一期数据减少4.52万吨。其中，华东地区去库，库存减少7.95万吨；华南地区累库，库存增加3.43万吨。 图  2025-2026年</t>
  </si>
  <si>
    <t>2026-07-22</t>
  </si>
  <si>
    <t>2026-07-22 14:00</t>
  </si>
  <si>
    <t>[港口库存]：中国甲醇样本港口库存周数据统计(20260722）</t>
  </si>
  <si>
    <t>截至2026年7月22日，中国甲醇港口库存总量在54.87万吨，较上一期数据增加14.72万吨。其中，华东地区累库，库存增加8.62万吨；华南地区累库，库存增加6.1万吨。 图  2025-2026年</t>
  </si>
  <si>
    <t>2026-07-29</t>
  </si>
  <si>
    <t>2026-07-29 14:01</t>
  </si>
  <si>
    <t>[港口库存]：中国甲醇样本港口库存周数据统计(20260729）</t>
  </si>
  <si>
    <t>截至2026年7月29日，中国甲醇港口库存总量在68.68万吨，较上一期数据增加13.81万吨。其中，华东地区累库，库存增加13.18万吨；华南地区累库，库存增加0.63万吨。 图  2025-202</t>
  </si>
  <si>
    <t>2026-08-05</t>
  </si>
  <si>
    <t>2026-08-05 14:00</t>
  </si>
  <si>
    <t>[港口库存]：中国甲醇样本港口库存周数据统计(20260805）</t>
  </si>
  <si>
    <t>截至2026年8月5日，中国甲醇港口库存总量在69.26万吨，较上一期数据增加0.18万吨。其中，华东地区累库，库存增加0.64万吨；华南地区去库，库存减少0.46万吨。 图  2025-2026年中</t>
  </si>
  <si>
    <t>2026-08-12</t>
  </si>
  <si>
    <t>2026-08-12 14:00</t>
  </si>
  <si>
    <t>[港口库存]：中国甲醇样本港口库存周数据统计(20260812）</t>
  </si>
  <si>
    <t>截至2026年8月12日，中国甲醇港口库存总量在60.00万吨，较上一期数据减少9.26万吨。其中，华东地区去库，库存减少6.76万吨；华南地区去库，库存减少2.50万吨。 图  2025-2026年</t>
  </si>
  <si>
    <t>2026-08-19</t>
  </si>
  <si>
    <t>2026-08-19 13:59</t>
  </si>
  <si>
    <t>[港口库存]：中国甲醇样本港口库存周数据统计(20260819）</t>
  </si>
  <si>
    <t>截至2026年8月19日，中国甲醇港口库存总量在66.70万吨，较上一期数据减少增加6.70万吨。其中，华东地区累库，库存增加6.79万吨；华南地区去库，库存减少0.09万吨。 图  2025-202</t>
  </si>
  <si>
    <t>2026-08-26</t>
  </si>
  <si>
    <t>2026-08-26 14:00</t>
  </si>
  <si>
    <t>[港口库存]：中国甲醇样本港口库存周数据统计(20260826）</t>
  </si>
  <si>
    <t>截至2026年8月26日，中国甲醇港口库存总量在68.56万吨，较上一期数据增加1.86万吨。其中，华东地区累库，库存增加2.24万吨；华南地区去库，库存减少0.38万吨。 图  2025-2026年</t>
  </si>
  <si>
    <t>2026-09-02</t>
  </si>
  <si>
    <t>2026-09-02 14:00</t>
  </si>
  <si>
    <t>[港口库存]：中国甲醇样本港口库存周数据统计(20260902）</t>
  </si>
  <si>
    <t>截至2026年9月2日，中国甲醇港口库存总量在64.15万吨，较上一期数据减少4.41万吨。其中，华东地区去库，库存减少1.65万吨；华南地区去库，库存减少2.76万吨。 图  2025-2026年中</t>
  </si>
  <si>
    <t>2026-09-09</t>
  </si>
  <si>
    <t>2026-09-09 14:01</t>
  </si>
  <si>
    <t>[港口库存]：中国甲醇样本港口库存周数据统计(20260909）</t>
  </si>
  <si>
    <t>截至2026年9月9日，中国甲醇港口库存总量在55.15万吨，较上一期数据减少9.60万吨。其中，华东地区去库，库存减少4.77万吨；华南地区去库，库存减少4.83万吨。 图  2025-2026年中</t>
  </si>
  <si>
    <t>2026-09-16</t>
  </si>
  <si>
    <t>2026-09-16 14:00</t>
  </si>
  <si>
    <t>[港口库存]：中国甲醇样本港口库存周数据统计(20260916）</t>
  </si>
  <si>
    <t>截至2026年9月16日，中国甲醇港口库存总量在42.39万吨，较上一期数据减少12.76万吨。其中，华东地区去库，库存减少10.51万吨；华南地区去库，库存减少2.25万吨。 图  2025-202</t>
  </si>
  <si>
    <t>2026-09-23</t>
  </si>
  <si>
    <t>2026-09-23 14:00</t>
  </si>
  <si>
    <t>[港口库存]：中国甲醇样本港口库存周数据统计(20260923）</t>
  </si>
  <si>
    <t>截至2026年9月23日，中国甲醇港口库存总量在41.20万吨，较上一期数据减少1.19万吨。其中，华东地区去库，库存减少4.13万吨；华南地区累库，库存增加2.94万吨。 图  2025-2026年</t>
  </si>
  <si>
    <t>2026-09-30</t>
  </si>
  <si>
    <t>2026-09-30 14:00</t>
  </si>
  <si>
    <t>[港口库存]：中国甲醇样本港口库存周数据统计(20260930）</t>
  </si>
  <si>
    <t>截至2026年9月30日，中国甲醇港口库存总量在39.35万吨，较上一期数据减少1.85万吨。其中，华东地区去库，库存减少2.37万吨；华南地区累库，库存增加0.52万吨。 图  2025-2026年</t>
  </si>
  <si>
    <t>2026-10-08</t>
  </si>
  <si>
    <t>2026-10-08 14:01</t>
  </si>
  <si>
    <t>[港口库存]：中国甲醇样本港口库存周数据统计(20261008）</t>
  </si>
  <si>
    <t>截至2026年10月8日，中国甲醇港口库存总量在30.51万吨，较上一期数据减少8.84万吨。其中，华东地区去库，库存减少7.99万吨；华南地区去库，库存减少0.85万吨。 图  2025-2026年</t>
  </si>
  <si>
    <t>2026-10-14</t>
  </si>
  <si>
    <t>2026-10-14 14:00</t>
  </si>
  <si>
    <t>[港口库存]：中国甲醇样本港口库存周数据统计(20261014）</t>
  </si>
  <si>
    <t>截至2026年10月14日，中国甲醇港口库存总量在36.72万吨，较上一期数据增加6.21万吨。其中，华东地区去库，库存减少3.16万吨；华南地区累库，库存增加9.37万吨。 图  2025-2026</t>
  </si>
  <si>
    <t>交易日</t>
  </si>
  <si>
    <t>收盘价</t>
  </si>
  <si>
    <t>成交量</t>
  </si>
  <si>
    <t>持仓量</t>
  </si>
  <si>
    <t>日涨跌(点)</t>
  </si>
  <si>
    <t>日涨跌幅(%)</t>
  </si>
  <si>
    <t>2024-10-08</t>
  </si>
  <si>
    <t>2024-10-09</t>
  </si>
  <si>
    <t>2024-10-10</t>
  </si>
  <si>
    <t>2024-10-11</t>
  </si>
  <si>
    <t>2024-10-14</t>
  </si>
  <si>
    <t>2024-10-15</t>
  </si>
  <si>
    <t>2024-10-16</t>
  </si>
  <si>
    <t>2024-10-17</t>
  </si>
  <si>
    <t>2024-10-18</t>
  </si>
  <si>
    <t>2024-10-21</t>
  </si>
  <si>
    <t>2024-10-22</t>
  </si>
  <si>
    <t>2024-10-24</t>
  </si>
  <si>
    <t>2024-10-25</t>
  </si>
  <si>
    <t>2024-10-28</t>
  </si>
  <si>
    <t>2024-10-29</t>
  </si>
  <si>
    <t>2024-10-31</t>
  </si>
  <si>
    <t>2024-11-01</t>
  </si>
  <si>
    <t>2024-11-04</t>
  </si>
  <si>
    <t>2024-11-05</t>
  </si>
  <si>
    <t>2024-11-07</t>
  </si>
  <si>
    <t>2024-11-08</t>
  </si>
  <si>
    <t>2024-11-11</t>
  </si>
  <si>
    <t>2024-11-12</t>
  </si>
  <si>
    <t>2024-11-14</t>
  </si>
  <si>
    <t>2024-11-15</t>
  </si>
  <si>
    <t>2024-11-18</t>
  </si>
  <si>
    <t>2024-11-19</t>
  </si>
  <si>
    <t>2024-11-21</t>
  </si>
  <si>
    <t>2024-11-22</t>
  </si>
  <si>
    <t>2024-11-25</t>
  </si>
  <si>
    <t>2024-11-26</t>
  </si>
  <si>
    <t>2024-11-28</t>
  </si>
  <si>
    <t>2024-11-29</t>
  </si>
  <si>
    <t>2024-12-02</t>
  </si>
  <si>
    <t>2024-12-03</t>
  </si>
  <si>
    <t>2024-12-05</t>
  </si>
  <si>
    <t>2024-12-06</t>
  </si>
  <si>
    <t>2024-12-09</t>
  </si>
  <si>
    <t>2024-12-10</t>
  </si>
  <si>
    <t>2024-12-12</t>
  </si>
  <si>
    <t>2024-12-13</t>
  </si>
  <si>
    <t>2024-12-16</t>
  </si>
  <si>
    <t>2024-12-17</t>
  </si>
  <si>
    <t>2024-12-19</t>
  </si>
  <si>
    <t>2024-12-20</t>
  </si>
  <si>
    <t>2024-12-23</t>
  </si>
  <si>
    <t>2024-12-24</t>
  </si>
  <si>
    <t>2024-12-26</t>
  </si>
  <si>
    <t>2024-12-27</t>
  </si>
  <si>
    <t>2024-12-30</t>
  </si>
  <si>
    <t>2024-12-31</t>
  </si>
  <si>
    <t>2025-01-03</t>
  </si>
  <si>
    <t>2025-01-06</t>
  </si>
  <si>
    <t>2025-01-07</t>
  </si>
  <si>
    <t>2025-01-09</t>
  </si>
  <si>
    <t>2025-01-10</t>
  </si>
  <si>
    <t>2025-01-13</t>
  </si>
  <si>
    <t>2025-01-14</t>
  </si>
  <si>
    <t>2025-01-16</t>
  </si>
  <si>
    <t>2025-01-17</t>
  </si>
  <si>
    <t>2025-01-20</t>
  </si>
  <si>
    <t>2025-01-21</t>
  </si>
  <si>
    <t>2025-01-23</t>
  </si>
  <si>
    <t>2025-01-24</t>
  </si>
  <si>
    <t>2025-01-27</t>
  </si>
  <si>
    <t>2025-02-06</t>
  </si>
  <si>
    <t>2025-02-07</t>
  </si>
  <si>
    <t>2025-02-10</t>
  </si>
  <si>
    <t>2025-02-11</t>
  </si>
  <si>
    <t>2025-02-13</t>
  </si>
  <si>
    <t>2025-02-14</t>
  </si>
  <si>
    <t>2025-02-17</t>
  </si>
  <si>
    <t>2025-02-18</t>
  </si>
  <si>
    <t>2025-02-20</t>
  </si>
  <si>
    <t>2025-02-21</t>
  </si>
  <si>
    <t>2025-02-24</t>
  </si>
  <si>
    <t>2025-02-25</t>
  </si>
  <si>
    <t>2025-02-27</t>
  </si>
  <si>
    <t>2025-02-28</t>
  </si>
  <si>
    <t>2025-03-03</t>
  </si>
  <si>
    <t>2025-03-04</t>
  </si>
  <si>
    <t>2025-03-06</t>
  </si>
  <si>
    <t>2025-03-07</t>
  </si>
  <si>
    <t>2025-03-10</t>
  </si>
  <si>
    <t>2025-03-11</t>
  </si>
  <si>
    <t>2025-03-13</t>
  </si>
  <si>
    <t>2025-03-14</t>
  </si>
  <si>
    <t>2025-03-17</t>
  </si>
  <si>
    <t>2025-03-18</t>
  </si>
  <si>
    <t>2025-03-20</t>
  </si>
  <si>
    <t>2025-03-21</t>
  </si>
  <si>
    <t>2025-03-24</t>
  </si>
  <si>
    <t>2025-03-25</t>
  </si>
  <si>
    <t>2025-03-27</t>
  </si>
  <si>
    <t>2025-03-28</t>
  </si>
  <si>
    <t>2025-03-31</t>
  </si>
  <si>
    <t>2025-04-01</t>
  </si>
  <si>
    <t>2025-04-03</t>
  </si>
  <si>
    <t>2025-04-07</t>
  </si>
  <si>
    <t>2025-04-08</t>
  </si>
  <si>
    <t>2025-04-10</t>
  </si>
  <si>
    <t>2025-04-11</t>
  </si>
  <si>
    <t>2025-04-14</t>
  </si>
  <si>
    <t>2025-04-15</t>
  </si>
  <si>
    <t>2025-04-17</t>
  </si>
  <si>
    <t>2025-04-18</t>
  </si>
  <si>
    <t>2025-04-21</t>
  </si>
  <si>
    <t>2025-04-22</t>
  </si>
  <si>
    <t>2025-04-24</t>
  </si>
  <si>
    <t>2025-04-25</t>
  </si>
  <si>
    <t>2025-04-28</t>
  </si>
  <si>
    <t>2025-04-29</t>
  </si>
  <si>
    <t>2025-05-06</t>
  </si>
  <si>
    <t>2025-05-08</t>
  </si>
  <si>
    <t>2025-05-09</t>
  </si>
  <si>
    <t>2025-05-12</t>
  </si>
  <si>
    <t>2025-05-13</t>
  </si>
  <si>
    <t>2025-05-15</t>
  </si>
  <si>
    <t>2025-05-16</t>
  </si>
  <si>
    <t>2025-05-19</t>
  </si>
  <si>
    <t>2025-05-20</t>
  </si>
  <si>
    <t>2025-05-22</t>
  </si>
  <si>
    <t>2025-05-23</t>
  </si>
  <si>
    <t>2025-05-26</t>
  </si>
  <si>
    <t>2025-05-27</t>
  </si>
  <si>
    <t>2025-05-29</t>
  </si>
  <si>
    <t>2025-05-30</t>
  </si>
  <si>
    <t>2025-06-03</t>
  </si>
  <si>
    <t>2025-06-05</t>
  </si>
  <si>
    <t>2025-06-06</t>
  </si>
  <si>
    <t>2025-06-09</t>
  </si>
  <si>
    <t>2025-06-10</t>
  </si>
  <si>
    <t>2025-06-12</t>
  </si>
  <si>
    <t>2025-06-13</t>
  </si>
  <si>
    <t>2025-06-16</t>
  </si>
  <si>
    <t>2025-06-17</t>
  </si>
  <si>
    <t>2025-06-19</t>
  </si>
  <si>
    <t>2025-06-20</t>
  </si>
  <si>
    <t>2025-06-23</t>
  </si>
  <si>
    <t>2025-06-24</t>
  </si>
  <si>
    <t>2025-06-26</t>
  </si>
  <si>
    <t>2025-06-27</t>
  </si>
  <si>
    <t>2025-06-30</t>
  </si>
  <si>
    <t>2025-07-01</t>
  </si>
  <si>
    <t>2025-07-03</t>
  </si>
  <si>
    <t>2025-07-04</t>
  </si>
  <si>
    <t>2025-07-07</t>
  </si>
  <si>
    <t>2025-07-08</t>
  </si>
  <si>
    <t>2025-07-10</t>
  </si>
  <si>
    <t>2025-07-11</t>
  </si>
  <si>
    <t>2025-07-14</t>
  </si>
  <si>
    <t>2025-07-15</t>
  </si>
  <si>
    <t>2025-07-17</t>
  </si>
  <si>
    <t>2025-07-18</t>
  </si>
  <si>
    <t>2025-07-21</t>
  </si>
  <si>
    <t>2025-07-22</t>
  </si>
  <si>
    <t>2025-07-24</t>
  </si>
  <si>
    <t>2025-07-25</t>
  </si>
  <si>
    <t>2025-07-28</t>
  </si>
  <si>
    <t>2025-07-29</t>
  </si>
  <si>
    <t>2025-07-31</t>
  </si>
  <si>
    <t>2025-08-01</t>
  </si>
  <si>
    <t>2025-08-04</t>
  </si>
  <si>
    <t>2025-08-05</t>
  </si>
  <si>
    <t>2025-08-07</t>
  </si>
  <si>
    <t>2025-08-08</t>
  </si>
  <si>
    <t>2025-08-11</t>
  </si>
  <si>
    <t>2025-08-12</t>
  </si>
  <si>
    <t>2025-08-14</t>
  </si>
  <si>
    <t>2025-08-15</t>
  </si>
  <si>
    <t>2025-08-18</t>
  </si>
  <si>
    <t>2025-08-19</t>
  </si>
  <si>
    <t>2025-08-21</t>
  </si>
  <si>
    <t>2025-08-22</t>
  </si>
  <si>
    <t>2025-08-25</t>
  </si>
  <si>
    <t>2025-08-26</t>
  </si>
  <si>
    <t>2025-08-28</t>
  </si>
  <si>
    <t>2025-08-29</t>
  </si>
  <si>
    <t>2025-09-01</t>
  </si>
  <si>
    <t>2025-09-02</t>
  </si>
  <si>
    <t>2025-09-04</t>
  </si>
  <si>
    <t>2025-09-05</t>
  </si>
  <si>
    <t>2025-09-08</t>
  </si>
  <si>
    <t>2025-09-09</t>
  </si>
  <si>
    <t>2025-09-11</t>
  </si>
  <si>
    <t>2025-09-12</t>
  </si>
  <si>
    <t>2025-09-15</t>
  </si>
  <si>
    <t>2025-09-16</t>
  </si>
  <si>
    <t>2025-09-18</t>
  </si>
  <si>
    <t>2025-09-19</t>
  </si>
  <si>
    <t>2025-09-22</t>
  </si>
  <si>
    <t>2025-09-23</t>
  </si>
  <si>
    <t>2025-09-25</t>
  </si>
  <si>
    <t>2025-09-26</t>
  </si>
  <si>
    <t>2025-09-29</t>
  </si>
  <si>
    <t>2025-09-30</t>
  </si>
  <si>
    <t>2025-10-10</t>
  </si>
  <si>
    <t>2025-10-13</t>
  </si>
  <si>
    <t>2025-10-14</t>
  </si>
  <si>
    <t>2025-10-16</t>
  </si>
  <si>
    <t>2025-10-17</t>
  </si>
  <si>
    <t>2025-10-20</t>
  </si>
  <si>
    <t>2025-10-21</t>
  </si>
  <si>
    <t>2025-10-23</t>
  </si>
  <si>
    <t>2025-10-24</t>
  </si>
  <si>
    <t>2025-10-27</t>
  </si>
  <si>
    <t>2025-10-28</t>
  </si>
  <si>
    <t>2025-10-30</t>
  </si>
  <si>
    <t>2025-10-31</t>
  </si>
  <si>
    <t>2025-11-03</t>
  </si>
  <si>
    <t>2025-11-04</t>
  </si>
  <si>
    <t>2025-11-06</t>
  </si>
  <si>
    <t>2025-11-07</t>
  </si>
  <si>
    <t>2025-11-10</t>
  </si>
  <si>
    <t>2025-11-11</t>
  </si>
  <si>
    <t>2025-11-13</t>
  </si>
  <si>
    <t>2025-11-14</t>
  </si>
  <si>
    <t>2025-11-17</t>
  </si>
  <si>
    <t>2025-11-18</t>
  </si>
  <si>
    <t>2025-11-20</t>
  </si>
  <si>
    <t>2025-11-21</t>
  </si>
  <si>
    <t>2025-11-24</t>
  </si>
  <si>
    <t>2025-11-25</t>
  </si>
  <si>
    <t>2025-11-27</t>
  </si>
  <si>
    <t>2025-11-28</t>
  </si>
  <si>
    <t>2025-12-01</t>
  </si>
  <si>
    <t>2025-12-02</t>
  </si>
  <si>
    <t>2025-12-04</t>
  </si>
  <si>
    <t>2025-12-05</t>
  </si>
  <si>
    <t>2025-12-08</t>
  </si>
  <si>
    <t>2025-12-09</t>
  </si>
  <si>
    <t>2025-12-11</t>
  </si>
  <si>
    <t>2025-12-12</t>
  </si>
  <si>
    <t>2025-12-15</t>
  </si>
  <si>
    <t>2025-12-16</t>
  </si>
  <si>
    <t>2025-12-18</t>
  </si>
  <si>
    <t>2025-12-19</t>
  </si>
  <si>
    <t>2025-12-22</t>
  </si>
  <si>
    <t>2025-12-23</t>
  </si>
  <si>
    <t>2025-12-25</t>
  </si>
  <si>
    <t>2025-12-26</t>
  </si>
  <si>
    <t>2025-12-29</t>
  </si>
  <si>
    <t>2025-12-30</t>
  </si>
  <si>
    <t>2026-01-05</t>
  </si>
  <si>
    <t>2026-01-06</t>
  </si>
  <si>
    <t>2026-01-08</t>
  </si>
  <si>
    <t>2026-01-09</t>
  </si>
  <si>
    <t>2026-01-12</t>
  </si>
  <si>
    <t>2026-01-13</t>
  </si>
  <si>
    <t>2026-01-15</t>
  </si>
  <si>
    <t>2026-01-16</t>
  </si>
  <si>
    <t>2026-01-19</t>
  </si>
  <si>
    <t>2026-01-20</t>
  </si>
  <si>
    <t>2026-01-22</t>
  </si>
  <si>
    <t>2026-01-23</t>
  </si>
  <si>
    <t>2026-01-26</t>
  </si>
  <si>
    <t>2026-01-27</t>
  </si>
  <si>
    <t>2026-01-29</t>
  </si>
  <si>
    <t>2026-01-30</t>
  </si>
  <si>
    <t>2026-02-02</t>
  </si>
  <si>
    <t>2026-02-03</t>
  </si>
  <si>
    <t>2026-02-05</t>
  </si>
  <si>
    <t>2026-02-06</t>
  </si>
  <si>
    <t>2026-02-09</t>
  </si>
  <si>
    <t>2026-02-10</t>
  </si>
  <si>
    <t>2026-02-12</t>
  </si>
  <si>
    <t>2026-02-13</t>
  </si>
  <si>
    <t>2026-02-24</t>
  </si>
  <si>
    <t>2026-02-26</t>
  </si>
  <si>
    <t>2026-02-27</t>
  </si>
  <si>
    <t>2026-03-02</t>
  </si>
  <si>
    <t>2026-03-03</t>
  </si>
  <si>
    <t>2026-03-05</t>
  </si>
  <si>
    <t>2026-03-06</t>
  </si>
  <si>
    <t>2026-03-09</t>
  </si>
  <si>
    <t>2026-03-10</t>
  </si>
  <si>
    <t>2026-03-12</t>
  </si>
  <si>
    <t>2026-03-13</t>
  </si>
  <si>
    <t>2026-03-16</t>
  </si>
  <si>
    <t>2026-03-17</t>
  </si>
  <si>
    <t>2026-03-19</t>
  </si>
  <si>
    <t>2026-03-20</t>
  </si>
  <si>
    <t>2026-03-23</t>
  </si>
  <si>
    <t>2026-03-24</t>
  </si>
  <si>
    <t>2026-03-26</t>
  </si>
  <si>
    <t>2026-03-27</t>
  </si>
  <si>
    <t>2026-03-30</t>
  </si>
  <si>
    <t>2026-03-31</t>
  </si>
  <si>
    <t>2026-04-02</t>
  </si>
  <si>
    <t>2026-04-03</t>
  </si>
  <si>
    <t>2026-04-07</t>
  </si>
  <si>
    <t>2026-04-09</t>
  </si>
  <si>
    <t>2026-04-10</t>
  </si>
  <si>
    <t>2026-04-13</t>
  </si>
  <si>
    <t>2026-04-14</t>
  </si>
  <si>
    <t>2026-04-16</t>
  </si>
  <si>
    <t>2026-04-17</t>
  </si>
  <si>
    <t>2026-04-20</t>
  </si>
  <si>
    <t>2026-04-21</t>
  </si>
  <si>
    <t>2026-04-23</t>
  </si>
  <si>
    <t>2026-04-24</t>
  </si>
  <si>
    <t>2026-04-27</t>
  </si>
  <si>
    <t>2026-04-28</t>
  </si>
  <si>
    <t>2026-04-30</t>
  </si>
  <si>
    <t>2026-05-07</t>
  </si>
  <si>
    <t>2026-05-08</t>
  </si>
  <si>
    <t>2026-05-11</t>
  </si>
  <si>
    <t>2026-05-12</t>
  </si>
  <si>
    <t>2026-05-14</t>
  </si>
  <si>
    <t>2026-05-15</t>
  </si>
  <si>
    <t>2026-05-18</t>
  </si>
  <si>
    <t>2026-05-19</t>
  </si>
  <si>
    <t>2026-05-21</t>
  </si>
  <si>
    <t>2026-05-22</t>
  </si>
  <si>
    <t>2026-05-25</t>
  </si>
  <si>
    <t>2026-05-26</t>
  </si>
  <si>
    <t>2026-05-28</t>
  </si>
  <si>
    <t>2026-05-29</t>
  </si>
  <si>
    <t>2026-06-01</t>
  </si>
  <si>
    <t>2026-06-02</t>
  </si>
  <si>
    <t>2026-06-04</t>
  </si>
  <si>
    <t>2026-06-05</t>
  </si>
  <si>
    <t>2026-06-08</t>
  </si>
  <si>
    <t>2026-06-09</t>
  </si>
  <si>
    <t>2026-06-11</t>
  </si>
  <si>
    <t>2026-06-12</t>
  </si>
  <si>
    <t>2026-06-15</t>
  </si>
  <si>
    <t>2026-06-16</t>
  </si>
  <si>
    <t>2026-06-18</t>
  </si>
  <si>
    <t>2026-06-22</t>
  </si>
  <si>
    <t>2026-06-23</t>
  </si>
  <si>
    <t>2026-06-25</t>
  </si>
  <si>
    <t>2026-06-26</t>
  </si>
  <si>
    <t>2026-06-29</t>
  </si>
  <si>
    <t>2026-06-30</t>
  </si>
  <si>
    <t>2026-07-02</t>
  </si>
  <si>
    <t>2026-07-03</t>
  </si>
  <si>
    <t>2026-07-06</t>
  </si>
  <si>
    <t>2026-07-07</t>
  </si>
  <si>
    <t>2026-07-09</t>
  </si>
  <si>
    <t>2026-07-10</t>
  </si>
  <si>
    <t>2026-07-13</t>
  </si>
  <si>
    <t>2026-07-14</t>
  </si>
  <si>
    <t>2026-07-16</t>
  </si>
  <si>
    <t>2026-07-17</t>
  </si>
  <si>
    <t>2026-07-20</t>
  </si>
  <si>
    <t>2026-07-21</t>
  </si>
  <si>
    <t>2026-07-23</t>
  </si>
  <si>
    <t>2026-07-24</t>
  </si>
  <si>
    <t>2026-07-27</t>
  </si>
  <si>
    <t>2026-07-28</t>
  </si>
  <si>
    <t>2026-07-30</t>
  </si>
  <si>
    <t>2026-07-31</t>
  </si>
  <si>
    <t>2026-08-03</t>
  </si>
  <si>
    <t>2026-08-04</t>
  </si>
  <si>
    <t>2026-08-06</t>
  </si>
  <si>
    <t>2026-08-07</t>
  </si>
  <si>
    <t>2026-08-10</t>
  </si>
  <si>
    <t>2026-08-11</t>
  </si>
  <si>
    <t>2026-08-13</t>
  </si>
  <si>
    <t>2026-08-14</t>
  </si>
  <si>
    <t>2026-08-17</t>
  </si>
  <si>
    <t>2026-08-18</t>
  </si>
  <si>
    <t>2026-08-20</t>
  </si>
  <si>
    <t>2026-08-21</t>
  </si>
  <si>
    <t>2026-08-24</t>
  </si>
  <si>
    <t>2026-08-25</t>
  </si>
  <si>
    <t>2026-08-27</t>
  </si>
  <si>
    <t>2026-08-28</t>
  </si>
  <si>
    <t>2026-08-31</t>
  </si>
  <si>
    <t>2026-09-01</t>
  </si>
  <si>
    <t>2026-09-03</t>
  </si>
  <si>
    <t>2026-09-04</t>
  </si>
  <si>
    <t>2026-09-07</t>
  </si>
  <si>
    <t>2026-09-08</t>
  </si>
  <si>
    <t>2026-09-10</t>
  </si>
  <si>
    <t>2026-09-11</t>
  </si>
  <si>
    <t>2026-09-14</t>
  </si>
  <si>
    <t>2026-09-15</t>
  </si>
  <si>
    <t>2026-09-17</t>
  </si>
  <si>
    <t>2026-09-18</t>
  </si>
  <si>
    <t>2026-09-21</t>
  </si>
  <si>
    <t>2026-09-22</t>
  </si>
  <si>
    <t>2026-09-24</t>
  </si>
  <si>
    <t>2026-09-28</t>
  </si>
  <si>
    <t>2026-09-29</t>
  </si>
  <si>
    <t>2026-10-09</t>
  </si>
  <si>
    <t>2026-10-12</t>
  </si>
  <si>
    <t>2026-10-13</t>
  </si>
  <si>
    <t>2026-10-15</t>
  </si>
  <si>
    <t>2026-10-16</t>
  </si>
  <si>
    <t>2026-10-19</t>
  </si>
  <si>
    <t>期序</t>
  </si>
  <si>
    <t>报告期截止日(统计日)</t>
  </si>
  <si>
    <t>报告期星期</t>
  </si>
  <si>
    <t>实际发布时间</t>
  </si>
  <si>
    <t>发布时刻</t>
  </si>
  <si>
    <t>是否盘中披露</t>
  </si>
  <si>
    <t>研究者最早可得时点</t>
  </si>
  <si>
    <t>统计日=发布日</t>
  </si>
  <si>
    <t>可得性判定</t>
  </si>
  <si>
    <t>周三</t>
  </si>
  <si>
    <t>14:06</t>
  </si>
  <si>
    <t>是（13:00-15:00）</t>
  </si>
  <si>
    <t>2024-10-23 14:00 左右（当日盘中）</t>
  </si>
  <si>
    <t>是</t>
  </si>
  <si>
    <t>当日 11:30 收盘早于披露，可用于'披露前'价格锚点</t>
  </si>
  <si>
    <t>14:05</t>
  </si>
  <si>
    <t>2024-10-30 14:00 左右（当日盘中）</t>
  </si>
  <si>
    <t>14:00</t>
  </si>
  <si>
    <t>2024-11-06 14:00 左右（当日盘中）</t>
  </si>
  <si>
    <t>14:01</t>
  </si>
  <si>
    <t>2024-11-13 14:00 左右（当日盘中）</t>
  </si>
  <si>
    <t>2024-11-20 14:00 左右（当日盘中）</t>
  </si>
  <si>
    <t>14:02</t>
  </si>
  <si>
    <t>2024-11-27 14:00 左右（当日盘中）</t>
  </si>
  <si>
    <t>2024-12-04 14:00 左右（当日盘中）</t>
  </si>
  <si>
    <t>2024-12-11 14:00 左右（当日盘中）</t>
  </si>
  <si>
    <t>2024-12-18 14:00 左右（当日盘中）</t>
  </si>
  <si>
    <t>2024-12-25 14:00 左右（当日盘中）</t>
  </si>
  <si>
    <t>周四</t>
  </si>
  <si>
    <t>2025-01-02 14:00 左右（当日盘中）</t>
  </si>
  <si>
    <t>2025-01-08 14:00 左右（当日盘中）</t>
  </si>
  <si>
    <t>2025-01-15 14:00 左右（当日盘中）</t>
  </si>
  <si>
    <t>2025-01-22 14:00 左右（当日盘中）</t>
  </si>
  <si>
    <t>14:04</t>
  </si>
  <si>
    <t>2025-02-05 14:00 左右（当日盘中）</t>
  </si>
  <si>
    <t>2025-02-12 14:00 左右（当日盘中）</t>
  </si>
  <si>
    <t>2025-02-19 14:00 左右（当日盘中）</t>
  </si>
  <si>
    <t>2025-02-26 14:00 左右（当日盘中）</t>
  </si>
  <si>
    <t>2025-03-05 14:00 左右（当日盘中）</t>
  </si>
  <si>
    <t>2025-03-12 14:00 左右（当日盘中）</t>
  </si>
  <si>
    <t>2025-03-19 14:00 左右（当日盘中）</t>
  </si>
  <si>
    <t>2025-03-26 14:00 左右（当日盘中）</t>
  </si>
  <si>
    <t>2025-04-02 14:00 左右（当日盘中）</t>
  </si>
  <si>
    <t>2025-04-09 14:00 左右（当日盘中）</t>
  </si>
  <si>
    <t>2025-04-16 14:00 左右（当日盘中）</t>
  </si>
  <si>
    <t>2025-04-23 14:00 左右（当日盘中）</t>
  </si>
  <si>
    <t>2025-04-30 14:00 左右（当日盘中）</t>
  </si>
  <si>
    <t>2025-05-07 14:00 左右（当日盘中）</t>
  </si>
  <si>
    <t>2025-05-14 14:00 左右（当日盘中）</t>
  </si>
  <si>
    <t>2025-05-21 14:00 左右（当日盘中）</t>
  </si>
  <si>
    <t>2025-05-28 14:00 左右（当日盘中）</t>
  </si>
  <si>
    <t>2025-06-04 14:00 左右（当日盘中）</t>
  </si>
  <si>
    <t>2025-06-11 14:00 左右（当日盘中）</t>
  </si>
  <si>
    <t>2025-06-18 14:00 左右（当日盘中）</t>
  </si>
  <si>
    <t>2025-06-25 14:00 左右（当日盘中）</t>
  </si>
  <si>
    <t>2025-07-02 14:00 左右（当日盘中）</t>
  </si>
  <si>
    <t>2025-07-09 14:00 左右（当日盘中）</t>
  </si>
  <si>
    <t>2025-07-16 14:00 左右（当日盘中）</t>
  </si>
  <si>
    <t>2025-07-23 14:00 左右（当日盘中）</t>
  </si>
  <si>
    <t>2025-07-30 14:00 左右（当日盘中）</t>
  </si>
  <si>
    <t>2025-08-06 14:00 左右（当日盘中）</t>
  </si>
  <si>
    <t>2025-08-13 14:00 左右（当日盘中）</t>
  </si>
  <si>
    <t>2025-08-20 14:00 左右（当日盘中）</t>
  </si>
  <si>
    <t>2025-08-27 14:00 左右（当日盘中）</t>
  </si>
  <si>
    <t>2025-09-03 14:00 左右（当日盘中）</t>
  </si>
  <si>
    <t>2025-09-10 14:00 左右（当日盘中）</t>
  </si>
  <si>
    <t>14:03</t>
  </si>
  <si>
    <t>2025-09-17 14:00 左右（当日盘中）</t>
  </si>
  <si>
    <t>2025-09-24 14:00 左右（当日盘中）</t>
  </si>
  <si>
    <t>2025-10-09 14:00 左右（当日盘中）</t>
  </si>
  <si>
    <t>2025-10-15 14:00 左右（当日盘中）</t>
  </si>
  <si>
    <t>2025-10-22 14:00 左右（当日盘中）</t>
  </si>
  <si>
    <t>2025-10-29 14:00 左右（当日盘中）</t>
  </si>
  <si>
    <t>2025-11-05 14:00 左右（当日盘中）</t>
  </si>
  <si>
    <t>2025-11-12 14:00 左右（当日盘中）</t>
  </si>
  <si>
    <t>14:10</t>
  </si>
  <si>
    <t>2025-11-19 14:00 左右（当日盘中）</t>
  </si>
  <si>
    <t>2025-11-26 14:00 左右（当日盘中）</t>
  </si>
  <si>
    <t>2025-12-03 14:00 左右（当日盘中）</t>
  </si>
  <si>
    <t>2025-12-10 14:00 左右（当日盘中）</t>
  </si>
  <si>
    <t>2025-12-17 14:00 左右（当日盘中）</t>
  </si>
  <si>
    <t>2025-12-24 14:00 左右（当日盘中）</t>
  </si>
  <si>
    <t>2025-12-31 14:00 左右（当日盘中）</t>
  </si>
  <si>
    <t>2026-01-07 14:00 左右（当日盘中）</t>
  </si>
  <si>
    <t>2026-01-14 14:00 左右（当日盘中）</t>
  </si>
  <si>
    <t>2026-01-21 14:00 左右（当日盘中）</t>
  </si>
  <si>
    <t>2026-01-28 14:00 左右（当日盘中）</t>
  </si>
  <si>
    <t>2026-02-04 14:00 左右（当日盘中）</t>
  </si>
  <si>
    <t>2026-02-11 14:00 左右（当日盘中）</t>
  </si>
  <si>
    <t>2026-02-25 14:00 左右（当日盘中）</t>
  </si>
  <si>
    <t>2026-03-04 14:00 左右（当日盘中）</t>
  </si>
  <si>
    <t>2026-03-11 14:00 左右（当日盘中）</t>
  </si>
  <si>
    <t>2026-03-18 14:00 左右（当日盘中）</t>
  </si>
  <si>
    <t>2026-03-25 14:00 左右（当日盘中）</t>
  </si>
  <si>
    <t>2026-04-01 14:00 左右（当日盘中）</t>
  </si>
  <si>
    <t>2026-04-08 14:00 左右（当日盘中）</t>
  </si>
  <si>
    <t>2026-04-15 14:00 左右（当日盘中）</t>
  </si>
  <si>
    <t>2026-04-22 14:00 左右（当日盘中）</t>
  </si>
  <si>
    <t>2026-04-29 14:00 左右（当日盘中）</t>
  </si>
  <si>
    <t>2026-05-06 14:00 左右（当日盘中）</t>
  </si>
  <si>
    <t>2026-05-13 14:00 左右（当日盘中）</t>
  </si>
  <si>
    <t>2026-05-20 14:00 左右（当日盘中）</t>
  </si>
  <si>
    <t>2026-05-27 14:00 左右（当日盘中）</t>
  </si>
  <si>
    <t>2026-06-03 14:00 左右（当日盘中）</t>
  </si>
  <si>
    <t>2026-06-10 14:00 左右（当日盘中）</t>
  </si>
  <si>
    <t>2026-06-17 14:00 左右（当日盘中）</t>
  </si>
  <si>
    <t>2026-06-24 14:00 左右（当日盘中）</t>
  </si>
  <si>
    <t>2026-07-01 14:00 左右（当日盘中）</t>
  </si>
  <si>
    <t>2026-07-08 14:00 左右（当日盘中）</t>
  </si>
  <si>
    <t>2026-07-15 14:00 左右（当日盘中）</t>
  </si>
  <si>
    <t>2026-07-22 14:00 左右（当日盘中）</t>
  </si>
  <si>
    <t>2026-07-29 14:00 左右（当日盘中）</t>
  </si>
  <si>
    <t>2026-08-05 14:00 左右（当日盘中）</t>
  </si>
  <si>
    <t>2026-08-12 14:00 左右（当日盘中）</t>
  </si>
  <si>
    <t>13:59</t>
  </si>
  <si>
    <t>2026-08-19 14:00 左右（当日盘中）</t>
  </si>
  <si>
    <t>2026-08-26 14:00 左右（当日盘中）</t>
  </si>
  <si>
    <t>2026-09-02 14:00 左右（当日盘中）</t>
  </si>
  <si>
    <t>2026-09-09 14:00 左右（当日盘中）</t>
  </si>
  <si>
    <t>2026-09-16 14:00 左右（当日盘中）</t>
  </si>
  <si>
    <t>2026-09-23 14:00 左右（当日盘中）</t>
  </si>
  <si>
    <t>2026-09-30 14:00 左右（当日盘中）</t>
  </si>
  <si>
    <t>2026-10-08 14:00 左右（当日盘中）</t>
  </si>
  <si>
    <t>2026-10-14 14:00 左右（当日盘中）</t>
  </si>
  <si>
    <t>校验结论：101 期全部满足「统计日 = 发布日」，且发布时间集中在 13:00–15:00。因此本样本可以采用当日 11:30 定格收盘作为披露前价格锚点，无需对库存数据额外滞后 1 期；若直接以统计期结束日收盘作为'收盘价'再与下一期收益做相关，会引入当日已消化部分的信息泄漏。</t>
  </si>
  <si>
    <t>统计日</t>
  </si>
  <si>
    <t>库存I(万吨)</t>
  </si>
  <si>
    <t>ΔI(万吨)</t>
  </si>
  <si>
    <t>ΔI(%)</t>
  </si>
  <si>
    <t>披露前收盘 P_prev</t>
  </si>
  <si>
    <t>披露日收盘 P_pub</t>
  </si>
  <si>
    <t>披露日收益 r(%)</t>
  </si>
  <si>
    <t>可用周收益(%)</t>
  </si>
  <si>
    <t>库存水平分位(52周)</t>
  </si>
  <si>
    <t>MTO产能利用率(%)</t>
  </si>
  <si>
    <t>配对序</t>
  </si>
  <si>
    <t>A 期：统计日</t>
  </si>
  <si>
    <t>A 期：发布时间</t>
  </si>
  <si>
    <t>A：Δ库存(万吨)</t>
  </si>
  <si>
    <t>B 期：统计日</t>
  </si>
  <si>
    <t>B 期：收益(%)</t>
  </si>
  <si>
    <t>Lag 说明</t>
  </si>
  <si>
    <t>A 在 2024-10-30 披露，领先 B 期 2024-11-13 的收益 2 周</t>
  </si>
  <si>
    <t>A 在 2024-11-06 披露，领先 B 期 2024-11-20 的收益 2 周</t>
  </si>
  <si>
    <t>A 在 2024-11-13 披露，领先 B 期 2024-11-27 的收益 2 周</t>
  </si>
  <si>
    <t>A 在 2024-11-20 披露，领先 B 期 2024-12-04 的收益 2 周</t>
  </si>
  <si>
    <t>A 在 2024-11-27 披露，领先 B 期 2024-12-11 的收益 2 周</t>
  </si>
  <si>
    <t>A 在 2024-12-04 披露，领先 B 期 2024-12-18 的收益 2 周</t>
  </si>
  <si>
    <t>A 在 2024-12-11 披露，领先 B 期 2024-12-25 的收益 2 周</t>
  </si>
  <si>
    <t>A 在 2024-12-18 披露，领先 B 期 2025-01-02 的收益 2 周</t>
  </si>
  <si>
    <t>A 在 2024-12-25 披露，领先 B 期 2025-01-08 的收益 2 周</t>
  </si>
  <si>
    <t>A 在 2025-01-02 披露，领先 B 期 2025-01-15 的收益 2 周</t>
  </si>
  <si>
    <t>A 在 2025-01-08 披露，领先 B 期 2025-01-22 的收益 2 周</t>
  </si>
  <si>
    <t>A 在 2025-01-15 披露，领先 B 期 2025-02-05 的收益 2 周</t>
  </si>
  <si>
    <t>A 在 2025-01-22 披露，领先 B 期 2025-02-12 的收益 2 周</t>
  </si>
  <si>
    <t>A 在 2025-02-05 披露，领先 B 期 2025-02-19 的收益 2 周</t>
  </si>
  <si>
    <t>A 在 2025-02-12 披露，领先 B 期 2025-02-26 的收益 2 周</t>
  </si>
  <si>
    <t>A 在 2025-02-19 披露，领先 B 期 2025-03-05 的收益 2 周</t>
  </si>
  <si>
    <t>A 在 2025-02-26 披露，领先 B 期 2025-03-12 的收益 2 周</t>
  </si>
  <si>
    <t>A 在 2025-03-05 披露，领先 B 期 2025-03-19 的收益 2 周</t>
  </si>
  <si>
    <t>A 在 2025-03-12 披露，领先 B 期 2025-03-26 的收益 2 周</t>
  </si>
  <si>
    <t>A 在 2025-03-19 披露，领先 B 期 2025-04-02 的收益 2 周</t>
  </si>
  <si>
    <t>A 在 2025-03-26 披露，领先 B 期 2025-04-09 的收益 2 周</t>
  </si>
  <si>
    <t>A 在 2025-04-02 披露，领先 B 期 2025-04-16 的收益 2 周</t>
  </si>
  <si>
    <t>A 在 2025-04-09 披露，领先 B 期 2025-04-23 的收益 2 周</t>
  </si>
  <si>
    <t>A 在 2025-04-16 披露，领先 B 期 2025-04-30 的收益 2 周</t>
  </si>
  <si>
    <t>A 在 2025-04-23 披露，领先 B 期 2025-05-07 的收益 2 周</t>
  </si>
  <si>
    <t>A 在 2025-04-30 披露，领先 B 期 2025-05-14 的收益 2 周</t>
  </si>
  <si>
    <t>A 在 2025-05-07 披露，领先 B 期 2025-05-21 的收益 2 周</t>
  </si>
  <si>
    <t>A 在 2025-05-14 披露，领先 B 期 2025-05-28 的收益 2 周</t>
  </si>
  <si>
    <t>A 在 2025-05-21 披露，领先 B 期 2025-06-04 的收益 2 周</t>
  </si>
  <si>
    <t>A 在 2025-05-28 披露，领先 B 期 2025-06-11 的收益 2 周</t>
  </si>
  <si>
    <t>A 在 2025-06-04 披露，领先 B 期 2025-06-18 的收益 2 周</t>
  </si>
  <si>
    <t>A 在 2025-06-11 披露，领先 B 期 2025-06-25 的收益 2 周</t>
  </si>
  <si>
    <t>A 在 2025-06-18 披露，领先 B 期 2025-07-02 的收益 2 周</t>
  </si>
  <si>
    <t>A 在 2025-06-25 披露，领先 B 期 2025-07-09 的收益 2 周</t>
  </si>
  <si>
    <t>A 在 2025-07-02 披露，领先 B 期 2025-07-16 的收益 2 周</t>
  </si>
  <si>
    <t>A 在 2025-07-09 披露，领先 B 期 2025-07-23 的收益 2 周</t>
  </si>
  <si>
    <t>A 在 2025-07-16 披露，领先 B 期 2025-07-30 的收益 2 周</t>
  </si>
  <si>
    <t>A 在 2025-07-23 披露，领先 B 期 2025-08-06 的收益 2 周</t>
  </si>
  <si>
    <t>A 在 2025-07-30 披露，领先 B 期 2025-08-13 的收益 2 周</t>
  </si>
  <si>
    <t>A 在 2025-08-06 披露，领先 B 期 2025-08-20 的收益 2 周</t>
  </si>
  <si>
    <t>A 在 2025-08-13 披露，领先 B 期 2025-08-27 的收益 2 周</t>
  </si>
  <si>
    <t>A 在 2025-08-20 披露，领先 B 期 2025-09-03 的收益 2 周</t>
  </si>
  <si>
    <t>A 在 2025-08-27 披露，领先 B 期 2025-09-10 的收益 2 周</t>
  </si>
  <si>
    <t>A 在 2025-09-03 披露，领先 B 期 2025-09-17 的收益 2 周</t>
  </si>
  <si>
    <t>A 在 2025-09-10 披露，领先 B 期 2025-09-24 的收益 2 周</t>
  </si>
  <si>
    <t>A 在 2025-09-17 披露，领先 B 期 2025-10-09 的收益 2 周</t>
  </si>
  <si>
    <t>A 在 2025-09-24 披露，领先 B 期 2025-10-15 的收益 2 周</t>
  </si>
  <si>
    <t>A 在 2025-10-09 披露，领先 B 期 2025-10-22 的收益 2 周</t>
  </si>
  <si>
    <t>A 在 2025-10-15 披露，领先 B 期 2025-10-29 的收益 2 周</t>
  </si>
  <si>
    <t>A 在 2025-10-22 披露，领先 B 期 2025-11-05 的收益 2 周</t>
  </si>
  <si>
    <t>A 在 2025-10-29 披露，领先 B 期 2025-11-12 的收益 2 周</t>
  </si>
  <si>
    <t>A 在 2025-11-05 披露，领先 B 期 2025-11-19 的收益 2 周</t>
  </si>
  <si>
    <t>A 在 2025-11-12 披露，领先 B 期 2025-11-26 的收益 2 周</t>
  </si>
  <si>
    <t>A 在 2025-11-19 披露，领先 B 期 2025-12-03 的收益 2 周</t>
  </si>
  <si>
    <t>A 在 2025-11-26 披露，领先 B 期 2025-12-10 的收益 2 周</t>
  </si>
  <si>
    <t>A 在 2025-12-03 披露，领先 B 期 2025-12-17 的收益 2 周</t>
  </si>
  <si>
    <t>A 在 2025-12-10 披露，领先 B 期 2025-12-24 的收益 2 周</t>
  </si>
  <si>
    <t>A 在 2025-12-17 披露，领先 B 期 2025-12-31 的收益 2 周</t>
  </si>
  <si>
    <t>A 在 2025-12-24 披露，领先 B 期 2026-01-07 的收益 2 周</t>
  </si>
  <si>
    <t>A 在 2025-12-31 披露，领先 B 期 2026-01-14 的收益 2 周</t>
  </si>
  <si>
    <t>A 在 2026-01-07 披露，领先 B 期 2026-01-21 的收益 2 周</t>
  </si>
  <si>
    <t>A 在 2026-01-14 披露，领先 B 期 2026-01-28 的收益 2 周</t>
  </si>
  <si>
    <t>A 在 2026-01-21 披露，领先 B 期 2026-02-04 的收益 2 周</t>
  </si>
  <si>
    <t>A 在 2026-01-28 披露，领先 B 期 2026-02-11 的收益 2 周</t>
  </si>
  <si>
    <t>A 在 2026-02-04 披露，领先 B 期 2026-02-25 的收益 2 周</t>
  </si>
  <si>
    <t>A 在 2026-02-11 披露，领先 B 期 2026-03-04 的收益 2 周</t>
  </si>
  <si>
    <t>A 在 2026-02-25 披露，领先 B 期 2026-03-11 的收益 2 周</t>
  </si>
  <si>
    <t>A 在 2026-03-04 披露，领先 B 期 2026-03-18 的收益 2 周</t>
  </si>
  <si>
    <t>A 在 2026-03-11 披露，领先 B 期 2026-03-25 的收益 2 周</t>
  </si>
  <si>
    <t>A 在 2026-03-18 披露，领先 B 期 2026-04-01 的收益 2 周</t>
  </si>
  <si>
    <t>A 在 2026-03-25 披露，领先 B 期 2026-04-08 的收益 2 周</t>
  </si>
  <si>
    <t>A 在 2026-04-01 披露，领先 B 期 2026-04-15 的收益 2 周</t>
  </si>
  <si>
    <t>A 在 2026-04-08 披露，领先 B 期 2026-04-22 的收益 2 周</t>
  </si>
  <si>
    <t>A 在 2026-04-15 披露，领先 B 期 2026-04-29 的收益 2 周</t>
  </si>
  <si>
    <t>A 在 2026-04-22 披露，领先 B 期 2026-05-06 的收益 2 周</t>
  </si>
  <si>
    <t>A 在 2026-04-29 披露，领先 B 期 2026-05-13 的收益 2 周</t>
  </si>
  <si>
    <t>A 在 2026-05-06 披露，领先 B 期 2026-05-20 的收益 2 周</t>
  </si>
  <si>
    <t>A 在 2026-05-13 披露，领先 B 期 2026-05-27 的收益 2 周</t>
  </si>
  <si>
    <t>A 在 2026-05-20 披露，领先 B 期 2026-06-03 的收益 2 周</t>
  </si>
  <si>
    <t>A 在 2026-05-27 披露，领先 B 期 2026-06-10 的收益 2 周</t>
  </si>
  <si>
    <t>A 在 2026-06-03 披露，领先 B 期 2026-06-17 的收益 2 周</t>
  </si>
  <si>
    <t>A 在 2026-06-10 披露，领先 B 期 2026-06-24 的收益 2 周</t>
  </si>
  <si>
    <t>A 在 2026-06-17 披露，领先 B 期 2026-07-01 的收益 2 周</t>
  </si>
  <si>
    <t>A 在 2026-06-24 披露，领先 B 期 2026-07-08 的收益 2 周</t>
  </si>
  <si>
    <t>A 在 2026-07-01 披露，领先 B 期 2026-07-15 的收益 2 周</t>
  </si>
  <si>
    <t>A 在 2026-07-08 披露，领先 B 期 2026-07-22 的收益 2 周</t>
  </si>
  <si>
    <t>A 在 2026-07-15 披露，领先 B 期 2026-07-29 的收益 2 周</t>
  </si>
  <si>
    <t>A 在 2026-07-22 披露，领先 B 期 2026-08-05 的收益 2 周</t>
  </si>
  <si>
    <t>A 在 2026-07-29 披露，领先 B 期 2026-08-12 的收益 2 周</t>
  </si>
  <si>
    <t>A 在 2026-08-05 披露，领先 B 期 2026-08-19 的收益 2 周</t>
  </si>
  <si>
    <t>A 在 2026-08-12 披露，领先 B 期 2026-08-26 的收益 2 周</t>
  </si>
  <si>
    <t>A 在 2026-08-19 披露，领先 B 期 2026-09-02 的收益 2 周</t>
  </si>
  <si>
    <t>A 在 2026-08-26 披露，领先 B 期 2026-09-09 的收益 2 周</t>
  </si>
  <si>
    <t>A 在 2026-09-02 披露，领先 B 期 2026-09-16 的收益 2 周</t>
  </si>
  <si>
    <t>A 在 2026-09-09 披露，领先 B 期 2026-09-23 的收益 2 周</t>
  </si>
  <si>
    <t>A 在 2026-09-16 披露，领先 B 期 2026-09-30 的收益 2 周</t>
  </si>
  <si>
    <t>A 在 2026-09-23 披露，领先 B 期 2026-10-08 的收益 2 周</t>
  </si>
  <si>
    <t>A 在 2026-09-30 披露，领先 B 期 2026-10-14 的收益 2 周</t>
  </si>
  <si>
    <t>相关系数 r</t>
  </si>
  <si>
    <t>有效样本 n</t>
  </si>
  <si>
    <t>p 值（双尾）</t>
  </si>
  <si>
    <t>同一期：库存披露当日的价格反应</t>
  </si>
  <si>
    <t>B 在 2024-10-23 先行，A 在 2024-11-06 披露（A 滞后 2 周）</t>
  </si>
  <si>
    <t>B 在 2024-10-30 先行，A 在 2024-11-13 披露（A 滞后 2 周）</t>
  </si>
  <si>
    <t>B 在 2024-11-06 先行，A 在 2024-11-20 披露（A 滞后 2 周）</t>
  </si>
  <si>
    <t>B 在 2024-11-13 先行，A 在 2024-11-27 披露（A 滞后 2 周）</t>
  </si>
  <si>
    <t>B 在 2024-11-20 先行，A 在 2024-12-04 披露（A 滞后 2 周）</t>
  </si>
  <si>
    <t>B 在 2024-11-27 先行，A 在 2024-12-11 披露（A 滞后 2 周）</t>
  </si>
  <si>
    <t>B 在 2024-12-04 先行，A 在 2024-12-18 披露（A 滞后 2 周）</t>
  </si>
  <si>
    <t>B 在 2024-12-11 先行，A 在 2024-12-25 披露（A 滞后 2 周）</t>
  </si>
  <si>
    <t>B 在 2024-12-18 先行，A 在 2025-01-02 披露（A 滞后 2 周）</t>
  </si>
  <si>
    <t>B 在 2024-12-25 先行，A 在 2025-01-08 披露（A 滞后 2 周）</t>
  </si>
  <si>
    <t>B 在 2025-01-02 先行，A 在 2025-01-15 披露（A 滞后 2 周）</t>
  </si>
  <si>
    <t>B 在 2025-01-08 先行，A 在 2025-01-22 披露（A 滞后 2 周）</t>
  </si>
  <si>
    <t>B 在 2025-01-15 先行，A 在 2025-02-05 披露（A 滞后 2 周）</t>
  </si>
  <si>
    <t>B 在 2025-01-22 先行，A 在 2025-02-12 披露（A 滞后 2 周）</t>
  </si>
  <si>
    <t>B 在 2025-02-05 先行，A 在 2025-02-19 披露（A 滞后 2 周）</t>
  </si>
  <si>
    <t>B 在 2025-02-12 先行，A 在 2025-02-26 披露（A 滞后 2 周）</t>
  </si>
  <si>
    <t>B 在 2025-02-19 先行，A 在 2025-03-05 披露（A 滞后 2 周）</t>
  </si>
  <si>
    <t>B 在 2025-02-26 先行，A 在 2025-03-12 披露（A 滞后 2 周）</t>
  </si>
  <si>
    <t>B 在 2025-03-05 先行，A 在 2025-03-19 披露（A 滞后 2 周）</t>
  </si>
  <si>
    <t>B 在 2025-03-12 先行，A 在 2025-03-26 披露（A 滞后 2 周）</t>
  </si>
  <si>
    <t>B 在 2025-03-19 先行，A 在 2025-04-02 披露（A 滞后 2 周）</t>
  </si>
  <si>
    <t>B 在 2025-03-26 先行，A 在 2025-04-09 披露（A 滞后 2 周）</t>
  </si>
  <si>
    <t>B 在 2025-04-02 先行，A 在 2025-04-16 披露（A 滞后 2 周）</t>
  </si>
  <si>
    <t>B 在 2025-04-09 先行，A 在 2025-04-23 披露（A 滞后 2 周）</t>
  </si>
  <si>
    <t>B 在 2025-04-16 先行，A 在 2025-04-30 披露（A 滞后 2 周）</t>
  </si>
  <si>
    <t>B 在 2025-04-23 先行，A 在 2025-05-07 披露（A 滞后 2 周）</t>
  </si>
  <si>
    <t>B 在 2025-04-30 先行，A 在 2025-05-14 披露（A 滞后 2 周）</t>
  </si>
  <si>
    <t>B 在 2025-05-07 先行，A 在 2025-05-21 披露（A 滞后 2 周）</t>
  </si>
  <si>
    <t>B 在 2025-05-14 先行，A 在 2025-05-28 披露（A 滞后 2 周）</t>
  </si>
  <si>
    <t>B 在 2025-05-21 先行，A 在 2025-06-04 披露（A 滞后 2 周）</t>
  </si>
  <si>
    <t>B 在 2025-05-28 先行，A 在 2025-06-11 披露（A 滞后 2 周）</t>
  </si>
  <si>
    <t>B 在 2025-06-04 先行，A 在 2025-06-18 披露（A 滞后 2 周）</t>
  </si>
  <si>
    <t>B 在 2025-06-11 先行，A 在 2025-06-25 披露（A 滞后 2 周）</t>
  </si>
  <si>
    <t>B 在 2025-06-18 先行，A 在 2025-07-02 披露（A 滞后 2 周）</t>
  </si>
  <si>
    <t>B 在 2025-06-25 先行，A 在 2025-07-09 披露（A 滞后 2 周）</t>
  </si>
  <si>
    <t>B 在 2025-07-02 先行，A 在 2025-07-16 披露（A 滞后 2 周）</t>
  </si>
  <si>
    <t>B 在 2025-07-09 先行，A 在 2025-07-23 披露（A 滞后 2 周）</t>
  </si>
  <si>
    <t>B 在 2025-07-16 先行，A 在 2025-07-30 披露（A 滞后 2 周）</t>
  </si>
  <si>
    <t>B 在 2025-07-23 先行，A 在 2025-08-06 披露（A 滞后 2 周）</t>
  </si>
  <si>
    <t>B 在 2025-07-30 先行，A 在 2025-08-13 披露（A 滞后 2 周）</t>
  </si>
  <si>
    <t>B 在 2025-08-06 先行，A 在 2025-08-20 披露（A 滞后 2 周）</t>
  </si>
  <si>
    <t>B 在 2025-08-13 先行，A 在 2025-08-27 披露（A 滞后 2 周）</t>
  </si>
  <si>
    <t>B 在 2025-08-20 先行，A 在 2025-09-03 披露（A 滞后 2 周）</t>
  </si>
  <si>
    <t>B 在 2025-08-27 先行，A 在 2025-09-10 披露（A 滞后 2 周）</t>
  </si>
  <si>
    <t>B 在 2025-09-03 先行，A 在 2025-09-17 披露（A 滞后 2 周）</t>
  </si>
  <si>
    <t>B 在 2025-09-10 先行，A 在 2025-09-24 披露（A 滞后 2 周）</t>
  </si>
  <si>
    <t>B 在 2025-09-17 先行，A 在 2025-10-09 披露（A 滞后 2 周）</t>
  </si>
  <si>
    <t>B 在 2025-09-24 先行，A 在 2025-10-15 披露（A 滞后 2 周）</t>
  </si>
  <si>
    <t>B 在 2025-10-09 先行，A 在 2025-10-22 披露（A 滞后 2 周）</t>
  </si>
  <si>
    <t>B 在 2025-10-15 先行，A 在 2025-10-29 披露（A 滞后 2 周）</t>
  </si>
  <si>
    <t>B 在 2025-10-22 先行，A 在 2025-11-05 披露（A 滞后 2 周）</t>
  </si>
  <si>
    <t>B 在 2025-10-29 先行，A 在 2025-11-12 披露（A 滞后 2 周）</t>
  </si>
  <si>
    <t>B 在 2025-11-05 先行，A 在 2025-11-19 披露（A 滞后 2 周）</t>
  </si>
  <si>
    <t>B 在 2025-11-12 先行，A 在 2025-11-26 披露（A 滞后 2 周）</t>
  </si>
  <si>
    <t>B 在 2025-11-19 先行，A 在 2025-12-03 披露（A 滞后 2 周）</t>
  </si>
  <si>
    <t>B 在 2025-11-26 先行，A 在 2025-12-10 披露（A 滞后 2 周）</t>
  </si>
  <si>
    <t>B 在 2025-12-03 先行，A 在 2025-12-17 披露（A 滞后 2 周）</t>
  </si>
  <si>
    <t>B 在 2025-12-10 先行，A 在 2025-12-24 披露（A 滞后 2 周）</t>
  </si>
  <si>
    <t>B 在 2025-12-17 先行，A 在 2025-12-31 披露（A 滞后 2 周）</t>
  </si>
  <si>
    <t>B 在 2025-12-24 先行，A 在 2026-01-07 披露（A 滞后 2 周）</t>
  </si>
  <si>
    <t>B 在 2025-12-31 先行，A 在 2026-01-14 披露（A 滞后 2 周）</t>
  </si>
  <si>
    <t>B 在 2026-01-07 先行，A 在 2026-01-21 披露（A 滞后 2 周）</t>
  </si>
  <si>
    <t>B 在 2026-01-14 先行，A 在 2026-01-28 披露（A 滞后 2 周）</t>
  </si>
  <si>
    <t>B 在 2026-01-21 先行，A 在 2026-02-04 披露（A 滞后 2 周）</t>
  </si>
  <si>
    <t>B 在 2026-01-28 先行，A 在 2026-02-11 披露（A 滞后 2 周）</t>
  </si>
  <si>
    <t>B 在 2026-02-04 先行，A 在 2026-02-25 披露（A 滞后 2 周）</t>
  </si>
  <si>
    <t>B 在 2026-02-11 先行，A 在 2026-03-04 披露（A 滞后 2 周）</t>
  </si>
  <si>
    <t>B 在 2026-02-25 先行，A 在 2026-03-11 披露（A 滞后 2 周）</t>
  </si>
  <si>
    <t>B 在 2026-03-04 先行，A 在 2026-03-18 披露（A 滞后 2 周）</t>
  </si>
  <si>
    <t>B 在 2026-03-11 先行，A 在 2026-03-25 披露（A 滞后 2 周）</t>
  </si>
  <si>
    <t>B 在 2026-03-18 先行，A 在 2026-04-01 披露（A 滞后 2 周）</t>
  </si>
  <si>
    <t>B 在 2026-03-25 先行，A 在 2026-04-08 披露（A 滞后 2 周）</t>
  </si>
  <si>
    <t>B 在 2026-04-01 先行，A 在 2026-04-15 披露（A 滞后 2 周）</t>
  </si>
  <si>
    <t>B 在 2026-04-08 先行，A 在 2026-04-22 披露（A 滞后 2 周）</t>
  </si>
  <si>
    <t>B 在 2026-04-15 先行，A 在 2026-04-29 披露（A 滞后 2 周）</t>
  </si>
  <si>
    <t>B 在 2026-04-22 先行，A 在 2026-05-06 披露（A 滞后 2 周）</t>
  </si>
  <si>
    <t>B 在 2026-04-29 先行，A 在 2026-05-13 披露（A 滞后 2 周）</t>
  </si>
  <si>
    <t>B 在 2026-05-06 先行，A 在 2026-05-20 披露（A 滞后 2 周）</t>
  </si>
  <si>
    <t>B 在 2026-05-13 先行，A 在 2026-05-27 披露（A 滞后 2 周）</t>
  </si>
  <si>
    <t>B 在 2026-05-20 先行，A 在 2026-06-03 披露（A 滞后 2 周）</t>
  </si>
  <si>
    <t>B 在 2026-05-27 先行，A 在 2026-06-10 披露（A 滞后 2 周）</t>
  </si>
  <si>
    <t>B 在 2026-06-03 先行，A 在 2026-06-17 披露（A 滞后 2 周）</t>
  </si>
  <si>
    <t>B 在 2026-06-10 先行，A 在 2026-06-24 披露（A 滞后 2 周）</t>
  </si>
  <si>
    <t>B 在 2026-06-17 先行，A 在 2026-07-01 披露（A 滞后 2 周）</t>
  </si>
  <si>
    <t>B 在 2026-06-24 先行，A 在 2026-07-08 披露（A 滞后 2 周）</t>
  </si>
  <si>
    <t>B 在 2026-07-01 先行，A 在 2026-07-15 披露（A 滞后 2 周）</t>
  </si>
  <si>
    <t>B 在 2026-07-08 先行，A 在 2026-07-22 披露（A 滞后 2 周）</t>
  </si>
  <si>
    <t>B 在 2026-07-15 先行，A 在 2026-07-29 披露（A 滞后 2 周）</t>
  </si>
  <si>
    <t>B 在 2026-07-22 先行，A 在 2026-08-05 披露（A 滞后 2 周）</t>
  </si>
  <si>
    <t>B 在 2026-07-29 先行，A 在 2026-08-12 披露（A 滞后 2 周）</t>
  </si>
  <si>
    <t>B 在 2026-08-05 先行，A 在 2026-08-19 披露（A 滞后 2 周）</t>
  </si>
  <si>
    <t>B 在 2026-08-12 先行，A 在 2026-08-26 披露（A 滞后 2 周）</t>
  </si>
  <si>
    <t>B 在 2026-08-19 先行，A 在 2026-09-02 披露（A 滞后 2 周）</t>
  </si>
  <si>
    <t>B 在 2026-08-26 先行，A 在 2026-09-09 披露（A 滞后 2 周）</t>
  </si>
  <si>
    <t>B 在 2026-09-02 先行，A 在 2026-09-16 披露（A 滞后 2 周）</t>
  </si>
  <si>
    <t>B 在 2026-09-09 先行，A 在 2026-09-23 披露（A 滞后 2 周）</t>
  </si>
  <si>
    <t>B 在 2026-09-16 先行，A 在 2026-09-30 披露（A 滞后 2 周）</t>
  </si>
  <si>
    <t>B 在 2026-09-23 先行，A 在 2026-10-08 披露（A 滞后 2 周）</t>
  </si>
  <si>
    <t>B 在 2026-09-30 先行，A 在 2026-10-14 披露（A 滞后 2 周）</t>
  </si>
  <si>
    <t>Lag(周)</t>
  </si>
  <si>
    <t>含义</t>
  </si>
  <si>
    <t>n</t>
  </si>
  <si>
    <t>r</t>
  </si>
  <si>
    <t>CI 下限</t>
  </si>
  <si>
    <t>CI 上限</t>
  </si>
  <si>
    <t>t(朴素)</t>
  </si>
  <si>
    <t>p(朴素)</t>
  </si>
  <si>
    <t>t(NW稳健)</t>
  </si>
  <si>
    <t>p(NW)</t>
  </si>
  <si>
    <t>NW滞后阶</t>
  </si>
  <si>
    <t>q(BH-FDR)</t>
  </si>
  <si>
    <t>q(Bonferroni)</t>
  </si>
  <si>
    <t>有效样本n_eff</t>
  </si>
  <si>
    <t>判定</t>
  </si>
  <si>
    <t>期货收益领先库存变化 12 周</t>
  </si>
  <si>
    <t>不显著</t>
  </si>
  <si>
    <t>期货收益领先库存变化 11 周</t>
  </si>
  <si>
    <t>期货收益领先库存变化 10 周</t>
  </si>
  <si>
    <t>期货收益领先库存变化 9 周</t>
  </si>
  <si>
    <t>期货收益领先库存变化 8 周</t>
  </si>
  <si>
    <t>期货收益领先库存变化 7 周</t>
  </si>
  <si>
    <t>期货收益领先库存变化 6 周</t>
  </si>
  <si>
    <t>仅未校正显著（不成立）</t>
  </si>
  <si>
    <t>期货收益领先库存变化 5 周</t>
  </si>
  <si>
    <t>期货收益领先库存变化 4 周</t>
  </si>
  <si>
    <t>期货收益领先库存变化 3 周</t>
  </si>
  <si>
    <t>期货收益领先库存变化 2 周</t>
  </si>
  <si>
    <t>期货收益领先库存变化 1 周</t>
  </si>
  <si>
    <t>同期（同周）</t>
  </si>
  <si>
    <t>库存变化领先期货收益 1 周</t>
  </si>
  <si>
    <t>库存变化领先期货收益 2 周</t>
  </si>
  <si>
    <t>库存变化领先期货收益 3 周</t>
  </si>
  <si>
    <t>库存变化领先期货收益 4 周</t>
  </si>
  <si>
    <t>库存变化领先期货收益 5 周</t>
  </si>
  <si>
    <t>库存变化领先期货收益 6 周</t>
  </si>
  <si>
    <t>库存变化领先期货收益 7 周</t>
  </si>
  <si>
    <t>库存变化领先期货收益 8 周</t>
  </si>
  <si>
    <t>库存变化领先期货收益 9 周</t>
  </si>
  <si>
    <t>库存变化领先期货收益 10 周</t>
  </si>
  <si>
    <t>库存变化领先期货收益 11 周</t>
  </si>
  <si>
    <t>库存变化领先期货收益 12 周</t>
  </si>
  <si>
    <t>最小未校正 p 值</t>
  </si>
  <si>
    <t>最小 FDR 校正 q 值</t>
  </si>
  <si>
    <t>是否通过多重检验</t>
  </si>
  <si>
    <t>最大 |r| 所在 Lag</t>
  </si>
  <si>
    <t>逐年 Lag 扫描（r 值，绿色=FDR 显著；n 为该年周数）</t>
  </si>
  <si>
    <t>分组</t>
  </si>
  <si>
    <t>区间</t>
  </si>
  <si>
    <t>周数 n</t>
  </si>
  <si>
    <t>Lag-12</t>
  </si>
  <si>
    <t>Lag-11</t>
  </si>
  <si>
    <t>Lag-10</t>
  </si>
  <si>
    <t>Lag-9</t>
  </si>
  <si>
    <t>Lag-8</t>
  </si>
  <si>
    <t>Lag-7</t>
  </si>
  <si>
    <t>Lag-6</t>
  </si>
  <si>
    <t>Lag-5</t>
  </si>
  <si>
    <t>Lag-4</t>
  </si>
  <si>
    <t>Lag-3</t>
  </si>
  <si>
    <t>Lag-2</t>
  </si>
  <si>
    <t>Lag-1</t>
  </si>
  <si>
    <t>Lag0</t>
  </si>
  <si>
    <t>Lag+1</t>
  </si>
  <si>
    <t>Lag+2</t>
  </si>
  <si>
    <t>Lag+3</t>
  </si>
  <si>
    <t>Lag+4</t>
  </si>
  <si>
    <t>Lag+5</t>
  </si>
  <si>
    <t>Lag+6</t>
  </si>
  <si>
    <t>Lag+7</t>
  </si>
  <si>
    <t>Lag+8</t>
  </si>
  <si>
    <t>Lag+9</t>
  </si>
  <si>
    <t>Lag+10</t>
  </si>
  <si>
    <t>Lag+11</t>
  </si>
  <si>
    <t>Lag+12</t>
  </si>
  <si>
    <t>2024</t>
  </si>
  <si>
    <t>2024-10-23 → 2024-12-25</t>
  </si>
  <si>
    <t>2025</t>
  </si>
  <si>
    <t>2025-01-02 → 2025-12-31</t>
  </si>
  <si>
    <t>2026</t>
  </si>
  <si>
    <t>2026-01-07 → 2026-10-14</t>
  </si>
  <si>
    <t>分市场阶段 Lag 扫描（r 值）</t>
  </si>
  <si>
    <t>S1_去库升水期_2024Q4-2025Q1</t>
  </si>
  <si>
    <t>2024-10-23 → 2025-03-31</t>
  </si>
  <si>
    <t>S2_低波动磨底期_2025Q2-Q3</t>
  </si>
  <si>
    <t>2025-04-01 → 2025-09-30</t>
  </si>
  <si>
    <t>S3_深度去库上涨期_2025Q4-2026Q1</t>
  </si>
  <si>
    <t>2025-10-01 → 2026-03-31</t>
  </si>
  <si>
    <t>S4_高位回调再上涨期_2026Q2-Q3</t>
  </si>
  <si>
    <t>2026-04-01 → 2026-10-14</t>
  </si>
  <si>
    <t>分半年 Lag 扫描（r 值）</t>
  </si>
  <si>
    <t>2025H1</t>
  </si>
  <si>
    <t>2025H1 → 2025H1</t>
  </si>
  <si>
    <t>2025H2</t>
  </si>
  <si>
    <t>2025H2 → 2025H2</t>
  </si>
  <si>
    <t>2026H1</t>
  </si>
  <si>
    <t>2026H1 → 2026H1</t>
  </si>
  <si>
    <t>2026H2</t>
  </si>
  <si>
    <t>2026H2 → 2026H2</t>
  </si>
  <si>
    <t>说明：每个分组内部独立完整扫描 ±12 周，并各自做 FDR 校正。分组样本量 10–51 期，单个 r 的 95% 置信区间半宽约 0.3–0.6，分段结果仅作方向参考。</t>
  </si>
  <si>
    <t>窗口末端(统计日)</t>
  </si>
  <si>
    <t>Lag+2 滚动 r</t>
  </si>
  <si>
    <t>Lag+1 滚动 r</t>
  </si>
  <si>
    <t>Lag+0 滚动 r</t>
  </si>
  <si>
    <t>Lag-1 滚动 r</t>
  </si>
  <si>
    <t>Lag-2 滚动 r</t>
  </si>
  <si>
    <t>Lag+2 n</t>
  </si>
  <si>
    <t>Lag-1 n</t>
  </si>
  <si>
    <t>A. 变换稳健性（各变换下最强 |r| 的 Lag）</t>
  </si>
  <si>
    <t>变换设定</t>
  </si>
  <si>
    <t>最强 Lag</t>
  </si>
  <si>
    <t>p</t>
  </si>
  <si>
    <t>D1_主设定_Δ库存(万吨)×披露日对数收益</t>
  </si>
  <si>
    <t>D2_Δ库存百分比×披露日收益</t>
  </si>
  <si>
    <t>D3_Δ库存(万吨)×可用周收益</t>
  </si>
  <si>
    <t>D4_库存水平×价格水平(伪回归对照)</t>
  </si>
  <si>
    <t>D5_库存水平×披露日收益</t>
  </si>
  <si>
    <t>D6_Δ库存浮动比例×披露日收益</t>
  </si>
  <si>
    <t>B. 伪造时点安慰剂（库存可得时点整体前移/后移）</t>
  </si>
  <si>
    <t>可得时点调整</t>
  </si>
  <si>
    <t>解读</t>
  </si>
  <si>
    <t>提前 2 周（时间上不可能）</t>
  </si>
  <si>
    <t>峰值位置随平移整体移动、量级不变 → 真实时点下的弱相关属噪声水平</t>
  </si>
  <si>
    <t>提前 1 周（时间上不可能）</t>
  </si>
  <si>
    <t>真实时点（基准）</t>
  </si>
  <si>
    <t>基准结果：r≈0.23，FDR 不显著</t>
  </si>
  <si>
    <t>延后 1 周（更保守）</t>
  </si>
  <si>
    <t>延后 2 周（更保守）</t>
  </si>
  <si>
    <t>C. 披露后收益的样本内预测回归（Newey-West HAC，仅用 t 期已披露信息）</t>
  </si>
  <si>
    <t>收益期</t>
  </si>
  <si>
    <t>模型</t>
  </si>
  <si>
    <t>R²</t>
  </si>
  <si>
    <t>调整R²</t>
  </si>
  <si>
    <t>Δ库存 系数</t>
  </si>
  <si>
    <t>t</t>
  </si>
  <si>
    <t>库存水平 系数</t>
  </si>
  <si>
    <t>MTO水平 系数</t>
  </si>
  <si>
    <t>ΔMTO 系数</t>
  </si>
  <si>
    <t>库存因子</t>
  </si>
  <si>
    <t>库存 + 需求侧(MTO)</t>
  </si>
  <si>
    <t>t+1</t>
  </si>
  <si>
    <t>t+2</t>
  </si>
  <si>
    <t>D. 诊断统计</t>
  </si>
  <si>
    <t>统计量</t>
  </si>
  <si>
    <t>值</t>
  </si>
  <si>
    <t>ADF t（Δ库存）</t>
  </si>
  <si>
    <t>远离 -2.86 → 差分为平稳序列</t>
  </si>
  <si>
    <t>ADF t（库存水平）</t>
  </si>
  <si>
    <t>&gt;-2.86 → 不能拒绝单位根，水平序列非平稳</t>
  </si>
  <si>
    <t>ADF t（价格水平）</t>
  </si>
  <si>
    <t>&gt;-2.86 → 不能拒绝单位根</t>
  </si>
  <si>
    <t>库存变化一阶自相关 ρ</t>
  </si>
  <si>
    <t>存在自相关，需 NW 稳健标准误</t>
  </si>
  <si>
    <t>收益率一阶自相关 ρ</t>
  </si>
  <si>
    <t>弱自相关</t>
  </si>
  <si>
    <t>库存变化 Ljung-Box Q(8)</t>
  </si>
  <si>
    <t>p=0.0434，存在显著自相关</t>
  </si>
  <si>
    <t>有效样本量 n_eff</t>
  </si>
  <si>
    <t>名义 101 期的有效信息量</t>
  </si>
  <si>
    <t>收益率均值(%)</t>
  </si>
  <si>
    <t>披露日平均收益</t>
  </si>
  <si>
    <t>收益率标准差(%)</t>
  </si>
  <si>
    <t>周度波动</t>
  </si>
  <si>
    <t>Δ库存均值(万吨)</t>
  </si>
  <si>
    <t>样本期内平均去库速度</t>
  </si>
  <si>
    <t>Δ库存标准差(万吨)</t>
  </si>
  <si>
    <t>单周库存变化波动</t>
  </si>
  <si>
    <t>全部计算公式与统计方法（可据此复核任一数字）</t>
  </si>
  <si>
    <t>#</t>
  </si>
  <si>
    <t>名称</t>
  </si>
  <si>
    <t>公式 / 方法</t>
  </si>
  <si>
    <t>出处 / 备注</t>
  </si>
  <si>
    <t>库存变化</t>
  </si>
  <si>
    <t>ΔI_t = I_t − I_{t−1}（万吨）；ΔI_t% = (I_t − I_{t−1}) / I_{t−1} × 100</t>
  </si>
  <si>
    <t>差分消除趋势；万吨与百分比两种口径</t>
  </si>
  <si>
    <t>披露日收益</t>
  </si>
  <si>
    <t>r_t = ln(P_披露日15:00 / P_前一日收盘) × 100</t>
  </si>
  <si>
    <t>衡量库存披露当日的价格反应</t>
  </si>
  <si>
    <t>可用周收益</t>
  </si>
  <si>
    <t>r_avail_t = P_t / P_{t−1} − 1</t>
  </si>
  <si>
    <t>两次披露之间的全部市场收益，保守口径</t>
  </si>
  <si>
    <t>Lag 对齐</t>
  </si>
  <si>
    <t>Lag = k：配对 (A_t, B_{t+k})；k&gt;0 → A 领先 B k 期</t>
  </si>
  <si>
    <t>正负方向同时保留，逐 Lag 报 n</t>
  </si>
  <si>
    <t>Pearson r</t>
  </si>
  <si>
    <t>r = Σ(x−x̄)(y−ȳ) / √[Σ(x−x̄)²·Σ(y−ȳ)²]</t>
  </si>
  <si>
    <t>逐 Lag 计算</t>
  </si>
  <si>
    <t>t 统计量</t>
  </si>
  <si>
    <t>t = r·√(n−2) / √(1−r²)，自由度 n−2</t>
  </si>
  <si>
    <t>朴素 t（假定独立同分布）</t>
  </si>
  <si>
    <t>Newey-West t</t>
  </si>
  <si>
    <t>V_β = (X'X)⁻¹ S (X'X)⁻¹，S = Σx²u² + 2Σ_{l=1..L} w_l Σ x_t x_{t−l} u_t u_{t−l}，w_l = 1 − l/(L+1)</t>
  </si>
  <si>
    <t>Bartlett 核；L 取 ⌊1.5·|Lag|⌋+1，处理重叠样本的自相关</t>
  </si>
  <si>
    <t>Fisher-z 置信区间</t>
  </si>
  <si>
    <t>z = 0.5·ln((1+r)/(1−r))，SE = 1/√(n−3)，CI = tanh(z ± 1.96·SE)</t>
  </si>
  <si>
    <t>用有效样本量替代 n</t>
  </si>
  <si>
    <t>Benjamini-Hochberg</t>
  </si>
  <si>
    <t>将 p 升序排列，q_(i) = min_{k≥i} p_(k)·m/k</t>
  </si>
  <si>
    <t>控制 FDR；m = 25 个 Lag</t>
  </si>
  <si>
    <t>Bonferroni</t>
  </si>
  <si>
    <t>p_adj = min(1, p·m)</t>
  </si>
  <si>
    <t>最保守的家庭错误率控制</t>
  </si>
  <si>
    <t>Ljung-Box</t>
  </si>
  <si>
    <t>Q = n(n+2)Σ_{k=1..K} r_k²/(n−k)，服从 χ²(K)</t>
  </si>
  <si>
    <t>检验残差/序列自相关</t>
  </si>
  <si>
    <t>ADF 检验</t>
  </si>
  <si>
    <t>Δy_t = α + γy_{t−1} + Σb_i Δy_{t−i} + e_t，检验 γ=0</t>
  </si>
  <si>
    <t>5% 临界值约 −2.86；t 值大于临界值则不能拒绝单位根</t>
  </si>
  <si>
    <t>领先滞后矩阵</t>
  </si>
  <si>
    <t>M[i][j] = corr(A_i, B_{i+j})，j ∈ [−12, 12]</t>
  </si>
  <si>
    <t>对称检验 A→B 与 B→A</t>
  </si>
  <si>
    <t>滚动相关</t>
  </si>
  <si>
    <t>r_w(t) = corr({A_{t−25..t}}, {B_{t−25+k..t+k}})</t>
  </si>
  <si>
    <t>窗口 26 周，近似显著阈值 ±1.96/√(n−3) ≈ ±0.39</t>
  </si>
  <si>
    <t>伪造时点安慰剂</t>
  </si>
  <si>
    <t>将 A 的可得时点整体平移 s 期后重做扫描</t>
  </si>
  <si>
    <t>s&lt;0 表示提前知道（现实中不可能）</t>
  </si>
  <si>
    <t>增量 R²</t>
  </si>
  <si>
    <t>ΔR² = R²(全模型) − R²(仅库存)；系数检验用 NW t</t>
  </si>
  <si>
    <t>检验需求侧指标是否有额外解释力</t>
  </si>
  <si>
    <t>数据来源：A = 隆众资讯「中国甲醇样本港口库存周数据统计」101 期（发布时间取自各页面发布字段）；B = 郑商所甲醇主连 MA0 日线收盘（2014-12-24 至 2026-10-19）；需求侧对照 = 隆众江浙 MTO 装置产能利用率周数据。时间均为北京时间(UTC+8)。</t>
  </si>
</sst>
</file>

<file path=xl/styles.xml><?xml version="1.0" encoding="utf-8"?>
<styleSheet xmlns="http://schemas.openxmlformats.org/spreadsheetml/2006/main">
  <numFmts count="7">
    <numFmt numFmtId="164" formatCode="yyyy-mm-dd"/>
    <numFmt numFmtId="165" formatCode="yyyy-mm-dd hh:mm"/>
    <numFmt numFmtId="166" formatCode="0.000"/>
    <numFmt numFmtId="167" formatCode="0.00"/>
    <numFmt numFmtId="168" formatCode="#,##0"/>
    <numFmt numFmtId="169" formatCode="0.0000"/>
    <numFmt numFmtId="170" formatCode="+0;-0;0"/>
  </numFmts>
  <fonts count="12">
    <font>
      <sz val="11"/>
      <color theme="1"/>
      <name val="Calibri"/>
      <family val="2"/>
      <scheme val="minor"/>
    </font>
    <font>
      <b/>
      <sz val="15"/>
      <color rgb="FF13233C"/>
      <name val="Microsoft YaHei"/>
      <family val="2"/>
    </font>
    <font>
      <i/>
      <sz val="9"/>
      <color rgb="FF5A6B85"/>
      <name val="Microsoft YaHei"/>
      <family val="2"/>
    </font>
    <font>
      <b/>
      <sz val="11"/>
      <color rgb="FF0F5C8C"/>
      <name val="Microsoft YaHei"/>
      <family val="2"/>
    </font>
    <font>
      <b/>
      <sz val="9.5"/>
      <color theme="1"/>
      <name val="Microsoft YaHei"/>
      <family val="2"/>
    </font>
    <font>
      <sz val="9.5"/>
      <color theme="1"/>
      <name val="Microsoft YaHei"/>
      <family val="2"/>
    </font>
    <font>
      <sz val="9.5"/>
      <color rgb="FF0F5C8C"/>
      <name val="Consolas"/>
      <family val="2"/>
    </font>
    <font>
      <b/>
      <sz val="10"/>
      <color theme="1"/>
      <name val="Microsoft YaHei"/>
      <family val="2"/>
    </font>
    <font>
      <b/>
      <sz val="10"/>
      <color rgb="FFFFFFFF"/>
      <name val="Microsoft YaHei"/>
      <family val="2"/>
    </font>
    <font>
      <sz val="9.5"/>
      <color theme="1"/>
      <name val="Consolas"/>
      <family val="2"/>
    </font>
    <font>
      <b/>
      <sz val="11"/>
      <color theme="1"/>
      <name val="Calibri"/>
      <family val="2"/>
      <scheme val="minor"/>
    </font>
    <font>
      <sz val="9"/>
      <color theme="1"/>
      <name val="Consolas"/>
      <family val="2"/>
    </font>
  </fonts>
  <fills count="5">
    <fill>
      <patternFill patternType="none"/>
    </fill>
    <fill>
      <patternFill patternType="gray125"/>
    </fill>
    <fill>
      <patternFill patternType="solid">
        <fgColor rgb="FFFFF4E0"/>
        <bgColor indexed="64"/>
      </patternFill>
    </fill>
    <fill>
      <patternFill patternType="solid">
        <fgColor rgb="FF13233C"/>
        <bgColor indexed="64"/>
      </patternFill>
    </fill>
    <fill>
      <patternFill patternType="solid">
        <fgColor rgb="FFFFF2D8"/>
        <bgColor indexed="64"/>
      </patternFill>
    </fill>
  </fills>
  <borders count="5">
    <border>
      <left/>
      <right/>
      <top/>
      <bottom/>
      <diagonal/>
    </border>
    <border>
      <left/>
      <right/>
      <top/>
      <bottom style="thin">
        <color rgb="FF7AA2FF"/>
      </bottom>
      <diagonal/>
    </border>
    <border>
      <left style="thin">
        <color rgb="FFE0A93B"/>
      </left>
      <right style="thin">
        <color rgb="FFE0A93B"/>
      </right>
      <top style="thin">
        <color rgb="FFE0A93B"/>
      </top>
      <bottom style="thin">
        <color rgb="FFE0A93B"/>
      </bottom>
      <diagonal/>
    </border>
    <border>
      <left style="thin">
        <color rgb="FF2B3E5E"/>
      </left>
      <right style="thin">
        <color rgb="FF2B3E5E"/>
      </right>
      <top style="thin">
        <color rgb="FF2B3E5E"/>
      </top>
      <bottom style="thin">
        <color rgb="FF2B3E5E"/>
      </bottom>
      <diagonal/>
    </border>
    <border>
      <left style="thin">
        <color rgb="FFDFE6F0"/>
      </left>
      <right style="thin">
        <color rgb="FFDFE6F0"/>
      </right>
      <top style="thin">
        <color rgb="FFDFE6F0"/>
      </top>
      <bottom style="thin">
        <color rgb="FFDFE6F0"/>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0" borderId="1" xfId="0" applyFont="1" applyBorder="1"/>
    <xf numFmtId="0" fontId="4" fillId="0" borderId="0" xfId="0" applyFont="1" applyAlignment="1">
      <alignment vertical="top"/>
    </xf>
    <xf numFmtId="0" fontId="5" fillId="0" borderId="0" xfId="0" applyFont="1" applyAlignment="1">
      <alignment vertical="top" wrapText="1"/>
    </xf>
    <xf numFmtId="0" fontId="6" fillId="0" borderId="0" xfId="0" applyFont="1"/>
    <xf numFmtId="0" fontId="7" fillId="2" borderId="2" xfId="0" applyFont="1" applyFill="1" applyBorder="1" applyAlignment="1">
      <alignment vertical="center" wrapText="1"/>
    </xf>
    <xf numFmtId="0" fontId="8" fillId="3" borderId="3" xfId="0" applyFont="1" applyFill="1" applyBorder="1" applyAlignment="1">
      <alignment horizontal="center" vertical="center" wrapText="1"/>
    </xf>
    <xf numFmtId="1" fontId="9" fillId="0" borderId="4" xfId="0" applyNumberFormat="1" applyFont="1" applyBorder="1"/>
    <xf numFmtId="164" fontId="9" fillId="0" borderId="4" xfId="0" applyNumberFormat="1" applyFont="1" applyBorder="1"/>
    <xf numFmtId="165" fontId="9" fillId="0" borderId="4" xfId="0" applyNumberFormat="1" applyFont="1" applyBorder="1"/>
    <xf numFmtId="166" fontId="9" fillId="0" borderId="4" xfId="0" applyNumberFormat="1" applyFont="1" applyBorder="1"/>
    <xf numFmtId="167" fontId="9" fillId="0" borderId="4" xfId="0" applyNumberFormat="1" applyFont="1" applyBorder="1"/>
    <xf numFmtId="0" fontId="5" fillId="0" borderId="4" xfId="0" applyFont="1" applyBorder="1" applyAlignment="1">
      <alignment vertical="top"/>
    </xf>
    <xf numFmtId="168" fontId="9" fillId="0" borderId="0" xfId="0" applyNumberFormat="1" applyFont="1"/>
    <xf numFmtId="169" fontId="9" fillId="0" borderId="4" xfId="0" applyNumberFormat="1" applyFont="1" applyBorder="1"/>
    <xf numFmtId="0" fontId="10" fillId="0" borderId="0" xfId="0" applyFont="1"/>
    <xf numFmtId="170" fontId="9" fillId="0" borderId="4" xfId="0" applyNumberFormat="1" applyFont="1" applyBorder="1" applyAlignment="1">
      <alignment horizontal="center"/>
    </xf>
    <xf numFmtId="166" fontId="9" fillId="4" borderId="4" xfId="0" applyNumberFormat="1" applyFont="1" applyFill="1" applyBorder="1"/>
    <xf numFmtId="0" fontId="4" fillId="0" borderId="0" xfId="0" applyFont="1" applyAlignment="1">
      <alignment vertical="top" wrapText="1"/>
    </xf>
    <xf numFmtId="0" fontId="11"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oilchem.net/24-1023-14-42e7c1521c1b158c.html" TargetMode="External"/><Relationship Id="rId2" Type="http://schemas.openxmlformats.org/officeDocument/2006/relationships/hyperlink" Target="https://www.oilchem.net/24-1030-14-c1b1d64772f1d72d.html" TargetMode="External"/><Relationship Id="rId3" Type="http://schemas.openxmlformats.org/officeDocument/2006/relationships/hyperlink" Target="https://www.oilchem.net/24-1106-13-b31b3534f3c4e560.html" TargetMode="External"/><Relationship Id="rId4" Type="http://schemas.openxmlformats.org/officeDocument/2006/relationships/hyperlink" Target="https://www.oilchem.net/24-1113-14-ede4b577d702d57f.html" TargetMode="External"/><Relationship Id="rId5" Type="http://schemas.openxmlformats.org/officeDocument/2006/relationships/hyperlink" Target="https://www.oilchem.net/24-1120-14-e912710ff5d37fcf.html" TargetMode="External"/><Relationship Id="rId6" Type="http://schemas.openxmlformats.org/officeDocument/2006/relationships/hyperlink" Target="https://www.oilchem.net/24-1127-14-f57a51ef8426a982.html" TargetMode="External"/><Relationship Id="rId7" Type="http://schemas.openxmlformats.org/officeDocument/2006/relationships/hyperlink" Target="https://www.oilchem.net/24-1204-14-3c7b6ce6062c00d2.html" TargetMode="External"/><Relationship Id="rId8" Type="http://schemas.openxmlformats.org/officeDocument/2006/relationships/hyperlink" Target="https://www.oilchem.net/24-1211-13-0fbe4f45356ed526.html" TargetMode="External"/><Relationship Id="rId9" Type="http://schemas.openxmlformats.org/officeDocument/2006/relationships/hyperlink" Target="https://www.oilchem.net/24-1218-13-ba1a07792abdba2b.html" TargetMode="External"/><Relationship Id="rId10" Type="http://schemas.openxmlformats.org/officeDocument/2006/relationships/hyperlink" Target="https://www.oilchem.net/24-1225-13-8d126cad4032807b.html" TargetMode="External"/><Relationship Id="rId11" Type="http://schemas.openxmlformats.org/officeDocument/2006/relationships/hyperlink" Target="https://www.oilchem.net/25-0102-13-cc7c5404a4c95888.html" TargetMode="External"/><Relationship Id="rId12" Type="http://schemas.openxmlformats.org/officeDocument/2006/relationships/hyperlink" Target="https://www.oilchem.net/25-0108-14-6d5cc23a5c6cd4c7.html" TargetMode="External"/><Relationship Id="rId13" Type="http://schemas.openxmlformats.org/officeDocument/2006/relationships/hyperlink" Target="https://www.oilchem.net/25-0115-13-28d25caa8dd2b149.html" TargetMode="External"/><Relationship Id="rId14" Type="http://schemas.openxmlformats.org/officeDocument/2006/relationships/hyperlink" Target="https://www.oilchem.net/25-0122-13-c4c7d47673ef031e.html" TargetMode="External"/><Relationship Id="rId15" Type="http://schemas.openxmlformats.org/officeDocument/2006/relationships/hyperlink" Target="https://www.oilchem.net/25-0205-14-7747be24bec4c04a.html" TargetMode="External"/><Relationship Id="rId16" Type="http://schemas.openxmlformats.org/officeDocument/2006/relationships/hyperlink" Target="https://www.oilchem.net/25-0212-13-b496ebb784be52a0.html" TargetMode="External"/><Relationship Id="rId17" Type="http://schemas.openxmlformats.org/officeDocument/2006/relationships/hyperlink" Target="https://www.oilchem.net/25-0219-13-9169fdef8dcf8bb4.html" TargetMode="External"/><Relationship Id="rId18" Type="http://schemas.openxmlformats.org/officeDocument/2006/relationships/hyperlink" Target="https://www.oilchem.net/25-0226-13-dc4a8b6ce5c5767f.html" TargetMode="External"/><Relationship Id="rId19" Type="http://schemas.openxmlformats.org/officeDocument/2006/relationships/hyperlink" Target="https://www.oilchem.net/25-0305-13-84b95832b7b1315c.html" TargetMode="External"/><Relationship Id="rId20" Type="http://schemas.openxmlformats.org/officeDocument/2006/relationships/hyperlink" Target="https://www.oilchem.net/25-0312-13-275a3296705b9c6c.html" TargetMode="External"/><Relationship Id="rId21" Type="http://schemas.openxmlformats.org/officeDocument/2006/relationships/hyperlink" Target="https://www.oilchem.net/25-0319-13-33736f03c766810b.html" TargetMode="External"/><Relationship Id="rId22" Type="http://schemas.openxmlformats.org/officeDocument/2006/relationships/hyperlink" Target="https://www.oilchem.net/25-0326-13-9ac3703545813a24.html" TargetMode="External"/><Relationship Id="rId23" Type="http://schemas.openxmlformats.org/officeDocument/2006/relationships/hyperlink" Target="https://www.oilchem.net/25-0402-13-dc76ffbcab8f048b.html" TargetMode="External"/><Relationship Id="rId24" Type="http://schemas.openxmlformats.org/officeDocument/2006/relationships/hyperlink" Target="https://www.oilchem.net/25-0409-13-7695ff8b32736a87.html" TargetMode="External"/><Relationship Id="rId25" Type="http://schemas.openxmlformats.org/officeDocument/2006/relationships/hyperlink" Target="https://www.oilchem.net/25-0416-13-edcae4c7001488c4.html" TargetMode="External"/><Relationship Id="rId26" Type="http://schemas.openxmlformats.org/officeDocument/2006/relationships/hyperlink" Target="https://www.oilchem.net/25-0423-13-792d8e3373001738.html" TargetMode="External"/><Relationship Id="rId27" Type="http://schemas.openxmlformats.org/officeDocument/2006/relationships/hyperlink" Target="https://www.oilchem.net/25-0430-13-b430829492883861.html" TargetMode="External"/><Relationship Id="rId28" Type="http://schemas.openxmlformats.org/officeDocument/2006/relationships/hyperlink" Target="https://www.oilchem.net/25-0507-13-5f66127f99ab4cc6.html" TargetMode="External"/><Relationship Id="rId29" Type="http://schemas.openxmlformats.org/officeDocument/2006/relationships/hyperlink" Target="https://www.oilchem.net/25-0514-13-4217a359bfb61f39.html" TargetMode="External"/><Relationship Id="rId30" Type="http://schemas.openxmlformats.org/officeDocument/2006/relationships/hyperlink" Target="https://www.oilchem.net/25-0521-13-b55c0e2f685c5436.html" TargetMode="External"/><Relationship Id="rId31" Type="http://schemas.openxmlformats.org/officeDocument/2006/relationships/hyperlink" Target="https://www.oilchem.net/25-0528-13-f71c7c0261e7d389.html" TargetMode="External"/><Relationship Id="rId32" Type="http://schemas.openxmlformats.org/officeDocument/2006/relationships/hyperlink" Target="https://www.oilchem.net/25-0604-14-328ede0d945b3f6d.html" TargetMode="External"/><Relationship Id="rId33" Type="http://schemas.openxmlformats.org/officeDocument/2006/relationships/hyperlink" Target="https://www.oilchem.net/25-0611-14-e5672de3f9176062.html" TargetMode="External"/><Relationship Id="rId34" Type="http://schemas.openxmlformats.org/officeDocument/2006/relationships/hyperlink" Target="https://www.oilchem.net/25-0618-13-2950aa43331547a1.html" TargetMode="External"/><Relationship Id="rId35" Type="http://schemas.openxmlformats.org/officeDocument/2006/relationships/hyperlink" Target="https://www.oilchem.net/25-0625-13-11b1b5458189ce44.html" TargetMode="External"/><Relationship Id="rId36" Type="http://schemas.openxmlformats.org/officeDocument/2006/relationships/hyperlink" Target="https://www.oilchem.net/25-0702-13-d4286d3a81d1c36c.html" TargetMode="External"/><Relationship Id="rId37" Type="http://schemas.openxmlformats.org/officeDocument/2006/relationships/hyperlink" Target="https://www.oilchem.net/25-0709-13-33655ea4b030b5db.html" TargetMode="External"/><Relationship Id="rId38" Type="http://schemas.openxmlformats.org/officeDocument/2006/relationships/hyperlink" Target="https://www.oilchem.net/25-0716-13-a78047321235cdd2.html" TargetMode="External"/><Relationship Id="rId39" Type="http://schemas.openxmlformats.org/officeDocument/2006/relationships/hyperlink" Target="https://www.oilchem.net/25-0723-13-aa648d317e4483fa.html" TargetMode="External"/><Relationship Id="rId40" Type="http://schemas.openxmlformats.org/officeDocument/2006/relationships/hyperlink" Target="https://www.oilchem.net/25-0730-13-b3ad4c6af1061004.html" TargetMode="External"/><Relationship Id="rId41" Type="http://schemas.openxmlformats.org/officeDocument/2006/relationships/hyperlink" Target="https://www.oilchem.net/25-0806-13-834b86afdcdd30d3.html" TargetMode="External"/><Relationship Id="rId42" Type="http://schemas.openxmlformats.org/officeDocument/2006/relationships/hyperlink" Target="https://www.oilchem.net/25-0813-13-5da46b0f1167555c.html" TargetMode="External"/><Relationship Id="rId43" Type="http://schemas.openxmlformats.org/officeDocument/2006/relationships/hyperlink" Target="https://www.oilchem.net/25-0820-13-c666f4e1235a87e4.html" TargetMode="External"/><Relationship Id="rId44" Type="http://schemas.openxmlformats.org/officeDocument/2006/relationships/hyperlink" Target="https://www.oilchem.net/25-0827-13-de43090eb083a445.html" TargetMode="External"/><Relationship Id="rId45" Type="http://schemas.openxmlformats.org/officeDocument/2006/relationships/hyperlink" Target="https://www.oilchem.net/25-0903-13-73ed612a4a313a1d.html" TargetMode="External"/><Relationship Id="rId46" Type="http://schemas.openxmlformats.org/officeDocument/2006/relationships/hyperlink" Target="https://www.oilchem.net/25-0910-13-3ee6d78637bf3c79.html" TargetMode="External"/><Relationship Id="rId47" Type="http://schemas.openxmlformats.org/officeDocument/2006/relationships/hyperlink" Target="https://www.oilchem.net/25-0917-14-a82581ba65af4dbd.html" TargetMode="External"/><Relationship Id="rId48" Type="http://schemas.openxmlformats.org/officeDocument/2006/relationships/hyperlink" Target="https://www.oilchem.net/25-0924-13-3ee92e75eea77c1e.html" TargetMode="External"/><Relationship Id="rId49" Type="http://schemas.openxmlformats.org/officeDocument/2006/relationships/hyperlink" Target="https://www.oilchem.net/25-1009-13-1afbf153c5b37440.html" TargetMode="External"/><Relationship Id="rId50" Type="http://schemas.openxmlformats.org/officeDocument/2006/relationships/hyperlink" Target="https://www.oilchem.net/25-1015-14-12ac0ca54512cfae.html" TargetMode="External"/><Relationship Id="rId51" Type="http://schemas.openxmlformats.org/officeDocument/2006/relationships/hyperlink" Target="https://www.oilchem.net/25-1022-13-764f75d6b70deb1f.html" TargetMode="External"/><Relationship Id="rId52" Type="http://schemas.openxmlformats.org/officeDocument/2006/relationships/hyperlink" Target="https://www.oilchem.net/25-1029-13-645c0fc9e75ff6d9.html" TargetMode="External"/><Relationship Id="rId53" Type="http://schemas.openxmlformats.org/officeDocument/2006/relationships/hyperlink" Target="https://www.oilchem.net/25-1105-14-028b28cf78c029f6.html" TargetMode="External"/><Relationship Id="rId54" Type="http://schemas.openxmlformats.org/officeDocument/2006/relationships/hyperlink" Target="https://www.oilchem.net/25-1112-14-b99646016243332d.html" TargetMode="External"/><Relationship Id="rId55" Type="http://schemas.openxmlformats.org/officeDocument/2006/relationships/hyperlink" Target="https://www.oilchem.net/25-1119-14-888383a81ce48b99.html" TargetMode="External"/><Relationship Id="rId56" Type="http://schemas.openxmlformats.org/officeDocument/2006/relationships/hyperlink" Target="https://www.oilchem.net/25-1126-14-4372d0eeb4de208c.html" TargetMode="External"/><Relationship Id="rId57" Type="http://schemas.openxmlformats.org/officeDocument/2006/relationships/hyperlink" Target="https://www.oilchem.net/25-1203-13-be302ed8b064b0f1.html" TargetMode="External"/><Relationship Id="rId58" Type="http://schemas.openxmlformats.org/officeDocument/2006/relationships/hyperlink" Target="https://www.oilchem.net/25-1210-13-2378272a4bf88bcc.html" TargetMode="External"/><Relationship Id="rId59" Type="http://schemas.openxmlformats.org/officeDocument/2006/relationships/hyperlink" Target="https://www.oilchem.net/25-1217-14-d9b1d0c59e154241.html" TargetMode="External"/><Relationship Id="rId60" Type="http://schemas.openxmlformats.org/officeDocument/2006/relationships/hyperlink" Target="https://www.oilchem.net/25-1224-13-02ea65181beeb219.html" TargetMode="External"/><Relationship Id="rId61" Type="http://schemas.openxmlformats.org/officeDocument/2006/relationships/hyperlink" Target="https://www.oilchem.net/25-1231-13-94ffc279efa5af2e.html" TargetMode="External"/><Relationship Id="rId62" Type="http://schemas.openxmlformats.org/officeDocument/2006/relationships/hyperlink" Target="https://www.oilchem.net/26-0107-14-40a9fbf5d4495b3b.html" TargetMode="External"/><Relationship Id="rId63" Type="http://schemas.openxmlformats.org/officeDocument/2006/relationships/hyperlink" Target="https://www.oilchem.net/26-0114-14-74138a80822be7c6.html" TargetMode="External"/><Relationship Id="rId64" Type="http://schemas.openxmlformats.org/officeDocument/2006/relationships/hyperlink" Target="https://www.oilchem.net/26-0121-13-a59d511c6162a820.html" TargetMode="External"/><Relationship Id="rId65" Type="http://schemas.openxmlformats.org/officeDocument/2006/relationships/hyperlink" Target="https://www.oilchem.net/26-0128-13-8f38cffb0a277234.html" TargetMode="External"/><Relationship Id="rId66" Type="http://schemas.openxmlformats.org/officeDocument/2006/relationships/hyperlink" Target="https://www.oilchem.net/26-0204-13-4e73d5345fc94aaa.html" TargetMode="External"/><Relationship Id="rId67" Type="http://schemas.openxmlformats.org/officeDocument/2006/relationships/hyperlink" Target="https://www.oilchem.net/26-0211-13-e1423d866f9f5529.html" TargetMode="External"/><Relationship Id="rId68" Type="http://schemas.openxmlformats.org/officeDocument/2006/relationships/hyperlink" Target="https://www.oilchem.net/26-0225-13-978d94b221ccfe9d.html" TargetMode="External"/><Relationship Id="rId69" Type="http://schemas.openxmlformats.org/officeDocument/2006/relationships/hyperlink" Target="https://www.oilchem.net/26-0304-13-ae339a88313720cf.html" TargetMode="External"/><Relationship Id="rId70" Type="http://schemas.openxmlformats.org/officeDocument/2006/relationships/hyperlink" Target="https://www.oilchem.net/26-0311-13-6ec77c8f8e7f1cdd.html" TargetMode="External"/><Relationship Id="rId71" Type="http://schemas.openxmlformats.org/officeDocument/2006/relationships/hyperlink" Target="https://www.oilchem.net/26-0318-13-b2cc9becf54ab075.html" TargetMode="External"/><Relationship Id="rId72" Type="http://schemas.openxmlformats.org/officeDocument/2006/relationships/hyperlink" Target="https://www.oilchem.net/26-0325-13-7531c1896c50d1de.html" TargetMode="External"/><Relationship Id="rId73" Type="http://schemas.openxmlformats.org/officeDocument/2006/relationships/hyperlink" Target="https://www.oilchem.net/26-0401-13-3d461c5c2ed8e5d9.html" TargetMode="External"/><Relationship Id="rId74" Type="http://schemas.openxmlformats.org/officeDocument/2006/relationships/hyperlink" Target="https://www.oilchem.net/26-0408-14-7d9b531e9eb3275b.html" TargetMode="External"/><Relationship Id="rId75" Type="http://schemas.openxmlformats.org/officeDocument/2006/relationships/hyperlink" Target="https://www.oilchem.net/26-0415-13-73f1b438568b047f.html" TargetMode="External"/><Relationship Id="rId76" Type="http://schemas.openxmlformats.org/officeDocument/2006/relationships/hyperlink" Target="https://www.oilchem.net/26-0422-14-300b0e7ab51d78ea.html" TargetMode="External"/><Relationship Id="rId77" Type="http://schemas.openxmlformats.org/officeDocument/2006/relationships/hyperlink" Target="https://www.oilchem.net/26-0429-13-b24882b40351d131.html" TargetMode="External"/><Relationship Id="rId78" Type="http://schemas.openxmlformats.org/officeDocument/2006/relationships/hyperlink" Target="https://www.oilchem.net/26-0506-13-fbd17d2244b0c1bd.html" TargetMode="External"/><Relationship Id="rId79" Type="http://schemas.openxmlformats.org/officeDocument/2006/relationships/hyperlink" Target="https://www.oilchem.net/26-0513-13-3b34d35b2b2219d7.html" TargetMode="External"/><Relationship Id="rId80" Type="http://schemas.openxmlformats.org/officeDocument/2006/relationships/hyperlink" Target="https://www.oilchem.net/26-0520-13-fb46cbcf05397b29.html" TargetMode="External"/><Relationship Id="rId81" Type="http://schemas.openxmlformats.org/officeDocument/2006/relationships/hyperlink" Target="https://www.oilchem.net/26-0527-14-d425ee16cb8ce77d.html" TargetMode="External"/><Relationship Id="rId82" Type="http://schemas.openxmlformats.org/officeDocument/2006/relationships/hyperlink" Target="https://www.oilchem.net/26-0603-14-0c81d664aacbba14.html" TargetMode="External"/><Relationship Id="rId83" Type="http://schemas.openxmlformats.org/officeDocument/2006/relationships/hyperlink" Target="https://www.oilchem.net/26-0610-13-d875fb59ae3db842.html" TargetMode="External"/><Relationship Id="rId84" Type="http://schemas.openxmlformats.org/officeDocument/2006/relationships/hyperlink" Target="https://www.oilchem.net/26-0617-13-ba2f0117f2a7ef28.html" TargetMode="External"/><Relationship Id="rId85" Type="http://schemas.openxmlformats.org/officeDocument/2006/relationships/hyperlink" Target="https://www.oilchem.net/26-0624-13-6cbbe470287bcc10.html" TargetMode="External"/><Relationship Id="rId86" Type="http://schemas.openxmlformats.org/officeDocument/2006/relationships/hyperlink" Target="https://www.oilchem.net/26-0701-13-3fd41dce946babb6.html" TargetMode="External"/><Relationship Id="rId87" Type="http://schemas.openxmlformats.org/officeDocument/2006/relationships/hyperlink" Target="https://www.oilchem.net/26-0708-13-ef336d2c8c50af07.html" TargetMode="External"/><Relationship Id="rId88" Type="http://schemas.openxmlformats.org/officeDocument/2006/relationships/hyperlink" Target="https://www.oilchem.net/26-0715-13-c7c294b48291c036.html" TargetMode="External"/><Relationship Id="rId89" Type="http://schemas.openxmlformats.org/officeDocument/2006/relationships/hyperlink" Target="https://www.oilchem.net/26-0722-13-59a1f0f3e441fe28.html" TargetMode="External"/><Relationship Id="rId90" Type="http://schemas.openxmlformats.org/officeDocument/2006/relationships/hyperlink" Target="https://www.oilchem.net/26-0729-14-2e28031339811b6c.html" TargetMode="External"/><Relationship Id="rId91" Type="http://schemas.openxmlformats.org/officeDocument/2006/relationships/hyperlink" Target="https://www.oilchem.net/26-0805-13-4a24f2632d3d9fc5.html" TargetMode="External"/><Relationship Id="rId92" Type="http://schemas.openxmlformats.org/officeDocument/2006/relationships/hyperlink" Target="https://www.oilchem.net/26-0812-13-11f7390825b220b3.html" TargetMode="External"/><Relationship Id="rId93" Type="http://schemas.openxmlformats.org/officeDocument/2006/relationships/hyperlink" Target="https://www.oilchem.net/26-0819-13-22129e7a579d6e70.html" TargetMode="External"/><Relationship Id="rId94" Type="http://schemas.openxmlformats.org/officeDocument/2006/relationships/hyperlink" Target="https://www.oilchem.net/26-0826-13-59162162c1ddea86.html" TargetMode="External"/><Relationship Id="rId95" Type="http://schemas.openxmlformats.org/officeDocument/2006/relationships/hyperlink" Target="https://www.oilchem.net/26-0902-14-d9e472d2f215a5b2.html" TargetMode="External"/><Relationship Id="rId96" Type="http://schemas.openxmlformats.org/officeDocument/2006/relationships/hyperlink" Target="https://www.oilchem.net/26-0909-14-a9a38f77494b94b0.html" TargetMode="External"/><Relationship Id="rId97" Type="http://schemas.openxmlformats.org/officeDocument/2006/relationships/hyperlink" Target="https://www.oilchem.net/26-0916-13-e34e22b97c21dc33.html" TargetMode="External"/><Relationship Id="rId98" Type="http://schemas.openxmlformats.org/officeDocument/2006/relationships/hyperlink" Target="https://www.oilchem.net/26-0923-13-fb1ab2e326af29c1.html" TargetMode="External"/><Relationship Id="rId99" Type="http://schemas.openxmlformats.org/officeDocument/2006/relationships/hyperlink" Target="https://www.oilchem.net/26-0930-13-9c9bd0770faada70.html" TargetMode="External"/><Relationship Id="rId100" Type="http://schemas.openxmlformats.org/officeDocument/2006/relationships/hyperlink" Target="https://www.oilchem.net/26-1008-13-1126e8bb439482ec.html" TargetMode="External"/><Relationship Id="rId101" Type="http://schemas.openxmlformats.org/officeDocument/2006/relationships/hyperlink" Target="https://www.oilchem.net/26-1014-13-5e8b30119a70336d.html" TargetMode="External"/></Relationships>
</file>

<file path=xl/worksheets/sheet1.xml><?xml version="1.0" encoding="utf-8"?>
<worksheet xmlns="http://schemas.openxmlformats.org/spreadsheetml/2006/main" xmlns:r="http://schemas.openxmlformats.org/officeDocument/2006/relationships">
  <dimension ref="A1:B27"/>
  <sheetViews>
    <sheetView showGridLines="0" tabSelected="1" workbookViewId="0"/>
  </sheetViews>
  <sheetFormatPr defaultRowHeight="15"/>
  <cols>
    <col min="1" max="1" width="22.7109375" customWidth="1"/>
    <col min="2" max="2" width="118.7109375" customWidth="1"/>
  </cols>
  <sheetData>
    <row r="1" spans="1:2">
      <c r="A1" s="1" t="s">
        <v>0</v>
      </c>
    </row>
    <row r="2" spans="1:2">
      <c r="A2" s="2" t="s">
        <v>1</v>
      </c>
    </row>
    <row r="4" spans="1:2">
      <c r="A4" s="3" t="s">
        <v>2</v>
      </c>
    </row>
    <row r="5" spans="1:2" ht="16" customHeight="1">
      <c r="A5" s="4" t="s">
        <v>3</v>
      </c>
      <c r="B5" s="5" t="s">
        <v>4</v>
      </c>
    </row>
    <row r="6" spans="1:2" ht="16" customHeight="1">
      <c r="A6" s="4" t="s">
        <v>5</v>
      </c>
      <c r="B6" s="5" t="s">
        <v>6</v>
      </c>
    </row>
    <row r="7" spans="1:2" ht="16" customHeight="1">
      <c r="A7" s="4" t="s">
        <v>7</v>
      </c>
      <c r="B7" s="5" t="s">
        <v>8</v>
      </c>
    </row>
    <row r="8" spans="1:2" ht="16" customHeight="1">
      <c r="A8" s="4" t="s">
        <v>9</v>
      </c>
      <c r="B8" s="5" t="s">
        <v>10</v>
      </c>
    </row>
    <row r="9" spans="1:2" ht="16" customHeight="1">
      <c r="A9" s="4" t="s">
        <v>11</v>
      </c>
      <c r="B9" s="5" t="s">
        <v>12</v>
      </c>
    </row>
    <row r="10" spans="1:2" ht="16" customHeight="1">
      <c r="A10" s="4" t="s">
        <v>13</v>
      </c>
      <c r="B10" s="5" t="s">
        <v>14</v>
      </c>
    </row>
    <row r="11" spans="1:2" ht="16" customHeight="1">
      <c r="A11" s="4" t="s">
        <v>15</v>
      </c>
      <c r="B11" s="5" t="s">
        <v>16</v>
      </c>
    </row>
    <row r="12" spans="1:2" ht="16" customHeight="1">
      <c r="A12" s="4" t="s">
        <v>17</v>
      </c>
      <c r="B12" s="5" t="s">
        <v>18</v>
      </c>
    </row>
    <row r="13" spans="1:2" ht="30" customHeight="1">
      <c r="A13" s="4" t="s">
        <v>19</v>
      </c>
      <c r="B13" s="5" t="s">
        <v>20</v>
      </c>
    </row>
    <row r="15" spans="1:2">
      <c r="A15" s="3" t="s">
        <v>21</v>
      </c>
    </row>
    <row r="16" spans="1:2">
      <c r="A16" s="6" t="s">
        <v>22</v>
      </c>
      <c r="B16" s="5" t="s">
        <v>23</v>
      </c>
    </row>
    <row r="17" spans="1:2">
      <c r="A17" s="6" t="s">
        <v>24</v>
      </c>
      <c r="B17" s="5" t="s">
        <v>25</v>
      </c>
    </row>
    <row r="18" spans="1:2">
      <c r="A18" s="6" t="s">
        <v>26</v>
      </c>
      <c r="B18" s="5" t="s">
        <v>27</v>
      </c>
    </row>
    <row r="19" spans="1:2">
      <c r="A19" s="6" t="s">
        <v>28</v>
      </c>
      <c r="B19" s="5" t="s">
        <v>29</v>
      </c>
    </row>
    <row r="20" spans="1:2">
      <c r="A20" s="6" t="s">
        <v>30</v>
      </c>
      <c r="B20" s="5" t="s">
        <v>31</v>
      </c>
    </row>
    <row r="21" spans="1:2">
      <c r="A21" s="6" t="s">
        <v>32</v>
      </c>
      <c r="B21" s="5" t="s">
        <v>33</v>
      </c>
    </row>
    <row r="22" spans="1:2">
      <c r="A22" s="6" t="s">
        <v>34</v>
      </c>
      <c r="B22" s="5" t="s">
        <v>35</v>
      </c>
    </row>
    <row r="23" spans="1:2">
      <c r="A23" s="6" t="s">
        <v>36</v>
      </c>
      <c r="B23" s="5" t="s">
        <v>37</v>
      </c>
    </row>
    <row r="24" spans="1:2">
      <c r="A24" s="6" t="s">
        <v>38</v>
      </c>
      <c r="B24" s="5" t="s">
        <v>39</v>
      </c>
    </row>
    <row r="25" spans="1:2">
      <c r="A25" s="6" t="s">
        <v>40</v>
      </c>
      <c r="B25" s="5" t="s">
        <v>41</v>
      </c>
    </row>
    <row r="27" spans="1:2" ht="26" customHeight="1">
      <c r="A27" s="7" t="s">
        <v>42</v>
      </c>
      <c r="B27" s="7"/>
    </row>
  </sheetData>
  <mergeCells count="1">
    <mergeCell ref="A27: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10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6.7109375" customWidth="1"/>
    <col min="2" max="2" width="13.7109375" customWidth="1"/>
    <col min="3" max="5" width="16.7109375" customWidth="1"/>
    <col min="6" max="6" width="10.7109375" customWidth="1"/>
    <col min="7" max="8" width="14.7109375" customWidth="1"/>
    <col min="9" max="9" width="46.7109375" customWidth="1"/>
    <col min="10" max="10" width="60.7109375" customWidth="1"/>
    <col min="11" max="11" width="48.7109375" customWidth="1"/>
  </cols>
  <sheetData>
    <row r="1" spans="1:11">
      <c r="A1" s="8" t="s">
        <v>43</v>
      </c>
      <c r="B1" s="8" t="s">
        <v>44</v>
      </c>
      <c r="C1" s="8" t="s">
        <v>45</v>
      </c>
      <c r="D1" s="8" t="s">
        <v>46</v>
      </c>
      <c r="E1" s="8" t="s">
        <v>47</v>
      </c>
      <c r="F1" s="8" t="s">
        <v>48</v>
      </c>
      <c r="G1" s="8" t="s">
        <v>49</v>
      </c>
      <c r="H1" s="8" t="s">
        <v>50</v>
      </c>
      <c r="I1" s="8" t="s">
        <v>51</v>
      </c>
      <c r="J1" s="8" t="s">
        <v>52</v>
      </c>
      <c r="K1" s="8" t="s">
        <v>53</v>
      </c>
    </row>
    <row r="2" spans="1:11">
      <c r="A2" s="9">
        <v>1</v>
      </c>
      <c r="B2" s="10" t="s">
        <v>54</v>
      </c>
      <c r="C2" s="11" t="s">
        <v>55</v>
      </c>
      <c r="D2" s="12">
        <v>110.87</v>
      </c>
      <c r="E2" s="12"/>
      <c r="F2" s="13"/>
      <c r="G2" s="12">
        <v>1.03</v>
      </c>
      <c r="H2" s="12">
        <v>-0.4</v>
      </c>
      <c r="I2" s="14" t="s">
        <v>56</v>
      </c>
      <c r="J2" s="14" t="s">
        <v>57</v>
      </c>
      <c r="K2" s="14" t="s">
        <v>58</v>
      </c>
    </row>
    <row r="3" spans="1:11">
      <c r="A3" s="9">
        <v>2</v>
      </c>
      <c r="B3" s="10" t="s">
        <v>59</v>
      </c>
      <c r="C3" s="11" t="s">
        <v>60</v>
      </c>
      <c r="D3" s="12">
        <v>118.78</v>
      </c>
      <c r="E3" s="12">
        <v>7.91</v>
      </c>
      <c r="F3" s="13">
        <v>7.13</v>
      </c>
      <c r="G3" s="12">
        <v>6.97</v>
      </c>
      <c r="H3" s="12">
        <v>0.9399999999999999</v>
      </c>
      <c r="I3" s="14" t="s">
        <v>61</v>
      </c>
      <c r="J3" s="14" t="s">
        <v>62</v>
      </c>
      <c r="K3" s="14" t="s">
        <v>58</v>
      </c>
    </row>
    <row r="4" spans="1:11">
      <c r="A4" s="9">
        <v>3</v>
      </c>
      <c r="B4" s="10" t="s">
        <v>63</v>
      </c>
      <c r="C4" s="11" t="s">
        <v>64</v>
      </c>
      <c r="D4" s="12">
        <v>120.64</v>
      </c>
      <c r="E4" s="12">
        <v>1.86</v>
      </c>
      <c r="F4" s="13">
        <v>1.57</v>
      </c>
      <c r="G4" s="12">
        <v>-0.35</v>
      </c>
      <c r="H4" s="12">
        <v>2.21</v>
      </c>
      <c r="I4" s="14" t="s">
        <v>65</v>
      </c>
      <c r="J4" s="14" t="s">
        <v>66</v>
      </c>
      <c r="K4" s="14" t="s">
        <v>58</v>
      </c>
    </row>
    <row r="5" spans="1:11">
      <c r="A5" s="9">
        <v>4</v>
      </c>
      <c r="B5" s="10" t="s">
        <v>67</v>
      </c>
      <c r="C5" s="11" t="s">
        <v>68</v>
      </c>
      <c r="D5" s="12">
        <v>125.28</v>
      </c>
      <c r="E5" s="12">
        <v>4.64</v>
      </c>
      <c r="F5" s="13">
        <v>3.85</v>
      </c>
      <c r="G5" s="12">
        <v>6.6</v>
      </c>
      <c r="H5" s="12">
        <v>-1.96</v>
      </c>
      <c r="I5" s="14" t="s">
        <v>69</v>
      </c>
      <c r="J5" s="14" t="s">
        <v>70</v>
      </c>
      <c r="K5" s="14" t="s">
        <v>58</v>
      </c>
    </row>
    <row r="6" spans="1:11">
      <c r="A6" s="9">
        <v>5</v>
      </c>
      <c r="B6" s="10" t="s">
        <v>71</v>
      </c>
      <c r="C6" s="11" t="s">
        <v>72</v>
      </c>
      <c r="D6" s="12">
        <v>127.57</v>
      </c>
      <c r="E6" s="12">
        <v>2.29</v>
      </c>
      <c r="F6" s="13">
        <v>1.83</v>
      </c>
      <c r="G6" s="12">
        <v>3.21</v>
      </c>
      <c r="H6" s="12">
        <v>-0.92</v>
      </c>
      <c r="I6" s="14" t="s">
        <v>73</v>
      </c>
      <c r="J6" s="14" t="s">
        <v>74</v>
      </c>
      <c r="K6" s="14" t="s">
        <v>58</v>
      </c>
    </row>
    <row r="7" spans="1:11">
      <c r="A7" s="9">
        <v>6</v>
      </c>
      <c r="B7" s="10" t="s">
        <v>75</v>
      </c>
      <c r="C7" s="11" t="s">
        <v>76</v>
      </c>
      <c r="D7" s="12">
        <v>117.7</v>
      </c>
      <c r="E7" s="12">
        <v>-9.869999999999999</v>
      </c>
      <c r="F7" s="13">
        <v>-7.74</v>
      </c>
      <c r="G7" s="12">
        <v>-10.11</v>
      </c>
      <c r="H7" s="12">
        <v>0.24</v>
      </c>
      <c r="I7" s="14" t="s">
        <v>77</v>
      </c>
      <c r="J7" s="14" t="s">
        <v>78</v>
      </c>
      <c r="K7" s="14" t="s">
        <v>58</v>
      </c>
    </row>
    <row r="8" spans="1:11">
      <c r="A8" s="9">
        <v>7</v>
      </c>
      <c r="B8" s="10" t="s">
        <v>79</v>
      </c>
      <c r="C8" s="11" t="s">
        <v>80</v>
      </c>
      <c r="D8" s="12">
        <v>122.13</v>
      </c>
      <c r="E8" s="12">
        <v>4.43</v>
      </c>
      <c r="F8" s="13">
        <v>3.76</v>
      </c>
      <c r="G8" s="12">
        <v>5.8</v>
      </c>
      <c r="H8" s="12">
        <v>-1.37</v>
      </c>
      <c r="I8" s="14" t="s">
        <v>81</v>
      </c>
      <c r="J8" s="14" t="s">
        <v>82</v>
      </c>
      <c r="K8" s="14" t="s">
        <v>58</v>
      </c>
    </row>
    <row r="9" spans="1:11">
      <c r="A9" s="9">
        <v>8</v>
      </c>
      <c r="B9" s="10" t="s">
        <v>83</v>
      </c>
      <c r="C9" s="11" t="s">
        <v>84</v>
      </c>
      <c r="D9" s="12">
        <v>108.5</v>
      </c>
      <c r="E9" s="12">
        <v>-13.63</v>
      </c>
      <c r="F9" s="13">
        <v>-11.16</v>
      </c>
      <c r="G9" s="12">
        <v>-10.85</v>
      </c>
      <c r="H9" s="12">
        <v>-2.78</v>
      </c>
      <c r="I9" s="14" t="s">
        <v>85</v>
      </c>
      <c r="J9" s="14" t="s">
        <v>86</v>
      </c>
      <c r="K9" s="14" t="s">
        <v>58</v>
      </c>
    </row>
    <row r="10" spans="1:11">
      <c r="A10" s="9">
        <v>9</v>
      </c>
      <c r="B10" s="10" t="s">
        <v>87</v>
      </c>
      <c r="C10" s="11" t="s">
        <v>88</v>
      </c>
      <c r="D10" s="12">
        <v>107.03</v>
      </c>
      <c r="E10" s="12">
        <v>-1.47</v>
      </c>
      <c r="F10" s="13">
        <v>-1.35</v>
      </c>
      <c r="G10" s="12">
        <v>-1.4</v>
      </c>
      <c r="H10" s="12">
        <v>-0.07000000000000001</v>
      </c>
      <c r="I10" s="14" t="s">
        <v>89</v>
      </c>
      <c r="J10" s="14" t="s">
        <v>90</v>
      </c>
      <c r="K10" s="14" t="s">
        <v>58</v>
      </c>
    </row>
    <row r="11" spans="1:11">
      <c r="A11" s="9">
        <v>10</v>
      </c>
      <c r="B11" s="10" t="s">
        <v>91</v>
      </c>
      <c r="C11" s="11" t="s">
        <v>92</v>
      </c>
      <c r="D11" s="12">
        <v>95.83</v>
      </c>
      <c r="E11" s="12">
        <v>-11.2</v>
      </c>
      <c r="F11" s="13">
        <v>-10.46</v>
      </c>
      <c r="G11" s="12">
        <v>-8.949999999999999</v>
      </c>
      <c r="H11" s="12">
        <v>-2.25</v>
      </c>
      <c r="I11" s="14" t="s">
        <v>93</v>
      </c>
      <c r="J11" s="14" t="s">
        <v>94</v>
      </c>
      <c r="K11" s="14" t="s">
        <v>58</v>
      </c>
    </row>
    <row r="12" spans="1:11">
      <c r="A12" s="9">
        <v>11</v>
      </c>
      <c r="B12" s="10" t="s">
        <v>95</v>
      </c>
      <c r="C12" s="11" t="s">
        <v>96</v>
      </c>
      <c r="D12" s="12">
        <v>93.36</v>
      </c>
      <c r="E12" s="12">
        <v>-2.47</v>
      </c>
      <c r="F12" s="13">
        <v>-2.58</v>
      </c>
      <c r="G12" s="12">
        <v>-0.9</v>
      </c>
      <c r="H12" s="12">
        <v>-1.57</v>
      </c>
      <c r="I12" s="14" t="s">
        <v>97</v>
      </c>
      <c r="J12" s="14" t="s">
        <v>98</v>
      </c>
      <c r="K12" s="14" t="s">
        <v>58</v>
      </c>
    </row>
    <row r="13" spans="1:11">
      <c r="A13" s="9">
        <v>12</v>
      </c>
      <c r="B13" s="10" t="s">
        <v>99</v>
      </c>
      <c r="C13" s="11" t="s">
        <v>100</v>
      </c>
      <c r="D13" s="12">
        <v>84.77</v>
      </c>
      <c r="E13" s="12">
        <v>-8.59</v>
      </c>
      <c r="F13" s="13">
        <v>-9.199999999999999</v>
      </c>
      <c r="G13" s="12">
        <v>-8.300000000000001</v>
      </c>
      <c r="H13" s="12">
        <v>-0.29</v>
      </c>
      <c r="I13" s="14" t="s">
        <v>101</v>
      </c>
      <c r="J13" s="14" t="s">
        <v>102</v>
      </c>
      <c r="K13" s="14" t="s">
        <v>58</v>
      </c>
    </row>
    <row r="14" spans="1:11">
      <c r="A14" s="9">
        <v>13</v>
      </c>
      <c r="B14" s="10" t="s">
        <v>103</v>
      </c>
      <c r="C14" s="11" t="s">
        <v>104</v>
      </c>
      <c r="D14" s="12">
        <v>91.47</v>
      </c>
      <c r="E14" s="12">
        <v>6.7</v>
      </c>
      <c r="F14" s="13">
        <v>7.9</v>
      </c>
      <c r="G14" s="12">
        <v>8</v>
      </c>
      <c r="H14" s="12">
        <v>-1.3</v>
      </c>
      <c r="I14" s="14" t="s">
        <v>105</v>
      </c>
      <c r="J14" s="14" t="s">
        <v>106</v>
      </c>
      <c r="K14" s="14" t="s">
        <v>58</v>
      </c>
    </row>
    <row r="15" spans="1:11">
      <c r="A15" s="9">
        <v>14</v>
      </c>
      <c r="B15" s="10" t="s">
        <v>107</v>
      </c>
      <c r="C15" s="11" t="s">
        <v>108</v>
      </c>
      <c r="D15" s="12">
        <v>92.97</v>
      </c>
      <c r="E15" s="12">
        <v>1.5</v>
      </c>
      <c r="F15" s="13">
        <v>1.64</v>
      </c>
      <c r="G15" s="12">
        <v>2.16</v>
      </c>
      <c r="H15" s="12">
        <v>-0.66</v>
      </c>
      <c r="I15" s="14" t="s">
        <v>109</v>
      </c>
      <c r="J15" s="14" t="s">
        <v>110</v>
      </c>
      <c r="K15" s="14" t="s">
        <v>58</v>
      </c>
    </row>
    <row r="16" spans="1:11">
      <c r="A16" s="9">
        <v>15</v>
      </c>
      <c r="B16" s="10" t="s">
        <v>111</v>
      </c>
      <c r="C16" s="11" t="s">
        <v>112</v>
      </c>
      <c r="D16" s="12">
        <v>95.51000000000001</v>
      </c>
      <c r="E16" s="12">
        <v>2.54</v>
      </c>
      <c r="F16" s="13">
        <v>2.73</v>
      </c>
      <c r="G16" s="12">
        <v>0.34</v>
      </c>
      <c r="H16" s="12">
        <v>2.2</v>
      </c>
      <c r="I16" s="14" t="s">
        <v>113</v>
      </c>
      <c r="J16" s="14" t="s">
        <v>114</v>
      </c>
      <c r="K16" s="14" t="s">
        <v>58</v>
      </c>
    </row>
    <row r="17" spans="1:11">
      <c r="A17" s="9">
        <v>16</v>
      </c>
      <c r="B17" s="10" t="s">
        <v>115</v>
      </c>
      <c r="C17" s="11" t="s">
        <v>116</v>
      </c>
      <c r="D17" s="12">
        <v>96.95</v>
      </c>
      <c r="E17" s="12">
        <v>1.44</v>
      </c>
      <c r="F17" s="13">
        <v>1.51</v>
      </c>
      <c r="G17" s="12">
        <v>2.33</v>
      </c>
      <c r="H17" s="12">
        <v>-0.9</v>
      </c>
      <c r="I17" s="14" t="s">
        <v>117</v>
      </c>
      <c r="J17" s="14" t="s">
        <v>118</v>
      </c>
      <c r="K17" s="14" t="s">
        <v>58</v>
      </c>
    </row>
    <row r="18" spans="1:11">
      <c r="A18" s="9">
        <v>17</v>
      </c>
      <c r="B18" s="10" t="s">
        <v>119</v>
      </c>
      <c r="C18" s="11" t="s">
        <v>120</v>
      </c>
      <c r="D18" s="12">
        <v>100.12</v>
      </c>
      <c r="E18" s="12">
        <v>3.17</v>
      </c>
      <c r="F18" s="13">
        <v>3.27</v>
      </c>
      <c r="G18" s="12">
        <v>5.97</v>
      </c>
      <c r="H18" s="12">
        <v>-2.79</v>
      </c>
      <c r="I18" s="14" t="s">
        <v>121</v>
      </c>
      <c r="J18" s="14" t="s">
        <v>122</v>
      </c>
      <c r="K18" s="14" t="s">
        <v>58</v>
      </c>
    </row>
    <row r="19" spans="1:11">
      <c r="A19" s="9">
        <v>18</v>
      </c>
      <c r="B19" s="10" t="s">
        <v>123</v>
      </c>
      <c r="C19" s="11" t="s">
        <v>124</v>
      </c>
      <c r="D19" s="12">
        <v>106.92</v>
      </c>
      <c r="E19" s="12">
        <v>6.8</v>
      </c>
      <c r="F19" s="13">
        <v>6.79</v>
      </c>
      <c r="G19" s="12">
        <v>5.72</v>
      </c>
      <c r="H19" s="12">
        <v>0.37</v>
      </c>
      <c r="I19" s="14" t="s">
        <v>125</v>
      </c>
      <c r="J19" s="14" t="s">
        <v>126</v>
      </c>
      <c r="K19" s="14" t="s">
        <v>58</v>
      </c>
    </row>
    <row r="20" spans="1:11">
      <c r="A20" s="9">
        <v>19</v>
      </c>
      <c r="B20" s="10" t="s">
        <v>127</v>
      </c>
      <c r="C20" s="11" t="s">
        <v>128</v>
      </c>
      <c r="D20" s="12">
        <v>100.61</v>
      </c>
      <c r="E20" s="12">
        <v>-6.31</v>
      </c>
      <c r="F20" s="13">
        <v>-5.9</v>
      </c>
      <c r="G20" s="12">
        <v>-7.58</v>
      </c>
      <c r="H20" s="12">
        <v>1.28</v>
      </c>
      <c r="I20" s="14" t="s">
        <v>129</v>
      </c>
      <c r="J20" s="14" t="s">
        <v>130</v>
      </c>
      <c r="K20" s="14" t="s">
        <v>58</v>
      </c>
    </row>
    <row r="21" spans="1:11">
      <c r="A21" s="9">
        <v>20</v>
      </c>
      <c r="B21" s="10" t="s">
        <v>131</v>
      </c>
      <c r="C21" s="11" t="s">
        <v>132</v>
      </c>
      <c r="D21" s="12">
        <v>91.09999999999999</v>
      </c>
      <c r="E21" s="12">
        <v>-9.51</v>
      </c>
      <c r="F21" s="13">
        <v>-9.449999999999999</v>
      </c>
      <c r="G21" s="12">
        <v>-9.039999999999999</v>
      </c>
      <c r="H21" s="12">
        <v>-0.47</v>
      </c>
      <c r="I21" s="14" t="s">
        <v>133</v>
      </c>
      <c r="J21" s="14" t="s">
        <v>134</v>
      </c>
      <c r="K21" s="14" t="s">
        <v>58</v>
      </c>
    </row>
    <row r="22" spans="1:11">
      <c r="A22" s="9">
        <v>21</v>
      </c>
      <c r="B22" s="10" t="s">
        <v>135</v>
      </c>
      <c r="C22" s="11" t="s">
        <v>136</v>
      </c>
      <c r="D22" s="12">
        <v>80.01000000000001</v>
      </c>
      <c r="E22" s="12">
        <v>-11.09</v>
      </c>
      <c r="F22" s="13">
        <v>-12.17</v>
      </c>
      <c r="G22" s="12">
        <v>-8.699999999999999</v>
      </c>
      <c r="H22" s="12">
        <v>-2.39</v>
      </c>
      <c r="I22" s="14" t="s">
        <v>137</v>
      </c>
      <c r="J22" s="14" t="s">
        <v>138</v>
      </c>
      <c r="K22" s="14" t="s">
        <v>58</v>
      </c>
    </row>
    <row r="23" spans="1:11">
      <c r="A23" s="9">
        <v>22</v>
      </c>
      <c r="B23" s="10" t="s">
        <v>139</v>
      </c>
      <c r="C23" s="11" t="s">
        <v>140</v>
      </c>
      <c r="D23" s="12">
        <v>77.38</v>
      </c>
      <c r="E23" s="12">
        <v>-2.63</v>
      </c>
      <c r="F23" s="13">
        <v>-3.29</v>
      </c>
      <c r="G23" s="12">
        <v>-2.15</v>
      </c>
      <c r="H23" s="12">
        <v>-0.48</v>
      </c>
      <c r="I23" s="14" t="s">
        <v>141</v>
      </c>
      <c r="J23" s="14" t="s">
        <v>142</v>
      </c>
      <c r="K23" s="14" t="s">
        <v>58</v>
      </c>
    </row>
    <row r="24" spans="1:11">
      <c r="A24" s="9">
        <v>23</v>
      </c>
      <c r="B24" s="10" t="s">
        <v>143</v>
      </c>
      <c r="C24" s="11" t="s">
        <v>144</v>
      </c>
      <c r="D24" s="12">
        <v>61.61</v>
      </c>
      <c r="E24" s="12">
        <v>-15.77</v>
      </c>
      <c r="F24" s="13">
        <v>-20.38</v>
      </c>
      <c r="G24" s="12">
        <v>-11.55</v>
      </c>
      <c r="H24" s="12">
        <v>-4.22</v>
      </c>
      <c r="I24" s="14" t="s">
        <v>145</v>
      </c>
      <c r="J24" s="14" t="s">
        <v>146</v>
      </c>
      <c r="K24" s="14" t="s">
        <v>58</v>
      </c>
    </row>
    <row r="25" spans="1:11">
      <c r="A25" s="9">
        <v>24</v>
      </c>
      <c r="B25" s="10" t="s">
        <v>147</v>
      </c>
      <c r="C25" s="11" t="s">
        <v>148</v>
      </c>
      <c r="D25" s="12">
        <v>56.98</v>
      </c>
      <c r="E25" s="12">
        <v>-4.63</v>
      </c>
      <c r="F25" s="13">
        <v>-7.52</v>
      </c>
      <c r="G25" s="12">
        <v>-5.1</v>
      </c>
      <c r="H25" s="12">
        <v>0.47</v>
      </c>
      <c r="I25" s="14" t="s">
        <v>149</v>
      </c>
      <c r="J25" s="14" t="s">
        <v>150</v>
      </c>
      <c r="K25" s="14" t="s">
        <v>58</v>
      </c>
    </row>
    <row r="26" spans="1:11">
      <c r="A26" s="9">
        <v>25</v>
      </c>
      <c r="B26" s="10" t="s">
        <v>151</v>
      </c>
      <c r="C26" s="11" t="s">
        <v>152</v>
      </c>
      <c r="D26" s="12">
        <v>58.56</v>
      </c>
      <c r="E26" s="12">
        <v>1.58</v>
      </c>
      <c r="F26" s="13">
        <v>2.77</v>
      </c>
      <c r="G26" s="12">
        <v>3.03</v>
      </c>
      <c r="H26" s="12">
        <v>-1.45</v>
      </c>
      <c r="I26" s="14" t="s">
        <v>153</v>
      </c>
      <c r="J26" s="14" t="s">
        <v>154</v>
      </c>
      <c r="K26" s="14" t="s">
        <v>58</v>
      </c>
    </row>
    <row r="27" spans="1:11">
      <c r="A27" s="9">
        <v>26</v>
      </c>
      <c r="B27" s="10" t="s">
        <v>155</v>
      </c>
      <c r="C27" s="11" t="s">
        <v>156</v>
      </c>
      <c r="D27" s="12">
        <v>46.32</v>
      </c>
      <c r="E27" s="12">
        <v>-12.24</v>
      </c>
      <c r="F27" s="13">
        <v>-20.9</v>
      </c>
      <c r="G27" s="12">
        <v>-9.23</v>
      </c>
      <c r="H27" s="12">
        <v>-3.01</v>
      </c>
      <c r="I27" s="14" t="s">
        <v>157</v>
      </c>
      <c r="J27" s="14" t="s">
        <v>158</v>
      </c>
      <c r="K27" s="14" t="s">
        <v>58</v>
      </c>
    </row>
    <row r="28" spans="1:11">
      <c r="A28" s="9">
        <v>27</v>
      </c>
      <c r="B28" s="10" t="s">
        <v>159</v>
      </c>
      <c r="C28" s="11" t="s">
        <v>160</v>
      </c>
      <c r="D28" s="12">
        <v>53.74</v>
      </c>
      <c r="E28" s="12">
        <v>7.42</v>
      </c>
      <c r="F28" s="13">
        <v>16.02</v>
      </c>
      <c r="G28" s="12">
        <v>5.44</v>
      </c>
      <c r="H28" s="12">
        <v>1.98</v>
      </c>
      <c r="I28" s="14" t="s">
        <v>161</v>
      </c>
      <c r="J28" s="14" t="s">
        <v>162</v>
      </c>
      <c r="K28" s="14" t="s">
        <v>58</v>
      </c>
    </row>
    <row r="29" spans="1:11">
      <c r="A29" s="9">
        <v>28</v>
      </c>
      <c r="B29" s="10" t="s">
        <v>163</v>
      </c>
      <c r="C29" s="11" t="s">
        <v>164</v>
      </c>
      <c r="D29" s="12">
        <v>56.19</v>
      </c>
      <c r="E29" s="12">
        <v>2.45</v>
      </c>
      <c r="F29" s="13">
        <v>4.56</v>
      </c>
      <c r="G29" s="12">
        <v>-1.29</v>
      </c>
      <c r="H29" s="12">
        <v>3.74</v>
      </c>
      <c r="I29" s="14" t="s">
        <v>165</v>
      </c>
      <c r="J29" s="14" t="s">
        <v>166</v>
      </c>
      <c r="K29" s="14" t="s">
        <v>58</v>
      </c>
    </row>
    <row r="30" spans="1:11">
      <c r="A30" s="9">
        <v>29</v>
      </c>
      <c r="B30" s="10" t="s">
        <v>167</v>
      </c>
      <c r="C30" s="11" t="s">
        <v>168</v>
      </c>
      <c r="D30" s="12">
        <v>48.39</v>
      </c>
      <c r="E30" s="12">
        <v>-7.8</v>
      </c>
      <c r="F30" s="13">
        <v>-13.88</v>
      </c>
      <c r="G30" s="12">
        <v>-5.55</v>
      </c>
      <c r="H30" s="12">
        <v>-2.25</v>
      </c>
      <c r="I30" s="14" t="s">
        <v>169</v>
      </c>
      <c r="J30" s="14" t="s">
        <v>170</v>
      </c>
      <c r="K30" s="14" t="s">
        <v>58</v>
      </c>
    </row>
    <row r="31" spans="1:11">
      <c r="A31" s="9">
        <v>30</v>
      </c>
      <c r="B31" s="10" t="s">
        <v>171</v>
      </c>
      <c r="C31" s="11" t="s">
        <v>172</v>
      </c>
      <c r="D31" s="12">
        <v>49.04</v>
      </c>
      <c r="E31" s="12">
        <v>0.65</v>
      </c>
      <c r="F31" s="13">
        <v>1.34</v>
      </c>
      <c r="G31" s="12">
        <v>0.3</v>
      </c>
      <c r="H31" s="12">
        <v>0.35</v>
      </c>
      <c r="I31" s="14" t="s">
        <v>173</v>
      </c>
      <c r="J31" s="14" t="s">
        <v>174</v>
      </c>
      <c r="K31" s="14" t="s">
        <v>58</v>
      </c>
    </row>
    <row r="32" spans="1:11">
      <c r="A32" s="9">
        <v>31</v>
      </c>
      <c r="B32" s="10" t="s">
        <v>175</v>
      </c>
      <c r="C32" s="11" t="s">
        <v>176</v>
      </c>
      <c r="D32" s="12">
        <v>52.3</v>
      </c>
      <c r="E32" s="12">
        <v>3.26</v>
      </c>
      <c r="F32" s="13">
        <v>6.65</v>
      </c>
      <c r="G32" s="12">
        <v>4.4</v>
      </c>
      <c r="H32" s="12">
        <v>-1.14</v>
      </c>
      <c r="I32" s="14" t="s">
        <v>177</v>
      </c>
      <c r="J32" s="14" t="s">
        <v>178</v>
      </c>
      <c r="K32" s="14" t="s">
        <v>58</v>
      </c>
    </row>
    <row r="33" spans="1:11">
      <c r="A33" s="9">
        <v>32</v>
      </c>
      <c r="B33" s="10" t="s">
        <v>179</v>
      </c>
      <c r="C33" s="11" t="s">
        <v>180</v>
      </c>
      <c r="D33" s="12">
        <v>58.12</v>
      </c>
      <c r="E33" s="12">
        <v>5.82</v>
      </c>
      <c r="F33" s="13">
        <v>11.13</v>
      </c>
      <c r="G33" s="12">
        <v>5.13</v>
      </c>
      <c r="H33" s="12">
        <v>0.6899999999999999</v>
      </c>
      <c r="I33" s="14" t="s">
        <v>181</v>
      </c>
      <c r="J33" s="14" t="s">
        <v>182</v>
      </c>
      <c r="K33" s="14" t="s">
        <v>58</v>
      </c>
    </row>
    <row r="34" spans="1:11">
      <c r="A34" s="9">
        <v>33</v>
      </c>
      <c r="B34" s="10" t="s">
        <v>183</v>
      </c>
      <c r="C34" s="11" t="s">
        <v>184</v>
      </c>
      <c r="D34" s="12">
        <v>65.22</v>
      </c>
      <c r="E34" s="12">
        <v>7.1</v>
      </c>
      <c r="F34" s="13">
        <v>12.22</v>
      </c>
      <c r="G34" s="12">
        <v>4.57</v>
      </c>
      <c r="H34" s="12">
        <v>2.53</v>
      </c>
      <c r="I34" s="14" t="s">
        <v>185</v>
      </c>
      <c r="J34" s="14" t="s">
        <v>186</v>
      </c>
      <c r="K34" s="14" t="s">
        <v>58</v>
      </c>
    </row>
    <row r="35" spans="1:11">
      <c r="A35" s="9">
        <v>34</v>
      </c>
      <c r="B35" s="10" t="s">
        <v>187</v>
      </c>
      <c r="C35" s="11" t="s">
        <v>188</v>
      </c>
      <c r="D35" s="12">
        <v>58.64</v>
      </c>
      <c r="E35" s="12">
        <v>-6.58</v>
      </c>
      <c r="F35" s="13">
        <v>-10.09</v>
      </c>
      <c r="G35" s="12">
        <v>-3.1</v>
      </c>
      <c r="H35" s="12">
        <v>-3.48</v>
      </c>
      <c r="I35" s="14" t="s">
        <v>189</v>
      </c>
      <c r="J35" s="14" t="s">
        <v>190</v>
      </c>
      <c r="K35" s="14" t="s">
        <v>58</v>
      </c>
    </row>
    <row r="36" spans="1:11">
      <c r="A36" s="9">
        <v>35</v>
      </c>
      <c r="B36" s="10" t="s">
        <v>191</v>
      </c>
      <c r="C36" s="11" t="s">
        <v>192</v>
      </c>
      <c r="D36" s="12">
        <v>67.05</v>
      </c>
      <c r="E36" s="12">
        <v>8.41</v>
      </c>
      <c r="F36" s="13">
        <v>14.34</v>
      </c>
      <c r="G36" s="12">
        <v>5.9</v>
      </c>
      <c r="H36" s="12">
        <v>2.51</v>
      </c>
      <c r="I36" s="14" t="s">
        <v>193</v>
      </c>
      <c r="J36" s="14" t="s">
        <v>194</v>
      </c>
      <c r="K36" s="14" t="s">
        <v>58</v>
      </c>
    </row>
    <row r="37" spans="1:11">
      <c r="A37" s="9">
        <v>36</v>
      </c>
      <c r="B37" s="10" t="s">
        <v>195</v>
      </c>
      <c r="C37" s="11" t="s">
        <v>196</v>
      </c>
      <c r="D37" s="12">
        <v>67.37</v>
      </c>
      <c r="E37" s="12">
        <v>0.32</v>
      </c>
      <c r="F37" s="13">
        <v>0.48</v>
      </c>
      <c r="G37" s="12">
        <v>1.35</v>
      </c>
      <c r="H37" s="12">
        <v>-1.03</v>
      </c>
      <c r="I37" s="14" t="s">
        <v>197</v>
      </c>
      <c r="J37" s="14" t="s">
        <v>198</v>
      </c>
      <c r="K37" s="14" t="s">
        <v>58</v>
      </c>
    </row>
    <row r="38" spans="1:11">
      <c r="A38" s="9">
        <v>37</v>
      </c>
      <c r="B38" s="10" t="s">
        <v>199</v>
      </c>
      <c r="C38" s="11" t="s">
        <v>200</v>
      </c>
      <c r="D38" s="12">
        <v>71.89</v>
      </c>
      <c r="E38" s="12">
        <v>4.52</v>
      </c>
      <c r="F38" s="13">
        <v>6.71</v>
      </c>
      <c r="G38" s="12">
        <v>6.1</v>
      </c>
      <c r="H38" s="12">
        <v>-1.58</v>
      </c>
      <c r="I38" s="14" t="s">
        <v>201</v>
      </c>
      <c r="J38" s="14" t="s">
        <v>202</v>
      </c>
      <c r="K38" s="14" t="s">
        <v>58</v>
      </c>
    </row>
    <row r="39" spans="1:11">
      <c r="A39" s="9">
        <v>38</v>
      </c>
      <c r="B39" s="10" t="s">
        <v>203</v>
      </c>
      <c r="C39" s="11" t="s">
        <v>204</v>
      </c>
      <c r="D39" s="12">
        <v>79.02</v>
      </c>
      <c r="E39" s="12">
        <v>7.13</v>
      </c>
      <c r="F39" s="13">
        <v>9.92</v>
      </c>
      <c r="G39" s="12">
        <v>6.35</v>
      </c>
      <c r="H39" s="12">
        <v>0.78</v>
      </c>
      <c r="I39" s="14" t="s">
        <v>205</v>
      </c>
      <c r="J39" s="14" t="s">
        <v>206</v>
      </c>
      <c r="K39" s="14" t="s">
        <v>58</v>
      </c>
    </row>
    <row r="40" spans="1:11">
      <c r="A40" s="9">
        <v>39</v>
      </c>
      <c r="B40" s="10" t="s">
        <v>207</v>
      </c>
      <c r="C40" s="11" t="s">
        <v>208</v>
      </c>
      <c r="D40" s="12">
        <v>72.58</v>
      </c>
      <c r="E40" s="12">
        <v>-6.44</v>
      </c>
      <c r="F40" s="13">
        <v>-8.15</v>
      </c>
      <c r="G40" s="12">
        <v>-8.699999999999999</v>
      </c>
      <c r="H40" s="12">
        <v>2.26</v>
      </c>
      <c r="I40" s="14" t="s">
        <v>209</v>
      </c>
      <c r="J40" s="14" t="s">
        <v>210</v>
      </c>
      <c r="K40" s="14" t="s">
        <v>58</v>
      </c>
    </row>
    <row r="41" spans="1:11">
      <c r="A41" s="9">
        <v>40</v>
      </c>
      <c r="B41" s="10" t="s">
        <v>211</v>
      </c>
      <c r="C41" s="11" t="s">
        <v>212</v>
      </c>
      <c r="D41" s="12">
        <v>80.84</v>
      </c>
      <c r="E41" s="12">
        <v>8.26</v>
      </c>
      <c r="F41" s="13">
        <v>11.38</v>
      </c>
      <c r="G41" s="12">
        <v>2.5</v>
      </c>
      <c r="H41" s="12">
        <v>5.76</v>
      </c>
      <c r="I41" s="14" t="s">
        <v>213</v>
      </c>
      <c r="J41" s="14" t="s">
        <v>214</v>
      </c>
      <c r="K41" s="14" t="s">
        <v>58</v>
      </c>
    </row>
    <row r="42" spans="1:11">
      <c r="A42" s="9">
        <v>41</v>
      </c>
      <c r="B42" s="10" t="s">
        <v>215</v>
      </c>
      <c r="C42" s="11" t="s">
        <v>216</v>
      </c>
      <c r="D42" s="12">
        <v>92.55</v>
      </c>
      <c r="E42" s="12">
        <v>11.71</v>
      </c>
      <c r="F42" s="13">
        <v>14.49</v>
      </c>
      <c r="G42" s="12">
        <v>7</v>
      </c>
      <c r="H42" s="12">
        <v>4.71</v>
      </c>
      <c r="I42" s="14" t="s">
        <v>217</v>
      </c>
      <c r="J42" s="14" t="s">
        <v>218</v>
      </c>
      <c r="K42" s="14" t="s">
        <v>58</v>
      </c>
    </row>
    <row r="43" spans="1:11">
      <c r="A43" s="9">
        <v>42</v>
      </c>
      <c r="B43" s="10" t="s">
        <v>219</v>
      </c>
      <c r="C43" s="11" t="s">
        <v>220</v>
      </c>
      <c r="D43" s="12">
        <v>102.18</v>
      </c>
      <c r="E43" s="12">
        <v>9.630000000000001</v>
      </c>
      <c r="F43" s="13">
        <v>10.41</v>
      </c>
      <c r="G43" s="12">
        <v>4.5</v>
      </c>
      <c r="H43" s="12">
        <v>5.13</v>
      </c>
      <c r="I43" s="14" t="s">
        <v>221</v>
      </c>
      <c r="J43" s="14" t="s">
        <v>222</v>
      </c>
      <c r="K43" s="14" t="s">
        <v>58</v>
      </c>
    </row>
    <row r="44" spans="1:11">
      <c r="A44" s="9">
        <v>43</v>
      </c>
      <c r="B44" s="10" t="s">
        <v>223</v>
      </c>
      <c r="C44" s="11" t="s">
        <v>224</v>
      </c>
      <c r="D44" s="12">
        <v>107.6</v>
      </c>
      <c r="E44" s="12">
        <v>5.42</v>
      </c>
      <c r="F44" s="13">
        <v>5.3</v>
      </c>
      <c r="G44" s="12">
        <v>1.92</v>
      </c>
      <c r="H44" s="12">
        <v>3.5</v>
      </c>
      <c r="I44" s="14" t="s">
        <v>225</v>
      </c>
      <c r="J44" s="14" t="s">
        <v>226</v>
      </c>
      <c r="K44" s="14" t="s">
        <v>58</v>
      </c>
    </row>
    <row r="45" spans="1:11">
      <c r="A45" s="9">
        <v>44</v>
      </c>
      <c r="B45" s="10" t="s">
        <v>227</v>
      </c>
      <c r="C45" s="11" t="s">
        <v>228</v>
      </c>
      <c r="D45" s="12">
        <v>129.93</v>
      </c>
      <c r="E45" s="12">
        <v>22.33</v>
      </c>
      <c r="F45" s="13">
        <v>20.75</v>
      </c>
      <c r="G45" s="12">
        <v>18.28</v>
      </c>
      <c r="H45" s="12">
        <v>4.05</v>
      </c>
      <c r="I45" s="14" t="s">
        <v>229</v>
      </c>
      <c r="J45" s="14" t="s">
        <v>230</v>
      </c>
      <c r="K45" s="14" t="s">
        <v>58</v>
      </c>
    </row>
    <row r="46" spans="1:11">
      <c r="A46" s="9">
        <v>45</v>
      </c>
      <c r="B46" s="10" t="s">
        <v>231</v>
      </c>
      <c r="C46" s="11" t="s">
        <v>232</v>
      </c>
      <c r="D46" s="12">
        <v>142.77</v>
      </c>
      <c r="E46" s="12">
        <v>12.84</v>
      </c>
      <c r="F46" s="13">
        <v>9.880000000000001</v>
      </c>
      <c r="G46" s="12">
        <v>11.33</v>
      </c>
      <c r="H46" s="12">
        <v>1.51</v>
      </c>
      <c r="I46" s="14" t="s">
        <v>233</v>
      </c>
      <c r="J46" s="14" t="s">
        <v>234</v>
      </c>
      <c r="K46" s="14" t="s">
        <v>58</v>
      </c>
    </row>
    <row r="47" spans="1:11">
      <c r="A47" s="9">
        <v>46</v>
      </c>
      <c r="B47" s="10" t="s">
        <v>235</v>
      </c>
      <c r="C47" s="11" t="s">
        <v>236</v>
      </c>
      <c r="D47" s="12">
        <v>155.03</v>
      </c>
      <c r="E47" s="12">
        <v>12.26</v>
      </c>
      <c r="F47" s="13">
        <v>8.59</v>
      </c>
      <c r="G47" s="12">
        <v>8.720000000000001</v>
      </c>
      <c r="H47" s="12">
        <v>3.54</v>
      </c>
      <c r="I47" s="14" t="s">
        <v>237</v>
      </c>
      <c r="J47" s="14" t="s">
        <v>238</v>
      </c>
      <c r="K47" s="14" t="s">
        <v>58</v>
      </c>
    </row>
    <row r="48" spans="1:11">
      <c r="A48" s="9">
        <v>47</v>
      </c>
      <c r="B48" s="10" t="s">
        <v>239</v>
      </c>
      <c r="C48" s="11" t="s">
        <v>240</v>
      </c>
      <c r="D48" s="12">
        <v>155.78</v>
      </c>
      <c r="E48" s="12">
        <v>0.75</v>
      </c>
      <c r="F48" s="13">
        <v>0.48</v>
      </c>
      <c r="G48" s="12">
        <v>-1.56</v>
      </c>
      <c r="H48" s="12">
        <v>2.31</v>
      </c>
      <c r="I48" s="14" t="s">
        <v>241</v>
      </c>
      <c r="J48" s="14" t="s">
        <v>242</v>
      </c>
      <c r="K48" s="14" t="s">
        <v>58</v>
      </c>
    </row>
    <row r="49" spans="1:11">
      <c r="A49" s="9">
        <v>48</v>
      </c>
      <c r="B49" s="10" t="s">
        <v>243</v>
      </c>
      <c r="C49" s="11" t="s">
        <v>244</v>
      </c>
      <c r="D49" s="12">
        <v>149.22</v>
      </c>
      <c r="E49" s="12">
        <v>-6.56</v>
      </c>
      <c r="F49" s="13">
        <v>-4.21</v>
      </c>
      <c r="G49" s="12">
        <v>-4.12</v>
      </c>
      <c r="H49" s="12">
        <v>-2.44</v>
      </c>
      <c r="I49" s="14" t="s">
        <v>245</v>
      </c>
      <c r="J49" s="14" t="s">
        <v>246</v>
      </c>
      <c r="K49" s="14" t="s">
        <v>58</v>
      </c>
    </row>
    <row r="50" spans="1:11">
      <c r="A50" s="9">
        <v>49</v>
      </c>
      <c r="B50" s="10" t="s">
        <v>247</v>
      </c>
      <c r="C50" s="11" t="s">
        <v>248</v>
      </c>
      <c r="D50" s="12">
        <v>154.32</v>
      </c>
      <c r="E50" s="12">
        <v>5.1</v>
      </c>
      <c r="F50" s="13">
        <v>3.42</v>
      </c>
      <c r="G50" s="12">
        <v>4.78</v>
      </c>
      <c r="H50" s="12">
        <v>0.32</v>
      </c>
      <c r="I50" s="14" t="s">
        <v>249</v>
      </c>
      <c r="J50" s="14" t="s">
        <v>250</v>
      </c>
      <c r="K50" s="14" t="s">
        <v>58</v>
      </c>
    </row>
    <row r="51" spans="1:11">
      <c r="A51" s="9">
        <v>50</v>
      </c>
      <c r="B51" s="10" t="s">
        <v>251</v>
      </c>
      <c r="C51" s="11" t="s">
        <v>252</v>
      </c>
      <c r="D51" s="12">
        <v>149.14</v>
      </c>
      <c r="E51" s="12">
        <v>-5.18</v>
      </c>
      <c r="F51" s="13">
        <v>-3.36</v>
      </c>
      <c r="G51" s="12">
        <v>-8.35</v>
      </c>
      <c r="H51" s="12">
        <v>3.17</v>
      </c>
      <c r="I51" s="14" t="s">
        <v>253</v>
      </c>
      <c r="J51" s="14" t="s">
        <v>254</v>
      </c>
      <c r="K51" s="14" t="s">
        <v>58</v>
      </c>
    </row>
    <row r="52" spans="1:11">
      <c r="A52" s="9">
        <v>51</v>
      </c>
      <c r="B52" s="10" t="s">
        <v>255</v>
      </c>
      <c r="C52" s="11" t="s">
        <v>256</v>
      </c>
      <c r="D52" s="12">
        <v>151.22</v>
      </c>
      <c r="E52" s="12">
        <v>2.08</v>
      </c>
      <c r="F52" s="13">
        <v>1.39</v>
      </c>
      <c r="G52" s="12">
        <v>3</v>
      </c>
      <c r="H52" s="12">
        <v>-0.92</v>
      </c>
      <c r="I52" s="14" t="s">
        <v>257</v>
      </c>
      <c r="J52" s="14" t="s">
        <v>258</v>
      </c>
      <c r="K52" s="14" t="s">
        <v>58</v>
      </c>
    </row>
    <row r="53" spans="1:11">
      <c r="A53" s="9">
        <v>52</v>
      </c>
      <c r="B53" s="10" t="s">
        <v>259</v>
      </c>
      <c r="C53" s="11" t="s">
        <v>260</v>
      </c>
      <c r="D53" s="12">
        <v>150.65</v>
      </c>
      <c r="E53" s="12">
        <v>-0.57</v>
      </c>
      <c r="F53" s="13">
        <v>-0.38</v>
      </c>
      <c r="G53" s="12">
        <v>-2.97</v>
      </c>
      <c r="H53" s="12">
        <v>2.4</v>
      </c>
      <c r="I53" s="14" t="s">
        <v>261</v>
      </c>
      <c r="J53" s="14" t="s">
        <v>262</v>
      </c>
      <c r="K53" s="14" t="s">
        <v>58</v>
      </c>
    </row>
    <row r="54" spans="1:11">
      <c r="A54" s="9">
        <v>53</v>
      </c>
      <c r="B54" s="10" t="s">
        <v>263</v>
      </c>
      <c r="C54" s="11" t="s">
        <v>264</v>
      </c>
      <c r="D54" s="12">
        <v>151.71</v>
      </c>
      <c r="E54" s="12">
        <v>1.06</v>
      </c>
      <c r="F54" s="13">
        <v>0.7</v>
      </c>
      <c r="G54" s="12">
        <v>2.42</v>
      </c>
      <c r="H54" s="12">
        <v>-1.36</v>
      </c>
      <c r="I54" s="14" t="s">
        <v>265</v>
      </c>
      <c r="J54" s="14" t="s">
        <v>266</v>
      </c>
      <c r="K54" s="14" t="s">
        <v>58</v>
      </c>
    </row>
    <row r="55" spans="1:11">
      <c r="A55" s="9">
        <v>54</v>
      </c>
      <c r="B55" s="10" t="s">
        <v>267</v>
      </c>
      <c r="C55" s="11" t="s">
        <v>268</v>
      </c>
      <c r="D55" s="12">
        <v>154.36</v>
      </c>
      <c r="E55" s="12">
        <v>2.65</v>
      </c>
      <c r="F55" s="13">
        <v>1.75</v>
      </c>
      <c r="G55" s="12">
        <v>6.49</v>
      </c>
      <c r="H55" s="12">
        <v>-0.84</v>
      </c>
      <c r="I55" s="14" t="s">
        <v>269</v>
      </c>
      <c r="J55" s="14" t="s">
        <v>270</v>
      </c>
      <c r="K55" s="14" t="s">
        <v>58</v>
      </c>
    </row>
    <row r="56" spans="1:11">
      <c r="A56" s="9">
        <v>55</v>
      </c>
      <c r="B56" s="10" t="s">
        <v>271</v>
      </c>
      <c r="C56" s="11" t="s">
        <v>272</v>
      </c>
      <c r="D56" s="12">
        <v>147.93</v>
      </c>
      <c r="E56" s="12">
        <v>-6.43</v>
      </c>
      <c r="F56" s="13">
        <v>-4.17</v>
      </c>
      <c r="G56" s="12">
        <v>-3.86</v>
      </c>
      <c r="H56" s="12">
        <v>-2.57</v>
      </c>
      <c r="I56" s="14" t="s">
        <v>273</v>
      </c>
      <c r="J56" s="14" t="s">
        <v>274</v>
      </c>
      <c r="K56" s="14" t="s">
        <v>58</v>
      </c>
    </row>
    <row r="57" spans="1:11">
      <c r="A57" s="9">
        <v>56</v>
      </c>
      <c r="B57" s="10" t="s">
        <v>275</v>
      </c>
      <c r="C57" s="11" t="s">
        <v>276</v>
      </c>
      <c r="D57" s="12">
        <v>136.35</v>
      </c>
      <c r="E57" s="12">
        <v>-11.58</v>
      </c>
      <c r="F57" s="13">
        <v>-7.83</v>
      </c>
      <c r="G57" s="12">
        <v>-8.029999999999999</v>
      </c>
      <c r="H57" s="12">
        <v>-3.55</v>
      </c>
      <c r="I57" s="14" t="s">
        <v>277</v>
      </c>
      <c r="J57" s="14" t="s">
        <v>278</v>
      </c>
      <c r="K57" s="14" t="s">
        <v>58</v>
      </c>
    </row>
    <row r="58" spans="1:11">
      <c r="A58" s="9">
        <v>57</v>
      </c>
      <c r="B58" s="10" t="s">
        <v>279</v>
      </c>
      <c r="C58" s="11" t="s">
        <v>280</v>
      </c>
      <c r="D58" s="12">
        <v>134.94</v>
      </c>
      <c r="E58" s="12">
        <v>-1.41</v>
      </c>
      <c r="F58" s="13">
        <v>-1.03</v>
      </c>
      <c r="G58" s="12">
        <v>0.13</v>
      </c>
      <c r="H58" s="12">
        <v>-1.54</v>
      </c>
      <c r="I58" s="14" t="s">
        <v>281</v>
      </c>
      <c r="J58" s="14" t="s">
        <v>282</v>
      </c>
      <c r="K58" s="14" t="s">
        <v>58</v>
      </c>
    </row>
    <row r="59" spans="1:11">
      <c r="A59" s="9">
        <v>58</v>
      </c>
      <c r="B59" s="10" t="s">
        <v>283</v>
      </c>
      <c r="C59" s="11" t="s">
        <v>284</v>
      </c>
      <c r="D59" s="12">
        <v>123.44</v>
      </c>
      <c r="E59" s="12">
        <v>-11.5</v>
      </c>
      <c r="F59" s="13">
        <v>-8.52</v>
      </c>
      <c r="G59" s="12">
        <v>-10.82</v>
      </c>
      <c r="H59" s="12">
        <v>-0.68</v>
      </c>
      <c r="I59" s="14" t="s">
        <v>285</v>
      </c>
      <c r="J59" s="14" t="s">
        <v>286</v>
      </c>
      <c r="K59" s="14" t="s">
        <v>58</v>
      </c>
    </row>
    <row r="60" spans="1:11">
      <c r="A60" s="9">
        <v>59</v>
      </c>
      <c r="B60" s="10" t="s">
        <v>287</v>
      </c>
      <c r="C60" s="11" t="s">
        <v>288</v>
      </c>
      <c r="D60" s="12">
        <v>121.88</v>
      </c>
      <c r="E60" s="12">
        <v>-1.56</v>
      </c>
      <c r="F60" s="13">
        <v>-1.26</v>
      </c>
      <c r="G60" s="12">
        <v>-3.1</v>
      </c>
      <c r="H60" s="12">
        <v>1.54</v>
      </c>
      <c r="I60" s="14" t="s">
        <v>289</v>
      </c>
      <c r="J60" s="14" t="s">
        <v>290</v>
      </c>
      <c r="K60" s="14" t="s">
        <v>58</v>
      </c>
    </row>
    <row r="61" spans="1:11">
      <c r="A61" s="9">
        <v>60</v>
      </c>
      <c r="B61" s="10" t="s">
        <v>291</v>
      </c>
      <c r="C61" s="11" t="s">
        <v>292</v>
      </c>
      <c r="D61" s="12">
        <v>141.25</v>
      </c>
      <c r="E61" s="12">
        <v>19.37</v>
      </c>
      <c r="F61" s="13">
        <v>15.89</v>
      </c>
      <c r="G61" s="12">
        <v>20.77</v>
      </c>
      <c r="H61" s="12">
        <v>-1.4</v>
      </c>
      <c r="I61" s="14" t="s">
        <v>293</v>
      </c>
      <c r="J61" s="14" t="s">
        <v>294</v>
      </c>
      <c r="K61" s="14" t="s">
        <v>58</v>
      </c>
    </row>
    <row r="62" spans="1:11">
      <c r="A62" s="9">
        <v>61</v>
      </c>
      <c r="B62" s="10" t="s">
        <v>295</v>
      </c>
      <c r="C62" s="11" t="s">
        <v>296</v>
      </c>
      <c r="D62" s="12">
        <v>147.74</v>
      </c>
      <c r="E62" s="12">
        <v>6.49</v>
      </c>
      <c r="F62" s="13">
        <v>4.59</v>
      </c>
      <c r="G62" s="12">
        <v>3.98</v>
      </c>
      <c r="H62" s="12">
        <v>2.51</v>
      </c>
      <c r="I62" s="14" t="s">
        <v>297</v>
      </c>
      <c r="J62" s="14" t="s">
        <v>298</v>
      </c>
      <c r="K62" s="14" t="s">
        <v>58</v>
      </c>
    </row>
    <row r="63" spans="1:11">
      <c r="A63" s="9">
        <v>62</v>
      </c>
      <c r="B63" s="10" t="s">
        <v>299</v>
      </c>
      <c r="C63" s="11" t="s">
        <v>300</v>
      </c>
      <c r="D63" s="12">
        <v>153.72</v>
      </c>
      <c r="E63" s="12">
        <v>5.98</v>
      </c>
      <c r="F63" s="13">
        <v>4.05</v>
      </c>
      <c r="G63" s="12">
        <v>5.72</v>
      </c>
      <c r="H63" s="12">
        <v>-1.64</v>
      </c>
      <c r="I63" s="14" t="s">
        <v>301</v>
      </c>
      <c r="J63" s="14" t="s">
        <v>302</v>
      </c>
      <c r="K63" s="14" t="s">
        <v>58</v>
      </c>
    </row>
    <row r="64" spans="1:11">
      <c r="A64" s="9">
        <v>63</v>
      </c>
      <c r="B64" s="10" t="s">
        <v>303</v>
      </c>
      <c r="C64" s="11" t="s">
        <v>304</v>
      </c>
      <c r="D64" s="12">
        <v>143.53</v>
      </c>
      <c r="E64" s="12">
        <v>-10.19</v>
      </c>
      <c r="F64" s="13">
        <v>-6.63</v>
      </c>
      <c r="G64" s="12">
        <v>-8.44</v>
      </c>
      <c r="H64" s="12">
        <v>-1.75</v>
      </c>
      <c r="I64" s="14" t="s">
        <v>305</v>
      </c>
      <c r="J64" s="14" t="s">
        <v>306</v>
      </c>
      <c r="K64" s="14" t="s">
        <v>58</v>
      </c>
    </row>
    <row r="65" spans="1:11">
      <c r="A65" s="9">
        <v>64</v>
      </c>
      <c r="B65" s="10" t="s">
        <v>307</v>
      </c>
      <c r="C65" s="11" t="s">
        <v>308</v>
      </c>
      <c r="D65" s="12">
        <v>145.75</v>
      </c>
      <c r="E65" s="12">
        <v>2.22</v>
      </c>
      <c r="F65" s="13">
        <v>1.55</v>
      </c>
      <c r="G65" s="12">
        <v>-1.36</v>
      </c>
      <c r="H65" s="12">
        <v>3.58</v>
      </c>
      <c r="I65" s="14" t="s">
        <v>309</v>
      </c>
      <c r="J65" s="14" t="s">
        <v>310</v>
      </c>
      <c r="K65" s="14" t="s">
        <v>58</v>
      </c>
    </row>
    <row r="66" spans="1:11">
      <c r="A66" s="9">
        <v>65</v>
      </c>
      <c r="B66" s="10" t="s">
        <v>311</v>
      </c>
      <c r="C66" s="11" t="s">
        <v>312</v>
      </c>
      <c r="D66" s="12">
        <v>147.21</v>
      </c>
      <c r="E66" s="12">
        <v>1.46</v>
      </c>
      <c r="F66" s="13">
        <v>1</v>
      </c>
      <c r="G66" s="12">
        <v>4.76</v>
      </c>
      <c r="H66" s="12">
        <v>-3.3</v>
      </c>
      <c r="I66" s="14" t="s">
        <v>313</v>
      </c>
      <c r="J66" s="14" t="s">
        <v>314</v>
      </c>
      <c r="K66" s="14" t="s">
        <v>58</v>
      </c>
    </row>
    <row r="67" spans="1:11">
      <c r="A67" s="9">
        <v>66</v>
      </c>
      <c r="B67" s="10" t="s">
        <v>315</v>
      </c>
      <c r="C67" s="11" t="s">
        <v>316</v>
      </c>
      <c r="D67" s="12">
        <v>141.1</v>
      </c>
      <c r="E67" s="12">
        <v>-6.11</v>
      </c>
      <c r="F67" s="13">
        <v>-4.15</v>
      </c>
      <c r="G67" s="12">
        <v>-6.48</v>
      </c>
      <c r="H67" s="12">
        <v>0.37</v>
      </c>
      <c r="I67" s="14" t="s">
        <v>317</v>
      </c>
      <c r="J67" s="14" t="s">
        <v>318</v>
      </c>
      <c r="K67" s="14" t="s">
        <v>58</v>
      </c>
    </row>
    <row r="68" spans="1:11">
      <c r="A68" s="9">
        <v>67</v>
      </c>
      <c r="B68" s="10" t="s">
        <v>319</v>
      </c>
      <c r="C68" s="11" t="s">
        <v>320</v>
      </c>
      <c r="D68" s="12">
        <v>143.22</v>
      </c>
      <c r="E68" s="12">
        <v>2.12</v>
      </c>
      <c r="F68" s="13">
        <v>1.5</v>
      </c>
      <c r="G68" s="12">
        <v>3.66</v>
      </c>
      <c r="H68" s="12">
        <v>-1.54</v>
      </c>
      <c r="I68" s="14" t="s">
        <v>321</v>
      </c>
      <c r="J68" s="14" t="s">
        <v>322</v>
      </c>
      <c r="K68" s="14" t="s">
        <v>58</v>
      </c>
    </row>
    <row r="69" spans="1:11">
      <c r="A69" s="9">
        <v>68</v>
      </c>
      <c r="B69" s="10" t="s">
        <v>323</v>
      </c>
      <c r="C69" s="11" t="s">
        <v>324</v>
      </c>
      <c r="D69" s="12">
        <v>144.67</v>
      </c>
      <c r="E69" s="12">
        <v>1.45</v>
      </c>
      <c r="F69" s="13">
        <v>1.01</v>
      </c>
      <c r="G69" s="12">
        <v>-0.05</v>
      </c>
      <c r="H69" s="12">
        <v>1.5</v>
      </c>
      <c r="I69" s="14" t="s">
        <v>325</v>
      </c>
      <c r="J69" s="14" t="s">
        <v>326</v>
      </c>
      <c r="K69" s="14" t="s">
        <v>58</v>
      </c>
    </row>
    <row r="70" spans="1:11">
      <c r="A70" s="9">
        <v>69</v>
      </c>
      <c r="B70" s="10" t="s">
        <v>327</v>
      </c>
      <c r="C70" s="11" t="s">
        <v>328</v>
      </c>
      <c r="D70" s="12">
        <v>144.35</v>
      </c>
      <c r="E70" s="12">
        <v>-0.32</v>
      </c>
      <c r="F70" s="13">
        <v>-0.22</v>
      </c>
      <c r="G70" s="12">
        <v>2.42</v>
      </c>
      <c r="H70" s="12">
        <v>-2.74</v>
      </c>
      <c r="I70" s="14" t="s">
        <v>329</v>
      </c>
      <c r="J70" s="14" t="s">
        <v>330</v>
      </c>
      <c r="K70" s="14" t="s">
        <v>58</v>
      </c>
    </row>
    <row r="71" spans="1:11">
      <c r="A71" s="9">
        <v>70</v>
      </c>
      <c r="B71" s="10" t="s">
        <v>331</v>
      </c>
      <c r="C71" s="11" t="s">
        <v>332</v>
      </c>
      <c r="D71" s="12">
        <v>131.28</v>
      </c>
      <c r="E71" s="12">
        <v>-13.07</v>
      </c>
      <c r="F71" s="13">
        <v>-9.050000000000001</v>
      </c>
      <c r="G71" s="12">
        <v>-9.56</v>
      </c>
      <c r="H71" s="12">
        <v>-3.51</v>
      </c>
      <c r="I71" s="14" t="s">
        <v>333</v>
      </c>
      <c r="J71" s="14" t="s">
        <v>334</v>
      </c>
      <c r="K71" s="14" t="s">
        <v>58</v>
      </c>
    </row>
    <row r="72" spans="1:11">
      <c r="A72" s="9">
        <v>71</v>
      </c>
      <c r="B72" s="10" t="s">
        <v>335</v>
      </c>
      <c r="C72" s="11" t="s">
        <v>336</v>
      </c>
      <c r="D72" s="12">
        <v>126.17</v>
      </c>
      <c r="E72" s="12">
        <v>-5.11</v>
      </c>
      <c r="F72" s="13">
        <v>-3.89</v>
      </c>
      <c r="G72" s="12">
        <v>-2.76</v>
      </c>
      <c r="H72" s="12">
        <v>-2.35</v>
      </c>
      <c r="I72" s="14" t="s">
        <v>337</v>
      </c>
      <c r="J72" s="14" t="s">
        <v>338</v>
      </c>
      <c r="K72" s="14" t="s">
        <v>58</v>
      </c>
    </row>
    <row r="73" spans="1:11">
      <c r="A73" s="9">
        <v>72</v>
      </c>
      <c r="B73" s="10" t="s">
        <v>339</v>
      </c>
      <c r="C73" s="11" t="s">
        <v>340</v>
      </c>
      <c r="D73" s="12">
        <v>115.55</v>
      </c>
      <c r="E73" s="12">
        <v>-10.62</v>
      </c>
      <c r="F73" s="13">
        <v>-8.42</v>
      </c>
      <c r="G73" s="12">
        <v>-8.470000000000001</v>
      </c>
      <c r="H73" s="12">
        <v>-2.15</v>
      </c>
      <c r="I73" s="14" t="s">
        <v>341</v>
      </c>
      <c r="J73" s="14" t="s">
        <v>342</v>
      </c>
      <c r="K73" s="14" t="s">
        <v>58</v>
      </c>
    </row>
    <row r="74" spans="1:11">
      <c r="A74" s="9">
        <v>73</v>
      </c>
      <c r="B74" s="10" t="s">
        <v>343</v>
      </c>
      <c r="C74" s="11" t="s">
        <v>344</v>
      </c>
      <c r="D74" s="12">
        <v>103.4</v>
      </c>
      <c r="E74" s="12">
        <v>-12.15</v>
      </c>
      <c r="F74" s="13">
        <v>-10.51</v>
      </c>
      <c r="G74" s="12">
        <v>-9.220000000000001</v>
      </c>
      <c r="H74" s="12">
        <v>-2.93</v>
      </c>
      <c r="I74" s="14" t="s">
        <v>345</v>
      </c>
      <c r="J74" s="14" t="s">
        <v>346</v>
      </c>
      <c r="K74" s="14" t="s">
        <v>58</v>
      </c>
    </row>
    <row r="75" spans="1:11">
      <c r="A75" s="9">
        <v>74</v>
      </c>
      <c r="B75" s="10" t="s">
        <v>347</v>
      </c>
      <c r="C75" s="11" t="s">
        <v>348</v>
      </c>
      <c r="D75" s="12">
        <v>102.55</v>
      </c>
      <c r="E75" s="12">
        <v>-0.85</v>
      </c>
      <c r="F75" s="13">
        <v>-0.82</v>
      </c>
      <c r="G75" s="12">
        <v>-0.41</v>
      </c>
      <c r="H75" s="12">
        <v>-0.44</v>
      </c>
      <c r="I75" s="14" t="s">
        <v>349</v>
      </c>
      <c r="J75" s="14" t="s">
        <v>350</v>
      </c>
      <c r="K75" s="14" t="s">
        <v>58</v>
      </c>
    </row>
    <row r="76" spans="1:11">
      <c r="A76" s="9">
        <v>75</v>
      </c>
      <c r="B76" s="10" t="s">
        <v>351</v>
      </c>
      <c r="C76" s="11" t="s">
        <v>352</v>
      </c>
      <c r="D76" s="12">
        <v>95.36</v>
      </c>
      <c r="E76" s="12">
        <v>-7.19</v>
      </c>
      <c r="F76" s="13">
        <v>-7.01</v>
      </c>
      <c r="G76" s="12">
        <v>-8.16</v>
      </c>
      <c r="H76" s="12">
        <v>0.97</v>
      </c>
      <c r="I76" s="14" t="s">
        <v>353</v>
      </c>
      <c r="J76" s="14" t="s">
        <v>354</v>
      </c>
      <c r="K76" s="14" t="s">
        <v>58</v>
      </c>
    </row>
    <row r="77" spans="1:11">
      <c r="A77" s="9">
        <v>76</v>
      </c>
      <c r="B77" s="10" t="s">
        <v>355</v>
      </c>
      <c r="C77" s="11" t="s">
        <v>356</v>
      </c>
      <c r="D77" s="12">
        <v>97.56999999999999</v>
      </c>
      <c r="E77" s="12">
        <v>2.21</v>
      </c>
      <c r="F77" s="13">
        <v>2.32</v>
      </c>
      <c r="G77" s="12">
        <v>4.73</v>
      </c>
      <c r="H77" s="12">
        <v>-3.17</v>
      </c>
      <c r="I77" s="14" t="s">
        <v>357</v>
      </c>
      <c r="J77" s="14" t="s">
        <v>358</v>
      </c>
      <c r="K77" s="14" t="s">
        <v>58</v>
      </c>
    </row>
    <row r="78" spans="1:11">
      <c r="A78" s="9">
        <v>77</v>
      </c>
      <c r="B78" s="10" t="s">
        <v>359</v>
      </c>
      <c r="C78" s="11" t="s">
        <v>360</v>
      </c>
      <c r="D78" s="12">
        <v>91.48999999999999</v>
      </c>
      <c r="E78" s="12">
        <v>-6.08</v>
      </c>
      <c r="F78" s="13">
        <v>-6.23</v>
      </c>
      <c r="G78" s="12">
        <v>-0.28</v>
      </c>
      <c r="H78" s="12">
        <v>-5.8</v>
      </c>
      <c r="I78" s="14" t="s">
        <v>361</v>
      </c>
      <c r="J78" s="14" t="s">
        <v>362</v>
      </c>
      <c r="K78" s="14" t="s">
        <v>58</v>
      </c>
    </row>
    <row r="79" spans="1:11">
      <c r="A79" s="9">
        <v>78</v>
      </c>
      <c r="B79" s="10" t="s">
        <v>363</v>
      </c>
      <c r="C79" s="11" t="s">
        <v>364</v>
      </c>
      <c r="D79" s="12">
        <v>92.2</v>
      </c>
      <c r="E79" s="12">
        <v>0.71</v>
      </c>
      <c r="F79" s="13">
        <v>0.78</v>
      </c>
      <c r="G79" s="12">
        <v>4.9</v>
      </c>
      <c r="H79" s="12">
        <v>-4.19</v>
      </c>
      <c r="I79" s="14" t="s">
        <v>365</v>
      </c>
      <c r="J79" s="14" t="s">
        <v>366</v>
      </c>
      <c r="K79" s="14" t="s">
        <v>58</v>
      </c>
    </row>
    <row r="80" spans="1:11">
      <c r="A80" s="9">
        <v>79</v>
      </c>
      <c r="B80" s="10" t="s">
        <v>367</v>
      </c>
      <c r="C80" s="11" t="s">
        <v>368</v>
      </c>
      <c r="D80" s="12">
        <v>79.68000000000001</v>
      </c>
      <c r="E80" s="12">
        <v>-12.52</v>
      </c>
      <c r="F80" s="13">
        <v>-13.58</v>
      </c>
      <c r="G80" s="12">
        <v>-11.51</v>
      </c>
      <c r="H80" s="12">
        <v>-1.01</v>
      </c>
      <c r="I80" s="14" t="s">
        <v>369</v>
      </c>
      <c r="J80" s="14" t="s">
        <v>370</v>
      </c>
      <c r="K80" s="14" t="s">
        <v>58</v>
      </c>
    </row>
    <row r="81" spans="1:11">
      <c r="A81" s="9">
        <v>80</v>
      </c>
      <c r="B81" s="10" t="s">
        <v>371</v>
      </c>
      <c r="C81" s="11" t="s">
        <v>372</v>
      </c>
      <c r="D81" s="12">
        <v>71.55</v>
      </c>
      <c r="E81" s="12">
        <v>-8.130000000000001</v>
      </c>
      <c r="F81" s="13">
        <v>-10.2</v>
      </c>
      <c r="G81" s="12">
        <v>-5.73</v>
      </c>
      <c r="H81" s="12">
        <v>-2.4</v>
      </c>
      <c r="I81" s="14" t="s">
        <v>373</v>
      </c>
      <c r="J81" s="14" t="s">
        <v>374</v>
      </c>
      <c r="K81" s="14" t="s">
        <v>58</v>
      </c>
    </row>
    <row r="82" spans="1:11">
      <c r="A82" s="9">
        <v>81</v>
      </c>
      <c r="B82" s="10" t="s">
        <v>375</v>
      </c>
      <c r="C82" s="11" t="s">
        <v>376</v>
      </c>
      <c r="D82" s="12">
        <v>66.2</v>
      </c>
      <c r="E82" s="12">
        <v>-5.35</v>
      </c>
      <c r="F82" s="13">
        <v>-7.48</v>
      </c>
      <c r="G82" s="12">
        <v>-8.52</v>
      </c>
      <c r="H82" s="12">
        <v>1.17</v>
      </c>
      <c r="I82" s="14" t="s">
        <v>377</v>
      </c>
      <c r="J82" s="14" t="s">
        <v>378</v>
      </c>
      <c r="K82" s="14" t="s">
        <v>58</v>
      </c>
    </row>
    <row r="83" spans="1:11">
      <c r="A83" s="9">
        <v>82</v>
      </c>
      <c r="B83" s="10" t="s">
        <v>379</v>
      </c>
      <c r="C83" s="11" t="s">
        <v>380</v>
      </c>
      <c r="D83" s="12">
        <v>63.35</v>
      </c>
      <c r="E83" s="12">
        <v>-2.85</v>
      </c>
      <c r="F83" s="13">
        <v>-4.31</v>
      </c>
      <c r="G83" s="12">
        <v>-0.27</v>
      </c>
      <c r="H83" s="12">
        <v>-2.58</v>
      </c>
      <c r="I83" s="14" t="s">
        <v>381</v>
      </c>
      <c r="J83" s="14" t="s">
        <v>382</v>
      </c>
      <c r="K83" s="14" t="s">
        <v>58</v>
      </c>
    </row>
    <row r="84" spans="1:11">
      <c r="A84" s="9">
        <v>83</v>
      </c>
      <c r="B84" s="10" t="s">
        <v>383</v>
      </c>
      <c r="C84" s="11" t="s">
        <v>384</v>
      </c>
      <c r="D84" s="12">
        <v>56.61</v>
      </c>
      <c r="E84" s="12">
        <v>-6.74</v>
      </c>
      <c r="F84" s="13">
        <v>-10.64</v>
      </c>
      <c r="G84" s="12">
        <v>-6.12</v>
      </c>
      <c r="H84" s="12">
        <v>-0.62</v>
      </c>
      <c r="I84" s="14" t="s">
        <v>385</v>
      </c>
      <c r="J84" s="14" t="s">
        <v>386</v>
      </c>
      <c r="K84" s="14" t="s">
        <v>58</v>
      </c>
    </row>
    <row r="85" spans="1:11">
      <c r="A85" s="9">
        <v>84</v>
      </c>
      <c r="B85" s="10" t="s">
        <v>387</v>
      </c>
      <c r="C85" s="11" t="s">
        <v>388</v>
      </c>
      <c r="D85" s="12">
        <v>63.24</v>
      </c>
      <c r="E85" s="12">
        <v>6.63</v>
      </c>
      <c r="F85" s="13">
        <v>11.71</v>
      </c>
      <c r="G85" s="12">
        <v>3.95</v>
      </c>
      <c r="H85" s="12">
        <v>2.68</v>
      </c>
      <c r="I85" s="14" t="s">
        <v>389</v>
      </c>
      <c r="J85" s="14" t="s">
        <v>390</v>
      </c>
      <c r="K85" s="14" t="s">
        <v>58</v>
      </c>
    </row>
    <row r="86" spans="1:11">
      <c r="A86" s="9">
        <v>85</v>
      </c>
      <c r="B86" s="10" t="s">
        <v>391</v>
      </c>
      <c r="C86" s="11" t="s">
        <v>392</v>
      </c>
      <c r="D86" s="12">
        <v>56.03</v>
      </c>
      <c r="E86" s="12">
        <v>-7.21</v>
      </c>
      <c r="F86" s="13">
        <v>-11.4</v>
      </c>
      <c r="G86" s="12">
        <v>-4.98</v>
      </c>
      <c r="H86" s="12">
        <v>-2.23</v>
      </c>
      <c r="I86" s="14" t="s">
        <v>393</v>
      </c>
      <c r="J86" s="14" t="s">
        <v>394</v>
      </c>
      <c r="K86" s="14" t="s">
        <v>58</v>
      </c>
    </row>
    <row r="87" spans="1:11">
      <c r="A87" s="9">
        <v>86</v>
      </c>
      <c r="B87" s="10" t="s">
        <v>395</v>
      </c>
      <c r="C87" s="11" t="s">
        <v>396</v>
      </c>
      <c r="D87" s="12">
        <v>49.32</v>
      </c>
      <c r="E87" s="12">
        <v>-6.71</v>
      </c>
      <c r="F87" s="13">
        <v>-11.98</v>
      </c>
      <c r="G87" s="12">
        <v>-2.09</v>
      </c>
      <c r="H87" s="12">
        <v>-4.62</v>
      </c>
      <c r="I87" s="14" t="s">
        <v>397</v>
      </c>
      <c r="J87" s="14" t="s">
        <v>398</v>
      </c>
      <c r="K87" s="14" t="s">
        <v>58</v>
      </c>
    </row>
    <row r="88" spans="1:11">
      <c r="A88" s="9">
        <v>87</v>
      </c>
      <c r="B88" s="10" t="s">
        <v>399</v>
      </c>
      <c r="C88" s="11" t="s">
        <v>400</v>
      </c>
      <c r="D88" s="12">
        <v>44.67</v>
      </c>
      <c r="E88" s="12">
        <v>-4.65</v>
      </c>
      <c r="F88" s="13">
        <v>-9.43</v>
      </c>
      <c r="G88" s="12">
        <v>-6.52</v>
      </c>
      <c r="H88" s="12">
        <v>1.87</v>
      </c>
      <c r="I88" s="14" t="s">
        <v>401</v>
      </c>
      <c r="J88" s="14" t="s">
        <v>402</v>
      </c>
      <c r="K88" s="14" t="s">
        <v>58</v>
      </c>
    </row>
    <row r="89" spans="1:11">
      <c r="A89" s="9">
        <v>88</v>
      </c>
      <c r="B89" s="10" t="s">
        <v>403</v>
      </c>
      <c r="C89" s="11" t="s">
        <v>404</v>
      </c>
      <c r="D89" s="12">
        <v>40.15</v>
      </c>
      <c r="E89" s="12">
        <v>-4.52</v>
      </c>
      <c r="F89" s="13">
        <v>-10.12</v>
      </c>
      <c r="G89" s="12">
        <v>-7.95</v>
      </c>
      <c r="H89" s="12">
        <v>3.43</v>
      </c>
      <c r="I89" s="14" t="s">
        <v>405</v>
      </c>
      <c r="J89" s="14" t="s">
        <v>406</v>
      </c>
      <c r="K89" s="14" t="s">
        <v>58</v>
      </c>
    </row>
    <row r="90" spans="1:11">
      <c r="A90" s="9">
        <v>89</v>
      </c>
      <c r="B90" s="10" t="s">
        <v>407</v>
      </c>
      <c r="C90" s="11" t="s">
        <v>408</v>
      </c>
      <c r="D90" s="12">
        <v>54.87</v>
      </c>
      <c r="E90" s="12">
        <v>14.72</v>
      </c>
      <c r="F90" s="13">
        <v>36.66</v>
      </c>
      <c r="G90" s="12">
        <v>8.619999999999999</v>
      </c>
      <c r="H90" s="12">
        <v>6.1</v>
      </c>
      <c r="I90" s="14" t="s">
        <v>409</v>
      </c>
      <c r="J90" s="14" t="s">
        <v>410</v>
      </c>
      <c r="K90" s="14" t="s">
        <v>58</v>
      </c>
    </row>
    <row r="91" spans="1:11">
      <c r="A91" s="9">
        <v>90</v>
      </c>
      <c r="B91" s="10" t="s">
        <v>411</v>
      </c>
      <c r="C91" s="11" t="s">
        <v>412</v>
      </c>
      <c r="D91" s="12">
        <v>68.68000000000001</v>
      </c>
      <c r="E91" s="12">
        <v>13.81</v>
      </c>
      <c r="F91" s="13">
        <v>25.17</v>
      </c>
      <c r="G91" s="12">
        <v>13.18</v>
      </c>
      <c r="H91" s="12">
        <v>0.63</v>
      </c>
      <c r="I91" s="14" t="s">
        <v>413</v>
      </c>
      <c r="J91" s="14" t="s">
        <v>414</v>
      </c>
      <c r="K91" s="14" t="s">
        <v>58</v>
      </c>
    </row>
    <row r="92" spans="1:11">
      <c r="A92" s="9">
        <v>91</v>
      </c>
      <c r="B92" s="10" t="s">
        <v>415</v>
      </c>
      <c r="C92" s="11" t="s">
        <v>416</v>
      </c>
      <c r="D92" s="12">
        <v>69.26000000000001</v>
      </c>
      <c r="E92" s="12">
        <v>0.58</v>
      </c>
      <c r="F92" s="13">
        <v>0.84</v>
      </c>
      <c r="G92" s="12">
        <v>0.64</v>
      </c>
      <c r="H92" s="12">
        <v>-0.46</v>
      </c>
      <c r="I92" s="14" t="s">
        <v>417</v>
      </c>
      <c r="J92" s="14" t="s">
        <v>418</v>
      </c>
      <c r="K92" s="14" t="s">
        <v>58</v>
      </c>
    </row>
    <row r="93" spans="1:11">
      <c r="A93" s="9">
        <v>92</v>
      </c>
      <c r="B93" s="10" t="s">
        <v>419</v>
      </c>
      <c r="C93" s="11" t="s">
        <v>420</v>
      </c>
      <c r="D93" s="12">
        <v>60</v>
      </c>
      <c r="E93" s="12">
        <v>-9.26</v>
      </c>
      <c r="F93" s="13">
        <v>-13.37</v>
      </c>
      <c r="G93" s="12">
        <v>-6.76</v>
      </c>
      <c r="H93" s="12">
        <v>-2.5</v>
      </c>
      <c r="I93" s="14" t="s">
        <v>421</v>
      </c>
      <c r="J93" s="14" t="s">
        <v>422</v>
      </c>
      <c r="K93" s="14" t="s">
        <v>58</v>
      </c>
    </row>
    <row r="94" spans="1:11">
      <c r="A94" s="9">
        <v>93</v>
      </c>
      <c r="B94" s="10" t="s">
        <v>423</v>
      </c>
      <c r="C94" s="11" t="s">
        <v>424</v>
      </c>
      <c r="D94" s="12">
        <v>66.7</v>
      </c>
      <c r="E94" s="12">
        <v>6.7</v>
      </c>
      <c r="F94" s="13">
        <v>11.17</v>
      </c>
      <c r="G94" s="12">
        <v>6.79</v>
      </c>
      <c r="H94" s="12">
        <v>-0.09</v>
      </c>
      <c r="I94" s="14" t="s">
        <v>425</v>
      </c>
      <c r="J94" s="14" t="s">
        <v>426</v>
      </c>
      <c r="K94" s="14" t="s">
        <v>58</v>
      </c>
    </row>
    <row r="95" spans="1:11">
      <c r="A95" s="9">
        <v>94</v>
      </c>
      <c r="B95" s="10" t="s">
        <v>427</v>
      </c>
      <c r="C95" s="11" t="s">
        <v>428</v>
      </c>
      <c r="D95" s="12">
        <v>68.56</v>
      </c>
      <c r="E95" s="12">
        <v>1.86</v>
      </c>
      <c r="F95" s="13">
        <v>2.79</v>
      </c>
      <c r="G95" s="12">
        <v>2.24</v>
      </c>
      <c r="H95" s="12">
        <v>-0.38</v>
      </c>
      <c r="I95" s="14" t="s">
        <v>429</v>
      </c>
      <c r="J95" s="14" t="s">
        <v>430</v>
      </c>
      <c r="K95" s="14" t="s">
        <v>58</v>
      </c>
    </row>
    <row r="96" spans="1:11">
      <c r="A96" s="9">
        <v>95</v>
      </c>
      <c r="B96" s="10" t="s">
        <v>431</v>
      </c>
      <c r="C96" s="11" t="s">
        <v>432</v>
      </c>
      <c r="D96" s="12">
        <v>64.15000000000001</v>
      </c>
      <c r="E96" s="12">
        <v>-4.41</v>
      </c>
      <c r="F96" s="13">
        <v>-6.43</v>
      </c>
      <c r="G96" s="12">
        <v>-1.65</v>
      </c>
      <c r="H96" s="12">
        <v>-2.76</v>
      </c>
      <c r="I96" s="14" t="s">
        <v>433</v>
      </c>
      <c r="J96" s="14" t="s">
        <v>434</v>
      </c>
      <c r="K96" s="14" t="s">
        <v>58</v>
      </c>
    </row>
    <row r="97" spans="1:11">
      <c r="A97" s="9">
        <v>96</v>
      </c>
      <c r="B97" s="10" t="s">
        <v>435</v>
      </c>
      <c r="C97" s="11" t="s">
        <v>436</v>
      </c>
      <c r="D97" s="12">
        <v>55.15</v>
      </c>
      <c r="E97" s="12">
        <v>-9</v>
      </c>
      <c r="F97" s="13">
        <v>-14.03</v>
      </c>
      <c r="G97" s="12">
        <v>-4.77</v>
      </c>
      <c r="H97" s="12">
        <v>-4.83</v>
      </c>
      <c r="I97" s="14" t="s">
        <v>437</v>
      </c>
      <c r="J97" s="14" t="s">
        <v>438</v>
      </c>
      <c r="K97" s="14" t="s">
        <v>58</v>
      </c>
    </row>
    <row r="98" spans="1:11">
      <c r="A98" s="9">
        <v>97</v>
      </c>
      <c r="B98" s="10" t="s">
        <v>439</v>
      </c>
      <c r="C98" s="11" t="s">
        <v>440</v>
      </c>
      <c r="D98" s="12">
        <v>42.39</v>
      </c>
      <c r="E98" s="12">
        <v>-12.76</v>
      </c>
      <c r="F98" s="13">
        <v>-23.14</v>
      </c>
      <c r="G98" s="12">
        <v>-10.51</v>
      </c>
      <c r="H98" s="12">
        <v>-2.25</v>
      </c>
      <c r="I98" s="14" t="s">
        <v>441</v>
      </c>
      <c r="J98" s="14" t="s">
        <v>442</v>
      </c>
      <c r="K98" s="14" t="s">
        <v>58</v>
      </c>
    </row>
    <row r="99" spans="1:11">
      <c r="A99" s="9">
        <v>98</v>
      </c>
      <c r="B99" s="10" t="s">
        <v>443</v>
      </c>
      <c r="C99" s="11" t="s">
        <v>444</v>
      </c>
      <c r="D99" s="12">
        <v>41.2</v>
      </c>
      <c r="E99" s="12">
        <v>-1.19</v>
      </c>
      <c r="F99" s="13">
        <v>-2.81</v>
      </c>
      <c r="G99" s="12">
        <v>-4.13</v>
      </c>
      <c r="H99" s="12">
        <v>2.94</v>
      </c>
      <c r="I99" s="14" t="s">
        <v>445</v>
      </c>
      <c r="J99" s="14" t="s">
        <v>446</v>
      </c>
      <c r="K99" s="14" t="s">
        <v>58</v>
      </c>
    </row>
    <row r="100" spans="1:11">
      <c r="A100" s="9">
        <v>99</v>
      </c>
      <c r="B100" s="10" t="s">
        <v>447</v>
      </c>
      <c r="C100" s="11" t="s">
        <v>448</v>
      </c>
      <c r="D100" s="12">
        <v>39.35</v>
      </c>
      <c r="E100" s="12">
        <v>-1.85</v>
      </c>
      <c r="F100" s="13">
        <v>-4.49</v>
      </c>
      <c r="G100" s="12">
        <v>-2.37</v>
      </c>
      <c r="H100" s="12">
        <v>0.52</v>
      </c>
      <c r="I100" s="14" t="s">
        <v>449</v>
      </c>
      <c r="J100" s="14" t="s">
        <v>450</v>
      </c>
      <c r="K100" s="14" t="s">
        <v>58</v>
      </c>
    </row>
    <row r="101" spans="1:11">
      <c r="A101" s="9">
        <v>100</v>
      </c>
      <c r="B101" s="10" t="s">
        <v>451</v>
      </c>
      <c r="C101" s="11" t="s">
        <v>452</v>
      </c>
      <c r="D101" s="12">
        <v>30.51</v>
      </c>
      <c r="E101" s="12">
        <v>-8.84</v>
      </c>
      <c r="F101" s="13">
        <v>-22.47</v>
      </c>
      <c r="G101" s="12">
        <v>-7.99</v>
      </c>
      <c r="H101" s="12">
        <v>-0.85</v>
      </c>
      <c r="I101" s="14" t="s">
        <v>453</v>
      </c>
      <c r="J101" s="14" t="s">
        <v>454</v>
      </c>
      <c r="K101" s="14" t="s">
        <v>58</v>
      </c>
    </row>
    <row r="102" spans="1:11">
      <c r="A102" s="9">
        <v>101</v>
      </c>
      <c r="B102" s="10" t="s">
        <v>455</v>
      </c>
      <c r="C102" s="11" t="s">
        <v>456</v>
      </c>
      <c r="D102" s="12">
        <v>36.72</v>
      </c>
      <c r="E102" s="12">
        <v>6.21</v>
      </c>
      <c r="F102" s="13">
        <v>20.35</v>
      </c>
      <c r="G102" s="12">
        <v>-3.16</v>
      </c>
      <c r="H102" s="12">
        <v>9.369999999999999</v>
      </c>
      <c r="I102" s="14" t="s">
        <v>457</v>
      </c>
      <c r="J102" s="14" t="s">
        <v>458</v>
      </c>
      <c r="K102" s="14" t="s">
        <v>58</v>
      </c>
    </row>
  </sheetData>
  <autoFilter ref="A1:K102"/>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9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3.7109375" customWidth="1"/>
    <col min="2" max="2" width="12.7109375" customWidth="1"/>
    <col min="3" max="4" width="16.7109375" customWidth="1"/>
    <col min="5" max="6" width="13.7109375" customWidth="1"/>
  </cols>
  <sheetData>
    <row r="1" spans="1:6">
      <c r="A1" s="8" t="s">
        <v>459</v>
      </c>
      <c r="B1" s="8" t="s">
        <v>460</v>
      </c>
      <c r="C1" s="8" t="s">
        <v>461</v>
      </c>
      <c r="D1" s="8" t="s">
        <v>462</v>
      </c>
      <c r="E1" s="8" t="s">
        <v>463</v>
      </c>
      <c r="F1" s="8" t="s">
        <v>464</v>
      </c>
    </row>
    <row r="2" spans="1:6">
      <c r="A2" s="10" t="s">
        <v>465</v>
      </c>
      <c r="B2" s="12">
        <v>2567</v>
      </c>
      <c r="C2" s="15">
        <v>711430</v>
      </c>
      <c r="D2" s="15">
        <v>574872</v>
      </c>
    </row>
    <row r="3" spans="1:6">
      <c r="A3" s="10" t="s">
        <v>466</v>
      </c>
      <c r="B3" s="12">
        <v>2517</v>
      </c>
      <c r="C3" s="15">
        <v>673905</v>
      </c>
      <c r="D3" s="15">
        <v>575341</v>
      </c>
      <c r="E3" s="12">
        <f>B3-B2</f>
        <v>-50.0</v>
      </c>
      <c r="F3" s="13">
        <f>(B3/B2-1)*100</f>
        <v>-1.948</v>
      </c>
    </row>
    <row r="4" spans="1:6">
      <c r="A4" s="10" t="s">
        <v>467</v>
      </c>
      <c r="B4" s="12">
        <v>2487</v>
      </c>
      <c r="C4" s="15">
        <v>646029</v>
      </c>
      <c r="D4" s="15">
        <v>578029</v>
      </c>
      <c r="E4" s="12">
        <f>B4-B3</f>
        <v>-30.0</v>
      </c>
      <c r="F4" s="13">
        <f>(B4/B3-1)*100</f>
        <v>-1.192</v>
      </c>
    </row>
    <row r="5" spans="1:6">
      <c r="A5" s="10" t="s">
        <v>468</v>
      </c>
      <c r="B5" s="12">
        <v>2503</v>
      </c>
      <c r="C5" s="15">
        <v>540454</v>
      </c>
      <c r="D5" s="15">
        <v>599000</v>
      </c>
      <c r="E5" s="12">
        <f>B5-B4</f>
        <v>16.0</v>
      </c>
      <c r="F5" s="13">
        <f>(B5/B4-1)*100</f>
        <v>0.643</v>
      </c>
    </row>
    <row r="6" spans="1:6">
      <c r="A6" s="10" t="s">
        <v>469</v>
      </c>
      <c r="B6" s="12">
        <v>2499</v>
      </c>
      <c r="C6" s="15">
        <v>690192</v>
      </c>
      <c r="D6" s="15">
        <v>617109</v>
      </c>
      <c r="E6" s="12">
        <f>B6-B5</f>
        <v>-4.0</v>
      </c>
      <c r="F6" s="13">
        <f>(B6/B5-1)*100</f>
        <v>-0.16</v>
      </c>
    </row>
    <row r="7" spans="1:6">
      <c r="A7" s="10" t="s">
        <v>470</v>
      </c>
      <c r="B7" s="12">
        <v>2457</v>
      </c>
      <c r="C7" s="15">
        <v>706062</v>
      </c>
      <c r="D7" s="15">
        <v>626029</v>
      </c>
      <c r="E7" s="12">
        <f>B7-B6</f>
        <v>-42.0</v>
      </c>
      <c r="F7" s="13">
        <f>(B7/B6-1)*100</f>
        <v>-1.681</v>
      </c>
    </row>
    <row r="8" spans="1:6">
      <c r="A8" s="10" t="s">
        <v>471</v>
      </c>
      <c r="B8" s="12">
        <v>2450</v>
      </c>
      <c r="C8" s="15">
        <v>545407</v>
      </c>
      <c r="D8" s="15">
        <v>631319</v>
      </c>
      <c r="E8" s="12">
        <f>B8-B7</f>
        <v>-7.0</v>
      </c>
      <c r="F8" s="13">
        <f>(B8/B7-1)*100</f>
        <v>-0.285</v>
      </c>
    </row>
    <row r="9" spans="1:6">
      <c r="A9" s="10" t="s">
        <v>472</v>
      </c>
      <c r="B9" s="12">
        <v>2425</v>
      </c>
      <c r="C9" s="15">
        <v>543717</v>
      </c>
      <c r="D9" s="15">
        <v>636674</v>
      </c>
      <c r="E9" s="12">
        <f>B9-B8</f>
        <v>-25.0</v>
      </c>
      <c r="F9" s="13">
        <f>(B9/B8-1)*100</f>
        <v>-1.02</v>
      </c>
    </row>
    <row r="10" spans="1:6">
      <c r="A10" s="10" t="s">
        <v>473</v>
      </c>
      <c r="B10" s="12">
        <v>2434</v>
      </c>
      <c r="C10" s="15">
        <v>526898</v>
      </c>
      <c r="D10" s="15">
        <v>636172</v>
      </c>
      <c r="E10" s="12">
        <f>B10-B9</f>
        <v>9.0</v>
      </c>
      <c r="F10" s="13">
        <f>(B10/B9-1)*100</f>
        <v>0.371</v>
      </c>
    </row>
    <row r="11" spans="1:6">
      <c r="A11" s="10" t="s">
        <v>474</v>
      </c>
      <c r="B11" s="12">
        <v>2386</v>
      </c>
      <c r="C11" s="15">
        <v>754371</v>
      </c>
      <c r="D11" s="15">
        <v>725645</v>
      </c>
      <c r="E11" s="12">
        <f>B11-B10</f>
        <v>-48.0</v>
      </c>
      <c r="F11" s="13">
        <f>(B11/B10-1)*100</f>
        <v>-1.972</v>
      </c>
    </row>
    <row r="12" spans="1:6">
      <c r="A12" s="10" t="s">
        <v>475</v>
      </c>
      <c r="B12" s="12">
        <v>2425</v>
      </c>
      <c r="C12" s="15">
        <v>605834</v>
      </c>
      <c r="D12" s="15">
        <v>667999</v>
      </c>
      <c r="E12" s="12">
        <f>B12-B11</f>
        <v>39.0</v>
      </c>
      <c r="F12" s="13">
        <f>(B12/B11-1)*100</f>
        <v>1.635</v>
      </c>
    </row>
    <row r="13" spans="1:6">
      <c r="A13" s="10" t="s">
        <v>54</v>
      </c>
      <c r="B13" s="12">
        <v>2424</v>
      </c>
      <c r="C13" s="15">
        <v>434930</v>
      </c>
      <c r="D13" s="15">
        <v>659332</v>
      </c>
      <c r="E13" s="12">
        <f>B13-B12</f>
        <v>-1.0</v>
      </c>
      <c r="F13" s="13">
        <f>(B13/B12-1)*100</f>
        <v>-0.041</v>
      </c>
    </row>
    <row r="14" spans="1:6">
      <c r="A14" s="10" t="s">
        <v>476</v>
      </c>
      <c r="B14" s="12">
        <v>2446</v>
      </c>
      <c r="C14" s="15">
        <v>485741</v>
      </c>
      <c r="D14" s="15">
        <v>652787</v>
      </c>
      <c r="E14" s="12">
        <f>B14-B13</f>
        <v>22.0</v>
      </c>
      <c r="F14" s="13">
        <f>(B14/B13-1)*100</f>
        <v>0.908</v>
      </c>
    </row>
    <row r="15" spans="1:6">
      <c r="A15" s="10" t="s">
        <v>477</v>
      </c>
      <c r="B15" s="12">
        <v>2453</v>
      </c>
      <c r="C15" s="15">
        <v>426911</v>
      </c>
      <c r="D15" s="15">
        <v>644133</v>
      </c>
      <c r="E15" s="12">
        <f>B15-B14</f>
        <v>7.0</v>
      </c>
      <c r="F15" s="13">
        <f>(B15/B14-1)*100</f>
        <v>0.286</v>
      </c>
    </row>
    <row r="16" spans="1:6">
      <c r="A16" s="10" t="s">
        <v>478</v>
      </c>
      <c r="B16" s="12">
        <v>2490</v>
      </c>
      <c r="C16" s="15">
        <v>787298</v>
      </c>
      <c r="D16" s="15">
        <v>664341</v>
      </c>
      <c r="E16" s="12">
        <f>B16-B15</f>
        <v>37.0</v>
      </c>
      <c r="F16" s="13">
        <f>(B16/B15-1)*100</f>
        <v>1.508</v>
      </c>
    </row>
    <row r="17" spans="1:6">
      <c r="A17" s="10" t="s">
        <v>479</v>
      </c>
      <c r="B17" s="12">
        <v>2448</v>
      </c>
      <c r="C17" s="15">
        <v>564970</v>
      </c>
      <c r="D17" s="15">
        <v>643457</v>
      </c>
      <c r="E17" s="12">
        <f>B17-B16</f>
        <v>-42.0</v>
      </c>
      <c r="F17" s="13">
        <f>(B17/B16-1)*100</f>
        <v>-1.687</v>
      </c>
    </row>
    <row r="18" spans="1:6">
      <c r="A18" s="10" t="s">
        <v>59</v>
      </c>
      <c r="B18" s="12">
        <v>2437</v>
      </c>
      <c r="C18" s="15">
        <v>453796</v>
      </c>
      <c r="D18" s="15">
        <v>646315</v>
      </c>
      <c r="E18" s="12">
        <f>B18-B17</f>
        <v>-11.0</v>
      </c>
      <c r="F18" s="13">
        <f>(B18/B17-1)*100</f>
        <v>-0.449</v>
      </c>
    </row>
    <row r="19" spans="1:6">
      <c r="A19" s="10" t="s">
        <v>480</v>
      </c>
      <c r="B19" s="12">
        <v>2493</v>
      </c>
      <c r="C19" s="15">
        <v>693291</v>
      </c>
      <c r="D19" s="15">
        <v>630845</v>
      </c>
      <c r="E19" s="12">
        <f>B19-B18</f>
        <v>56.0</v>
      </c>
      <c r="F19" s="13">
        <f>(B19/B18-1)*100</f>
        <v>2.298</v>
      </c>
    </row>
    <row r="20" spans="1:6">
      <c r="A20" s="10" t="s">
        <v>481</v>
      </c>
      <c r="B20" s="12">
        <v>2479</v>
      </c>
      <c r="C20" s="15">
        <v>606114</v>
      </c>
      <c r="D20" s="15">
        <v>615698</v>
      </c>
      <c r="E20" s="12">
        <f>B20-B19</f>
        <v>-14.0</v>
      </c>
      <c r="F20" s="13">
        <f>(B20/B19-1)*100</f>
        <v>-0.562</v>
      </c>
    </row>
    <row r="21" spans="1:6">
      <c r="A21" s="10" t="s">
        <v>482</v>
      </c>
      <c r="B21" s="12">
        <v>2476</v>
      </c>
      <c r="C21" s="15">
        <v>473554</v>
      </c>
      <c r="D21" s="15">
        <v>608644</v>
      </c>
      <c r="E21" s="12">
        <f>B21-B20</f>
        <v>-3.0</v>
      </c>
      <c r="F21" s="13">
        <f>(B21/B20-1)*100</f>
        <v>-0.121</v>
      </c>
    </row>
    <row r="22" spans="1:6">
      <c r="A22" s="10" t="s">
        <v>483</v>
      </c>
      <c r="B22" s="12">
        <v>2501</v>
      </c>
      <c r="C22" s="15">
        <v>406719</v>
      </c>
      <c r="D22" s="15">
        <v>609596</v>
      </c>
      <c r="E22" s="12">
        <f>B22-B21</f>
        <v>25.0</v>
      </c>
      <c r="F22" s="13">
        <f>(B22/B21-1)*100</f>
        <v>1.01</v>
      </c>
    </row>
    <row r="23" spans="1:6">
      <c r="A23" s="10" t="s">
        <v>63</v>
      </c>
      <c r="B23" s="12">
        <v>2479</v>
      </c>
      <c r="C23" s="15">
        <v>481587</v>
      </c>
      <c r="D23" s="15">
        <v>598746</v>
      </c>
      <c r="E23" s="12">
        <f>B23-B22</f>
        <v>-22.0</v>
      </c>
      <c r="F23" s="13">
        <f>(B23/B22-1)*100</f>
        <v>-0.88</v>
      </c>
    </row>
    <row r="24" spans="1:6">
      <c r="A24" s="10" t="s">
        <v>484</v>
      </c>
      <c r="B24" s="12">
        <v>2510</v>
      </c>
      <c r="C24" s="15">
        <v>543382</v>
      </c>
      <c r="D24" s="15">
        <v>601252</v>
      </c>
      <c r="E24" s="12">
        <f>B24-B23</f>
        <v>31.0</v>
      </c>
      <c r="F24" s="13">
        <f>(B24/B23-1)*100</f>
        <v>1.251</v>
      </c>
    </row>
    <row r="25" spans="1:6">
      <c r="A25" s="10" t="s">
        <v>485</v>
      </c>
      <c r="B25" s="12">
        <v>2501</v>
      </c>
      <c r="C25" s="15">
        <v>452127</v>
      </c>
      <c r="D25" s="15">
        <v>590520</v>
      </c>
      <c r="E25" s="12">
        <f>B25-B24</f>
        <v>-9.0</v>
      </c>
      <c r="F25" s="13">
        <f>(B25/B24-1)*100</f>
        <v>-0.359</v>
      </c>
    </row>
    <row r="26" spans="1:6">
      <c r="A26" s="10" t="s">
        <v>486</v>
      </c>
      <c r="B26" s="12">
        <v>2487</v>
      </c>
      <c r="C26" s="15">
        <v>541278</v>
      </c>
      <c r="D26" s="15">
        <v>586066</v>
      </c>
      <c r="E26" s="12">
        <f>B26-B25</f>
        <v>-14.0</v>
      </c>
      <c r="F26" s="13">
        <f>(B26/B25-1)*100</f>
        <v>-0.56</v>
      </c>
    </row>
    <row r="27" spans="1:6">
      <c r="A27" s="10" t="s">
        <v>487</v>
      </c>
      <c r="B27" s="12">
        <v>2479</v>
      </c>
      <c r="C27" s="15">
        <v>390661</v>
      </c>
      <c r="D27" s="15">
        <v>578063</v>
      </c>
      <c r="E27" s="12">
        <f>B27-B26</f>
        <v>-8.0</v>
      </c>
      <c r="F27" s="13">
        <f>(B27/B26-1)*100</f>
        <v>-0.322</v>
      </c>
    </row>
    <row r="28" spans="1:6">
      <c r="A28" s="10" t="s">
        <v>67</v>
      </c>
      <c r="B28" s="12">
        <v>2492</v>
      </c>
      <c r="C28" s="15">
        <v>449445</v>
      </c>
      <c r="D28" s="15">
        <v>590779</v>
      </c>
      <c r="E28" s="12">
        <f>B28-B27</f>
        <v>13.0</v>
      </c>
      <c r="F28" s="13">
        <f>(B28/B27-1)*100</f>
        <v>0.524</v>
      </c>
    </row>
    <row r="29" spans="1:6">
      <c r="A29" s="10" t="s">
        <v>488</v>
      </c>
      <c r="B29" s="12">
        <v>2483</v>
      </c>
      <c r="C29" s="15">
        <v>415045</v>
      </c>
      <c r="D29" s="15">
        <v>574250</v>
      </c>
      <c r="E29" s="12">
        <f>B29-B28</f>
        <v>-9.0</v>
      </c>
      <c r="F29" s="13">
        <f>(B29/B28-1)*100</f>
        <v>-0.361</v>
      </c>
    </row>
    <row r="30" spans="1:6">
      <c r="A30" s="10" t="s">
        <v>489</v>
      </c>
      <c r="B30" s="12">
        <v>2490</v>
      </c>
      <c r="C30" s="15">
        <v>809573</v>
      </c>
      <c r="D30" s="15">
        <v>591770</v>
      </c>
      <c r="E30" s="12">
        <f>B30-B29</f>
        <v>7.0</v>
      </c>
      <c r="F30" s="13">
        <f>(B30/B29-1)*100</f>
        <v>0.282</v>
      </c>
    </row>
    <row r="31" spans="1:6">
      <c r="A31" s="10" t="s">
        <v>490</v>
      </c>
      <c r="B31" s="12">
        <v>2530</v>
      </c>
      <c r="C31" s="15">
        <v>685708</v>
      </c>
      <c r="D31" s="15">
        <v>611448</v>
      </c>
      <c r="E31" s="12">
        <f>B31-B30</f>
        <v>40.0</v>
      </c>
      <c r="F31" s="13">
        <f>(B31/B30-1)*100</f>
        <v>1.606</v>
      </c>
    </row>
    <row r="32" spans="1:6">
      <c r="A32" s="10" t="s">
        <v>491</v>
      </c>
      <c r="B32" s="12">
        <v>2556</v>
      </c>
      <c r="C32" s="15">
        <v>592578</v>
      </c>
      <c r="D32" s="15">
        <v>638327</v>
      </c>
      <c r="E32" s="12">
        <f>B32-B31</f>
        <v>26.0</v>
      </c>
      <c r="F32" s="13">
        <f>(B32/B31-1)*100</f>
        <v>1.028</v>
      </c>
    </row>
    <row r="33" spans="1:6">
      <c r="A33" s="10" t="s">
        <v>71</v>
      </c>
      <c r="B33" s="12">
        <v>2567</v>
      </c>
      <c r="C33" s="15">
        <v>410491</v>
      </c>
      <c r="D33" s="15">
        <v>663642</v>
      </c>
      <c r="E33" s="12">
        <f>B33-B32</f>
        <v>11.0</v>
      </c>
      <c r="F33" s="13">
        <f>(B33/B32-1)*100</f>
        <v>0.43</v>
      </c>
    </row>
    <row r="34" spans="1:6">
      <c r="A34" s="10" t="s">
        <v>492</v>
      </c>
      <c r="B34" s="12">
        <v>2575</v>
      </c>
      <c r="C34" s="15">
        <v>438132</v>
      </c>
      <c r="D34" s="15">
        <v>691317</v>
      </c>
      <c r="E34" s="12">
        <f>B34-B33</f>
        <v>8.0</v>
      </c>
      <c r="F34" s="13">
        <f>(B34/B33-1)*100</f>
        <v>0.312</v>
      </c>
    </row>
    <row r="35" spans="1:6">
      <c r="A35" s="10" t="s">
        <v>493</v>
      </c>
      <c r="B35" s="12">
        <v>2612</v>
      </c>
      <c r="C35" s="15">
        <v>803085</v>
      </c>
      <c r="D35" s="15">
        <v>745004</v>
      </c>
      <c r="E35" s="12">
        <f>B35-B34</f>
        <v>37.0</v>
      </c>
      <c r="F35" s="13">
        <f>(B35/B34-1)*100</f>
        <v>1.437</v>
      </c>
    </row>
    <row r="36" spans="1:6">
      <c r="A36" s="10" t="s">
        <v>494</v>
      </c>
      <c r="B36" s="12">
        <v>2583</v>
      </c>
      <c r="C36" s="15">
        <v>739781</v>
      </c>
      <c r="D36" s="15">
        <v>682672</v>
      </c>
      <c r="E36" s="12">
        <f>B36-B35</f>
        <v>-29.0</v>
      </c>
      <c r="F36" s="13">
        <f>(B36/B35-1)*100</f>
        <v>-1.11</v>
      </c>
    </row>
    <row r="37" spans="1:6">
      <c r="A37" s="10" t="s">
        <v>495</v>
      </c>
      <c r="B37" s="12">
        <v>2602</v>
      </c>
      <c r="C37" s="15">
        <v>434890</v>
      </c>
      <c r="D37" s="15">
        <v>689156</v>
      </c>
      <c r="E37" s="12">
        <f>B37-B36</f>
        <v>19.0</v>
      </c>
      <c r="F37" s="13">
        <f>(B37/B36-1)*100</f>
        <v>0.736</v>
      </c>
    </row>
    <row r="38" spans="1:6">
      <c r="A38" s="10" t="s">
        <v>75</v>
      </c>
      <c r="B38" s="12">
        <v>2573</v>
      </c>
      <c r="C38" s="15">
        <v>490742</v>
      </c>
      <c r="D38" s="15">
        <v>651366</v>
      </c>
      <c r="E38" s="12">
        <f>B38-B37</f>
        <v>-29.0</v>
      </c>
      <c r="F38" s="13">
        <f>(B38/B37-1)*100</f>
        <v>-1.115</v>
      </c>
    </row>
    <row r="39" spans="1:6">
      <c r="A39" s="10" t="s">
        <v>496</v>
      </c>
      <c r="B39" s="12">
        <v>2554</v>
      </c>
      <c r="C39" s="15">
        <v>346086</v>
      </c>
      <c r="D39" s="15">
        <v>623346</v>
      </c>
      <c r="E39" s="12">
        <f>B39-B38</f>
        <v>-19.0</v>
      </c>
      <c r="F39" s="13">
        <f>(B39/B38-1)*100</f>
        <v>-0.738</v>
      </c>
    </row>
    <row r="40" spans="1:6">
      <c r="A40" s="10" t="s">
        <v>497</v>
      </c>
      <c r="B40" s="12">
        <v>2566</v>
      </c>
      <c r="C40" s="15">
        <v>463386</v>
      </c>
      <c r="D40" s="15">
        <v>574474</v>
      </c>
      <c r="E40" s="12">
        <f>B40-B39</f>
        <v>12.0</v>
      </c>
      <c r="F40" s="13">
        <f>(B40/B39-1)*100</f>
        <v>0.47</v>
      </c>
    </row>
    <row r="41" spans="1:6">
      <c r="A41" s="10" t="s">
        <v>498</v>
      </c>
      <c r="B41" s="12">
        <v>2568</v>
      </c>
      <c r="C41" s="15">
        <v>406635</v>
      </c>
      <c r="D41" s="15">
        <v>551779</v>
      </c>
      <c r="E41" s="12">
        <f>B41-B40</f>
        <v>2.0</v>
      </c>
      <c r="F41" s="13">
        <f>(B41/B40-1)*100</f>
        <v>0.078</v>
      </c>
    </row>
    <row r="42" spans="1:6">
      <c r="A42" s="10" t="s">
        <v>499</v>
      </c>
      <c r="B42" s="12">
        <v>2543</v>
      </c>
      <c r="C42" s="15">
        <v>448237</v>
      </c>
      <c r="D42" s="15">
        <v>513629</v>
      </c>
      <c r="E42" s="12">
        <f>B42-B41</f>
        <v>-25.0</v>
      </c>
      <c r="F42" s="13">
        <f>(B42/B41-1)*100</f>
        <v>-0.974</v>
      </c>
    </row>
    <row r="43" spans="1:6">
      <c r="A43" s="10" t="s">
        <v>79</v>
      </c>
      <c r="B43" s="12">
        <v>2521</v>
      </c>
      <c r="C43" s="15">
        <v>444312</v>
      </c>
      <c r="D43" s="15">
        <v>483059</v>
      </c>
      <c r="E43" s="12">
        <f>B43-B42</f>
        <v>-22.0</v>
      </c>
      <c r="F43" s="13">
        <f>(B43/B42-1)*100</f>
        <v>-0.865</v>
      </c>
    </row>
    <row r="44" spans="1:6">
      <c r="A44" s="10" t="s">
        <v>500</v>
      </c>
      <c r="B44" s="12">
        <v>2526</v>
      </c>
      <c r="C44" s="15">
        <v>340937</v>
      </c>
      <c r="D44" s="15">
        <v>448935</v>
      </c>
      <c r="E44" s="12">
        <f>B44-B43</f>
        <v>5.0</v>
      </c>
      <c r="F44" s="13">
        <f>(B44/B43-1)*100</f>
        <v>0.198</v>
      </c>
    </row>
    <row r="45" spans="1:6">
      <c r="A45" s="10" t="s">
        <v>501</v>
      </c>
      <c r="B45" s="12">
        <v>2533</v>
      </c>
      <c r="C45" s="15">
        <v>339101</v>
      </c>
      <c r="D45" s="15">
        <v>427094</v>
      </c>
      <c r="E45" s="12">
        <f>B45-B44</f>
        <v>7.0</v>
      </c>
      <c r="F45" s="13">
        <f>(B45/B44-1)*100</f>
        <v>0.277</v>
      </c>
    </row>
    <row r="46" spans="1:6">
      <c r="A46" s="10" t="s">
        <v>502</v>
      </c>
      <c r="B46" s="12">
        <v>2555</v>
      </c>
      <c r="C46" s="15">
        <v>455053</v>
      </c>
      <c r="D46" s="15">
        <v>393366</v>
      </c>
      <c r="E46" s="12">
        <f>B46-B45</f>
        <v>22.0</v>
      </c>
      <c r="F46" s="13">
        <f>(B46/B45-1)*100</f>
        <v>0.869</v>
      </c>
    </row>
    <row r="47" spans="1:6">
      <c r="A47" s="10" t="s">
        <v>503</v>
      </c>
      <c r="B47" s="12">
        <v>2569</v>
      </c>
      <c r="C47" s="15">
        <v>376522</v>
      </c>
      <c r="D47" s="15">
        <v>343915</v>
      </c>
      <c r="E47" s="12">
        <f>B47-B46</f>
        <v>14.0</v>
      </c>
      <c r="F47" s="13">
        <f>(B47/B46-1)*100</f>
        <v>0.548</v>
      </c>
    </row>
    <row r="48" spans="1:6">
      <c r="A48" s="10" t="s">
        <v>83</v>
      </c>
      <c r="B48" s="12">
        <v>2589</v>
      </c>
      <c r="C48" s="15">
        <v>327961</v>
      </c>
      <c r="D48" s="15">
        <v>288332</v>
      </c>
      <c r="E48" s="12">
        <f>B48-B47</f>
        <v>20.0</v>
      </c>
      <c r="F48" s="13">
        <f>(B48/B47-1)*100</f>
        <v>0.779</v>
      </c>
    </row>
    <row r="49" spans="1:6">
      <c r="A49" s="10" t="s">
        <v>504</v>
      </c>
      <c r="B49" s="12">
        <v>2631</v>
      </c>
      <c r="C49" s="15">
        <v>461543</v>
      </c>
      <c r="D49" s="15">
        <v>664177</v>
      </c>
      <c r="E49" s="12">
        <f>B49-B48</f>
        <v>42.0</v>
      </c>
      <c r="F49" s="13">
        <f>(B49/B48-1)*100</f>
        <v>1.622</v>
      </c>
    </row>
    <row r="50" spans="1:6">
      <c r="A50" s="10" t="s">
        <v>505</v>
      </c>
      <c r="B50" s="12">
        <v>2610</v>
      </c>
      <c r="C50" s="15">
        <v>499967</v>
      </c>
      <c r="D50" s="15">
        <v>674811</v>
      </c>
      <c r="E50" s="12">
        <f>B50-B49</f>
        <v>-21.0</v>
      </c>
      <c r="F50" s="13">
        <f>(B50/B49-1)*100</f>
        <v>-0.798</v>
      </c>
    </row>
    <row r="51" spans="1:6">
      <c r="A51" s="10" t="s">
        <v>506</v>
      </c>
      <c r="B51" s="12">
        <v>2619</v>
      </c>
      <c r="C51" s="15">
        <v>445851</v>
      </c>
      <c r="D51" s="15">
        <v>699053</v>
      </c>
      <c r="E51" s="12">
        <f>B51-B50</f>
        <v>9.0</v>
      </c>
      <c r="F51" s="13">
        <f>(B51/B50-1)*100</f>
        <v>0.345</v>
      </c>
    </row>
    <row r="52" spans="1:6">
      <c r="A52" s="10" t="s">
        <v>507</v>
      </c>
      <c r="B52" s="12">
        <v>2604</v>
      </c>
      <c r="C52" s="15">
        <v>537523</v>
      </c>
      <c r="D52" s="15">
        <v>701095</v>
      </c>
      <c r="E52" s="12">
        <f>B52-B51</f>
        <v>-15.0</v>
      </c>
      <c r="F52" s="13">
        <f>(B52/B51-1)*100</f>
        <v>-0.573</v>
      </c>
    </row>
    <row r="53" spans="1:6">
      <c r="A53" s="10" t="s">
        <v>87</v>
      </c>
      <c r="B53" s="12">
        <v>2596</v>
      </c>
      <c r="C53" s="15">
        <v>496554</v>
      </c>
      <c r="D53" s="15">
        <v>709864</v>
      </c>
      <c r="E53" s="12">
        <f>B53-B52</f>
        <v>-8.0</v>
      </c>
      <c r="F53" s="13">
        <f>(B53/B52-1)*100</f>
        <v>-0.307</v>
      </c>
    </row>
    <row r="54" spans="1:6">
      <c r="A54" s="10" t="s">
        <v>508</v>
      </c>
      <c r="B54" s="12">
        <v>2612</v>
      </c>
      <c r="C54" s="15">
        <v>785894</v>
      </c>
      <c r="D54" s="15">
        <v>737113</v>
      </c>
      <c r="E54" s="12">
        <f>B54-B53</f>
        <v>16.0</v>
      </c>
      <c r="F54" s="13">
        <f>(B54/B53-1)*100</f>
        <v>0.616</v>
      </c>
    </row>
    <row r="55" spans="1:6">
      <c r="A55" s="10" t="s">
        <v>509</v>
      </c>
      <c r="B55" s="12">
        <v>2593</v>
      </c>
      <c r="C55" s="15">
        <v>702095</v>
      </c>
      <c r="D55" s="15">
        <v>727710</v>
      </c>
      <c r="E55" s="12">
        <f>B55-B54</f>
        <v>-19.0</v>
      </c>
      <c r="F55" s="13">
        <f>(B55/B54-1)*100</f>
        <v>-0.727</v>
      </c>
    </row>
    <row r="56" spans="1:6">
      <c r="A56" s="10" t="s">
        <v>510</v>
      </c>
      <c r="B56" s="12">
        <v>2642</v>
      </c>
      <c r="C56" s="15">
        <v>895981</v>
      </c>
      <c r="D56" s="15">
        <v>816713</v>
      </c>
      <c r="E56" s="12">
        <f>B56-B55</f>
        <v>49.0</v>
      </c>
      <c r="F56" s="13">
        <f>(B56/B55-1)*100</f>
        <v>1.89</v>
      </c>
    </row>
    <row r="57" spans="1:6">
      <c r="A57" s="10" t="s">
        <v>511</v>
      </c>
      <c r="B57" s="12">
        <v>2657</v>
      </c>
      <c r="C57" s="15">
        <v>932757</v>
      </c>
      <c r="D57" s="15">
        <v>869013</v>
      </c>
      <c r="E57" s="12">
        <f>B57-B56</f>
        <v>15.0</v>
      </c>
      <c r="F57" s="13">
        <f>(B57/B56-1)*100</f>
        <v>0.568</v>
      </c>
    </row>
    <row r="58" spans="1:6">
      <c r="A58" s="10" t="s">
        <v>91</v>
      </c>
      <c r="B58" s="12">
        <v>2653</v>
      </c>
      <c r="C58" s="15">
        <v>927774</v>
      </c>
      <c r="D58" s="15">
        <v>866142</v>
      </c>
      <c r="E58" s="12">
        <f>B58-B57</f>
        <v>-4.0</v>
      </c>
      <c r="F58" s="13">
        <f>(B58/B57-1)*100</f>
        <v>-0.151</v>
      </c>
    </row>
    <row r="59" spans="1:6">
      <c r="A59" s="10" t="s">
        <v>512</v>
      </c>
      <c r="B59" s="12">
        <v>2652</v>
      </c>
      <c r="C59" s="15">
        <v>482639</v>
      </c>
      <c r="D59" s="15">
        <v>864578</v>
      </c>
      <c r="E59" s="12">
        <f>B59-B58</f>
        <v>-1.0</v>
      </c>
      <c r="F59" s="13">
        <f>(B59/B58-1)*100</f>
        <v>-0.038</v>
      </c>
    </row>
    <row r="60" spans="1:6">
      <c r="A60" s="10" t="s">
        <v>513</v>
      </c>
      <c r="B60" s="12">
        <v>2637</v>
      </c>
      <c r="C60" s="15">
        <v>737086</v>
      </c>
      <c r="D60" s="15">
        <v>844004</v>
      </c>
      <c r="E60" s="12">
        <f>B60-B59</f>
        <v>-15.0</v>
      </c>
      <c r="F60" s="13">
        <f>(B60/B59-1)*100</f>
        <v>-0.566</v>
      </c>
    </row>
    <row r="61" spans="1:6">
      <c r="A61" s="10" t="s">
        <v>514</v>
      </c>
      <c r="B61" s="12">
        <v>2674</v>
      </c>
      <c r="C61" s="15">
        <v>701028</v>
      </c>
      <c r="D61" s="15">
        <v>875476</v>
      </c>
      <c r="E61" s="12">
        <f>B61-B60</f>
        <v>37.0</v>
      </c>
      <c r="F61" s="13">
        <f>(B61/B60-1)*100</f>
        <v>1.403</v>
      </c>
    </row>
    <row r="62" spans="1:6">
      <c r="A62" s="10" t="s">
        <v>515</v>
      </c>
      <c r="B62" s="12">
        <v>2703</v>
      </c>
      <c r="C62" s="15">
        <v>699647</v>
      </c>
      <c r="D62" s="15">
        <v>925080</v>
      </c>
      <c r="E62" s="12">
        <f>B62-B61</f>
        <v>29.0</v>
      </c>
      <c r="F62" s="13">
        <f>(B62/B61-1)*100</f>
        <v>1.085</v>
      </c>
    </row>
    <row r="63" spans="1:6">
      <c r="A63" s="10" t="s">
        <v>95</v>
      </c>
      <c r="B63" s="12">
        <v>2707</v>
      </c>
      <c r="C63" s="15">
        <v>495720</v>
      </c>
      <c r="D63" s="15">
        <v>961329</v>
      </c>
      <c r="E63" s="12">
        <f>B63-B62</f>
        <v>4.0</v>
      </c>
      <c r="F63" s="13">
        <f>(B63/B62-1)*100</f>
        <v>0.148</v>
      </c>
    </row>
    <row r="64" spans="1:6">
      <c r="A64" s="10" t="s">
        <v>516</v>
      </c>
      <c r="B64" s="12">
        <v>2659</v>
      </c>
      <c r="C64" s="15">
        <v>928903</v>
      </c>
      <c r="D64" s="15">
        <v>913464</v>
      </c>
      <c r="E64" s="12">
        <f>B64-B63</f>
        <v>-48.0</v>
      </c>
      <c r="F64" s="13">
        <f>(B64/B63-1)*100</f>
        <v>-1.773</v>
      </c>
    </row>
    <row r="65" spans="1:6">
      <c r="A65" s="10" t="s">
        <v>517</v>
      </c>
      <c r="B65" s="12">
        <v>2591</v>
      </c>
      <c r="C65" s="15">
        <v>1071351</v>
      </c>
      <c r="D65" s="15">
        <v>831577</v>
      </c>
      <c r="E65" s="12">
        <f>B65-B64</f>
        <v>-68.0</v>
      </c>
      <c r="F65" s="13">
        <f>(B65/B64-1)*100</f>
        <v>-2.557</v>
      </c>
    </row>
    <row r="66" spans="1:6">
      <c r="A66" s="10" t="s">
        <v>518</v>
      </c>
      <c r="B66" s="12">
        <v>2584</v>
      </c>
      <c r="C66" s="15">
        <v>650573</v>
      </c>
      <c r="D66" s="15">
        <v>784428</v>
      </c>
      <c r="E66" s="12">
        <f>B66-B65</f>
        <v>-7.0</v>
      </c>
      <c r="F66" s="13">
        <f>(B66/B65-1)*100</f>
        <v>-0.27</v>
      </c>
    </row>
    <row r="67" spans="1:6">
      <c r="A67" s="10" t="s">
        <v>99</v>
      </c>
      <c r="B67" s="12">
        <v>2601</v>
      </c>
      <c r="C67" s="15">
        <v>688334</v>
      </c>
      <c r="D67" s="15">
        <v>786925</v>
      </c>
      <c r="E67" s="12">
        <f>B67-B66</f>
        <v>17.0</v>
      </c>
      <c r="F67" s="13">
        <f>(B67/B66-1)*100</f>
        <v>0.658</v>
      </c>
    </row>
    <row r="68" spans="1:6">
      <c r="A68" s="10" t="s">
        <v>519</v>
      </c>
      <c r="B68" s="12">
        <v>2589</v>
      </c>
      <c r="C68" s="15">
        <v>921894</v>
      </c>
      <c r="D68" s="15">
        <v>785118</v>
      </c>
      <c r="E68" s="12">
        <f>B68-B67</f>
        <v>-12.0</v>
      </c>
      <c r="F68" s="13">
        <f>(B68/B67-1)*100</f>
        <v>-0.461</v>
      </c>
    </row>
    <row r="69" spans="1:6">
      <c r="A69" s="10" t="s">
        <v>520</v>
      </c>
      <c r="B69" s="12">
        <v>2596</v>
      </c>
      <c r="C69" s="15">
        <v>498791</v>
      </c>
      <c r="D69" s="15">
        <v>784625</v>
      </c>
      <c r="E69" s="12">
        <f>B69-B68</f>
        <v>7.0</v>
      </c>
      <c r="F69" s="13">
        <f>(B69/B68-1)*100</f>
        <v>0.27</v>
      </c>
    </row>
    <row r="70" spans="1:6">
      <c r="A70" s="10" t="s">
        <v>521</v>
      </c>
      <c r="B70" s="12">
        <v>2638</v>
      </c>
      <c r="C70" s="15">
        <v>803789</v>
      </c>
      <c r="D70" s="15">
        <v>777146</v>
      </c>
      <c r="E70" s="12">
        <f>B70-B69</f>
        <v>42.0</v>
      </c>
      <c r="F70" s="13">
        <f>(B70/B69-1)*100</f>
        <v>1.618</v>
      </c>
    </row>
    <row r="71" spans="1:6">
      <c r="A71" s="10" t="s">
        <v>522</v>
      </c>
      <c r="B71" s="12">
        <v>2638</v>
      </c>
      <c r="C71" s="15">
        <v>582957</v>
      </c>
      <c r="D71" s="15">
        <v>787575</v>
      </c>
      <c r="E71" s="12">
        <f>B71-B70</f>
        <v>0.0</v>
      </c>
      <c r="F71" s="13">
        <f>(B71/B70-1)*100</f>
        <v>0.0</v>
      </c>
    </row>
    <row r="72" spans="1:6">
      <c r="A72" s="10" t="s">
        <v>103</v>
      </c>
      <c r="B72" s="12">
        <v>2656</v>
      </c>
      <c r="C72" s="15">
        <v>592992</v>
      </c>
      <c r="D72" s="15">
        <v>799791</v>
      </c>
      <c r="E72" s="12">
        <f>B72-B71</f>
        <v>18.0</v>
      </c>
      <c r="F72" s="13">
        <f>(B72/B71-1)*100</f>
        <v>0.682</v>
      </c>
    </row>
    <row r="73" spans="1:6">
      <c r="A73" s="10" t="s">
        <v>523</v>
      </c>
      <c r="B73" s="12">
        <v>2622</v>
      </c>
      <c r="C73" s="15">
        <v>963384</v>
      </c>
      <c r="D73" s="15">
        <v>769756</v>
      </c>
      <c r="E73" s="12">
        <f>B73-B72</f>
        <v>-34.0</v>
      </c>
      <c r="F73" s="13">
        <f>(B73/B72-1)*100</f>
        <v>-1.28</v>
      </c>
    </row>
    <row r="74" spans="1:6">
      <c r="A74" s="10" t="s">
        <v>524</v>
      </c>
      <c r="B74" s="12">
        <v>2604</v>
      </c>
      <c r="C74" s="15">
        <v>786645</v>
      </c>
      <c r="D74" s="15">
        <v>739107</v>
      </c>
      <c r="E74" s="12">
        <f>B74-B73</f>
        <v>-18.0</v>
      </c>
      <c r="F74" s="13">
        <f>(B74/B73-1)*100</f>
        <v>-0.686</v>
      </c>
    </row>
    <row r="75" spans="1:6">
      <c r="A75" s="10" t="s">
        <v>525</v>
      </c>
      <c r="B75" s="12">
        <v>2582</v>
      </c>
      <c r="C75" s="15">
        <v>656744</v>
      </c>
      <c r="D75" s="15">
        <v>728771</v>
      </c>
      <c r="E75" s="12">
        <f>B75-B74</f>
        <v>-22.0</v>
      </c>
      <c r="F75" s="13">
        <f>(B75/B74-1)*100</f>
        <v>-0.845</v>
      </c>
    </row>
    <row r="76" spans="1:6">
      <c r="A76" s="10" t="s">
        <v>526</v>
      </c>
      <c r="B76" s="12">
        <v>2591</v>
      </c>
      <c r="C76" s="15">
        <v>504953</v>
      </c>
      <c r="D76" s="15">
        <v>710842</v>
      </c>
      <c r="E76" s="12">
        <f>B76-B75</f>
        <v>9.0</v>
      </c>
      <c r="F76" s="13">
        <f>(B76/B75-1)*100</f>
        <v>0.349</v>
      </c>
    </row>
    <row r="77" spans="1:6">
      <c r="A77" s="10" t="s">
        <v>107</v>
      </c>
      <c r="B77" s="12">
        <v>2572</v>
      </c>
      <c r="C77" s="15">
        <v>565781</v>
      </c>
      <c r="D77" s="15">
        <v>678694</v>
      </c>
      <c r="E77" s="12">
        <f>B77-B76</f>
        <v>-19.0</v>
      </c>
      <c r="F77" s="13">
        <f>(B77/B76-1)*100</f>
        <v>-0.733</v>
      </c>
    </row>
    <row r="78" spans="1:6">
      <c r="A78" s="10" t="s">
        <v>527</v>
      </c>
      <c r="B78" s="12">
        <v>2546</v>
      </c>
      <c r="C78" s="15">
        <v>584470</v>
      </c>
      <c r="D78" s="15">
        <v>674687</v>
      </c>
      <c r="E78" s="12">
        <f>B78-B77</f>
        <v>-26.0</v>
      </c>
      <c r="F78" s="13">
        <f>(B78/B77-1)*100</f>
        <v>-1.011</v>
      </c>
    </row>
    <row r="79" spans="1:6">
      <c r="A79" s="10" t="s">
        <v>528</v>
      </c>
      <c r="B79" s="12">
        <v>2556</v>
      </c>
      <c r="C79" s="15">
        <v>417102</v>
      </c>
      <c r="D79" s="15">
        <v>654665</v>
      </c>
      <c r="E79" s="12">
        <f>B79-B78</f>
        <v>10.0</v>
      </c>
      <c r="F79" s="13">
        <f>(B79/B78-1)*100</f>
        <v>0.393</v>
      </c>
    </row>
    <row r="80" spans="1:6">
      <c r="A80" s="10" t="s">
        <v>529</v>
      </c>
      <c r="B80" s="12">
        <v>2554</v>
      </c>
      <c r="C80" s="15">
        <v>330858</v>
      </c>
      <c r="D80" s="15">
        <v>620195</v>
      </c>
      <c r="E80" s="12">
        <f>B80-B79</f>
        <v>-2.0</v>
      </c>
      <c r="F80" s="13">
        <f>(B80/B79-1)*100</f>
        <v>-0.078</v>
      </c>
    </row>
    <row r="81" spans="1:6">
      <c r="A81" s="10" t="s">
        <v>111</v>
      </c>
      <c r="B81" s="12">
        <v>2569</v>
      </c>
      <c r="C81" s="15">
        <v>374608</v>
      </c>
      <c r="D81" s="15">
        <v>637921</v>
      </c>
      <c r="E81" s="12">
        <f>B81-B80</f>
        <v>15.0</v>
      </c>
      <c r="F81" s="13">
        <f>(B81/B80-1)*100</f>
        <v>0.587</v>
      </c>
    </row>
    <row r="82" spans="1:6">
      <c r="A82" s="10" t="s">
        <v>530</v>
      </c>
      <c r="B82" s="12">
        <v>2580</v>
      </c>
      <c r="C82" s="15">
        <v>764499</v>
      </c>
      <c r="D82" s="15">
        <v>711965</v>
      </c>
      <c r="E82" s="12">
        <f>B82-B81</f>
        <v>11.0</v>
      </c>
      <c r="F82" s="13">
        <f>(B82/B81-1)*100</f>
        <v>0.428</v>
      </c>
    </row>
    <row r="83" spans="1:6">
      <c r="A83" s="10" t="s">
        <v>531</v>
      </c>
      <c r="B83" s="12">
        <v>2588</v>
      </c>
      <c r="C83" s="15">
        <v>529659</v>
      </c>
      <c r="D83" s="15">
        <v>708947</v>
      </c>
      <c r="E83" s="12">
        <f>B83-B82</f>
        <v>8.0</v>
      </c>
      <c r="F83" s="13">
        <f>(B83/B82-1)*100</f>
        <v>0.31</v>
      </c>
    </row>
    <row r="84" spans="1:6">
      <c r="A84" s="10" t="s">
        <v>532</v>
      </c>
      <c r="B84" s="12">
        <v>2608</v>
      </c>
      <c r="C84" s="15">
        <v>578917</v>
      </c>
      <c r="D84" s="15">
        <v>731380</v>
      </c>
      <c r="E84" s="12">
        <f>B84-B83</f>
        <v>20.0</v>
      </c>
      <c r="F84" s="13">
        <f>(B84/B83-1)*100</f>
        <v>0.773</v>
      </c>
    </row>
    <row r="85" spans="1:6">
      <c r="A85" s="10" t="s">
        <v>533</v>
      </c>
      <c r="B85" s="12">
        <v>2601</v>
      </c>
      <c r="C85" s="15">
        <v>434476</v>
      </c>
      <c r="D85" s="15">
        <v>730133</v>
      </c>
      <c r="E85" s="12">
        <f>B85-B84</f>
        <v>-7.0</v>
      </c>
      <c r="F85" s="13">
        <f>(B85/B84-1)*100</f>
        <v>-0.268</v>
      </c>
    </row>
    <row r="86" spans="1:6">
      <c r="A86" s="10" t="s">
        <v>115</v>
      </c>
      <c r="B86" s="12">
        <v>2579</v>
      </c>
      <c r="C86" s="15">
        <v>520404</v>
      </c>
      <c r="D86" s="15">
        <v>725491</v>
      </c>
      <c r="E86" s="12">
        <f>B86-B85</f>
        <v>-22.0</v>
      </c>
      <c r="F86" s="13">
        <f>(B86/B85-1)*100</f>
        <v>-0.846</v>
      </c>
    </row>
    <row r="87" spans="1:6">
      <c r="A87" s="10" t="s">
        <v>534</v>
      </c>
      <c r="B87" s="12">
        <v>2542</v>
      </c>
      <c r="C87" s="15">
        <v>525952</v>
      </c>
      <c r="D87" s="15">
        <v>755041</v>
      </c>
      <c r="E87" s="12">
        <f>B87-B86</f>
        <v>-37.0</v>
      </c>
      <c r="F87" s="13">
        <f>(B87/B86-1)*100</f>
        <v>-1.435</v>
      </c>
    </row>
    <row r="88" spans="1:6">
      <c r="A88" s="10" t="s">
        <v>535</v>
      </c>
      <c r="B88" s="12">
        <v>2526</v>
      </c>
      <c r="C88" s="15">
        <v>615632</v>
      </c>
      <c r="D88" s="15">
        <v>780600</v>
      </c>
      <c r="E88" s="12">
        <f>B88-B87</f>
        <v>-16.0</v>
      </c>
      <c r="F88" s="13">
        <f>(B88/B87-1)*100</f>
        <v>-0.629</v>
      </c>
    </row>
    <row r="89" spans="1:6">
      <c r="A89" s="10" t="s">
        <v>536</v>
      </c>
      <c r="B89" s="12">
        <v>2555</v>
      </c>
      <c r="C89" s="15">
        <v>625166</v>
      </c>
      <c r="D89" s="15">
        <v>799955</v>
      </c>
      <c r="E89" s="12">
        <f>B89-B88</f>
        <v>29.0</v>
      </c>
      <c r="F89" s="13">
        <f>(B89/B88-1)*100</f>
        <v>1.148</v>
      </c>
    </row>
    <row r="90" spans="1:6">
      <c r="A90" s="10" t="s">
        <v>537</v>
      </c>
      <c r="B90" s="12">
        <v>2545</v>
      </c>
      <c r="C90" s="15">
        <v>344487</v>
      </c>
      <c r="D90" s="15">
        <v>803416</v>
      </c>
      <c r="E90" s="12">
        <f>B90-B89</f>
        <v>-10.0</v>
      </c>
      <c r="F90" s="13">
        <f>(B90/B89-1)*100</f>
        <v>-0.391</v>
      </c>
    </row>
    <row r="91" spans="1:6">
      <c r="A91" s="10" t="s">
        <v>119</v>
      </c>
      <c r="B91" s="12">
        <v>2535</v>
      </c>
      <c r="C91" s="15">
        <v>517213</v>
      </c>
      <c r="D91" s="15">
        <v>803835</v>
      </c>
      <c r="E91" s="12">
        <f>B91-B90</f>
        <v>-10.0</v>
      </c>
      <c r="F91" s="13">
        <f>(B91/B90-1)*100</f>
        <v>-0.393</v>
      </c>
    </row>
    <row r="92" spans="1:6">
      <c r="A92" s="10" t="s">
        <v>538</v>
      </c>
      <c r="B92" s="12">
        <v>2547</v>
      </c>
      <c r="C92" s="15">
        <v>448827</v>
      </c>
      <c r="D92" s="15">
        <v>804628</v>
      </c>
      <c r="E92" s="12">
        <f>B92-B91</f>
        <v>12.0</v>
      </c>
      <c r="F92" s="13">
        <f>(B92/B91-1)*100</f>
        <v>0.473</v>
      </c>
    </row>
    <row r="93" spans="1:6">
      <c r="A93" s="10" t="s">
        <v>539</v>
      </c>
      <c r="B93" s="12">
        <v>2547</v>
      </c>
      <c r="C93" s="15">
        <v>441101</v>
      </c>
      <c r="D93" s="15">
        <v>784503</v>
      </c>
      <c r="E93" s="12">
        <f>B93-B92</f>
        <v>0.0</v>
      </c>
      <c r="F93" s="13">
        <f>(B93/B92-1)*100</f>
        <v>0.0</v>
      </c>
    </row>
    <row r="94" spans="1:6">
      <c r="A94" s="10" t="s">
        <v>540</v>
      </c>
      <c r="B94" s="12">
        <v>2568</v>
      </c>
      <c r="C94" s="15">
        <v>789911</v>
      </c>
      <c r="D94" s="15">
        <v>782325</v>
      </c>
      <c r="E94" s="12">
        <f>B94-B93</f>
        <v>21.0</v>
      </c>
      <c r="F94" s="13">
        <f>(B94/B93-1)*100</f>
        <v>0.824</v>
      </c>
    </row>
    <row r="95" spans="1:6">
      <c r="A95" s="10" t="s">
        <v>541</v>
      </c>
      <c r="B95" s="12">
        <v>2540</v>
      </c>
      <c r="C95" s="15">
        <v>501390</v>
      </c>
      <c r="D95" s="15">
        <v>793153</v>
      </c>
      <c r="E95" s="12">
        <f>B95-B94</f>
        <v>-28.0</v>
      </c>
      <c r="F95" s="13">
        <f>(B95/B94-1)*100</f>
        <v>-1.09</v>
      </c>
    </row>
    <row r="96" spans="1:6">
      <c r="A96" s="10" t="s">
        <v>123</v>
      </c>
      <c r="B96" s="12">
        <v>2555</v>
      </c>
      <c r="C96" s="15">
        <v>793842</v>
      </c>
      <c r="D96" s="15">
        <v>835686</v>
      </c>
      <c r="E96" s="12">
        <f>B96-B95</f>
        <v>15.0</v>
      </c>
      <c r="F96" s="13">
        <f>(B96/B95-1)*100</f>
        <v>0.591</v>
      </c>
    </row>
    <row r="97" spans="1:6">
      <c r="A97" s="10" t="s">
        <v>542</v>
      </c>
      <c r="B97" s="12">
        <v>2589</v>
      </c>
      <c r="C97" s="15">
        <v>717157</v>
      </c>
      <c r="D97" s="15">
        <v>814640</v>
      </c>
      <c r="E97" s="12">
        <f>B97-B96</f>
        <v>34.0</v>
      </c>
      <c r="F97" s="13">
        <f>(B97/B96-1)*100</f>
        <v>1.331</v>
      </c>
    </row>
    <row r="98" spans="1:6">
      <c r="A98" s="10" t="s">
        <v>543</v>
      </c>
      <c r="B98" s="12">
        <v>2586</v>
      </c>
      <c r="C98" s="15">
        <v>495043</v>
      </c>
      <c r="D98" s="15">
        <v>798316</v>
      </c>
      <c r="E98" s="12">
        <f>B98-B97</f>
        <v>-3.0</v>
      </c>
      <c r="F98" s="13">
        <f>(B98/B97-1)*100</f>
        <v>-0.116</v>
      </c>
    </row>
    <row r="99" spans="1:6">
      <c r="A99" s="10" t="s">
        <v>544</v>
      </c>
      <c r="B99" s="12">
        <v>2606</v>
      </c>
      <c r="C99" s="15">
        <v>720558</v>
      </c>
      <c r="D99" s="15">
        <v>868263</v>
      </c>
      <c r="E99" s="12">
        <f>B99-B98</f>
        <v>20.0</v>
      </c>
      <c r="F99" s="13">
        <f>(B99/B98-1)*100</f>
        <v>0.773</v>
      </c>
    </row>
    <row r="100" spans="1:6">
      <c r="A100" s="10" t="s">
        <v>545</v>
      </c>
      <c r="B100" s="12">
        <v>2607</v>
      </c>
      <c r="C100" s="15">
        <v>602171</v>
      </c>
      <c r="D100" s="15">
        <v>887970</v>
      </c>
      <c r="E100" s="12">
        <f>B100-B99</f>
        <v>1.0</v>
      </c>
      <c r="F100" s="13">
        <f>(B100/B99-1)*100</f>
        <v>0.038</v>
      </c>
    </row>
    <row r="101" spans="1:6">
      <c r="A101" s="10" t="s">
        <v>127</v>
      </c>
      <c r="B101" s="12">
        <v>2591</v>
      </c>
      <c r="C101" s="15">
        <v>609433</v>
      </c>
      <c r="D101" s="15">
        <v>881839</v>
      </c>
      <c r="E101" s="12">
        <f>B101-B100</f>
        <v>-16.0</v>
      </c>
      <c r="F101" s="13">
        <f>(B101/B100-1)*100</f>
        <v>-0.614</v>
      </c>
    </row>
    <row r="102" spans="1:6">
      <c r="A102" s="10" t="s">
        <v>546</v>
      </c>
      <c r="B102" s="12">
        <v>2571</v>
      </c>
      <c r="C102" s="15">
        <v>774164</v>
      </c>
      <c r="D102" s="15">
        <v>842249</v>
      </c>
      <c r="E102" s="12">
        <f>B102-B101</f>
        <v>-20.0</v>
      </c>
      <c r="F102" s="13">
        <f>(B102/B101-1)*100</f>
        <v>-0.772</v>
      </c>
    </row>
    <row r="103" spans="1:6">
      <c r="A103" s="10" t="s">
        <v>547</v>
      </c>
      <c r="B103" s="12">
        <v>2591</v>
      </c>
      <c r="C103" s="15">
        <v>584931</v>
      </c>
      <c r="D103" s="15">
        <v>864853</v>
      </c>
      <c r="E103" s="12">
        <f>B103-B102</f>
        <v>20.0</v>
      </c>
      <c r="F103" s="13">
        <f>(B103/B102-1)*100</f>
        <v>0.778</v>
      </c>
    </row>
    <row r="104" spans="1:6">
      <c r="A104" s="10" t="s">
        <v>548</v>
      </c>
      <c r="B104" s="12">
        <v>2591</v>
      </c>
      <c r="C104" s="15">
        <v>800692</v>
      </c>
      <c r="D104" s="15">
        <v>852578</v>
      </c>
      <c r="E104" s="12">
        <f>B104-B103</f>
        <v>0.0</v>
      </c>
      <c r="F104" s="13">
        <f>(B104/B103-1)*100</f>
        <v>0.0</v>
      </c>
    </row>
    <row r="105" spans="1:6">
      <c r="A105" s="10" t="s">
        <v>549</v>
      </c>
      <c r="B105" s="12">
        <v>2589</v>
      </c>
      <c r="C105" s="15">
        <v>775103</v>
      </c>
      <c r="D105" s="15">
        <v>854479</v>
      </c>
      <c r="E105" s="12">
        <f>B105-B104</f>
        <v>-2.0</v>
      </c>
      <c r="F105" s="13">
        <f>(B105/B104-1)*100</f>
        <v>-0.077</v>
      </c>
    </row>
    <row r="106" spans="1:6">
      <c r="A106" s="10" t="s">
        <v>131</v>
      </c>
      <c r="B106" s="12">
        <v>2526</v>
      </c>
      <c r="C106" s="15">
        <v>1003034</v>
      </c>
      <c r="D106" s="15">
        <v>880578</v>
      </c>
      <c r="E106" s="12">
        <f>B106-B105</f>
        <v>-63.0</v>
      </c>
      <c r="F106" s="13">
        <f>(B106/B105-1)*100</f>
        <v>-2.433</v>
      </c>
    </row>
    <row r="107" spans="1:6">
      <c r="A107" s="10" t="s">
        <v>550</v>
      </c>
      <c r="B107" s="12">
        <v>2539</v>
      </c>
      <c r="C107" s="15">
        <v>739859</v>
      </c>
      <c r="D107" s="15">
        <v>873077</v>
      </c>
      <c r="E107" s="12">
        <f>B107-B106</f>
        <v>13.0</v>
      </c>
      <c r="F107" s="13">
        <f>(B107/B106-1)*100</f>
        <v>0.515</v>
      </c>
    </row>
    <row r="108" spans="1:6">
      <c r="A108" s="10" t="s">
        <v>551</v>
      </c>
      <c r="B108" s="12">
        <v>2591</v>
      </c>
      <c r="C108" s="15">
        <v>855332</v>
      </c>
      <c r="D108" s="15">
        <v>839908</v>
      </c>
      <c r="E108" s="12">
        <f>B108-B107</f>
        <v>52.0</v>
      </c>
      <c r="F108" s="13">
        <f>(B108/B107-1)*100</f>
        <v>2.048</v>
      </c>
    </row>
    <row r="109" spans="1:6">
      <c r="A109" s="10" t="s">
        <v>552</v>
      </c>
      <c r="B109" s="12">
        <v>2567</v>
      </c>
      <c r="C109" s="15">
        <v>706561</v>
      </c>
      <c r="D109" s="15">
        <v>810052</v>
      </c>
      <c r="E109" s="12">
        <f>B109-B108</f>
        <v>-24.0</v>
      </c>
      <c r="F109" s="13">
        <f>(B109/B108-1)*100</f>
        <v>-0.926</v>
      </c>
    </row>
    <row r="110" spans="1:6">
      <c r="A110" s="10" t="s">
        <v>553</v>
      </c>
      <c r="B110" s="12">
        <v>2532</v>
      </c>
      <c r="C110" s="15">
        <v>819880</v>
      </c>
      <c r="D110" s="15">
        <v>803108</v>
      </c>
      <c r="E110" s="12">
        <f>B110-B109</f>
        <v>-35.0</v>
      </c>
      <c r="F110" s="13">
        <f>(B110/B109-1)*100</f>
        <v>-1.363</v>
      </c>
    </row>
    <row r="111" spans="1:6">
      <c r="A111" s="10" t="s">
        <v>135</v>
      </c>
      <c r="B111" s="12">
        <v>2537</v>
      </c>
      <c r="C111" s="15">
        <v>561468</v>
      </c>
      <c r="D111" s="15">
        <v>811617</v>
      </c>
      <c r="E111" s="12">
        <f>B111-B110</f>
        <v>5.0</v>
      </c>
      <c r="F111" s="13">
        <f>(B111/B110-1)*100</f>
        <v>0.197</v>
      </c>
    </row>
    <row r="112" spans="1:6">
      <c r="A112" s="10" t="s">
        <v>554</v>
      </c>
      <c r="B112" s="12">
        <v>2559</v>
      </c>
      <c r="C112" s="15">
        <v>627715</v>
      </c>
      <c r="D112" s="15">
        <v>810738</v>
      </c>
      <c r="E112" s="12">
        <f>B112-B111</f>
        <v>22.0</v>
      </c>
      <c r="F112" s="13">
        <f>(B112/B111-1)*100</f>
        <v>0.867</v>
      </c>
    </row>
    <row r="113" spans="1:6">
      <c r="A113" s="10" t="s">
        <v>555</v>
      </c>
      <c r="B113" s="12">
        <v>2554</v>
      </c>
      <c r="C113" s="15">
        <v>545484</v>
      </c>
      <c r="D113" s="15">
        <v>797999</v>
      </c>
      <c r="E113" s="12">
        <f>B113-B112</f>
        <v>-5.0</v>
      </c>
      <c r="F113" s="13">
        <f>(B113/B112-1)*100</f>
        <v>-0.195</v>
      </c>
    </row>
    <row r="114" spans="1:6">
      <c r="A114" s="10" t="s">
        <v>556</v>
      </c>
      <c r="B114" s="12">
        <v>2587</v>
      </c>
      <c r="C114" s="15">
        <v>669120</v>
      </c>
      <c r="D114" s="15">
        <v>799106</v>
      </c>
      <c r="E114" s="12">
        <f>B114-B113</f>
        <v>33.0</v>
      </c>
      <c r="F114" s="13">
        <f>(B114/B113-1)*100</f>
        <v>1.292</v>
      </c>
    </row>
    <row r="115" spans="1:6">
      <c r="A115" s="10" t="s">
        <v>557</v>
      </c>
      <c r="B115" s="12">
        <v>2549</v>
      </c>
      <c r="C115" s="15">
        <v>721062</v>
      </c>
      <c r="D115" s="15">
        <v>738645</v>
      </c>
      <c r="E115" s="12">
        <f>B115-B114</f>
        <v>-38.0</v>
      </c>
      <c r="F115" s="13">
        <f>(B115/B114-1)*100</f>
        <v>-1.469</v>
      </c>
    </row>
    <row r="116" spans="1:6">
      <c r="A116" s="10" t="s">
        <v>139</v>
      </c>
      <c r="B116" s="12">
        <v>2552</v>
      </c>
      <c r="C116" s="15">
        <v>442348</v>
      </c>
      <c r="D116" s="15">
        <v>721212</v>
      </c>
      <c r="E116" s="12">
        <f>B116-B115</f>
        <v>3.0</v>
      </c>
      <c r="F116" s="13">
        <f>(B116/B115-1)*100</f>
        <v>0.118</v>
      </c>
    </row>
    <row r="117" spans="1:6">
      <c r="A117" s="10" t="s">
        <v>558</v>
      </c>
      <c r="B117" s="12">
        <v>2563</v>
      </c>
      <c r="C117" s="15">
        <v>556452</v>
      </c>
      <c r="D117" s="15">
        <v>700100</v>
      </c>
      <c r="E117" s="12">
        <f>B117-B116</f>
        <v>11.0</v>
      </c>
      <c r="F117" s="13">
        <f>(B117/B116-1)*100</f>
        <v>0.431</v>
      </c>
    </row>
    <row r="118" spans="1:6">
      <c r="A118" s="10" t="s">
        <v>559</v>
      </c>
      <c r="B118" s="12">
        <v>2541</v>
      </c>
      <c r="C118" s="15">
        <v>782186</v>
      </c>
      <c r="D118" s="15">
        <v>691192</v>
      </c>
      <c r="E118" s="12">
        <f>B118-B117</f>
        <v>-22.0</v>
      </c>
      <c r="F118" s="13">
        <f>(B118/B117-1)*100</f>
        <v>-0.858</v>
      </c>
    </row>
    <row r="119" spans="1:6">
      <c r="A119" s="10" t="s">
        <v>560</v>
      </c>
      <c r="B119" s="12">
        <v>2479</v>
      </c>
      <c r="C119" s="15">
        <v>854801</v>
      </c>
      <c r="D119" s="15">
        <v>694074</v>
      </c>
      <c r="E119" s="12">
        <f>B119-B118</f>
        <v>-62.0</v>
      </c>
      <c r="F119" s="13">
        <f>(B119/B118-1)*100</f>
        <v>-2.44</v>
      </c>
    </row>
    <row r="120" spans="1:6">
      <c r="A120" s="10" t="s">
        <v>561</v>
      </c>
      <c r="B120" s="12">
        <v>2486</v>
      </c>
      <c r="C120" s="15">
        <v>584578</v>
      </c>
      <c r="D120" s="15">
        <v>696009</v>
      </c>
      <c r="E120" s="12">
        <f>B120-B119</f>
        <v>7.0</v>
      </c>
      <c r="F120" s="13">
        <f>(B120/B119-1)*100</f>
        <v>0.282</v>
      </c>
    </row>
    <row r="121" spans="1:6">
      <c r="A121" s="10" t="s">
        <v>143</v>
      </c>
      <c r="B121" s="12">
        <v>2484</v>
      </c>
      <c r="C121" s="15">
        <v>465910</v>
      </c>
      <c r="D121" s="15">
        <v>667025</v>
      </c>
      <c r="E121" s="12">
        <f>B121-B120</f>
        <v>-2.0</v>
      </c>
      <c r="F121" s="13">
        <f>(B121/B120-1)*100</f>
        <v>-0.08</v>
      </c>
    </row>
    <row r="122" spans="1:6">
      <c r="A122" s="10" t="s">
        <v>562</v>
      </c>
      <c r="B122" s="12">
        <v>2454</v>
      </c>
      <c r="C122" s="15">
        <v>616048</v>
      </c>
      <c r="D122" s="15">
        <v>636265</v>
      </c>
      <c r="E122" s="12">
        <f>B122-B121</f>
        <v>-30.0</v>
      </c>
      <c r="F122" s="13">
        <f>(B122/B121-1)*100</f>
        <v>-1.208</v>
      </c>
    </row>
    <row r="123" spans="1:6">
      <c r="A123" s="10" t="s">
        <v>563</v>
      </c>
      <c r="B123" s="12">
        <v>2376</v>
      </c>
      <c r="C123" s="15">
        <v>747272</v>
      </c>
      <c r="D123" s="15">
        <v>567595</v>
      </c>
      <c r="E123" s="12">
        <f>B123-B122</f>
        <v>-78.0</v>
      </c>
      <c r="F123" s="13">
        <f>(B123/B122-1)*100</f>
        <v>-3.178</v>
      </c>
    </row>
    <row r="124" spans="1:6">
      <c r="A124" s="10" t="s">
        <v>564</v>
      </c>
      <c r="B124" s="12">
        <v>2368</v>
      </c>
      <c r="C124" s="15">
        <v>628751</v>
      </c>
      <c r="D124" s="15">
        <v>524073</v>
      </c>
      <c r="E124" s="12">
        <f>B124-B123</f>
        <v>-8.0</v>
      </c>
      <c r="F124" s="13">
        <f>(B124/B123-1)*100</f>
        <v>-0.337</v>
      </c>
    </row>
    <row r="125" spans="1:6">
      <c r="A125" s="10" t="s">
        <v>147</v>
      </c>
      <c r="B125" s="12">
        <v>2352</v>
      </c>
      <c r="C125" s="15">
        <v>1078775</v>
      </c>
      <c r="D125" s="15">
        <v>495957</v>
      </c>
      <c r="E125" s="12">
        <f>B125-B124</f>
        <v>-16.0</v>
      </c>
      <c r="F125" s="13">
        <f>(B125/B124-1)*100</f>
        <v>-0.676</v>
      </c>
    </row>
    <row r="126" spans="1:6">
      <c r="A126" s="10" t="s">
        <v>565</v>
      </c>
      <c r="B126" s="12">
        <v>2426</v>
      </c>
      <c r="C126" s="15">
        <v>833098</v>
      </c>
      <c r="D126" s="15">
        <v>446925</v>
      </c>
      <c r="E126" s="12">
        <f>B126-B125</f>
        <v>74.0</v>
      </c>
      <c r="F126" s="13">
        <f>(B126/B125-1)*100</f>
        <v>3.146</v>
      </c>
    </row>
    <row r="127" spans="1:6">
      <c r="A127" s="10" t="s">
        <v>566</v>
      </c>
      <c r="B127" s="12">
        <v>2310</v>
      </c>
      <c r="C127" s="15">
        <v>422868</v>
      </c>
      <c r="D127" s="15">
        <v>498741</v>
      </c>
      <c r="E127" s="12">
        <f>B127-B126</f>
        <v>-116.0</v>
      </c>
      <c r="F127" s="13">
        <f>(B127/B126-1)*100</f>
        <v>-4.782</v>
      </c>
    </row>
    <row r="128" spans="1:6">
      <c r="A128" s="10" t="s">
        <v>567</v>
      </c>
      <c r="B128" s="12">
        <v>2286</v>
      </c>
      <c r="C128" s="15">
        <v>422480</v>
      </c>
      <c r="D128" s="15">
        <v>579457</v>
      </c>
      <c r="E128" s="12">
        <f>B128-B127</f>
        <v>-24.0</v>
      </c>
      <c r="F128" s="13">
        <f>(B128/B127-1)*100</f>
        <v>-1.039</v>
      </c>
    </row>
    <row r="129" spans="1:6">
      <c r="A129" s="10" t="s">
        <v>568</v>
      </c>
      <c r="B129" s="12">
        <v>2277</v>
      </c>
      <c r="C129" s="15">
        <v>370773</v>
      </c>
      <c r="D129" s="15">
        <v>606360</v>
      </c>
      <c r="E129" s="12">
        <f>B129-B128</f>
        <v>-9.0</v>
      </c>
      <c r="F129" s="13">
        <f>(B129/B128-1)*100</f>
        <v>-0.394</v>
      </c>
    </row>
    <row r="130" spans="1:6">
      <c r="A130" s="10" t="s">
        <v>151</v>
      </c>
      <c r="B130" s="12">
        <v>2262</v>
      </c>
      <c r="C130" s="15">
        <v>363145</v>
      </c>
      <c r="D130" s="15">
        <v>619754</v>
      </c>
      <c r="E130" s="12">
        <f>B130-B129</f>
        <v>-15.0</v>
      </c>
      <c r="F130" s="13">
        <f>(B130/B129-1)*100</f>
        <v>-0.659</v>
      </c>
    </row>
    <row r="131" spans="1:6">
      <c r="A131" s="10" t="s">
        <v>569</v>
      </c>
      <c r="B131" s="12">
        <v>2238</v>
      </c>
      <c r="C131" s="15">
        <v>659451</v>
      </c>
      <c r="D131" s="15">
        <v>668645</v>
      </c>
      <c r="E131" s="12">
        <f>B131-B130</f>
        <v>-24.0</v>
      </c>
      <c r="F131" s="13">
        <f>(B131/B130-1)*100</f>
        <v>-1.061</v>
      </c>
    </row>
    <row r="132" spans="1:6">
      <c r="A132" s="10" t="s">
        <v>570</v>
      </c>
      <c r="B132" s="12">
        <v>2266</v>
      </c>
      <c r="C132" s="15">
        <v>619316</v>
      </c>
      <c r="D132" s="15">
        <v>670149</v>
      </c>
      <c r="E132" s="12">
        <f>B132-B131</f>
        <v>28.0</v>
      </c>
      <c r="F132" s="13">
        <f>(B132/B131-1)*100</f>
        <v>1.251</v>
      </c>
    </row>
    <row r="133" spans="1:6">
      <c r="A133" s="10" t="s">
        <v>571</v>
      </c>
      <c r="B133" s="12">
        <v>2275</v>
      </c>
      <c r="C133" s="15">
        <v>570237</v>
      </c>
      <c r="D133" s="15">
        <v>657226</v>
      </c>
      <c r="E133" s="12">
        <f>B133-B132</f>
        <v>9.0</v>
      </c>
      <c r="F133" s="13">
        <f>(B133/B132-1)*100</f>
        <v>0.397</v>
      </c>
    </row>
    <row r="134" spans="1:6">
      <c r="A134" s="10" t="s">
        <v>572</v>
      </c>
      <c r="B134" s="12">
        <v>2260</v>
      </c>
      <c r="C134" s="15">
        <v>487391</v>
      </c>
      <c r="D134" s="15">
        <v>665951</v>
      </c>
      <c r="E134" s="12">
        <f>B134-B133</f>
        <v>-15.0</v>
      </c>
      <c r="F134" s="13">
        <f>(B134/B133-1)*100</f>
        <v>-0.659</v>
      </c>
    </row>
    <row r="135" spans="1:6">
      <c r="A135" s="10" t="s">
        <v>155</v>
      </c>
      <c r="B135" s="12">
        <v>2300</v>
      </c>
      <c r="C135" s="15">
        <v>819695</v>
      </c>
      <c r="D135" s="15">
        <v>672315</v>
      </c>
      <c r="E135" s="12">
        <f>B135-B134</f>
        <v>40.0</v>
      </c>
      <c r="F135" s="13">
        <f>(B135/B134-1)*100</f>
        <v>1.77</v>
      </c>
    </row>
    <row r="136" spans="1:6">
      <c r="A136" s="10" t="s">
        <v>573</v>
      </c>
      <c r="B136" s="12">
        <v>2289</v>
      </c>
      <c r="C136" s="15">
        <v>531103</v>
      </c>
      <c r="D136" s="15">
        <v>657812</v>
      </c>
      <c r="E136" s="12">
        <f>B136-B135</f>
        <v>-11.0</v>
      </c>
      <c r="F136" s="13">
        <f>(B136/B135-1)*100</f>
        <v>-0.478</v>
      </c>
    </row>
    <row r="137" spans="1:6">
      <c r="A137" s="10" t="s">
        <v>574</v>
      </c>
      <c r="B137" s="12">
        <v>2288</v>
      </c>
      <c r="C137" s="15">
        <v>472101</v>
      </c>
      <c r="D137" s="15">
        <v>662561</v>
      </c>
      <c r="E137" s="12">
        <f>B137-B136</f>
        <v>-1.0</v>
      </c>
      <c r="F137" s="13">
        <f>(B137/B136-1)*100</f>
        <v>-0.044</v>
      </c>
    </row>
    <row r="138" spans="1:6">
      <c r="A138" s="10" t="s">
        <v>575</v>
      </c>
      <c r="B138" s="12">
        <v>2310</v>
      </c>
      <c r="C138" s="15">
        <v>670804</v>
      </c>
      <c r="D138" s="15">
        <v>679905</v>
      </c>
      <c r="E138" s="12">
        <f>B138-B137</f>
        <v>22.0</v>
      </c>
      <c r="F138" s="13">
        <f>(B138/B137-1)*100</f>
        <v>0.962</v>
      </c>
    </row>
    <row r="139" spans="1:6">
      <c r="A139" s="10" t="s">
        <v>576</v>
      </c>
      <c r="B139" s="12">
        <v>2278</v>
      </c>
      <c r="C139" s="15">
        <v>579850</v>
      </c>
      <c r="D139" s="15">
        <v>654944</v>
      </c>
      <c r="E139" s="12">
        <f>B139-B138</f>
        <v>-32.0</v>
      </c>
      <c r="F139" s="13">
        <f>(B139/B138-1)*100</f>
        <v>-1.385</v>
      </c>
    </row>
    <row r="140" spans="1:6">
      <c r="A140" s="10" t="s">
        <v>159</v>
      </c>
      <c r="B140" s="12">
        <v>2251</v>
      </c>
      <c r="C140" s="15">
        <v>494490</v>
      </c>
      <c r="D140" s="15">
        <v>635491</v>
      </c>
      <c r="E140" s="12">
        <f>B140-B139</f>
        <v>-27.0</v>
      </c>
      <c r="F140" s="13">
        <f>(B140/B139-1)*100</f>
        <v>-1.185</v>
      </c>
    </row>
    <row r="141" spans="1:6">
      <c r="A141" s="10" t="s">
        <v>577</v>
      </c>
      <c r="B141" s="12">
        <v>2219</v>
      </c>
      <c r="C141" s="15">
        <v>511233</v>
      </c>
      <c r="D141" s="15">
        <v>693078</v>
      </c>
      <c r="E141" s="12">
        <f>B141-B140</f>
        <v>-32.0</v>
      </c>
      <c r="F141" s="13">
        <f>(B141/B140-1)*100</f>
        <v>-1.422</v>
      </c>
    </row>
    <row r="142" spans="1:6">
      <c r="A142" s="10" t="s">
        <v>163</v>
      </c>
      <c r="B142" s="12">
        <v>2239</v>
      </c>
      <c r="C142" s="15">
        <v>783051</v>
      </c>
      <c r="D142" s="15">
        <v>725631</v>
      </c>
      <c r="E142" s="12">
        <f>B142-B141</f>
        <v>20.0</v>
      </c>
      <c r="F142" s="13">
        <f>(B142/B141-1)*100</f>
        <v>0.901</v>
      </c>
    </row>
    <row r="143" spans="1:6">
      <c r="A143" s="10" t="s">
        <v>578</v>
      </c>
      <c r="B143" s="12">
        <v>2216</v>
      </c>
      <c r="C143" s="15">
        <v>596165</v>
      </c>
      <c r="D143" s="15">
        <v>771425</v>
      </c>
      <c r="E143" s="12">
        <f>B143-B142</f>
        <v>-23.0</v>
      </c>
      <c r="F143" s="13">
        <f>(B143/B142-1)*100</f>
        <v>-1.027</v>
      </c>
    </row>
    <row r="144" spans="1:6">
      <c r="A144" s="10" t="s">
        <v>579</v>
      </c>
      <c r="B144" s="12">
        <v>2227</v>
      </c>
      <c r="C144" s="15">
        <v>532892</v>
      </c>
      <c r="D144" s="15">
        <v>767835</v>
      </c>
      <c r="E144" s="12">
        <f>B144-B143</f>
        <v>11.0</v>
      </c>
      <c r="F144" s="13">
        <f>(B144/B143-1)*100</f>
        <v>0.496</v>
      </c>
    </row>
    <row r="145" spans="1:6">
      <c r="A145" s="10" t="s">
        <v>580</v>
      </c>
      <c r="B145" s="12">
        <v>2270</v>
      </c>
      <c r="C145" s="15">
        <v>636526</v>
      </c>
      <c r="D145" s="15">
        <v>757482</v>
      </c>
      <c r="E145" s="12">
        <f>B145-B144</f>
        <v>43.0</v>
      </c>
      <c r="F145" s="13">
        <f>(B145/B144-1)*100</f>
        <v>1.931</v>
      </c>
    </row>
    <row r="146" spans="1:6">
      <c r="A146" s="10" t="s">
        <v>581</v>
      </c>
      <c r="B146" s="12">
        <v>2291</v>
      </c>
      <c r="C146" s="15">
        <v>766445</v>
      </c>
      <c r="D146" s="15">
        <v>764050</v>
      </c>
      <c r="E146" s="12">
        <f>B146-B145</f>
        <v>21.0</v>
      </c>
      <c r="F146" s="13">
        <f>(B146/B145-1)*100</f>
        <v>0.925</v>
      </c>
    </row>
    <row r="147" spans="1:6">
      <c r="A147" s="10" t="s">
        <v>167</v>
      </c>
      <c r="B147" s="12">
        <v>2365</v>
      </c>
      <c r="C147" s="15">
        <v>1241972</v>
      </c>
      <c r="D147" s="15">
        <v>789664</v>
      </c>
      <c r="E147" s="12">
        <f>B147-B146</f>
        <v>74.0</v>
      </c>
      <c r="F147" s="13">
        <f>(B147/B146-1)*100</f>
        <v>3.23</v>
      </c>
    </row>
    <row r="148" spans="1:6">
      <c r="A148" s="10" t="s">
        <v>582</v>
      </c>
      <c r="B148" s="12">
        <v>2320</v>
      </c>
      <c r="C148" s="15">
        <v>802959</v>
      </c>
      <c r="D148" s="15">
        <v>734318</v>
      </c>
      <c r="E148" s="12">
        <f>B148-B147</f>
        <v>-45.0</v>
      </c>
      <c r="F148" s="13">
        <f>(B148/B147-1)*100</f>
        <v>-1.903</v>
      </c>
    </row>
    <row r="149" spans="1:6">
      <c r="A149" s="10" t="s">
        <v>583</v>
      </c>
      <c r="B149" s="12">
        <v>2284</v>
      </c>
      <c r="C149" s="15">
        <v>617501</v>
      </c>
      <c r="D149" s="15">
        <v>717983</v>
      </c>
      <c r="E149" s="12">
        <f>B149-B148</f>
        <v>-36.0</v>
      </c>
      <c r="F149" s="13">
        <f>(B149/B148-1)*100</f>
        <v>-1.552</v>
      </c>
    </row>
    <row r="150" spans="1:6">
      <c r="A150" s="10" t="s">
        <v>584</v>
      </c>
      <c r="B150" s="12">
        <v>2272</v>
      </c>
      <c r="C150" s="15">
        <v>611502</v>
      </c>
      <c r="D150" s="15">
        <v>732433</v>
      </c>
      <c r="E150" s="12">
        <f>B150-B149</f>
        <v>-12.0</v>
      </c>
      <c r="F150" s="13">
        <f>(B150/B149-1)*100</f>
        <v>-0.525</v>
      </c>
    </row>
    <row r="151" spans="1:6">
      <c r="A151" s="10" t="s">
        <v>585</v>
      </c>
      <c r="B151" s="12">
        <v>2256</v>
      </c>
      <c r="C151" s="15">
        <v>540027</v>
      </c>
      <c r="D151" s="15">
        <v>765378</v>
      </c>
      <c r="E151" s="12">
        <f>B151-B150</f>
        <v>-16.0</v>
      </c>
      <c r="F151" s="13">
        <f>(B151/B150-1)*100</f>
        <v>-0.704</v>
      </c>
    </row>
    <row r="152" spans="1:6">
      <c r="A152" s="10" t="s">
        <v>171</v>
      </c>
      <c r="B152" s="12">
        <v>2270</v>
      </c>
      <c r="C152" s="15">
        <v>585513</v>
      </c>
      <c r="D152" s="15">
        <v>751479</v>
      </c>
      <c r="E152" s="12">
        <f>B152-B151</f>
        <v>14.0</v>
      </c>
      <c r="F152" s="13">
        <f>(B152/B151-1)*100</f>
        <v>0.621</v>
      </c>
    </row>
    <row r="153" spans="1:6">
      <c r="A153" s="10" t="s">
        <v>586</v>
      </c>
      <c r="B153" s="12">
        <v>2241</v>
      </c>
      <c r="C153" s="15">
        <v>529804</v>
      </c>
      <c r="D153" s="15">
        <v>773662</v>
      </c>
      <c r="E153" s="12">
        <f>B153-B152</f>
        <v>-29.0</v>
      </c>
      <c r="F153" s="13">
        <f>(B153/B152-1)*100</f>
        <v>-1.278</v>
      </c>
    </row>
    <row r="154" spans="1:6">
      <c r="A154" s="10" t="s">
        <v>587</v>
      </c>
      <c r="B154" s="12">
        <v>2222</v>
      </c>
      <c r="C154" s="15">
        <v>484433</v>
      </c>
      <c r="D154" s="15">
        <v>790286</v>
      </c>
      <c r="E154" s="12">
        <f>B154-B153</f>
        <v>-19.0</v>
      </c>
      <c r="F154" s="13">
        <f>(B154/B153-1)*100</f>
        <v>-0.848</v>
      </c>
    </row>
    <row r="155" spans="1:6">
      <c r="A155" s="10" t="s">
        <v>588</v>
      </c>
      <c r="B155" s="12">
        <v>2224</v>
      </c>
      <c r="C155" s="15">
        <v>639824</v>
      </c>
      <c r="D155" s="15">
        <v>805879</v>
      </c>
      <c r="E155" s="12">
        <f>B155-B154</f>
        <v>2.0</v>
      </c>
      <c r="F155" s="13">
        <f>(B155/B154-1)*100</f>
        <v>0.09</v>
      </c>
    </row>
    <row r="156" spans="1:6">
      <c r="A156" s="10" t="s">
        <v>589</v>
      </c>
      <c r="B156" s="12">
        <v>2208</v>
      </c>
      <c r="C156" s="15">
        <v>798348</v>
      </c>
      <c r="D156" s="15">
        <v>822559</v>
      </c>
      <c r="E156" s="12">
        <f>B156-B155</f>
        <v>-16.0</v>
      </c>
      <c r="F156" s="13">
        <f>(B156/B155-1)*100</f>
        <v>-0.719</v>
      </c>
    </row>
    <row r="157" spans="1:6">
      <c r="A157" s="10" t="s">
        <v>175</v>
      </c>
      <c r="B157" s="12">
        <v>2206</v>
      </c>
      <c r="C157" s="15">
        <v>533144</v>
      </c>
      <c r="D157" s="15">
        <v>840031</v>
      </c>
      <c r="E157" s="12">
        <f>B157-B156</f>
        <v>-2.0</v>
      </c>
      <c r="F157" s="13">
        <f>(B157/B156-1)*100</f>
        <v>-0.091</v>
      </c>
    </row>
    <row r="158" spans="1:6">
      <c r="A158" s="10" t="s">
        <v>590</v>
      </c>
      <c r="B158" s="12">
        <v>2218</v>
      </c>
      <c r="C158" s="15">
        <v>911793</v>
      </c>
      <c r="D158" s="15">
        <v>849416</v>
      </c>
      <c r="E158" s="12">
        <f>B158-B157</f>
        <v>12.0</v>
      </c>
      <c r="F158" s="13">
        <f>(B158/B157-1)*100</f>
        <v>0.544</v>
      </c>
    </row>
    <row r="159" spans="1:6">
      <c r="A159" s="10" t="s">
        <v>591</v>
      </c>
      <c r="B159" s="12">
        <v>2208</v>
      </c>
      <c r="C159" s="15">
        <v>701459</v>
      </c>
      <c r="D159" s="15">
        <v>824339</v>
      </c>
      <c r="E159" s="12">
        <f>B159-B158</f>
        <v>-10.0</v>
      </c>
      <c r="F159" s="13">
        <f>(B159/B158-1)*100</f>
        <v>-0.451</v>
      </c>
    </row>
    <row r="160" spans="1:6">
      <c r="A160" s="10" t="s">
        <v>592</v>
      </c>
      <c r="B160" s="12">
        <v>2225</v>
      </c>
      <c r="C160" s="15">
        <v>737761</v>
      </c>
      <c r="D160" s="15">
        <v>841450</v>
      </c>
      <c r="E160" s="12">
        <f>B160-B159</f>
        <v>17.0</v>
      </c>
      <c r="F160" s="13">
        <f>(B160/B159-1)*100</f>
        <v>0.77</v>
      </c>
    </row>
    <row r="161" spans="1:6">
      <c r="A161" s="10" t="s">
        <v>179</v>
      </c>
      <c r="B161" s="12">
        <v>2270</v>
      </c>
      <c r="C161" s="15">
        <v>1109065</v>
      </c>
      <c r="D161" s="15">
        <v>835598</v>
      </c>
      <c r="E161" s="12">
        <f>B161-B160</f>
        <v>45.0</v>
      </c>
      <c r="F161" s="13">
        <f>(B161/B160-1)*100</f>
        <v>2.022</v>
      </c>
    </row>
    <row r="162" spans="1:6">
      <c r="A162" s="10" t="s">
        <v>593</v>
      </c>
      <c r="B162" s="12">
        <v>2259</v>
      </c>
      <c r="C162" s="15">
        <v>741486</v>
      </c>
      <c r="D162" s="15">
        <v>812450</v>
      </c>
      <c r="E162" s="12">
        <f>B162-B161</f>
        <v>-11.0</v>
      </c>
      <c r="F162" s="13">
        <f>(B162/B161-1)*100</f>
        <v>-0.485</v>
      </c>
    </row>
    <row r="163" spans="1:6">
      <c r="A163" s="10" t="s">
        <v>594</v>
      </c>
      <c r="B163" s="12">
        <v>2264</v>
      </c>
      <c r="C163" s="15">
        <v>607691</v>
      </c>
      <c r="D163" s="15">
        <v>799644</v>
      </c>
      <c r="E163" s="12">
        <f>B163-B162</f>
        <v>5.0</v>
      </c>
      <c r="F163" s="13">
        <f>(B163/B162-1)*100</f>
        <v>0.221</v>
      </c>
    </row>
    <row r="164" spans="1:6">
      <c r="A164" s="10" t="s">
        <v>595</v>
      </c>
      <c r="B164" s="12">
        <v>2277</v>
      </c>
      <c r="C164" s="15">
        <v>590228</v>
      </c>
      <c r="D164" s="15">
        <v>819092</v>
      </c>
      <c r="E164" s="12">
        <f>B164-B163</f>
        <v>13.0</v>
      </c>
      <c r="F164" s="13">
        <f>(B164/B163-1)*100</f>
        <v>0.574</v>
      </c>
    </row>
    <row r="165" spans="1:6">
      <c r="A165" s="10" t="s">
        <v>596</v>
      </c>
      <c r="B165" s="12">
        <v>2276</v>
      </c>
      <c r="C165" s="15">
        <v>661705</v>
      </c>
      <c r="D165" s="15">
        <v>832017</v>
      </c>
      <c r="E165" s="12">
        <f>B165-B164</f>
        <v>-1.0</v>
      </c>
      <c r="F165" s="13">
        <f>(B165/B164-1)*100</f>
        <v>-0.044</v>
      </c>
    </row>
    <row r="166" spans="1:6">
      <c r="A166" s="10" t="s">
        <v>183</v>
      </c>
      <c r="B166" s="12">
        <v>2282</v>
      </c>
      <c r="C166" s="15">
        <v>497262</v>
      </c>
      <c r="D166" s="15">
        <v>827472</v>
      </c>
      <c r="E166" s="12">
        <f>B166-B165</f>
        <v>6.0</v>
      </c>
      <c r="F166" s="13">
        <f>(B166/B165-1)*100</f>
        <v>0.264</v>
      </c>
    </row>
    <row r="167" spans="1:6">
      <c r="A167" s="10" t="s">
        <v>597</v>
      </c>
      <c r="B167" s="12">
        <v>2290</v>
      </c>
      <c r="C167" s="15">
        <v>548300</v>
      </c>
      <c r="D167" s="15">
        <v>809827</v>
      </c>
      <c r="E167" s="12">
        <f>B167-B166</f>
        <v>8.0</v>
      </c>
      <c r="F167" s="13">
        <f>(B167/B166-1)*100</f>
        <v>0.351</v>
      </c>
    </row>
    <row r="168" spans="1:6">
      <c r="A168" s="10" t="s">
        <v>598</v>
      </c>
      <c r="B168" s="12">
        <v>2389</v>
      </c>
      <c r="C168" s="15">
        <v>1689953</v>
      </c>
      <c r="D168" s="15">
        <v>761314</v>
      </c>
      <c r="E168" s="12">
        <f>B168-B167</f>
        <v>99.0</v>
      </c>
      <c r="F168" s="13">
        <f>(B168/B167-1)*100</f>
        <v>4.323</v>
      </c>
    </row>
    <row r="169" spans="1:6">
      <c r="A169" s="10" t="s">
        <v>599</v>
      </c>
      <c r="B169" s="12">
        <v>2464</v>
      </c>
      <c r="C169" s="15">
        <v>2593632</v>
      </c>
      <c r="D169" s="15">
        <v>820104</v>
      </c>
      <c r="E169" s="12">
        <f>B169-B168</f>
        <v>75.0</v>
      </c>
      <c r="F169" s="13">
        <f>(B169/B168-1)*100</f>
        <v>3.139</v>
      </c>
    </row>
    <row r="170" spans="1:6">
      <c r="A170" s="10" t="s">
        <v>600</v>
      </c>
      <c r="B170" s="12">
        <v>2455</v>
      </c>
      <c r="C170" s="15">
        <v>2061225</v>
      </c>
      <c r="D170" s="15">
        <v>816411</v>
      </c>
      <c r="E170" s="12">
        <f>B170-B169</f>
        <v>-9.0</v>
      </c>
      <c r="F170" s="13">
        <f>(B170/B169-1)*100</f>
        <v>-0.365</v>
      </c>
    </row>
    <row r="171" spans="1:6">
      <c r="A171" s="10" t="s">
        <v>187</v>
      </c>
      <c r="B171" s="12">
        <v>2517</v>
      </c>
      <c r="C171" s="15">
        <v>2280427</v>
      </c>
      <c r="D171" s="15">
        <v>891921</v>
      </c>
      <c r="E171" s="12">
        <f>B171-B170</f>
        <v>62.0</v>
      </c>
      <c r="F171" s="13">
        <f>(B171/B170-1)*100</f>
        <v>2.525</v>
      </c>
    </row>
    <row r="172" spans="1:6">
      <c r="A172" s="10" t="s">
        <v>601</v>
      </c>
      <c r="B172" s="12">
        <v>2543</v>
      </c>
      <c r="C172" s="15">
        <v>2908067</v>
      </c>
      <c r="D172" s="15">
        <v>909435</v>
      </c>
      <c r="E172" s="12">
        <f>B172-B171</f>
        <v>26.0</v>
      </c>
      <c r="F172" s="13">
        <f>(B172/B171-1)*100</f>
        <v>1.033</v>
      </c>
    </row>
    <row r="173" spans="1:6">
      <c r="A173" s="10" t="s">
        <v>602</v>
      </c>
      <c r="B173" s="12">
        <v>2529</v>
      </c>
      <c r="C173" s="15">
        <v>2003085</v>
      </c>
      <c r="D173" s="15">
        <v>884703</v>
      </c>
      <c r="E173" s="12">
        <f>B173-B172</f>
        <v>-14.0</v>
      </c>
      <c r="F173" s="13">
        <f>(B173/B172-1)*100</f>
        <v>-0.551</v>
      </c>
    </row>
    <row r="174" spans="1:6">
      <c r="A174" s="10" t="s">
        <v>603</v>
      </c>
      <c r="B174" s="12">
        <v>2504</v>
      </c>
      <c r="C174" s="15">
        <v>2496946</v>
      </c>
      <c r="D174" s="15">
        <v>993455</v>
      </c>
      <c r="E174" s="12">
        <f>B174-B173</f>
        <v>-25.0</v>
      </c>
      <c r="F174" s="13">
        <f>(B174/B173-1)*100</f>
        <v>-0.989</v>
      </c>
    </row>
    <row r="175" spans="1:6">
      <c r="A175" s="10" t="s">
        <v>604</v>
      </c>
      <c r="B175" s="12">
        <v>2379</v>
      </c>
      <c r="C175" s="15">
        <v>2891571</v>
      </c>
      <c r="D175" s="15">
        <v>896727</v>
      </c>
      <c r="E175" s="12">
        <f>B175-B174</f>
        <v>-125.0</v>
      </c>
      <c r="F175" s="13">
        <f>(B175/B174-1)*100</f>
        <v>-4.992</v>
      </c>
    </row>
    <row r="176" spans="1:6">
      <c r="A176" s="10" t="s">
        <v>191</v>
      </c>
      <c r="B176" s="12">
        <v>2391</v>
      </c>
      <c r="C176" s="15">
        <v>1052869</v>
      </c>
      <c r="D176" s="15">
        <v>904456</v>
      </c>
      <c r="E176" s="12">
        <f>B176-B175</f>
        <v>12.0</v>
      </c>
      <c r="F176" s="13">
        <f>(B176/B175-1)*100</f>
        <v>0.504</v>
      </c>
    </row>
    <row r="177" spans="1:6">
      <c r="A177" s="10" t="s">
        <v>605</v>
      </c>
      <c r="B177" s="12">
        <v>2417</v>
      </c>
      <c r="C177" s="15">
        <v>1620777</v>
      </c>
      <c r="D177" s="15">
        <v>857159</v>
      </c>
      <c r="E177" s="12">
        <f>B177-B176</f>
        <v>26.0</v>
      </c>
      <c r="F177" s="13">
        <f>(B177/B176-1)*100</f>
        <v>1.087</v>
      </c>
    </row>
    <row r="178" spans="1:6">
      <c r="A178" s="10" t="s">
        <v>606</v>
      </c>
      <c r="B178" s="12">
        <v>2393</v>
      </c>
      <c r="C178" s="15">
        <v>986560</v>
      </c>
      <c r="D178" s="15">
        <v>784498</v>
      </c>
      <c r="E178" s="12">
        <f>B178-B177</f>
        <v>-24.0</v>
      </c>
      <c r="F178" s="13">
        <f>(B178/B177-1)*100</f>
        <v>-0.993</v>
      </c>
    </row>
    <row r="179" spans="1:6">
      <c r="A179" s="10" t="s">
        <v>607</v>
      </c>
      <c r="B179" s="12">
        <v>2381</v>
      </c>
      <c r="C179" s="15">
        <v>863081</v>
      </c>
      <c r="D179" s="15">
        <v>759974</v>
      </c>
      <c r="E179" s="12">
        <f>B179-B178</f>
        <v>-12.0</v>
      </c>
      <c r="F179" s="13">
        <f>(B179/B178-1)*100</f>
        <v>-0.501</v>
      </c>
    </row>
    <row r="180" spans="1:6">
      <c r="A180" s="10" t="s">
        <v>608</v>
      </c>
      <c r="B180" s="12">
        <v>2384</v>
      </c>
      <c r="C180" s="15">
        <v>819352</v>
      </c>
      <c r="D180" s="15">
        <v>756727</v>
      </c>
      <c r="E180" s="12">
        <f>B180-B179</f>
        <v>3.0</v>
      </c>
      <c r="F180" s="13">
        <f>(B180/B179-1)*100</f>
        <v>0.126</v>
      </c>
    </row>
    <row r="181" spans="1:6">
      <c r="A181" s="10" t="s">
        <v>195</v>
      </c>
      <c r="B181" s="12">
        <v>2404</v>
      </c>
      <c r="C181" s="15">
        <v>696255</v>
      </c>
      <c r="D181" s="15">
        <v>736158</v>
      </c>
      <c r="E181" s="12">
        <f>B181-B180</f>
        <v>20.0</v>
      </c>
      <c r="F181" s="13">
        <f>(B181/B180-1)*100</f>
        <v>0.839</v>
      </c>
    </row>
    <row r="182" spans="1:6">
      <c r="A182" s="10" t="s">
        <v>609</v>
      </c>
      <c r="B182" s="12">
        <v>2414</v>
      </c>
      <c r="C182" s="15">
        <v>705823</v>
      </c>
      <c r="D182" s="15">
        <v>706992</v>
      </c>
      <c r="E182" s="12">
        <f>B182-B181</f>
        <v>10.0</v>
      </c>
      <c r="F182" s="13">
        <f>(B182/B181-1)*100</f>
        <v>0.416</v>
      </c>
    </row>
    <row r="183" spans="1:6">
      <c r="A183" s="10" t="s">
        <v>610</v>
      </c>
      <c r="B183" s="12">
        <v>2399</v>
      </c>
      <c r="C183" s="15">
        <v>704431</v>
      </c>
      <c r="D183" s="15">
        <v>694763</v>
      </c>
      <c r="E183" s="12">
        <f>B183-B182</f>
        <v>-15.0</v>
      </c>
      <c r="F183" s="13">
        <f>(B183/B182-1)*100</f>
        <v>-0.621</v>
      </c>
    </row>
    <row r="184" spans="1:6">
      <c r="A184" s="10" t="s">
        <v>611</v>
      </c>
      <c r="B184" s="12">
        <v>2392</v>
      </c>
      <c r="C184" s="15">
        <v>547156</v>
      </c>
      <c r="D184" s="15">
        <v>685709</v>
      </c>
      <c r="E184" s="12">
        <f>B184-B183</f>
        <v>-7.0</v>
      </c>
      <c r="F184" s="13">
        <f>(B184/B183-1)*100</f>
        <v>-0.292</v>
      </c>
    </row>
    <row r="185" spans="1:6">
      <c r="A185" s="10" t="s">
        <v>612</v>
      </c>
      <c r="B185" s="12">
        <v>2373</v>
      </c>
      <c r="C185" s="15">
        <v>623078</v>
      </c>
      <c r="D185" s="15">
        <v>694298</v>
      </c>
      <c r="E185" s="12">
        <f>B185-B184</f>
        <v>-19.0</v>
      </c>
      <c r="F185" s="13">
        <f>(B185/B184-1)*100</f>
        <v>-0.794</v>
      </c>
    </row>
    <row r="186" spans="1:6">
      <c r="A186" s="10" t="s">
        <v>199</v>
      </c>
      <c r="B186" s="12">
        <v>2372</v>
      </c>
      <c r="C186" s="15">
        <v>817883</v>
      </c>
      <c r="D186" s="15">
        <v>711306</v>
      </c>
      <c r="E186" s="12">
        <f>B186-B185</f>
        <v>-1.0</v>
      </c>
      <c r="F186" s="13">
        <f>(B186/B185-1)*100</f>
        <v>-0.042</v>
      </c>
    </row>
    <row r="187" spans="1:6">
      <c r="A187" s="10" t="s">
        <v>613</v>
      </c>
      <c r="B187" s="12">
        <v>2398</v>
      </c>
      <c r="C187" s="15">
        <v>676921</v>
      </c>
      <c r="D187" s="15">
        <v>695469</v>
      </c>
      <c r="E187" s="12">
        <f>B187-B186</f>
        <v>26.0</v>
      </c>
      <c r="F187" s="13">
        <f>(B187/B186-1)*100</f>
        <v>1.096</v>
      </c>
    </row>
    <row r="188" spans="1:6">
      <c r="A188" s="10" t="s">
        <v>614</v>
      </c>
      <c r="B188" s="12">
        <v>2370</v>
      </c>
      <c r="C188" s="15">
        <v>707228</v>
      </c>
      <c r="D188" s="15">
        <v>685261</v>
      </c>
      <c r="E188" s="12">
        <f>B188-B187</f>
        <v>-28.0</v>
      </c>
      <c r="F188" s="13">
        <f>(B188/B187-1)*100</f>
        <v>-1.168</v>
      </c>
    </row>
    <row r="189" spans="1:6">
      <c r="A189" s="10" t="s">
        <v>615</v>
      </c>
      <c r="B189" s="12">
        <v>2396</v>
      </c>
      <c r="C189" s="15">
        <v>724589</v>
      </c>
      <c r="D189" s="15">
        <v>655520</v>
      </c>
      <c r="E189" s="12">
        <f>B189-B188</f>
        <v>26.0</v>
      </c>
      <c r="F189" s="13">
        <f>(B189/B188-1)*100</f>
        <v>1.097</v>
      </c>
    </row>
    <row r="190" spans="1:6">
      <c r="A190" s="10" t="s">
        <v>616</v>
      </c>
      <c r="B190" s="12">
        <v>2386</v>
      </c>
      <c r="C190" s="15">
        <v>587203</v>
      </c>
      <c r="D190" s="15">
        <v>650875</v>
      </c>
      <c r="E190" s="12">
        <f>B190-B189</f>
        <v>-10.0</v>
      </c>
      <c r="F190" s="13">
        <f>(B190/B189-1)*100</f>
        <v>-0.417</v>
      </c>
    </row>
    <row r="191" spans="1:6">
      <c r="A191" s="10" t="s">
        <v>203</v>
      </c>
      <c r="B191" s="12">
        <v>2367</v>
      </c>
      <c r="C191" s="15">
        <v>448911</v>
      </c>
      <c r="D191" s="15">
        <v>654082</v>
      </c>
      <c r="E191" s="12">
        <f>B191-B190</f>
        <v>-19.0</v>
      </c>
      <c r="F191" s="13">
        <f>(B191/B190-1)*100</f>
        <v>-0.796</v>
      </c>
    </row>
    <row r="192" spans="1:6">
      <c r="A192" s="10" t="s">
        <v>617</v>
      </c>
      <c r="B192" s="12">
        <v>2373</v>
      </c>
      <c r="C192" s="15">
        <v>449450</v>
      </c>
      <c r="D192" s="15">
        <v>653886</v>
      </c>
      <c r="E192" s="12">
        <f>B192-B191</f>
        <v>6.0</v>
      </c>
      <c r="F192" s="13">
        <f>(B192/B191-1)*100</f>
        <v>0.253</v>
      </c>
    </row>
    <row r="193" spans="1:6">
      <c r="A193" s="10" t="s">
        <v>618</v>
      </c>
      <c r="B193" s="12">
        <v>2365</v>
      </c>
      <c r="C193" s="15">
        <v>642109</v>
      </c>
      <c r="D193" s="15">
        <v>669737</v>
      </c>
      <c r="E193" s="12">
        <f>B193-B192</f>
        <v>-8.0</v>
      </c>
      <c r="F193" s="13">
        <f>(B193/B192-1)*100</f>
        <v>-0.337</v>
      </c>
    </row>
    <row r="194" spans="1:6">
      <c r="A194" s="10" t="s">
        <v>619</v>
      </c>
      <c r="B194" s="12">
        <v>2411</v>
      </c>
      <c r="C194" s="15">
        <v>857527</v>
      </c>
      <c r="D194" s="15">
        <v>650630</v>
      </c>
      <c r="E194" s="12">
        <f>B194-B193</f>
        <v>46.0</v>
      </c>
      <c r="F194" s="13">
        <f>(B194/B193-1)*100</f>
        <v>1.945</v>
      </c>
    </row>
    <row r="195" spans="1:6">
      <c r="A195" s="10" t="s">
        <v>620</v>
      </c>
      <c r="B195" s="12">
        <v>2457</v>
      </c>
      <c r="C195" s="15">
        <v>1059599</v>
      </c>
      <c r="D195" s="15">
        <v>660678</v>
      </c>
      <c r="E195" s="12">
        <f>B195-B194</f>
        <v>46.0</v>
      </c>
      <c r="F195" s="13">
        <f>(B195/B194-1)*100</f>
        <v>1.908</v>
      </c>
    </row>
    <row r="196" spans="1:6">
      <c r="A196" s="10" t="s">
        <v>207</v>
      </c>
      <c r="B196" s="12">
        <v>2411</v>
      </c>
      <c r="C196" s="15">
        <v>866930</v>
      </c>
      <c r="D196" s="15">
        <v>666635</v>
      </c>
      <c r="E196" s="12">
        <f>B196-B195</f>
        <v>-46.0</v>
      </c>
      <c r="F196" s="13">
        <f>(B196/B195-1)*100</f>
        <v>-1.872</v>
      </c>
    </row>
    <row r="197" spans="1:6">
      <c r="A197" s="10" t="s">
        <v>621</v>
      </c>
      <c r="B197" s="12">
        <v>2480</v>
      </c>
      <c r="C197" s="15">
        <v>1252918</v>
      </c>
      <c r="D197" s="15">
        <v>632187</v>
      </c>
      <c r="E197" s="12">
        <f>B197-B196</f>
        <v>69.0</v>
      </c>
      <c r="F197" s="13">
        <f>(B197/B196-1)*100</f>
        <v>2.862</v>
      </c>
    </row>
    <row r="198" spans="1:6">
      <c r="A198" s="10" t="s">
        <v>622</v>
      </c>
      <c r="B198" s="12">
        <v>2519</v>
      </c>
      <c r="C198" s="15">
        <v>990784</v>
      </c>
      <c r="D198" s="15">
        <v>663635</v>
      </c>
      <c r="E198" s="12">
        <f>B198-B197</f>
        <v>39.0</v>
      </c>
      <c r="F198" s="13">
        <f>(B198/B197-1)*100</f>
        <v>1.573</v>
      </c>
    </row>
    <row r="199" spans="1:6">
      <c r="A199" s="10" t="s">
        <v>623</v>
      </c>
      <c r="B199" s="12">
        <v>2404</v>
      </c>
      <c r="C199" s="15">
        <v>1172331</v>
      </c>
      <c r="D199" s="15">
        <v>616715</v>
      </c>
      <c r="E199" s="12">
        <f>B199-B198</f>
        <v>-115.0</v>
      </c>
      <c r="F199" s="13">
        <f>(B199/B198-1)*100</f>
        <v>-4.565</v>
      </c>
    </row>
    <row r="200" spans="1:6">
      <c r="A200" s="10" t="s">
        <v>624</v>
      </c>
      <c r="B200" s="12">
        <v>2434</v>
      </c>
      <c r="C200" s="15">
        <v>576181</v>
      </c>
      <c r="D200" s="15">
        <v>576028</v>
      </c>
      <c r="E200" s="12">
        <f>B200-B199</f>
        <v>30.0</v>
      </c>
      <c r="F200" s="13">
        <f>(B200/B199-1)*100</f>
        <v>1.248</v>
      </c>
    </row>
    <row r="201" spans="1:6">
      <c r="A201" s="10" t="s">
        <v>211</v>
      </c>
      <c r="B201" s="12">
        <v>2419</v>
      </c>
      <c r="C201" s="15">
        <v>623870</v>
      </c>
      <c r="D201" s="15">
        <v>579345</v>
      </c>
      <c r="E201" s="12">
        <f>B201-B200</f>
        <v>-15.0</v>
      </c>
      <c r="F201" s="13">
        <f>(B201/B200-1)*100</f>
        <v>-0.616</v>
      </c>
    </row>
    <row r="202" spans="1:6">
      <c r="A202" s="10" t="s">
        <v>625</v>
      </c>
      <c r="B202" s="12">
        <v>2405</v>
      </c>
      <c r="C202" s="15">
        <v>528028</v>
      </c>
      <c r="D202" s="15">
        <v>564414</v>
      </c>
      <c r="E202" s="12">
        <f>B202-B201</f>
        <v>-14.0</v>
      </c>
      <c r="F202" s="13">
        <f>(B202/B201-1)*100</f>
        <v>-0.579</v>
      </c>
    </row>
    <row r="203" spans="1:6">
      <c r="A203" s="10" t="s">
        <v>626</v>
      </c>
      <c r="B203" s="12">
        <v>2393</v>
      </c>
      <c r="C203" s="15">
        <v>505219</v>
      </c>
      <c r="D203" s="15">
        <v>533076</v>
      </c>
      <c r="E203" s="12">
        <f>B203-B202</f>
        <v>-12.0</v>
      </c>
      <c r="F203" s="13">
        <f>(B203/B202-1)*100</f>
        <v>-0.499</v>
      </c>
    </row>
    <row r="204" spans="1:6">
      <c r="A204" s="10" t="s">
        <v>627</v>
      </c>
      <c r="B204" s="12">
        <v>2390</v>
      </c>
      <c r="C204" s="15">
        <v>393235</v>
      </c>
      <c r="D204" s="15">
        <v>498785</v>
      </c>
      <c r="E204" s="12">
        <f>B204-B203</f>
        <v>-3.0</v>
      </c>
      <c r="F204" s="13">
        <f>(B204/B203-1)*100</f>
        <v>-0.125</v>
      </c>
    </row>
    <row r="205" spans="1:6">
      <c r="A205" s="10" t="s">
        <v>628</v>
      </c>
      <c r="B205" s="12">
        <v>2397</v>
      </c>
      <c r="C205" s="15">
        <v>372112</v>
      </c>
      <c r="D205" s="15">
        <v>484212</v>
      </c>
      <c r="E205" s="12">
        <f>B205-B204</f>
        <v>7.0</v>
      </c>
      <c r="F205" s="13">
        <f>(B205/B204-1)*100</f>
        <v>0.293</v>
      </c>
    </row>
    <row r="206" spans="1:6">
      <c r="A206" s="10" t="s">
        <v>215</v>
      </c>
      <c r="B206" s="12">
        <v>2396</v>
      </c>
      <c r="C206" s="15">
        <v>285455</v>
      </c>
      <c r="D206" s="15">
        <v>454433</v>
      </c>
      <c r="E206" s="12">
        <f>B206-B205</f>
        <v>-1.0</v>
      </c>
      <c r="F206" s="13">
        <f>(B206/B205-1)*100</f>
        <v>-0.042</v>
      </c>
    </row>
    <row r="207" spans="1:6">
      <c r="A207" s="10" t="s">
        <v>629</v>
      </c>
      <c r="B207" s="12">
        <v>2388</v>
      </c>
      <c r="C207" s="15">
        <v>291156</v>
      </c>
      <c r="D207" s="15">
        <v>436712</v>
      </c>
      <c r="E207" s="12">
        <f>B207-B206</f>
        <v>-8.0</v>
      </c>
      <c r="F207" s="13">
        <f>(B207/B206-1)*100</f>
        <v>-0.334</v>
      </c>
    </row>
    <row r="208" spans="1:6">
      <c r="A208" s="10" t="s">
        <v>630</v>
      </c>
      <c r="B208" s="12">
        <v>2383</v>
      </c>
      <c r="C208" s="15">
        <v>298400</v>
      </c>
      <c r="D208" s="15">
        <v>406384</v>
      </c>
      <c r="E208" s="12">
        <f>B208-B207</f>
        <v>-5.0</v>
      </c>
      <c r="F208" s="13">
        <f>(B208/B207-1)*100</f>
        <v>-0.209</v>
      </c>
    </row>
    <row r="209" spans="1:6">
      <c r="A209" s="10" t="s">
        <v>631</v>
      </c>
      <c r="B209" s="12">
        <v>2389</v>
      </c>
      <c r="C209" s="15">
        <v>351629</v>
      </c>
      <c r="D209" s="15">
        <v>372761</v>
      </c>
      <c r="E209" s="12">
        <f>B209-B208</f>
        <v>6.0</v>
      </c>
      <c r="F209" s="13">
        <f>(B209/B208-1)*100</f>
        <v>0.252</v>
      </c>
    </row>
    <row r="210" spans="1:6">
      <c r="A210" s="10" t="s">
        <v>632</v>
      </c>
      <c r="B210" s="12">
        <v>2496</v>
      </c>
      <c r="C210" s="15">
        <v>197502</v>
      </c>
      <c r="D210" s="15">
        <v>454099</v>
      </c>
      <c r="E210" s="12">
        <f>B210-B209</f>
        <v>107.0</v>
      </c>
      <c r="F210" s="13">
        <f>(B210/B209-1)*100</f>
        <v>4.479</v>
      </c>
    </row>
    <row r="211" spans="1:6">
      <c r="A211" s="10" t="s">
        <v>219</v>
      </c>
      <c r="B211" s="12">
        <v>2479</v>
      </c>
      <c r="C211" s="15">
        <v>260086</v>
      </c>
      <c r="D211" s="15">
        <v>484012</v>
      </c>
      <c r="E211" s="12">
        <f>B211-B210</f>
        <v>-17.0</v>
      </c>
      <c r="F211" s="13">
        <f>(B211/B210-1)*100</f>
        <v>-0.681</v>
      </c>
    </row>
    <row r="212" spans="1:6">
      <c r="A212" s="10" t="s">
        <v>633</v>
      </c>
      <c r="B212" s="12">
        <v>2435</v>
      </c>
      <c r="C212" s="15">
        <v>427587</v>
      </c>
      <c r="D212" s="15">
        <v>557439</v>
      </c>
      <c r="E212" s="12">
        <f>B212-B211</f>
        <v>-44.0</v>
      </c>
      <c r="F212" s="13">
        <f>(B212/B211-1)*100</f>
        <v>-1.775</v>
      </c>
    </row>
    <row r="213" spans="1:6">
      <c r="A213" s="10" t="s">
        <v>634</v>
      </c>
      <c r="B213" s="12">
        <v>2412</v>
      </c>
      <c r="C213" s="15">
        <v>486683</v>
      </c>
      <c r="D213" s="15">
        <v>623445</v>
      </c>
      <c r="E213" s="12">
        <f>B213-B212</f>
        <v>-23.0</v>
      </c>
      <c r="F213" s="13">
        <f>(B213/B212-1)*100</f>
        <v>-0.945</v>
      </c>
    </row>
    <row r="214" spans="1:6">
      <c r="A214" s="10" t="s">
        <v>635</v>
      </c>
      <c r="B214" s="12">
        <v>2396</v>
      </c>
      <c r="C214" s="15">
        <v>438253</v>
      </c>
      <c r="D214" s="15">
        <v>665628</v>
      </c>
      <c r="E214" s="12">
        <f>B214-B213</f>
        <v>-16.0</v>
      </c>
      <c r="F214" s="13">
        <f>(B214/B213-1)*100</f>
        <v>-0.663</v>
      </c>
    </row>
    <row r="215" spans="1:6">
      <c r="A215" s="10" t="s">
        <v>636</v>
      </c>
      <c r="B215" s="12">
        <v>2391</v>
      </c>
      <c r="C215" s="15">
        <v>566292</v>
      </c>
      <c r="D215" s="15">
        <v>686276</v>
      </c>
      <c r="E215" s="12">
        <f>B215-B214</f>
        <v>-5.0</v>
      </c>
      <c r="F215" s="13">
        <f>(B215/B214-1)*100</f>
        <v>-0.209</v>
      </c>
    </row>
    <row r="216" spans="1:6">
      <c r="A216" s="10" t="s">
        <v>223</v>
      </c>
      <c r="B216" s="12">
        <v>2424</v>
      </c>
      <c r="C216" s="15">
        <v>762703</v>
      </c>
      <c r="D216" s="15">
        <v>674733</v>
      </c>
      <c r="E216" s="12">
        <f>B216-B215</f>
        <v>33.0</v>
      </c>
      <c r="F216" s="13">
        <f>(B216/B215-1)*100</f>
        <v>1.38</v>
      </c>
    </row>
    <row r="217" spans="1:6">
      <c r="A217" s="10" t="s">
        <v>637</v>
      </c>
      <c r="B217" s="12">
        <v>2425</v>
      </c>
      <c r="C217" s="15">
        <v>459301</v>
      </c>
      <c r="D217" s="15">
        <v>680234</v>
      </c>
      <c r="E217" s="12">
        <f>B217-B216</f>
        <v>1.0</v>
      </c>
      <c r="F217" s="13">
        <f>(B217/B216-1)*100</f>
        <v>0.041</v>
      </c>
    </row>
    <row r="218" spans="1:6">
      <c r="A218" s="10" t="s">
        <v>638</v>
      </c>
      <c r="B218" s="12">
        <v>2405</v>
      </c>
      <c r="C218" s="15">
        <v>377483</v>
      </c>
      <c r="D218" s="15">
        <v>698146</v>
      </c>
      <c r="E218" s="12">
        <f>B218-B217</f>
        <v>-20.0</v>
      </c>
      <c r="F218" s="13">
        <f>(B218/B217-1)*100</f>
        <v>-0.825</v>
      </c>
    </row>
    <row r="219" spans="1:6">
      <c r="A219" s="10" t="s">
        <v>639</v>
      </c>
      <c r="B219" s="12">
        <v>2424</v>
      </c>
      <c r="C219" s="15">
        <v>459712</v>
      </c>
      <c r="D219" s="15">
        <v>675269</v>
      </c>
      <c r="E219" s="12">
        <f>B219-B218</f>
        <v>19.0</v>
      </c>
      <c r="F219" s="13">
        <f>(B219/B218-1)*100</f>
        <v>0.79</v>
      </c>
    </row>
    <row r="220" spans="1:6">
      <c r="A220" s="10" t="s">
        <v>640</v>
      </c>
      <c r="B220" s="12">
        <v>2395</v>
      </c>
      <c r="C220" s="15">
        <v>373944</v>
      </c>
      <c r="D220" s="15">
        <v>710322</v>
      </c>
      <c r="E220" s="12">
        <f>B220-B219</f>
        <v>-29.0</v>
      </c>
      <c r="F220" s="13">
        <f>(B220/B219-1)*100</f>
        <v>-1.196</v>
      </c>
    </row>
    <row r="221" spans="1:6">
      <c r="A221" s="10" t="s">
        <v>227</v>
      </c>
      <c r="B221" s="12">
        <v>2372</v>
      </c>
      <c r="C221" s="15">
        <v>482265</v>
      </c>
      <c r="D221" s="15">
        <v>754731</v>
      </c>
      <c r="E221" s="12">
        <f>B221-B220</f>
        <v>-23.0</v>
      </c>
      <c r="F221" s="13">
        <f>(B221/B220-1)*100</f>
        <v>-0.96</v>
      </c>
    </row>
    <row r="222" spans="1:6">
      <c r="A222" s="10" t="s">
        <v>641</v>
      </c>
      <c r="B222" s="12">
        <v>2373</v>
      </c>
      <c r="C222" s="15">
        <v>461214</v>
      </c>
      <c r="D222" s="15">
        <v>785833</v>
      </c>
      <c r="E222" s="12">
        <f>B222-B221</f>
        <v>1.0</v>
      </c>
      <c r="F222" s="13">
        <f>(B222/B221-1)*100</f>
        <v>0.042</v>
      </c>
    </row>
    <row r="223" spans="1:6">
      <c r="A223" s="10" t="s">
        <v>642</v>
      </c>
      <c r="B223" s="12">
        <v>2361</v>
      </c>
      <c r="C223" s="15">
        <v>419697</v>
      </c>
      <c r="D223" s="15">
        <v>821019</v>
      </c>
      <c r="E223" s="12">
        <f>B223-B222</f>
        <v>-12.0</v>
      </c>
      <c r="F223" s="13">
        <f>(B223/B222-1)*100</f>
        <v>-0.506</v>
      </c>
    </row>
    <row r="224" spans="1:6">
      <c r="A224" s="10" t="s">
        <v>643</v>
      </c>
      <c r="B224" s="12">
        <v>2385</v>
      </c>
      <c r="C224" s="15">
        <v>606011</v>
      </c>
      <c r="D224" s="15">
        <v>799308</v>
      </c>
      <c r="E224" s="12">
        <f>B224-B223</f>
        <v>24.0</v>
      </c>
      <c r="F224" s="13">
        <f>(B224/B223-1)*100</f>
        <v>1.017</v>
      </c>
    </row>
    <row r="225" spans="1:6">
      <c r="A225" s="10" t="s">
        <v>644</v>
      </c>
      <c r="B225" s="12">
        <v>2372</v>
      </c>
      <c r="C225" s="15">
        <v>466676</v>
      </c>
      <c r="D225" s="15">
        <v>807495</v>
      </c>
      <c r="E225" s="12">
        <f>B225-B224</f>
        <v>-13.0</v>
      </c>
      <c r="F225" s="13">
        <f>(B225/B224-1)*100</f>
        <v>-0.545</v>
      </c>
    </row>
    <row r="226" spans="1:6">
      <c r="A226" s="10" t="s">
        <v>231</v>
      </c>
      <c r="B226" s="12">
        <v>2382</v>
      </c>
      <c r="C226" s="15">
        <v>500463</v>
      </c>
      <c r="D226" s="15">
        <v>795320</v>
      </c>
      <c r="E226" s="12">
        <f>B226-B225</f>
        <v>10.0</v>
      </c>
      <c r="F226" s="13">
        <f>(B226/B225-1)*100</f>
        <v>0.422</v>
      </c>
    </row>
    <row r="227" spans="1:6">
      <c r="A227" s="10" t="s">
        <v>645</v>
      </c>
      <c r="B227" s="12">
        <v>2378</v>
      </c>
      <c r="C227" s="15">
        <v>431995</v>
      </c>
      <c r="D227" s="15">
        <v>801993</v>
      </c>
      <c r="E227" s="12">
        <f>B227-B226</f>
        <v>-4.0</v>
      </c>
      <c r="F227" s="13">
        <f>(B227/B226-1)*100</f>
        <v>-0.168</v>
      </c>
    </row>
    <row r="228" spans="1:6">
      <c r="A228" s="10" t="s">
        <v>646</v>
      </c>
      <c r="B228" s="12">
        <v>2415</v>
      </c>
      <c r="C228" s="15">
        <v>684742</v>
      </c>
      <c r="D228" s="15">
        <v>777813</v>
      </c>
      <c r="E228" s="12">
        <f>B228-B227</f>
        <v>37.0</v>
      </c>
      <c r="F228" s="13">
        <f>(B228/B227-1)*100</f>
        <v>1.556</v>
      </c>
    </row>
    <row r="229" spans="1:6">
      <c r="A229" s="10" t="s">
        <v>647</v>
      </c>
      <c r="B229" s="12">
        <v>2408</v>
      </c>
      <c r="C229" s="15">
        <v>433717</v>
      </c>
      <c r="D229" s="15">
        <v>776260</v>
      </c>
      <c r="E229" s="12">
        <f>B229-B228</f>
        <v>-7.0</v>
      </c>
      <c r="F229" s="13">
        <f>(B229/B228-1)*100</f>
        <v>-0.29</v>
      </c>
    </row>
    <row r="230" spans="1:6">
      <c r="A230" s="10" t="s">
        <v>648</v>
      </c>
      <c r="B230" s="12">
        <v>2398</v>
      </c>
      <c r="C230" s="15">
        <v>453260</v>
      </c>
      <c r="D230" s="15">
        <v>768625</v>
      </c>
      <c r="E230" s="12">
        <f>B230-B229</f>
        <v>-10.0</v>
      </c>
      <c r="F230" s="13">
        <f>(B230/B229-1)*100</f>
        <v>-0.415</v>
      </c>
    </row>
    <row r="231" spans="1:6">
      <c r="A231" s="10" t="s">
        <v>235</v>
      </c>
      <c r="B231" s="12">
        <v>2407</v>
      </c>
      <c r="C231" s="15">
        <v>540390</v>
      </c>
      <c r="D231" s="15">
        <v>755966</v>
      </c>
      <c r="E231" s="12">
        <f>B231-B230</f>
        <v>9.0</v>
      </c>
      <c r="F231" s="13">
        <f>(B231/B230-1)*100</f>
        <v>0.375</v>
      </c>
    </row>
    <row r="232" spans="1:6">
      <c r="A232" s="10" t="s">
        <v>649</v>
      </c>
      <c r="B232" s="12">
        <v>2387</v>
      </c>
      <c r="C232" s="15">
        <v>493157</v>
      </c>
      <c r="D232" s="15">
        <v>775400</v>
      </c>
      <c r="E232" s="12">
        <f>B232-B231</f>
        <v>-20.0</v>
      </c>
      <c r="F232" s="13">
        <f>(B232/B231-1)*100</f>
        <v>-0.831</v>
      </c>
    </row>
    <row r="233" spans="1:6">
      <c r="A233" s="10" t="s">
        <v>650</v>
      </c>
      <c r="B233" s="12">
        <v>2379</v>
      </c>
      <c r="C233" s="15">
        <v>404422</v>
      </c>
      <c r="D233" s="15">
        <v>798411</v>
      </c>
      <c r="E233" s="12">
        <f>B233-B232</f>
        <v>-8.0</v>
      </c>
      <c r="F233" s="13">
        <f>(B233/B232-1)*100</f>
        <v>-0.335</v>
      </c>
    </row>
    <row r="234" spans="1:6">
      <c r="A234" s="10" t="s">
        <v>651</v>
      </c>
      <c r="B234" s="12">
        <v>2396</v>
      </c>
      <c r="C234" s="15">
        <v>498181</v>
      </c>
      <c r="D234" s="15">
        <v>783891</v>
      </c>
      <c r="E234" s="12">
        <f>B234-B233</f>
        <v>17.0</v>
      </c>
      <c r="F234" s="13">
        <f>(B234/B233-1)*100</f>
        <v>0.715</v>
      </c>
    </row>
    <row r="235" spans="1:6">
      <c r="A235" s="10" t="s">
        <v>652</v>
      </c>
      <c r="B235" s="12">
        <v>2375</v>
      </c>
      <c r="C235" s="15">
        <v>521624</v>
      </c>
      <c r="D235" s="15">
        <v>805395</v>
      </c>
      <c r="E235" s="12">
        <f>B235-B234</f>
        <v>-21.0</v>
      </c>
      <c r="F235" s="13">
        <f>(B235/B234-1)*100</f>
        <v>-0.876</v>
      </c>
    </row>
    <row r="236" spans="1:6">
      <c r="A236" s="10" t="s">
        <v>239</v>
      </c>
      <c r="B236" s="12">
        <v>2376</v>
      </c>
      <c r="C236" s="15">
        <v>387439</v>
      </c>
      <c r="D236" s="15">
        <v>836608</v>
      </c>
      <c r="E236" s="12">
        <f>B236-B235</f>
        <v>1.0</v>
      </c>
      <c r="F236" s="13">
        <f>(B236/B235-1)*100</f>
        <v>0.042</v>
      </c>
    </row>
    <row r="237" spans="1:6">
      <c r="A237" s="10" t="s">
        <v>653</v>
      </c>
      <c r="B237" s="12">
        <v>2346</v>
      </c>
      <c r="C237" s="15">
        <v>595422</v>
      </c>
      <c r="D237" s="15">
        <v>942904</v>
      </c>
      <c r="E237" s="12">
        <f>B237-B236</f>
        <v>-30.0</v>
      </c>
      <c r="F237" s="13">
        <f>(B237/B236-1)*100</f>
        <v>-1.263</v>
      </c>
    </row>
    <row r="238" spans="1:6">
      <c r="A238" s="10" t="s">
        <v>654</v>
      </c>
      <c r="B238" s="12">
        <v>2361</v>
      </c>
      <c r="C238" s="15">
        <v>756698</v>
      </c>
      <c r="D238" s="15">
        <v>928408</v>
      </c>
      <c r="E238" s="12">
        <f>B238-B237</f>
        <v>15.0</v>
      </c>
      <c r="F238" s="13">
        <f>(B238/B237-1)*100</f>
        <v>0.639</v>
      </c>
    </row>
    <row r="239" spans="1:6">
      <c r="A239" s="10" t="s">
        <v>655</v>
      </c>
      <c r="B239" s="12">
        <v>2348</v>
      </c>
      <c r="C239" s="15">
        <v>457996</v>
      </c>
      <c r="D239" s="15">
        <v>946990</v>
      </c>
      <c r="E239" s="12">
        <f>B239-B238</f>
        <v>-13.0</v>
      </c>
      <c r="F239" s="13">
        <f>(B239/B238-1)*100</f>
        <v>-0.551</v>
      </c>
    </row>
    <row r="240" spans="1:6">
      <c r="A240" s="10" t="s">
        <v>656</v>
      </c>
      <c r="B240" s="12">
        <v>2343</v>
      </c>
      <c r="C240" s="15">
        <v>465051</v>
      </c>
      <c r="D240" s="15">
        <v>967432</v>
      </c>
      <c r="E240" s="12">
        <f>B240-B239</f>
        <v>-5.0</v>
      </c>
      <c r="F240" s="13">
        <f>(B240/B239-1)*100</f>
        <v>-0.213</v>
      </c>
    </row>
    <row r="241" spans="1:6">
      <c r="A241" s="10" t="s">
        <v>243</v>
      </c>
      <c r="B241" s="12">
        <v>2351</v>
      </c>
      <c r="C241" s="15">
        <v>458749</v>
      </c>
      <c r="D241" s="15">
        <v>929200</v>
      </c>
      <c r="E241" s="12">
        <f>B241-B240</f>
        <v>8.0</v>
      </c>
      <c r="F241" s="13">
        <f>(B241/B240-1)*100</f>
        <v>0.341</v>
      </c>
    </row>
    <row r="242" spans="1:6">
      <c r="A242" s="10" t="s">
        <v>657</v>
      </c>
      <c r="B242" s="12">
        <v>2356</v>
      </c>
      <c r="C242" s="15">
        <v>348923</v>
      </c>
      <c r="D242" s="15">
        <v>913517</v>
      </c>
      <c r="E242" s="12">
        <f>B242-B241</f>
        <v>5.0</v>
      </c>
      <c r="F242" s="13">
        <f>(B242/B241-1)*100</f>
        <v>0.213</v>
      </c>
    </row>
    <row r="243" spans="1:6">
      <c r="A243" s="10" t="s">
        <v>658</v>
      </c>
      <c r="B243" s="12">
        <v>2355</v>
      </c>
      <c r="C243" s="15">
        <v>556255</v>
      </c>
      <c r="D243" s="15">
        <v>885132</v>
      </c>
      <c r="E243" s="12">
        <f>B243-B242</f>
        <v>-1.0</v>
      </c>
      <c r="F243" s="13">
        <f>(B243/B242-1)*100</f>
        <v>-0.042</v>
      </c>
    </row>
    <row r="244" spans="1:6">
      <c r="A244" s="10" t="s">
        <v>659</v>
      </c>
      <c r="B244" s="12">
        <v>2359</v>
      </c>
      <c r="C244" s="15">
        <v>426001</v>
      </c>
      <c r="D244" s="15">
        <v>869500</v>
      </c>
      <c r="E244" s="12">
        <f>B244-B243</f>
        <v>4.0</v>
      </c>
      <c r="F244" s="13">
        <f>(B244/B243-1)*100</f>
        <v>0.17</v>
      </c>
    </row>
    <row r="245" spans="1:6">
      <c r="A245" s="10" t="s">
        <v>660</v>
      </c>
      <c r="B245" s="12">
        <v>2328</v>
      </c>
      <c r="C245" s="15">
        <v>435593</v>
      </c>
      <c r="D245" s="15">
        <v>888083</v>
      </c>
      <c r="E245" s="12">
        <f>B245-B244</f>
        <v>-31.0</v>
      </c>
      <c r="F245" s="13">
        <f>(B245/B244-1)*100</f>
        <v>-1.314</v>
      </c>
    </row>
    <row r="246" spans="1:6">
      <c r="A246" s="10" t="s">
        <v>247</v>
      </c>
      <c r="B246" s="12">
        <v>2290</v>
      </c>
      <c r="C246" s="15">
        <v>545698</v>
      </c>
      <c r="D246" s="15">
        <v>999972</v>
      </c>
      <c r="E246" s="12">
        <f>B246-B245</f>
        <v>-38.0</v>
      </c>
      <c r="F246" s="13">
        <f>(B246/B245-1)*100</f>
        <v>-1.632</v>
      </c>
    </row>
    <row r="247" spans="1:6">
      <c r="A247" s="10" t="s">
        <v>661</v>
      </c>
      <c r="B247" s="12">
        <v>2307</v>
      </c>
      <c r="C247" s="15">
        <v>569488</v>
      </c>
      <c r="D247" s="15">
        <v>1001498</v>
      </c>
      <c r="E247" s="12">
        <f>B247-B246</f>
        <v>17.0</v>
      </c>
      <c r="F247" s="13">
        <f>(B247/B246-1)*100</f>
        <v>0.742</v>
      </c>
    </row>
    <row r="248" spans="1:6">
      <c r="A248" s="10" t="s">
        <v>662</v>
      </c>
      <c r="B248" s="12">
        <v>2342</v>
      </c>
      <c r="C248" s="15">
        <v>1262936</v>
      </c>
      <c r="D248" s="15">
        <v>991942</v>
      </c>
      <c r="E248" s="12">
        <f>B248-B247</f>
        <v>35.0</v>
      </c>
      <c r="F248" s="13">
        <f>(B248/B247-1)*100</f>
        <v>1.517</v>
      </c>
    </row>
    <row r="249" spans="1:6">
      <c r="A249" s="10" t="s">
        <v>663</v>
      </c>
      <c r="B249" s="12">
        <v>2274</v>
      </c>
      <c r="C249" s="15">
        <v>1237490</v>
      </c>
      <c r="D249" s="15">
        <v>1051360</v>
      </c>
      <c r="E249" s="12">
        <f>B249-B248</f>
        <v>-68.0</v>
      </c>
      <c r="F249" s="13">
        <f>(B249/B248-1)*100</f>
        <v>-2.904</v>
      </c>
    </row>
    <row r="250" spans="1:6">
      <c r="A250" s="10" t="s">
        <v>251</v>
      </c>
      <c r="B250" s="12">
        <v>2298</v>
      </c>
      <c r="C250" s="15">
        <v>736803</v>
      </c>
      <c r="D250" s="15">
        <v>1038960</v>
      </c>
      <c r="E250" s="12">
        <f>B250-B249</f>
        <v>24.0</v>
      </c>
      <c r="F250" s="13">
        <f>(B250/B249-1)*100</f>
        <v>1.055</v>
      </c>
    </row>
    <row r="251" spans="1:6">
      <c r="A251" s="10" t="s">
        <v>664</v>
      </c>
      <c r="B251" s="12">
        <v>2319</v>
      </c>
      <c r="C251" s="15">
        <v>768537</v>
      </c>
      <c r="D251" s="15">
        <v>1039282</v>
      </c>
      <c r="E251" s="12">
        <f>B251-B250</f>
        <v>21.0</v>
      </c>
      <c r="F251" s="13">
        <f>(B251/B250-1)*100</f>
        <v>0.914</v>
      </c>
    </row>
    <row r="252" spans="1:6">
      <c r="A252" s="10" t="s">
        <v>665</v>
      </c>
      <c r="B252" s="12">
        <v>2272</v>
      </c>
      <c r="C252" s="15">
        <v>653713</v>
      </c>
      <c r="D252" s="15">
        <v>1058725</v>
      </c>
      <c r="E252" s="12">
        <f>B252-B251</f>
        <v>-47.0</v>
      </c>
      <c r="F252" s="13">
        <f>(B252/B251-1)*100</f>
        <v>-2.027</v>
      </c>
    </row>
    <row r="253" spans="1:6">
      <c r="A253" s="10" t="s">
        <v>666</v>
      </c>
      <c r="B253" s="12">
        <v>2266</v>
      </c>
      <c r="C253" s="15">
        <v>827122</v>
      </c>
      <c r="D253" s="15">
        <v>1071256</v>
      </c>
      <c r="E253" s="12">
        <f>B253-B252</f>
        <v>-6.0</v>
      </c>
      <c r="F253" s="13">
        <f>(B253/B252-1)*100</f>
        <v>-0.264</v>
      </c>
    </row>
    <row r="254" spans="1:6">
      <c r="A254" s="10" t="s">
        <v>667</v>
      </c>
      <c r="B254" s="12">
        <v>2268</v>
      </c>
      <c r="C254" s="15">
        <v>770475</v>
      </c>
      <c r="D254" s="15">
        <v>1059019</v>
      </c>
      <c r="E254" s="12">
        <f>B254-B253</f>
        <v>2.0</v>
      </c>
      <c r="F254" s="13">
        <f>(B254/B253-1)*100</f>
        <v>0.088</v>
      </c>
    </row>
    <row r="255" spans="1:6">
      <c r="A255" s="10" t="s">
        <v>255</v>
      </c>
      <c r="B255" s="12">
        <v>2261</v>
      </c>
      <c r="C255" s="15">
        <v>579308</v>
      </c>
      <c r="D255" s="15">
        <v>1097780</v>
      </c>
      <c r="E255" s="12">
        <f>B255-B254</f>
        <v>-7.0</v>
      </c>
      <c r="F255" s="13">
        <f>(B255/B254-1)*100</f>
        <v>-0.309</v>
      </c>
    </row>
    <row r="256" spans="1:6">
      <c r="A256" s="10" t="s">
        <v>668</v>
      </c>
      <c r="B256" s="12">
        <v>2292</v>
      </c>
      <c r="C256" s="15">
        <v>704659</v>
      </c>
      <c r="D256" s="15">
        <v>1066380</v>
      </c>
      <c r="E256" s="12">
        <f>B256-B255</f>
        <v>31.0</v>
      </c>
      <c r="F256" s="13">
        <f>(B256/B255-1)*100</f>
        <v>1.371</v>
      </c>
    </row>
    <row r="257" spans="1:6">
      <c r="A257" s="10" t="s">
        <v>669</v>
      </c>
      <c r="B257" s="12">
        <v>2272</v>
      </c>
      <c r="C257" s="15">
        <v>603000</v>
      </c>
      <c r="D257" s="15">
        <v>1080950</v>
      </c>
      <c r="E257" s="12">
        <f>B257-B256</f>
        <v>-20.0</v>
      </c>
      <c r="F257" s="13">
        <f>(B257/B256-1)*100</f>
        <v>-0.873</v>
      </c>
    </row>
    <row r="258" spans="1:6">
      <c r="A258" s="10" t="s">
        <v>670</v>
      </c>
      <c r="B258" s="12">
        <v>2268</v>
      </c>
      <c r="C258" s="15">
        <v>583775</v>
      </c>
      <c r="D258" s="15">
        <v>1102546</v>
      </c>
      <c r="E258" s="12">
        <f>B258-B257</f>
        <v>-4.0</v>
      </c>
      <c r="F258" s="13">
        <f>(B258/B257-1)*100</f>
        <v>-0.176</v>
      </c>
    </row>
    <row r="259" spans="1:6">
      <c r="A259" s="10" t="s">
        <v>671</v>
      </c>
      <c r="B259" s="12">
        <v>2241</v>
      </c>
      <c r="C259" s="15">
        <v>685035</v>
      </c>
      <c r="D259" s="15">
        <v>1221292</v>
      </c>
      <c r="E259" s="12">
        <f>B259-B258</f>
        <v>-27.0</v>
      </c>
      <c r="F259" s="13">
        <f>(B259/B258-1)*100</f>
        <v>-1.19</v>
      </c>
    </row>
    <row r="260" spans="1:6">
      <c r="A260" s="10" t="s">
        <v>259</v>
      </c>
      <c r="B260" s="12">
        <v>2257</v>
      </c>
      <c r="C260" s="15">
        <v>585627</v>
      </c>
      <c r="D260" s="15">
        <v>1197415</v>
      </c>
      <c r="E260" s="12">
        <f>B260-B259</f>
        <v>16.0</v>
      </c>
      <c r="F260" s="13">
        <f>(B260/B259-1)*100</f>
        <v>0.714</v>
      </c>
    </row>
    <row r="261" spans="1:6">
      <c r="A261" s="10" t="s">
        <v>672</v>
      </c>
      <c r="B261" s="12">
        <v>2208</v>
      </c>
      <c r="C261" s="15">
        <v>787877</v>
      </c>
      <c r="D261" s="15">
        <v>1320962</v>
      </c>
      <c r="E261" s="12">
        <f>B261-B260</f>
        <v>-49.0</v>
      </c>
      <c r="F261" s="13">
        <f>(B261/B260-1)*100</f>
        <v>-2.171</v>
      </c>
    </row>
    <row r="262" spans="1:6">
      <c r="A262" s="10" t="s">
        <v>673</v>
      </c>
      <c r="B262" s="12">
        <v>2180</v>
      </c>
      <c r="C262" s="15">
        <v>826939</v>
      </c>
      <c r="D262" s="15">
        <v>1350958</v>
      </c>
      <c r="E262" s="12">
        <f>B262-B261</f>
        <v>-28.0</v>
      </c>
      <c r="F262" s="13">
        <f>(B262/B261-1)*100</f>
        <v>-1.268</v>
      </c>
    </row>
    <row r="263" spans="1:6">
      <c r="A263" s="10" t="s">
        <v>674</v>
      </c>
      <c r="B263" s="12">
        <v>2143</v>
      </c>
      <c r="C263" s="15">
        <v>1186632</v>
      </c>
      <c r="D263" s="15">
        <v>1400566</v>
      </c>
      <c r="E263" s="12">
        <f>B263-B262</f>
        <v>-37.0</v>
      </c>
      <c r="F263" s="13">
        <f>(B263/B262-1)*100</f>
        <v>-1.697</v>
      </c>
    </row>
    <row r="264" spans="1:6">
      <c r="A264" s="10" t="s">
        <v>675</v>
      </c>
      <c r="B264" s="12">
        <v>2115</v>
      </c>
      <c r="C264" s="15">
        <v>1100316</v>
      </c>
      <c r="D264" s="15">
        <v>1410421</v>
      </c>
      <c r="E264" s="12">
        <f>B264-B263</f>
        <v>-28.0</v>
      </c>
      <c r="F264" s="13">
        <f>(B264/B263-1)*100</f>
        <v>-1.307</v>
      </c>
    </row>
    <row r="265" spans="1:6">
      <c r="A265" s="10" t="s">
        <v>263</v>
      </c>
      <c r="B265" s="12">
        <v>2141</v>
      </c>
      <c r="C265" s="15">
        <v>1405704</v>
      </c>
      <c r="D265" s="15">
        <v>1372748</v>
      </c>
      <c r="E265" s="12">
        <f>B265-B264</f>
        <v>26.0</v>
      </c>
      <c r="F265" s="13">
        <f>(B265/B264-1)*100</f>
        <v>1.229</v>
      </c>
    </row>
    <row r="266" spans="1:6">
      <c r="A266" s="10" t="s">
        <v>676</v>
      </c>
      <c r="B266" s="12">
        <v>2125</v>
      </c>
      <c r="C266" s="15">
        <v>1243391</v>
      </c>
      <c r="D266" s="15">
        <v>1368330</v>
      </c>
      <c r="E266" s="12">
        <f>B266-B265</f>
        <v>-16.0</v>
      </c>
      <c r="F266" s="13">
        <f>(B266/B265-1)*100</f>
        <v>-0.747</v>
      </c>
    </row>
    <row r="267" spans="1:6">
      <c r="A267" s="10" t="s">
        <v>677</v>
      </c>
      <c r="B267" s="12">
        <v>2112</v>
      </c>
      <c r="C267" s="15">
        <v>915795</v>
      </c>
      <c r="D267" s="15">
        <v>1390818</v>
      </c>
      <c r="E267" s="12">
        <f>B267-B266</f>
        <v>-13.0</v>
      </c>
      <c r="F267" s="13">
        <f>(B267/B266-1)*100</f>
        <v>-0.612</v>
      </c>
    </row>
    <row r="268" spans="1:6">
      <c r="A268" s="10" t="s">
        <v>678</v>
      </c>
      <c r="B268" s="12">
        <v>2101</v>
      </c>
      <c r="C268" s="15">
        <v>1283246</v>
      </c>
      <c r="D268" s="15">
        <v>1405588</v>
      </c>
      <c r="E268" s="12">
        <f>B268-B267</f>
        <v>-11.0</v>
      </c>
      <c r="F268" s="13">
        <f>(B268/B267-1)*100</f>
        <v>-0.521</v>
      </c>
    </row>
    <row r="269" spans="1:6">
      <c r="A269" s="10" t="s">
        <v>679</v>
      </c>
      <c r="B269" s="12">
        <v>2082</v>
      </c>
      <c r="C269" s="15">
        <v>834857</v>
      </c>
      <c r="D269" s="15">
        <v>1449761</v>
      </c>
      <c r="E269" s="12">
        <f>B269-B268</f>
        <v>-19.0</v>
      </c>
      <c r="F269" s="13">
        <f>(B269/B268-1)*100</f>
        <v>-0.904</v>
      </c>
    </row>
    <row r="270" spans="1:6">
      <c r="A270" s="10" t="s">
        <v>267</v>
      </c>
      <c r="B270" s="12">
        <v>2108</v>
      </c>
      <c r="C270" s="15">
        <v>1032752</v>
      </c>
      <c r="D270" s="15">
        <v>1407320</v>
      </c>
      <c r="E270" s="12">
        <f>B270-B269</f>
        <v>26.0</v>
      </c>
      <c r="F270" s="13">
        <f>(B270/B269-1)*100</f>
        <v>1.249</v>
      </c>
    </row>
    <row r="271" spans="1:6">
      <c r="A271" s="10" t="s">
        <v>680</v>
      </c>
      <c r="B271" s="12">
        <v>2103</v>
      </c>
      <c r="C271" s="15">
        <v>1038707</v>
      </c>
      <c r="D271" s="15">
        <v>1382830</v>
      </c>
      <c r="E271" s="12">
        <f>B271-B270</f>
        <v>-5.0</v>
      </c>
      <c r="F271" s="13">
        <f>(B271/B270-1)*100</f>
        <v>-0.237</v>
      </c>
    </row>
    <row r="272" spans="1:6">
      <c r="A272" s="10" t="s">
        <v>681</v>
      </c>
      <c r="B272" s="12">
        <v>2055</v>
      </c>
      <c r="C272" s="15">
        <v>1169485</v>
      </c>
      <c r="D272" s="15">
        <v>1516796</v>
      </c>
      <c r="E272" s="12">
        <f>B272-B271</f>
        <v>-48.0</v>
      </c>
      <c r="F272" s="13">
        <f>(B272/B271-1)*100</f>
        <v>-2.282</v>
      </c>
    </row>
    <row r="273" spans="1:6">
      <c r="A273" s="10" t="s">
        <v>682</v>
      </c>
      <c r="B273" s="12">
        <v>2029</v>
      </c>
      <c r="C273" s="15">
        <v>1178856</v>
      </c>
      <c r="D273" s="15">
        <v>1497531</v>
      </c>
      <c r="E273" s="12">
        <f>B273-B272</f>
        <v>-26.0</v>
      </c>
      <c r="F273" s="13">
        <f>(B273/B272-1)*100</f>
        <v>-1.265</v>
      </c>
    </row>
    <row r="274" spans="1:6">
      <c r="A274" s="10" t="s">
        <v>683</v>
      </c>
      <c r="B274" s="12">
        <v>2030</v>
      </c>
      <c r="C274" s="15">
        <v>1111882</v>
      </c>
      <c r="D274" s="15">
        <v>1458493</v>
      </c>
      <c r="E274" s="12">
        <f>B274-B273</f>
        <v>1.0</v>
      </c>
      <c r="F274" s="13">
        <f>(B274/B273-1)*100</f>
        <v>0.049</v>
      </c>
    </row>
    <row r="275" spans="1:6">
      <c r="A275" s="10" t="s">
        <v>271</v>
      </c>
      <c r="B275" s="12">
        <v>2013</v>
      </c>
      <c r="C275" s="15">
        <v>1387439</v>
      </c>
      <c r="D275" s="15">
        <v>1450621</v>
      </c>
      <c r="E275" s="12">
        <f>B275-B274</f>
        <v>-17.0</v>
      </c>
      <c r="F275" s="13">
        <f>(B275/B274-1)*100</f>
        <v>-0.837</v>
      </c>
    </row>
    <row r="276" spans="1:6">
      <c r="A276" s="10" t="s">
        <v>684</v>
      </c>
      <c r="B276" s="12">
        <v>2016</v>
      </c>
      <c r="C276" s="15">
        <v>1553967</v>
      </c>
      <c r="D276" s="15">
        <v>1427832</v>
      </c>
      <c r="E276" s="12">
        <f>B276-B275</f>
        <v>3.0</v>
      </c>
      <c r="F276" s="13">
        <f>(B276/B275-1)*100</f>
        <v>0.149</v>
      </c>
    </row>
    <row r="277" spans="1:6">
      <c r="A277" s="10" t="s">
        <v>685</v>
      </c>
      <c r="B277" s="12">
        <v>2004</v>
      </c>
      <c r="C277" s="15">
        <v>1085555</v>
      </c>
      <c r="D277" s="15">
        <v>1402473</v>
      </c>
      <c r="E277" s="12">
        <f>B277-B276</f>
        <v>-12.0</v>
      </c>
      <c r="F277" s="13">
        <f>(B277/B276-1)*100</f>
        <v>-0.595</v>
      </c>
    </row>
    <row r="278" spans="1:6">
      <c r="A278" s="10" t="s">
        <v>686</v>
      </c>
      <c r="B278" s="12">
        <v>2077</v>
      </c>
      <c r="C278" s="15">
        <v>2086329</v>
      </c>
      <c r="D278" s="15">
        <v>1312675</v>
      </c>
      <c r="E278" s="12">
        <f>B278-B277</f>
        <v>73.0</v>
      </c>
      <c r="F278" s="13">
        <f>(B278/B277-1)*100</f>
        <v>3.643</v>
      </c>
    </row>
    <row r="279" spans="1:6">
      <c r="A279" s="10" t="s">
        <v>687</v>
      </c>
      <c r="B279" s="12">
        <v>2067</v>
      </c>
      <c r="C279" s="15">
        <v>1275697</v>
      </c>
      <c r="D279" s="15">
        <v>1200371</v>
      </c>
      <c r="E279" s="12">
        <f>B279-B278</f>
        <v>-10.0</v>
      </c>
      <c r="F279" s="13">
        <f>(B279/B278-1)*100</f>
        <v>-0.481</v>
      </c>
    </row>
    <row r="280" spans="1:6">
      <c r="A280" s="10" t="s">
        <v>275</v>
      </c>
      <c r="B280" s="12">
        <v>2094</v>
      </c>
      <c r="C280" s="15">
        <v>1611619</v>
      </c>
      <c r="D280" s="15">
        <v>1154686</v>
      </c>
      <c r="E280" s="12">
        <f>B280-B279</f>
        <v>27.0</v>
      </c>
      <c r="F280" s="13">
        <f>(B280/B279-1)*100</f>
        <v>1.306</v>
      </c>
    </row>
    <row r="281" spans="1:6">
      <c r="A281" s="10" t="s">
        <v>688</v>
      </c>
      <c r="B281" s="12">
        <v>2114</v>
      </c>
      <c r="C281" s="15">
        <v>1680753</v>
      </c>
      <c r="D281" s="15">
        <v>1103826</v>
      </c>
      <c r="E281" s="12">
        <f>B281-B280</f>
        <v>20.0</v>
      </c>
      <c r="F281" s="13">
        <f>(B281/B280-1)*100</f>
        <v>0.955</v>
      </c>
    </row>
    <row r="282" spans="1:6">
      <c r="A282" s="10" t="s">
        <v>689</v>
      </c>
      <c r="B282" s="12">
        <v>2135</v>
      </c>
      <c r="C282" s="15">
        <v>942920</v>
      </c>
      <c r="D282" s="15">
        <v>1048516</v>
      </c>
      <c r="E282" s="12">
        <f>B282-B281</f>
        <v>21.0</v>
      </c>
      <c r="F282" s="13">
        <f>(B282/B281-1)*100</f>
        <v>0.993</v>
      </c>
    </row>
    <row r="283" spans="1:6">
      <c r="A283" s="10" t="s">
        <v>690</v>
      </c>
      <c r="B283" s="12">
        <v>2136</v>
      </c>
      <c r="C283" s="15">
        <v>1027056</v>
      </c>
      <c r="D283" s="15">
        <v>1003722</v>
      </c>
      <c r="E283" s="12">
        <f>B283-B282</f>
        <v>1.0</v>
      </c>
      <c r="F283" s="13">
        <f>(B283/B282-1)*100</f>
        <v>0.047</v>
      </c>
    </row>
    <row r="284" spans="1:6">
      <c r="A284" s="10" t="s">
        <v>691</v>
      </c>
      <c r="B284" s="12">
        <v>2132</v>
      </c>
      <c r="C284" s="15">
        <v>1198317</v>
      </c>
      <c r="D284" s="15">
        <v>978564</v>
      </c>
      <c r="E284" s="12">
        <f>B284-B283</f>
        <v>-4.0</v>
      </c>
      <c r="F284" s="13">
        <f>(B284/B283-1)*100</f>
        <v>-0.187</v>
      </c>
    </row>
    <row r="285" spans="1:6">
      <c r="A285" s="10" t="s">
        <v>279</v>
      </c>
      <c r="B285" s="12">
        <v>2128</v>
      </c>
      <c r="C285" s="15">
        <v>996305</v>
      </c>
      <c r="D285" s="15">
        <v>948396</v>
      </c>
      <c r="E285" s="12">
        <f>B285-B284</f>
        <v>-4.0</v>
      </c>
      <c r="F285" s="13">
        <f>(B285/B284-1)*100</f>
        <v>-0.188</v>
      </c>
    </row>
    <row r="286" spans="1:6">
      <c r="A286" s="10" t="s">
        <v>692</v>
      </c>
      <c r="B286" s="12">
        <v>2113</v>
      </c>
      <c r="C286" s="15">
        <v>1053018</v>
      </c>
      <c r="D286" s="15">
        <v>934566</v>
      </c>
      <c r="E286" s="12">
        <f>B286-B285</f>
        <v>-15.0</v>
      </c>
      <c r="F286" s="13">
        <f>(B286/B285-1)*100</f>
        <v>-0.705</v>
      </c>
    </row>
    <row r="287" spans="1:6">
      <c r="A287" s="10" t="s">
        <v>693</v>
      </c>
      <c r="B287" s="12">
        <v>2077</v>
      </c>
      <c r="C287" s="15">
        <v>1004115</v>
      </c>
      <c r="D287" s="15">
        <v>872092</v>
      </c>
      <c r="E287" s="12">
        <f>B287-B286</f>
        <v>-36.0</v>
      </c>
      <c r="F287" s="13">
        <f>(B287/B286-1)*100</f>
        <v>-1.704</v>
      </c>
    </row>
    <row r="288" spans="1:6">
      <c r="A288" s="10" t="s">
        <v>694</v>
      </c>
      <c r="B288" s="12">
        <v>2089</v>
      </c>
      <c r="C288" s="15">
        <v>828244</v>
      </c>
      <c r="D288" s="15">
        <v>802547</v>
      </c>
      <c r="E288" s="12">
        <f>B288-B287</f>
        <v>12.0</v>
      </c>
      <c r="F288" s="13">
        <f>(B288/B287-1)*100</f>
        <v>0.578</v>
      </c>
    </row>
    <row r="289" spans="1:6">
      <c r="A289" s="10" t="s">
        <v>695</v>
      </c>
      <c r="B289" s="12">
        <v>2066</v>
      </c>
      <c r="C289" s="15">
        <v>787380</v>
      </c>
      <c r="D289" s="15">
        <v>723596</v>
      </c>
      <c r="E289" s="12">
        <f>B289-B288</f>
        <v>-23.0</v>
      </c>
      <c r="F289" s="13">
        <f>(B289/B288-1)*100</f>
        <v>-1.101</v>
      </c>
    </row>
    <row r="290" spans="1:6">
      <c r="A290" s="10" t="s">
        <v>283</v>
      </c>
      <c r="B290" s="12">
        <v>2053</v>
      </c>
      <c r="C290" s="15">
        <v>824146</v>
      </c>
      <c r="D290" s="15">
        <v>642095</v>
      </c>
      <c r="E290" s="12">
        <f>B290-B289</f>
        <v>-13.0</v>
      </c>
      <c r="F290" s="13">
        <f>(B290/B289-1)*100</f>
        <v>-0.629</v>
      </c>
    </row>
    <row r="291" spans="1:6">
      <c r="A291" s="10" t="s">
        <v>696</v>
      </c>
      <c r="B291" s="12">
        <v>2120</v>
      </c>
      <c r="C291" s="15">
        <v>536348</v>
      </c>
      <c r="D291" s="15">
        <v>769603</v>
      </c>
      <c r="E291" s="12">
        <f>B291-B290</f>
        <v>67.0</v>
      </c>
      <c r="F291" s="13">
        <f>(B291/B290-1)*100</f>
        <v>3.264</v>
      </c>
    </row>
    <row r="292" spans="1:6">
      <c r="A292" s="10" t="s">
        <v>697</v>
      </c>
      <c r="B292" s="12">
        <v>2099</v>
      </c>
      <c r="C292" s="15">
        <v>751017</v>
      </c>
      <c r="D292" s="15">
        <v>833887</v>
      </c>
      <c r="E292" s="12">
        <f>B292-B291</f>
        <v>-21.0</v>
      </c>
      <c r="F292" s="13">
        <f>(B292/B291-1)*100</f>
        <v>-0.991</v>
      </c>
    </row>
    <row r="293" spans="1:6">
      <c r="A293" s="10" t="s">
        <v>698</v>
      </c>
      <c r="B293" s="12">
        <v>2124</v>
      </c>
      <c r="C293" s="15">
        <v>657925</v>
      </c>
      <c r="D293" s="15">
        <v>847558</v>
      </c>
      <c r="E293" s="12">
        <f>B293-B292</f>
        <v>25.0</v>
      </c>
      <c r="F293" s="13">
        <f>(B293/B292-1)*100</f>
        <v>1.191</v>
      </c>
    </row>
    <row r="294" spans="1:6">
      <c r="A294" s="10" t="s">
        <v>699</v>
      </c>
      <c r="B294" s="12">
        <v>2129</v>
      </c>
      <c r="C294" s="15">
        <v>692695</v>
      </c>
      <c r="D294" s="15">
        <v>896627</v>
      </c>
      <c r="E294" s="12">
        <f>B294-B293</f>
        <v>5.0</v>
      </c>
      <c r="F294" s="13">
        <f>(B294/B293-1)*100</f>
        <v>0.235</v>
      </c>
    </row>
    <row r="295" spans="1:6">
      <c r="A295" s="10" t="s">
        <v>287</v>
      </c>
      <c r="B295" s="12">
        <v>2156</v>
      </c>
      <c r="C295" s="15">
        <v>904393</v>
      </c>
      <c r="D295" s="15">
        <v>874732</v>
      </c>
      <c r="E295" s="12">
        <f>B295-B294</f>
        <v>27.0</v>
      </c>
      <c r="F295" s="13">
        <f>(B295/B294-1)*100</f>
        <v>1.268</v>
      </c>
    </row>
    <row r="296" spans="1:6">
      <c r="A296" s="10" t="s">
        <v>700</v>
      </c>
      <c r="B296" s="12">
        <v>2174</v>
      </c>
      <c r="C296" s="15">
        <v>811542</v>
      </c>
      <c r="D296" s="15">
        <v>867499</v>
      </c>
      <c r="E296" s="12">
        <f>B296-B295</f>
        <v>18.0</v>
      </c>
      <c r="F296" s="13">
        <f>(B296/B295-1)*100</f>
        <v>0.835</v>
      </c>
    </row>
    <row r="297" spans="1:6">
      <c r="A297" s="10" t="s">
        <v>701</v>
      </c>
      <c r="B297" s="12">
        <v>2148</v>
      </c>
      <c r="C297" s="15">
        <v>768631</v>
      </c>
      <c r="D297" s="15">
        <v>868575</v>
      </c>
      <c r="E297" s="12">
        <f>B297-B296</f>
        <v>-26.0</v>
      </c>
      <c r="F297" s="13">
        <f>(B297/B296-1)*100</f>
        <v>-1.196</v>
      </c>
    </row>
    <row r="298" spans="1:6">
      <c r="A298" s="10" t="s">
        <v>702</v>
      </c>
      <c r="B298" s="12">
        <v>2155</v>
      </c>
      <c r="C298" s="15">
        <v>959813</v>
      </c>
      <c r="D298" s="15">
        <v>847144</v>
      </c>
      <c r="E298" s="12">
        <f>B298-B297</f>
        <v>7.0</v>
      </c>
      <c r="F298" s="13">
        <f>(B298/B297-1)*100</f>
        <v>0.326</v>
      </c>
    </row>
    <row r="299" spans="1:6">
      <c r="A299" s="10" t="s">
        <v>703</v>
      </c>
      <c r="B299" s="12">
        <v>2156</v>
      </c>
      <c r="C299" s="15">
        <v>1082554</v>
      </c>
      <c r="D299" s="15">
        <v>855385</v>
      </c>
      <c r="E299" s="12">
        <f>B299-B298</f>
        <v>1.0</v>
      </c>
      <c r="F299" s="13">
        <f>(B299/B298-1)*100</f>
        <v>0.046</v>
      </c>
    </row>
    <row r="300" spans="1:6">
      <c r="A300" s="10" t="s">
        <v>291</v>
      </c>
      <c r="B300" s="12">
        <v>2172</v>
      </c>
      <c r="C300" s="15">
        <v>941920</v>
      </c>
      <c r="D300" s="15">
        <v>797941</v>
      </c>
      <c r="E300" s="12">
        <f>B300-B299</f>
        <v>16.0</v>
      </c>
      <c r="F300" s="13">
        <f>(B300/B299-1)*100</f>
        <v>0.742</v>
      </c>
    </row>
    <row r="301" spans="1:6">
      <c r="A301" s="10" t="s">
        <v>704</v>
      </c>
      <c r="B301" s="12">
        <v>2162</v>
      </c>
      <c r="C301" s="15">
        <v>636411</v>
      </c>
      <c r="D301" s="15">
        <v>794131</v>
      </c>
      <c r="E301" s="12">
        <f>B301-B300</f>
        <v>-10.0</v>
      </c>
      <c r="F301" s="13">
        <f>(B301/B300-1)*100</f>
        <v>-0.46</v>
      </c>
    </row>
    <row r="302" spans="1:6">
      <c r="A302" s="10" t="s">
        <v>705</v>
      </c>
      <c r="B302" s="12">
        <v>2161</v>
      </c>
      <c r="C302" s="15">
        <v>1029119</v>
      </c>
      <c r="D302" s="15">
        <v>781934</v>
      </c>
      <c r="E302" s="12">
        <f>B302-B301</f>
        <v>-1.0</v>
      </c>
      <c r="F302" s="13">
        <f>(B302/B301-1)*100</f>
        <v>-0.046</v>
      </c>
    </row>
    <row r="303" spans="1:6">
      <c r="A303" s="10" t="s">
        <v>706</v>
      </c>
      <c r="B303" s="12">
        <v>2161</v>
      </c>
      <c r="C303" s="15">
        <v>836921</v>
      </c>
      <c r="D303" s="15">
        <v>773858</v>
      </c>
      <c r="E303" s="12">
        <f>B303-B302</f>
        <v>0.0</v>
      </c>
      <c r="F303" s="13">
        <f>(B303/B302-1)*100</f>
        <v>0.0</v>
      </c>
    </row>
    <row r="304" spans="1:6">
      <c r="A304" s="10" t="s">
        <v>707</v>
      </c>
      <c r="B304" s="12">
        <v>2219</v>
      </c>
      <c r="C304" s="15">
        <v>1229527</v>
      </c>
      <c r="D304" s="15">
        <v>814284</v>
      </c>
      <c r="E304" s="12">
        <f>B304-B303</f>
        <v>58.0</v>
      </c>
      <c r="F304" s="13">
        <f>(B304/B303-1)*100</f>
        <v>2.684</v>
      </c>
    </row>
    <row r="305" spans="1:6">
      <c r="A305" s="10" t="s">
        <v>295</v>
      </c>
      <c r="B305" s="12">
        <v>2216</v>
      </c>
      <c r="C305" s="15">
        <v>898018</v>
      </c>
      <c r="D305" s="15">
        <v>731388</v>
      </c>
      <c r="E305" s="12">
        <f>B305-B304</f>
        <v>-3.0</v>
      </c>
      <c r="F305" s="13">
        <f>(B305/B304-1)*100</f>
        <v>-0.135</v>
      </c>
    </row>
    <row r="306" spans="1:6">
      <c r="A306" s="10" t="s">
        <v>708</v>
      </c>
      <c r="B306" s="12">
        <v>2215</v>
      </c>
      <c r="C306" s="15">
        <v>700314</v>
      </c>
      <c r="D306" s="15">
        <v>773584</v>
      </c>
      <c r="E306" s="12">
        <f>B306-B305</f>
        <v>-1.0</v>
      </c>
      <c r="F306" s="13">
        <f>(B306/B305-1)*100</f>
        <v>-0.045</v>
      </c>
    </row>
    <row r="307" spans="1:6">
      <c r="A307" s="10" t="s">
        <v>709</v>
      </c>
      <c r="B307" s="12">
        <v>2293</v>
      </c>
      <c r="C307" s="15">
        <v>1605920</v>
      </c>
      <c r="D307" s="15">
        <v>824536</v>
      </c>
      <c r="E307" s="12">
        <f>B307-B306</f>
        <v>78.0</v>
      </c>
      <c r="F307" s="13">
        <f>(B307/B306-1)*100</f>
        <v>3.521</v>
      </c>
    </row>
    <row r="308" spans="1:6">
      <c r="A308" s="10" t="s">
        <v>299</v>
      </c>
      <c r="B308" s="12">
        <v>2267</v>
      </c>
      <c r="C308" s="15">
        <v>1857665</v>
      </c>
      <c r="D308" s="15">
        <v>818847</v>
      </c>
      <c r="E308" s="12">
        <f>B308-B307</f>
        <v>-26.0</v>
      </c>
      <c r="F308" s="13">
        <f>(B308/B307-1)*100</f>
        <v>-1.134</v>
      </c>
    </row>
    <row r="309" spans="1:6">
      <c r="A309" s="10" t="s">
        <v>710</v>
      </c>
      <c r="B309" s="12">
        <v>2231</v>
      </c>
      <c r="C309" s="15">
        <v>1390410</v>
      </c>
      <c r="D309" s="15">
        <v>870199</v>
      </c>
      <c r="E309" s="12">
        <f>B309-B308</f>
        <v>-36.0</v>
      </c>
      <c r="F309" s="13">
        <f>(B309/B308-1)*100</f>
        <v>-1.588</v>
      </c>
    </row>
    <row r="310" spans="1:6">
      <c r="A310" s="10" t="s">
        <v>711</v>
      </c>
      <c r="B310" s="12">
        <v>2273</v>
      </c>
      <c r="C310" s="15">
        <v>1553611</v>
      </c>
      <c r="D310" s="15">
        <v>812955</v>
      </c>
      <c r="E310" s="12">
        <f>B310-B309</f>
        <v>42.0</v>
      </c>
      <c r="F310" s="13">
        <f>(B310/B309-1)*100</f>
        <v>1.883</v>
      </c>
    </row>
    <row r="311" spans="1:6">
      <c r="A311" s="10" t="s">
        <v>712</v>
      </c>
      <c r="B311" s="12">
        <v>2263</v>
      </c>
      <c r="C311" s="15">
        <v>1462981</v>
      </c>
      <c r="D311" s="15">
        <v>863591</v>
      </c>
      <c r="E311" s="12">
        <f>B311-B310</f>
        <v>-10.0</v>
      </c>
      <c r="F311" s="13">
        <f>(B311/B310-1)*100</f>
        <v>-0.44</v>
      </c>
    </row>
    <row r="312" spans="1:6">
      <c r="A312" s="10" t="s">
        <v>713</v>
      </c>
      <c r="B312" s="12">
        <v>2263</v>
      </c>
      <c r="C312" s="15">
        <v>1600904</v>
      </c>
      <c r="D312" s="15">
        <v>830030</v>
      </c>
      <c r="E312" s="12">
        <f>B312-B311</f>
        <v>0.0</v>
      </c>
      <c r="F312" s="13">
        <f>(B312/B311-1)*100</f>
        <v>0.0</v>
      </c>
    </row>
    <row r="313" spans="1:6">
      <c r="A313" s="10" t="s">
        <v>303</v>
      </c>
      <c r="B313" s="12">
        <v>2288</v>
      </c>
      <c r="C313" s="15">
        <v>1571965</v>
      </c>
      <c r="D313" s="15">
        <v>823784</v>
      </c>
      <c r="E313" s="12">
        <f>B313-B312</f>
        <v>25.0</v>
      </c>
      <c r="F313" s="13">
        <f>(B313/B312-1)*100</f>
        <v>1.105</v>
      </c>
    </row>
    <row r="314" spans="1:6">
      <c r="A314" s="10" t="s">
        <v>714</v>
      </c>
      <c r="B314" s="12">
        <v>2273</v>
      </c>
      <c r="C314" s="15">
        <v>1472664</v>
      </c>
      <c r="D314" s="15">
        <v>829375</v>
      </c>
      <c r="E314" s="12">
        <f>B314-B313</f>
        <v>-15.0</v>
      </c>
      <c r="F314" s="13">
        <f>(B314/B313-1)*100</f>
        <v>-0.656</v>
      </c>
    </row>
    <row r="315" spans="1:6">
      <c r="A315" s="10" t="s">
        <v>715</v>
      </c>
      <c r="B315" s="12">
        <v>2239</v>
      </c>
      <c r="C315" s="15">
        <v>1176840</v>
      </c>
      <c r="D315" s="15">
        <v>824058</v>
      </c>
      <c r="E315" s="12">
        <f>B315-B314</f>
        <v>-34.0</v>
      </c>
      <c r="F315" s="13">
        <f>(B315/B314-1)*100</f>
        <v>-1.496</v>
      </c>
    </row>
    <row r="316" spans="1:6">
      <c r="A316" s="10" t="s">
        <v>716</v>
      </c>
      <c r="B316" s="12">
        <v>2212</v>
      </c>
      <c r="C316" s="15">
        <v>931063</v>
      </c>
      <c r="D316" s="15">
        <v>858519</v>
      </c>
      <c r="E316" s="12">
        <f>B316-B315</f>
        <v>-27.0</v>
      </c>
      <c r="F316" s="13">
        <f>(B316/B315-1)*100</f>
        <v>-1.206</v>
      </c>
    </row>
    <row r="317" spans="1:6">
      <c r="A317" s="10" t="s">
        <v>717</v>
      </c>
      <c r="B317" s="12">
        <v>2206</v>
      </c>
      <c r="C317" s="15">
        <v>1071214</v>
      </c>
      <c r="D317" s="15">
        <v>830923</v>
      </c>
      <c r="E317" s="12">
        <f>B317-B316</f>
        <v>-6.0</v>
      </c>
      <c r="F317" s="13">
        <f>(B317/B316-1)*100</f>
        <v>-0.271</v>
      </c>
    </row>
    <row r="318" spans="1:6">
      <c r="A318" s="10" t="s">
        <v>307</v>
      </c>
      <c r="B318" s="12">
        <v>2209</v>
      </c>
      <c r="C318" s="15">
        <v>1195172</v>
      </c>
      <c r="D318" s="15">
        <v>848962</v>
      </c>
      <c r="E318" s="12">
        <f>B318-B317</f>
        <v>3.0</v>
      </c>
      <c r="F318" s="13">
        <f>(B318/B317-1)*100</f>
        <v>0.136</v>
      </c>
    </row>
    <row r="319" spans="1:6">
      <c r="A319" s="10" t="s">
        <v>718</v>
      </c>
      <c r="B319" s="12">
        <v>2260</v>
      </c>
      <c r="C319" s="15">
        <v>1076253</v>
      </c>
      <c r="D319" s="15">
        <v>817171</v>
      </c>
      <c r="E319" s="12">
        <f>B319-B318</f>
        <v>51.0</v>
      </c>
      <c r="F319" s="13">
        <f>(B319/B318-1)*100</f>
        <v>2.309</v>
      </c>
    </row>
    <row r="320" spans="1:6">
      <c r="A320" s="10" t="s">
        <v>719</v>
      </c>
      <c r="B320" s="12">
        <v>2298</v>
      </c>
      <c r="C320" s="15">
        <v>1349180</v>
      </c>
      <c r="D320" s="15">
        <v>806994</v>
      </c>
      <c r="E320" s="12">
        <f>B320-B319</f>
        <v>38.0</v>
      </c>
      <c r="F320" s="13">
        <f>(B320/B319-1)*100</f>
        <v>1.681</v>
      </c>
    </row>
    <row r="321" spans="1:6">
      <c r="A321" s="10" t="s">
        <v>720</v>
      </c>
      <c r="B321" s="12">
        <v>2347</v>
      </c>
      <c r="C321" s="15">
        <v>1883410</v>
      </c>
      <c r="D321" s="15">
        <v>855550</v>
      </c>
      <c r="E321" s="12">
        <f>B321-B320</f>
        <v>49.0</v>
      </c>
      <c r="F321" s="13">
        <f>(B321/B320-1)*100</f>
        <v>2.132</v>
      </c>
    </row>
    <row r="322" spans="1:6">
      <c r="A322" s="10" t="s">
        <v>721</v>
      </c>
      <c r="B322" s="12">
        <v>2304</v>
      </c>
      <c r="C322" s="15">
        <v>1485739</v>
      </c>
      <c r="D322" s="15">
        <v>846819</v>
      </c>
      <c r="E322" s="12">
        <f>B322-B321</f>
        <v>-43.0</v>
      </c>
      <c r="F322" s="13">
        <f>(B322/B321-1)*100</f>
        <v>-1.832</v>
      </c>
    </row>
    <row r="323" spans="1:6">
      <c r="A323" s="10" t="s">
        <v>311</v>
      </c>
      <c r="B323" s="12">
        <v>2339</v>
      </c>
      <c r="C323" s="15">
        <v>1297564</v>
      </c>
      <c r="D323" s="15">
        <v>824556</v>
      </c>
      <c r="E323" s="12">
        <f>B323-B322</f>
        <v>35.0</v>
      </c>
      <c r="F323" s="13">
        <f>(B323/B322-1)*100</f>
        <v>1.519</v>
      </c>
    </row>
    <row r="324" spans="1:6">
      <c r="A324" s="10" t="s">
        <v>722</v>
      </c>
      <c r="B324" s="12">
        <v>2352</v>
      </c>
      <c r="C324" s="15">
        <v>1389782</v>
      </c>
      <c r="D324" s="15">
        <v>815097</v>
      </c>
      <c r="E324" s="12">
        <f>B324-B323</f>
        <v>13.0</v>
      </c>
      <c r="F324" s="13">
        <f>(B324/B323-1)*100</f>
        <v>0.556</v>
      </c>
    </row>
    <row r="325" spans="1:6">
      <c r="A325" s="10" t="s">
        <v>723</v>
      </c>
      <c r="B325" s="12">
        <v>2320</v>
      </c>
      <c r="C325" s="15">
        <v>1918999</v>
      </c>
      <c r="D325" s="15">
        <v>827100</v>
      </c>
      <c r="E325" s="12">
        <f>B325-B324</f>
        <v>-32.0</v>
      </c>
      <c r="F325" s="13">
        <f>(B325/B324-1)*100</f>
        <v>-1.361</v>
      </c>
    </row>
    <row r="326" spans="1:6">
      <c r="A326" s="10" t="s">
        <v>724</v>
      </c>
      <c r="B326" s="12">
        <v>2252</v>
      </c>
      <c r="C326" s="15">
        <v>1515871</v>
      </c>
      <c r="D326" s="15">
        <v>813310</v>
      </c>
      <c r="E326" s="12">
        <f>B326-B325</f>
        <v>-68.0</v>
      </c>
      <c r="F326" s="13">
        <f>(B326/B325-1)*100</f>
        <v>-2.931</v>
      </c>
    </row>
    <row r="327" spans="1:6">
      <c r="A327" s="10" t="s">
        <v>725</v>
      </c>
      <c r="B327" s="12">
        <v>2247</v>
      </c>
      <c r="C327" s="15">
        <v>805596</v>
      </c>
      <c r="D327" s="15">
        <v>817035</v>
      </c>
      <c r="E327" s="12">
        <f>B327-B326</f>
        <v>-5.0</v>
      </c>
      <c r="F327" s="13">
        <f>(B327/B326-1)*100</f>
        <v>-0.222</v>
      </c>
    </row>
    <row r="328" spans="1:6">
      <c r="A328" s="10" t="s">
        <v>315</v>
      </c>
      <c r="B328" s="12">
        <v>2279</v>
      </c>
      <c r="C328" s="15">
        <v>1037404</v>
      </c>
      <c r="D328" s="15">
        <v>821944</v>
      </c>
      <c r="E328" s="12">
        <f>B328-B327</f>
        <v>32.0</v>
      </c>
      <c r="F328" s="13">
        <f>(B328/B327-1)*100</f>
        <v>1.424</v>
      </c>
    </row>
    <row r="329" spans="1:6">
      <c r="A329" s="10" t="s">
        <v>726</v>
      </c>
      <c r="B329" s="12">
        <v>2225</v>
      </c>
      <c r="C329" s="15">
        <v>1054309</v>
      </c>
      <c r="D329" s="15">
        <v>858053</v>
      </c>
      <c r="E329" s="12">
        <f>B329-B328</f>
        <v>-54.0</v>
      </c>
      <c r="F329" s="13">
        <f>(B329/B328-1)*100</f>
        <v>-2.369</v>
      </c>
    </row>
    <row r="330" spans="1:6">
      <c r="A330" s="10" t="s">
        <v>727</v>
      </c>
      <c r="B330" s="12">
        <v>2244</v>
      </c>
      <c r="C330" s="15">
        <v>1118754</v>
      </c>
      <c r="D330" s="15">
        <v>826289</v>
      </c>
      <c r="E330" s="12">
        <f>B330-B329</f>
        <v>19.0</v>
      </c>
      <c r="F330" s="13">
        <f>(B330/B329-1)*100</f>
        <v>0.854</v>
      </c>
    </row>
    <row r="331" spans="1:6">
      <c r="A331" s="10" t="s">
        <v>728</v>
      </c>
      <c r="B331" s="12">
        <v>2231</v>
      </c>
      <c r="C331" s="15">
        <v>849691</v>
      </c>
      <c r="D331" s="15">
        <v>831646</v>
      </c>
      <c r="E331" s="12">
        <f>B331-B330</f>
        <v>-13.0</v>
      </c>
      <c r="F331" s="13">
        <f>(B331/B330-1)*100</f>
        <v>-0.579</v>
      </c>
    </row>
    <row r="332" spans="1:6">
      <c r="A332" s="10" t="s">
        <v>729</v>
      </c>
      <c r="B332" s="12">
        <v>2241</v>
      </c>
      <c r="C332" s="15">
        <v>591922</v>
      </c>
      <c r="D332" s="15">
        <v>807370</v>
      </c>
      <c r="E332" s="12">
        <f>B332-B331</f>
        <v>10.0</v>
      </c>
      <c r="F332" s="13">
        <f>(B332/B331-1)*100</f>
        <v>0.448</v>
      </c>
    </row>
    <row r="333" spans="1:6">
      <c r="A333" s="10" t="s">
        <v>319</v>
      </c>
      <c r="B333" s="12">
        <v>2248</v>
      </c>
      <c r="C333" s="15">
        <v>537872</v>
      </c>
      <c r="D333" s="15">
        <v>786703</v>
      </c>
      <c r="E333" s="12">
        <f>B333-B332</f>
        <v>7.0</v>
      </c>
      <c r="F333" s="13">
        <f>(B333/B332-1)*100</f>
        <v>0.312</v>
      </c>
    </row>
    <row r="334" spans="1:6">
      <c r="A334" s="10" t="s">
        <v>730</v>
      </c>
      <c r="B334" s="12">
        <v>2231</v>
      </c>
      <c r="C334" s="15">
        <v>495670</v>
      </c>
      <c r="D334" s="15">
        <v>758354</v>
      </c>
      <c r="E334" s="12">
        <f>B334-B333</f>
        <v>-17.0</v>
      </c>
      <c r="F334" s="13">
        <f>(B334/B333-1)*100</f>
        <v>-0.756</v>
      </c>
    </row>
    <row r="335" spans="1:6">
      <c r="A335" s="10" t="s">
        <v>731</v>
      </c>
      <c r="B335" s="12">
        <v>2188</v>
      </c>
      <c r="C335" s="15">
        <v>668060</v>
      </c>
      <c r="D335" s="15">
        <v>737401</v>
      </c>
      <c r="E335" s="12">
        <f>B335-B334</f>
        <v>-43.0</v>
      </c>
      <c r="F335" s="13">
        <f>(B335/B334-1)*100</f>
        <v>-1.927</v>
      </c>
    </row>
    <row r="336" spans="1:6">
      <c r="A336" s="10" t="s">
        <v>732</v>
      </c>
      <c r="B336" s="12">
        <v>2285</v>
      </c>
      <c r="C336" s="15">
        <v>782738</v>
      </c>
      <c r="D336" s="15">
        <v>745441</v>
      </c>
      <c r="E336" s="12">
        <f>B336-B335</f>
        <v>97.0</v>
      </c>
      <c r="F336" s="13">
        <f>(B336/B335-1)*100</f>
        <v>4.433</v>
      </c>
    </row>
    <row r="337" spans="1:6">
      <c r="A337" s="10" t="s">
        <v>323</v>
      </c>
      <c r="B337" s="12">
        <v>2249</v>
      </c>
      <c r="C337" s="15">
        <v>873589</v>
      </c>
      <c r="D337" s="15">
        <v>795241</v>
      </c>
      <c r="E337" s="12">
        <f>B337-B336</f>
        <v>-36.0</v>
      </c>
      <c r="F337" s="13">
        <f>(B337/B336-1)*100</f>
        <v>-1.575</v>
      </c>
    </row>
    <row r="338" spans="1:6">
      <c r="A338" s="10" t="s">
        <v>733</v>
      </c>
      <c r="B338" s="12">
        <v>2210</v>
      </c>
      <c r="C338" s="15">
        <v>889873</v>
      </c>
      <c r="D338" s="15">
        <v>891322</v>
      </c>
      <c r="E338" s="12">
        <f>B338-B337</f>
        <v>-39.0</v>
      </c>
      <c r="F338" s="13">
        <f>(B338/B337-1)*100</f>
        <v>-1.734</v>
      </c>
    </row>
    <row r="339" spans="1:6">
      <c r="A339" s="10" t="s">
        <v>734</v>
      </c>
      <c r="B339" s="12">
        <v>2179</v>
      </c>
      <c r="C339" s="15">
        <v>869536</v>
      </c>
      <c r="D339" s="15">
        <v>977269</v>
      </c>
      <c r="E339" s="12">
        <f>B339-B338</f>
        <v>-31.0</v>
      </c>
      <c r="F339" s="13">
        <f>(B339/B338-1)*100</f>
        <v>-1.403</v>
      </c>
    </row>
    <row r="340" spans="1:6">
      <c r="A340" s="10" t="s">
        <v>735</v>
      </c>
      <c r="B340" s="12">
        <v>2365</v>
      </c>
      <c r="C340" s="15">
        <v>2857069</v>
      </c>
      <c r="D340" s="15">
        <v>942819</v>
      </c>
      <c r="E340" s="12">
        <f>B340-B339</f>
        <v>186.0</v>
      </c>
      <c r="F340" s="13">
        <f>(B340/B339-1)*100</f>
        <v>8.536</v>
      </c>
    </row>
    <row r="341" spans="1:6">
      <c r="A341" s="10" t="s">
        <v>736</v>
      </c>
      <c r="B341" s="12">
        <v>2557</v>
      </c>
      <c r="C341" s="15">
        <v>4204955</v>
      </c>
      <c r="D341" s="15">
        <v>942655</v>
      </c>
      <c r="E341" s="12">
        <f>B341-B340</f>
        <v>192.0</v>
      </c>
      <c r="F341" s="13">
        <f>(B341/B340-1)*100</f>
        <v>8.118</v>
      </c>
    </row>
    <row r="342" spans="1:6">
      <c r="A342" s="10" t="s">
        <v>327</v>
      </c>
      <c r="B342" s="12">
        <v>2553</v>
      </c>
      <c r="C342" s="15">
        <v>5456360</v>
      </c>
      <c r="D342" s="15">
        <v>802920</v>
      </c>
      <c r="E342" s="12">
        <f>B342-B341</f>
        <v>-4.0</v>
      </c>
      <c r="F342" s="13">
        <f>(B342/B341-1)*100</f>
        <v>-0.156</v>
      </c>
    </row>
    <row r="343" spans="1:6">
      <c r="A343" s="10" t="s">
        <v>737</v>
      </c>
      <c r="B343" s="12">
        <v>2487</v>
      </c>
      <c r="C343" s="15">
        <v>3418501</v>
      </c>
      <c r="D343" s="15">
        <v>702756</v>
      </c>
      <c r="E343" s="12">
        <f>B343-B342</f>
        <v>-66.0</v>
      </c>
      <c r="F343" s="13">
        <f>(B343/B342-1)*100</f>
        <v>-2.585</v>
      </c>
    </row>
    <row r="344" spans="1:6">
      <c r="A344" s="10" t="s">
        <v>738</v>
      </c>
      <c r="B344" s="12">
        <v>2586</v>
      </c>
      <c r="C344" s="15">
        <v>2036095</v>
      </c>
      <c r="D344" s="15">
        <v>679685</v>
      </c>
      <c r="E344" s="12">
        <f>B344-B343</f>
        <v>99.0</v>
      </c>
      <c r="F344" s="13">
        <f>(B344/B343-1)*100</f>
        <v>3.981</v>
      </c>
    </row>
    <row r="345" spans="1:6">
      <c r="A345" s="10" t="s">
        <v>739</v>
      </c>
      <c r="B345" s="12">
        <v>2830</v>
      </c>
      <c r="C345" s="15">
        <v>2892778</v>
      </c>
      <c r="D345" s="15">
        <v>639205</v>
      </c>
      <c r="E345" s="12">
        <f>B345-B344</f>
        <v>244.0</v>
      </c>
      <c r="F345" s="13">
        <f>(B345/B344-1)*100</f>
        <v>9.435</v>
      </c>
    </row>
    <row r="346" spans="1:6">
      <c r="A346" s="10" t="s">
        <v>740</v>
      </c>
      <c r="B346" s="12">
        <v>2549</v>
      </c>
      <c r="C346" s="15">
        <v>2559553</v>
      </c>
      <c r="D346" s="15">
        <v>535848</v>
      </c>
      <c r="E346" s="12">
        <f>B346-B345</f>
        <v>-281.0</v>
      </c>
      <c r="F346" s="13">
        <f>(B346/B345-1)*100</f>
        <v>-9.929</v>
      </c>
    </row>
    <row r="347" spans="1:6">
      <c r="A347" s="10" t="s">
        <v>331</v>
      </c>
      <c r="B347" s="12">
        <v>2658</v>
      </c>
      <c r="C347" s="15">
        <v>1877087</v>
      </c>
      <c r="D347" s="15">
        <v>554940</v>
      </c>
      <c r="E347" s="12">
        <f>B347-B346</f>
        <v>109.0</v>
      </c>
      <c r="F347" s="13">
        <f>(B347/B346-1)*100</f>
        <v>4.276</v>
      </c>
    </row>
    <row r="348" spans="1:6">
      <c r="A348" s="10" t="s">
        <v>741</v>
      </c>
      <c r="B348" s="12">
        <v>2726</v>
      </c>
      <c r="C348" s="15">
        <v>2697628</v>
      </c>
      <c r="D348" s="15">
        <v>570573</v>
      </c>
      <c r="E348" s="12">
        <f>B348-B347</f>
        <v>68.0</v>
      </c>
      <c r="F348" s="13">
        <f>(B348/B347-1)*100</f>
        <v>2.558</v>
      </c>
    </row>
    <row r="349" spans="1:6">
      <c r="A349" s="10" t="s">
        <v>742</v>
      </c>
      <c r="B349" s="12">
        <v>2805</v>
      </c>
      <c r="C349" s="15">
        <v>2171545</v>
      </c>
      <c r="D349" s="15">
        <v>584205</v>
      </c>
      <c r="E349" s="12">
        <f>B349-B348</f>
        <v>79.0</v>
      </c>
      <c r="F349" s="13">
        <f>(B349/B348-1)*100</f>
        <v>2.898</v>
      </c>
    </row>
    <row r="350" spans="1:6">
      <c r="A350" s="10" t="s">
        <v>743</v>
      </c>
      <c r="B350" s="12">
        <v>2837</v>
      </c>
      <c r="C350" s="15">
        <v>1668535</v>
      </c>
      <c r="D350" s="15">
        <v>586726</v>
      </c>
      <c r="E350" s="12">
        <f>B350-B349</f>
        <v>32.0</v>
      </c>
      <c r="F350" s="13">
        <f>(B350/B349-1)*100</f>
        <v>1.141</v>
      </c>
    </row>
    <row r="351" spans="1:6">
      <c r="A351" s="10" t="s">
        <v>744</v>
      </c>
      <c r="B351" s="12">
        <v>2847</v>
      </c>
      <c r="C351" s="15">
        <v>1599249</v>
      </c>
      <c r="D351" s="15">
        <v>566887</v>
      </c>
      <c r="E351" s="12">
        <f>B351-B350</f>
        <v>10.0</v>
      </c>
      <c r="F351" s="13">
        <f>(B351/B350-1)*100</f>
        <v>0.352</v>
      </c>
    </row>
    <row r="352" spans="1:6">
      <c r="A352" s="10" t="s">
        <v>335</v>
      </c>
      <c r="B352" s="12">
        <v>2912</v>
      </c>
      <c r="C352" s="15">
        <v>2682104</v>
      </c>
      <c r="D352" s="15">
        <v>611727</v>
      </c>
      <c r="E352" s="12">
        <f>B352-B351</f>
        <v>65.0</v>
      </c>
      <c r="F352" s="13">
        <f>(B352/B351-1)*100</f>
        <v>2.283</v>
      </c>
    </row>
    <row r="353" spans="1:6">
      <c r="A353" s="10" t="s">
        <v>745</v>
      </c>
      <c r="B353" s="12">
        <v>3182</v>
      </c>
      <c r="C353" s="15">
        <v>3079462</v>
      </c>
      <c r="D353" s="15">
        <v>630976</v>
      </c>
      <c r="E353" s="12">
        <f>B353-B352</f>
        <v>270.0</v>
      </c>
      <c r="F353" s="13">
        <f>(B353/B352-1)*100</f>
        <v>9.272</v>
      </c>
    </row>
    <row r="354" spans="1:6">
      <c r="A354" s="10" t="s">
        <v>746</v>
      </c>
      <c r="B354" s="12">
        <v>3132</v>
      </c>
      <c r="C354" s="15">
        <v>2251954</v>
      </c>
      <c r="D354" s="15">
        <v>594386</v>
      </c>
      <c r="E354" s="12">
        <f>B354-B353</f>
        <v>-50.0</v>
      </c>
      <c r="F354" s="13">
        <f>(B354/B353-1)*100</f>
        <v>-1.571</v>
      </c>
    </row>
    <row r="355" spans="1:6">
      <c r="A355" s="10" t="s">
        <v>747</v>
      </c>
      <c r="B355" s="12">
        <v>3351</v>
      </c>
      <c r="C355" s="15">
        <v>2179984</v>
      </c>
      <c r="D355" s="15">
        <v>591331</v>
      </c>
      <c r="E355" s="12">
        <f>B355-B354</f>
        <v>219.0</v>
      </c>
      <c r="F355" s="13">
        <f>(B355/B354-1)*100</f>
        <v>6.992</v>
      </c>
    </row>
    <row r="356" spans="1:6">
      <c r="A356" s="10" t="s">
        <v>748</v>
      </c>
      <c r="B356" s="12">
        <v>3139</v>
      </c>
      <c r="C356" s="15">
        <v>2093857</v>
      </c>
      <c r="D356" s="15">
        <v>551972</v>
      </c>
      <c r="E356" s="12">
        <f>B356-B355</f>
        <v>-212.0</v>
      </c>
      <c r="F356" s="13">
        <f>(B356/B355-1)*100</f>
        <v>-6.326</v>
      </c>
    </row>
    <row r="357" spans="1:6">
      <c r="A357" s="10" t="s">
        <v>339</v>
      </c>
      <c r="B357" s="12">
        <v>3089</v>
      </c>
      <c r="C357" s="15">
        <v>1822664</v>
      </c>
      <c r="D357" s="15">
        <v>542325</v>
      </c>
      <c r="E357" s="12">
        <f>B357-B356</f>
        <v>-50.0</v>
      </c>
      <c r="F357" s="13">
        <f>(B357/B356-1)*100</f>
        <v>-1.593</v>
      </c>
    </row>
    <row r="358" spans="1:6">
      <c r="A358" s="10" t="s">
        <v>749</v>
      </c>
      <c r="B358" s="12">
        <v>3202</v>
      </c>
      <c r="C358" s="15">
        <v>2108176</v>
      </c>
      <c r="D358" s="15">
        <v>620701</v>
      </c>
      <c r="E358" s="12">
        <f>B358-B357</f>
        <v>113.0</v>
      </c>
      <c r="F358" s="13">
        <f>(B358/B357-1)*100</f>
        <v>3.658</v>
      </c>
    </row>
    <row r="359" spans="1:6">
      <c r="A359" s="10" t="s">
        <v>750</v>
      </c>
      <c r="B359" s="12">
        <v>3296</v>
      </c>
      <c r="C359" s="15">
        <v>1739728</v>
      </c>
      <c r="D359" s="15">
        <v>656917</v>
      </c>
      <c r="E359" s="12">
        <f>B359-B358</f>
        <v>94.0</v>
      </c>
      <c r="F359" s="13">
        <f>(B359/B358-1)*100</f>
        <v>2.936</v>
      </c>
    </row>
    <row r="360" spans="1:6">
      <c r="A360" s="10" t="s">
        <v>751</v>
      </c>
      <c r="B360" s="12">
        <v>3319</v>
      </c>
      <c r="C360" s="15">
        <v>2466262</v>
      </c>
      <c r="D360" s="15">
        <v>647965</v>
      </c>
      <c r="E360" s="12">
        <f>B360-B359</f>
        <v>23.0</v>
      </c>
      <c r="F360" s="13">
        <f>(B360/B359-1)*100</f>
        <v>0.698</v>
      </c>
    </row>
    <row r="361" spans="1:6">
      <c r="A361" s="10" t="s">
        <v>752</v>
      </c>
      <c r="B361" s="12">
        <v>3229</v>
      </c>
      <c r="C361" s="15">
        <v>2091012</v>
      </c>
      <c r="D361" s="15">
        <v>590456</v>
      </c>
      <c r="E361" s="12">
        <f>B361-B360</f>
        <v>-90.0</v>
      </c>
      <c r="F361" s="13">
        <f>(B361/B360-1)*100</f>
        <v>-2.712</v>
      </c>
    </row>
    <row r="362" spans="1:6">
      <c r="A362" s="10" t="s">
        <v>343</v>
      </c>
      <c r="B362" s="12">
        <v>3014</v>
      </c>
      <c r="C362" s="15">
        <v>2448787</v>
      </c>
      <c r="D362" s="15">
        <v>555903</v>
      </c>
      <c r="E362" s="12">
        <f>B362-B361</f>
        <v>-215.0</v>
      </c>
      <c r="F362" s="13">
        <f>(B362/B361-1)*100</f>
        <v>-6.658</v>
      </c>
    </row>
    <row r="363" spans="1:6">
      <c r="A363" s="10" t="s">
        <v>753</v>
      </c>
      <c r="B363" s="12">
        <v>3246</v>
      </c>
      <c r="C363" s="15">
        <v>2136248</v>
      </c>
      <c r="D363" s="15">
        <v>581336</v>
      </c>
      <c r="E363" s="12">
        <f>B363-B362</f>
        <v>232.0</v>
      </c>
      <c r="F363" s="13">
        <f>(B363/B362-1)*100</f>
        <v>7.697</v>
      </c>
    </row>
    <row r="364" spans="1:6">
      <c r="A364" s="10" t="s">
        <v>754</v>
      </c>
      <c r="B364" s="12">
        <v>3364</v>
      </c>
      <c r="C364" s="15">
        <v>2064222</v>
      </c>
      <c r="D364" s="15">
        <v>570224</v>
      </c>
      <c r="E364" s="12">
        <f>B364-B363</f>
        <v>118.0</v>
      </c>
      <c r="F364" s="13">
        <f>(B364/B363-1)*100</f>
        <v>3.635</v>
      </c>
    </row>
    <row r="365" spans="1:6">
      <c r="A365" s="10" t="s">
        <v>755</v>
      </c>
      <c r="B365" s="12">
        <v>3553</v>
      </c>
      <c r="C365" s="15">
        <v>1732139</v>
      </c>
      <c r="D365" s="15">
        <v>658064</v>
      </c>
      <c r="E365" s="12">
        <f>B365-B364</f>
        <v>189.0</v>
      </c>
      <c r="F365" s="13">
        <f>(B365/B364-1)*100</f>
        <v>5.618</v>
      </c>
    </row>
    <row r="366" spans="1:6">
      <c r="A366" s="10" t="s">
        <v>347</v>
      </c>
      <c r="B366" s="12">
        <v>3122</v>
      </c>
      <c r="C366" s="15">
        <v>2591123</v>
      </c>
      <c r="D366" s="15">
        <v>482989</v>
      </c>
      <c r="E366" s="12">
        <f>B366-B365</f>
        <v>-431.0</v>
      </c>
      <c r="F366" s="13">
        <f>(B366/B365-1)*100</f>
        <v>-12.131</v>
      </c>
    </row>
    <row r="367" spans="1:6">
      <c r="A367" s="10" t="s">
        <v>756</v>
      </c>
      <c r="B367" s="12">
        <v>3205</v>
      </c>
      <c r="C367" s="15">
        <v>1856416</v>
      </c>
      <c r="D367" s="15">
        <v>429230</v>
      </c>
      <c r="E367" s="12">
        <f>B367-B366</f>
        <v>83.0</v>
      </c>
      <c r="F367" s="13">
        <f>(B367/B366-1)*100</f>
        <v>2.659</v>
      </c>
    </row>
    <row r="368" spans="1:6">
      <c r="A368" s="10" t="s">
        <v>757</v>
      </c>
      <c r="B368" s="12">
        <v>3114</v>
      </c>
      <c r="C368" s="15">
        <v>1762897</v>
      </c>
      <c r="D368" s="15">
        <v>417879</v>
      </c>
      <c r="E368" s="12">
        <f>B368-B367</f>
        <v>-91.0</v>
      </c>
      <c r="F368" s="13">
        <f>(B368/B367-1)*100</f>
        <v>-2.839</v>
      </c>
    </row>
    <row r="369" spans="1:6">
      <c r="A369" s="10" t="s">
        <v>758</v>
      </c>
      <c r="B369" s="12">
        <v>3175</v>
      </c>
      <c r="C369" s="15">
        <v>1584666</v>
      </c>
      <c r="D369" s="15">
        <v>361418</v>
      </c>
      <c r="E369" s="12">
        <f>B369-B368</f>
        <v>61.0</v>
      </c>
      <c r="F369" s="13">
        <f>(B369/B368-1)*100</f>
        <v>1.959</v>
      </c>
    </row>
    <row r="370" spans="1:6">
      <c r="A370" s="10" t="s">
        <v>759</v>
      </c>
      <c r="B370" s="12">
        <v>2828</v>
      </c>
      <c r="C370" s="15">
        <v>517936</v>
      </c>
      <c r="D370" s="15">
        <v>425613</v>
      </c>
      <c r="E370" s="12">
        <f>B370-B369</f>
        <v>-347.0</v>
      </c>
      <c r="F370" s="13">
        <f>(B370/B369-1)*100</f>
        <v>-10.929</v>
      </c>
    </row>
    <row r="371" spans="1:6">
      <c r="A371" s="10" t="s">
        <v>351</v>
      </c>
      <c r="B371" s="12">
        <v>2844</v>
      </c>
      <c r="C371" s="15">
        <v>693818</v>
      </c>
      <c r="D371" s="15">
        <v>473584</v>
      </c>
      <c r="E371" s="12">
        <f>B371-B370</f>
        <v>16.0</v>
      </c>
      <c r="F371" s="13">
        <f>(B371/B370-1)*100</f>
        <v>0.566</v>
      </c>
    </row>
    <row r="372" spans="1:6">
      <c r="A372" s="10" t="s">
        <v>760</v>
      </c>
      <c r="B372" s="12">
        <v>2908</v>
      </c>
      <c r="C372" s="15">
        <v>658597</v>
      </c>
      <c r="D372" s="15">
        <v>533512</v>
      </c>
      <c r="E372" s="12">
        <f>B372-B371</f>
        <v>64.0</v>
      </c>
      <c r="F372" s="13">
        <f>(B372/B371-1)*100</f>
        <v>2.25</v>
      </c>
    </row>
    <row r="373" spans="1:6">
      <c r="A373" s="10" t="s">
        <v>761</v>
      </c>
      <c r="B373" s="12">
        <v>2916</v>
      </c>
      <c r="C373" s="15">
        <v>1115947</v>
      </c>
      <c r="D373" s="15">
        <v>594382</v>
      </c>
      <c r="E373" s="12">
        <f>B373-B372</f>
        <v>8.0</v>
      </c>
      <c r="F373" s="13">
        <f>(B373/B372-1)*100</f>
        <v>0.275</v>
      </c>
    </row>
    <row r="374" spans="1:6">
      <c r="A374" s="10" t="s">
        <v>762</v>
      </c>
      <c r="B374" s="12">
        <v>2856</v>
      </c>
      <c r="C374" s="15">
        <v>1525547</v>
      </c>
      <c r="D374" s="15">
        <v>627251</v>
      </c>
      <c r="E374" s="12">
        <f>B374-B373</f>
        <v>-60.0</v>
      </c>
      <c r="F374" s="13">
        <f>(B374/B373-1)*100</f>
        <v>-2.058</v>
      </c>
    </row>
    <row r="375" spans="1:6">
      <c r="A375" s="10" t="s">
        <v>763</v>
      </c>
      <c r="B375" s="12">
        <v>2824</v>
      </c>
      <c r="C375" s="15">
        <v>934131</v>
      </c>
      <c r="D375" s="15">
        <v>617392</v>
      </c>
      <c r="E375" s="12">
        <f>B375-B374</f>
        <v>-32.0</v>
      </c>
      <c r="F375" s="13">
        <f>(B375/B374-1)*100</f>
        <v>-1.12</v>
      </c>
    </row>
    <row r="376" spans="1:6">
      <c r="A376" s="10" t="s">
        <v>355</v>
      </c>
      <c r="B376" s="12">
        <v>2848</v>
      </c>
      <c r="C376" s="15">
        <v>780107</v>
      </c>
      <c r="D376" s="15">
        <v>609729</v>
      </c>
      <c r="E376" s="12">
        <f>B376-B375</f>
        <v>24.0</v>
      </c>
      <c r="F376" s="13">
        <f>(B376/B375-1)*100</f>
        <v>0.85</v>
      </c>
    </row>
    <row r="377" spans="1:6">
      <c r="A377" s="10" t="s">
        <v>764</v>
      </c>
      <c r="B377" s="12">
        <v>2879</v>
      </c>
      <c r="C377" s="15">
        <v>781348</v>
      </c>
      <c r="D377" s="15">
        <v>615961</v>
      </c>
      <c r="E377" s="12">
        <f>B377-B376</f>
        <v>31.0</v>
      </c>
      <c r="F377" s="13">
        <f>(B377/B376-1)*100</f>
        <v>1.088</v>
      </c>
    </row>
    <row r="378" spans="1:6">
      <c r="A378" s="10" t="s">
        <v>765</v>
      </c>
      <c r="B378" s="12">
        <v>2895</v>
      </c>
      <c r="C378" s="15">
        <v>622610</v>
      </c>
      <c r="D378" s="15">
        <v>631322</v>
      </c>
      <c r="E378" s="12">
        <f>B378-B377</f>
        <v>16.0</v>
      </c>
      <c r="F378" s="13">
        <f>(B378/B377-1)*100</f>
        <v>0.556</v>
      </c>
    </row>
    <row r="379" spans="1:6">
      <c r="A379" s="10" t="s">
        <v>766</v>
      </c>
      <c r="B379" s="12">
        <v>2939</v>
      </c>
      <c r="C379" s="15">
        <v>667311</v>
      </c>
      <c r="D379" s="15">
        <v>648738</v>
      </c>
      <c r="E379" s="12">
        <f>B379-B378</f>
        <v>44.0</v>
      </c>
      <c r="F379" s="13">
        <f>(B379/B378-1)*100</f>
        <v>1.52</v>
      </c>
    </row>
    <row r="380" spans="1:6">
      <c r="A380" s="10" t="s">
        <v>767</v>
      </c>
      <c r="B380" s="12">
        <v>3020</v>
      </c>
      <c r="C380" s="15">
        <v>714220</v>
      </c>
      <c r="D380" s="15">
        <v>676317</v>
      </c>
      <c r="E380" s="12">
        <f>B380-B379</f>
        <v>81.0</v>
      </c>
      <c r="F380" s="13">
        <f>(B380/B379-1)*100</f>
        <v>2.756</v>
      </c>
    </row>
    <row r="381" spans="1:6">
      <c r="A381" s="10" t="s">
        <v>359</v>
      </c>
      <c r="B381" s="12">
        <v>3007</v>
      </c>
      <c r="C381" s="15">
        <v>614418</v>
      </c>
      <c r="D381" s="15">
        <v>663559</v>
      </c>
      <c r="E381" s="12">
        <f>B381-B380</f>
        <v>-13.0</v>
      </c>
      <c r="F381" s="13">
        <f>(B381/B380-1)*100</f>
        <v>-0.43</v>
      </c>
    </row>
    <row r="382" spans="1:6">
      <c r="A382" s="10" t="s">
        <v>768</v>
      </c>
      <c r="B382" s="12">
        <v>3009</v>
      </c>
      <c r="C382" s="15">
        <v>588534</v>
      </c>
      <c r="D382" s="15">
        <v>650887</v>
      </c>
      <c r="E382" s="12">
        <f>B382-B381</f>
        <v>2.0</v>
      </c>
      <c r="F382" s="13">
        <f>(B382/B381-1)*100</f>
        <v>0.067</v>
      </c>
    </row>
    <row r="383" spans="1:6">
      <c r="A383" s="10" t="s">
        <v>363</v>
      </c>
      <c r="B383" s="12">
        <v>3045</v>
      </c>
      <c r="C383" s="15">
        <v>464820</v>
      </c>
      <c r="D383" s="15">
        <v>684807</v>
      </c>
      <c r="E383" s="12">
        <f>B383-B382</f>
        <v>36.0</v>
      </c>
      <c r="F383" s="13">
        <f>(B383/B382-1)*100</f>
        <v>1.196</v>
      </c>
    </row>
    <row r="384" spans="1:6">
      <c r="A384" s="10" t="s">
        <v>769</v>
      </c>
      <c r="B384" s="12">
        <v>2870</v>
      </c>
      <c r="C384" s="15">
        <v>1046928</v>
      </c>
      <c r="D384" s="15">
        <v>676324</v>
      </c>
      <c r="E384" s="12">
        <f>B384-B383</f>
        <v>-175.0</v>
      </c>
      <c r="F384" s="13">
        <f>(B384/B383-1)*100</f>
        <v>-5.747</v>
      </c>
    </row>
    <row r="385" spans="1:6">
      <c r="A385" s="10" t="s">
        <v>770</v>
      </c>
      <c r="B385" s="12">
        <v>2855</v>
      </c>
      <c r="C385" s="15">
        <v>670607</v>
      </c>
      <c r="D385" s="15">
        <v>664309</v>
      </c>
      <c r="E385" s="12">
        <f>B385-B384</f>
        <v>-15.0</v>
      </c>
      <c r="F385" s="13">
        <f>(B385/B384-1)*100</f>
        <v>-0.523</v>
      </c>
    </row>
    <row r="386" spans="1:6">
      <c r="A386" s="10" t="s">
        <v>771</v>
      </c>
      <c r="B386" s="12">
        <v>2882</v>
      </c>
      <c r="C386" s="15">
        <v>783084</v>
      </c>
      <c r="D386" s="15">
        <v>663563</v>
      </c>
      <c r="E386" s="12">
        <f>B386-B385</f>
        <v>27.0</v>
      </c>
      <c r="F386" s="13">
        <f>(B386/B385-1)*100</f>
        <v>0.946</v>
      </c>
    </row>
    <row r="387" spans="1:6">
      <c r="A387" s="10" t="s">
        <v>772</v>
      </c>
      <c r="B387" s="12">
        <v>2915</v>
      </c>
      <c r="C387" s="15">
        <v>560382</v>
      </c>
      <c r="D387" s="15">
        <v>686252</v>
      </c>
      <c r="E387" s="12">
        <f>B387-B386</f>
        <v>33.0</v>
      </c>
      <c r="F387" s="13">
        <f>(B387/B386-1)*100</f>
        <v>1.145</v>
      </c>
    </row>
    <row r="388" spans="1:6">
      <c r="A388" s="10" t="s">
        <v>367</v>
      </c>
      <c r="B388" s="12">
        <v>2906</v>
      </c>
      <c r="C388" s="15">
        <v>541627</v>
      </c>
      <c r="D388" s="15">
        <v>704077</v>
      </c>
      <c r="E388" s="12">
        <f>B388-B387</f>
        <v>-9.0</v>
      </c>
      <c r="F388" s="13">
        <f>(B388/B387-1)*100</f>
        <v>-0.309</v>
      </c>
    </row>
    <row r="389" spans="1:6">
      <c r="A389" s="10" t="s">
        <v>773</v>
      </c>
      <c r="B389" s="12">
        <v>2860</v>
      </c>
      <c r="C389" s="15">
        <v>573278</v>
      </c>
      <c r="D389" s="15">
        <v>686614</v>
      </c>
      <c r="E389" s="12">
        <f>B389-B388</f>
        <v>-46.0</v>
      </c>
      <c r="F389" s="13">
        <f>(B389/B388-1)*100</f>
        <v>-1.583</v>
      </c>
    </row>
    <row r="390" spans="1:6">
      <c r="A390" s="10" t="s">
        <v>774</v>
      </c>
      <c r="B390" s="12">
        <v>2907</v>
      </c>
      <c r="C390" s="15">
        <v>779879</v>
      </c>
      <c r="D390" s="15">
        <v>693841</v>
      </c>
      <c r="E390" s="12">
        <f>B390-B389</f>
        <v>47.0</v>
      </c>
      <c r="F390" s="13">
        <f>(B390/B389-1)*100</f>
        <v>1.643</v>
      </c>
    </row>
    <row r="391" spans="1:6">
      <c r="A391" s="10" t="s">
        <v>775</v>
      </c>
      <c r="B391" s="12">
        <v>2979</v>
      </c>
      <c r="C391" s="15">
        <v>734725</v>
      </c>
      <c r="D391" s="15">
        <v>714212</v>
      </c>
      <c r="E391" s="12">
        <f>B391-B390</f>
        <v>72.0</v>
      </c>
      <c r="F391" s="13">
        <f>(B391/B390-1)*100</f>
        <v>2.477</v>
      </c>
    </row>
    <row r="392" spans="1:6">
      <c r="A392" s="10" t="s">
        <v>776</v>
      </c>
      <c r="B392" s="12">
        <v>2963</v>
      </c>
      <c r="C392" s="15">
        <v>630570</v>
      </c>
      <c r="D392" s="15">
        <v>710052</v>
      </c>
      <c r="E392" s="12">
        <f>B392-B391</f>
        <v>-16.0</v>
      </c>
      <c r="F392" s="13">
        <f>(B392/B391-1)*100</f>
        <v>-0.537</v>
      </c>
    </row>
    <row r="393" spans="1:6">
      <c r="A393" s="10" t="s">
        <v>371</v>
      </c>
      <c r="B393" s="12">
        <v>2968</v>
      </c>
      <c r="C393" s="15">
        <v>574714</v>
      </c>
      <c r="D393" s="15">
        <v>713779</v>
      </c>
      <c r="E393" s="12">
        <f>B393-B392</f>
        <v>5.0</v>
      </c>
      <c r="F393" s="13">
        <f>(B393/B392-1)*100</f>
        <v>0.169</v>
      </c>
    </row>
    <row r="394" spans="1:6">
      <c r="A394" s="10" t="s">
        <v>777</v>
      </c>
      <c r="B394" s="12">
        <v>2963</v>
      </c>
      <c r="C394" s="15">
        <v>572190</v>
      </c>
      <c r="D394" s="15">
        <v>713541</v>
      </c>
      <c r="E394" s="12">
        <f>B394-B393</f>
        <v>-5.0</v>
      </c>
      <c r="F394" s="13">
        <f>(B394/B393-1)*100</f>
        <v>-0.168</v>
      </c>
    </row>
    <row r="395" spans="1:6">
      <c r="A395" s="10" t="s">
        <v>778</v>
      </c>
      <c r="B395" s="12">
        <v>2927</v>
      </c>
      <c r="C395" s="15">
        <v>821835</v>
      </c>
      <c r="D395" s="15">
        <v>690880</v>
      </c>
      <c r="E395" s="12">
        <f>B395-B394</f>
        <v>-36.0</v>
      </c>
      <c r="F395" s="13">
        <f>(B395/B394-1)*100</f>
        <v>-1.215</v>
      </c>
    </row>
    <row r="396" spans="1:6">
      <c r="A396" s="10" t="s">
        <v>779</v>
      </c>
      <c r="B396" s="12">
        <v>2844</v>
      </c>
      <c r="C396" s="15">
        <v>1330175</v>
      </c>
      <c r="D396" s="15">
        <v>724481</v>
      </c>
      <c r="E396" s="12">
        <f>B396-B395</f>
        <v>-83.0</v>
      </c>
      <c r="F396" s="13">
        <f>(B396/B395-1)*100</f>
        <v>-2.836</v>
      </c>
    </row>
    <row r="397" spans="1:6">
      <c r="A397" s="10" t="s">
        <v>780</v>
      </c>
      <c r="B397" s="12">
        <v>2837</v>
      </c>
      <c r="C397" s="15">
        <v>588805</v>
      </c>
      <c r="D397" s="15">
        <v>709137</v>
      </c>
      <c r="E397" s="12">
        <f>B397-B396</f>
        <v>-7.0</v>
      </c>
      <c r="F397" s="13">
        <f>(B397/B396-1)*100</f>
        <v>-0.246</v>
      </c>
    </row>
    <row r="398" spans="1:6">
      <c r="A398" s="10" t="s">
        <v>375</v>
      </c>
      <c r="B398" s="12">
        <v>2804</v>
      </c>
      <c r="C398" s="15">
        <v>684745</v>
      </c>
      <c r="D398" s="15">
        <v>726267</v>
      </c>
      <c r="E398" s="12">
        <f>B398-B397</f>
        <v>-33.0</v>
      </c>
      <c r="F398" s="13">
        <f>(B398/B397-1)*100</f>
        <v>-1.163</v>
      </c>
    </row>
    <row r="399" spans="1:6">
      <c r="A399" s="10" t="s">
        <v>781</v>
      </c>
      <c r="B399" s="12">
        <v>2825</v>
      </c>
      <c r="C399" s="15">
        <v>729611</v>
      </c>
      <c r="D399" s="15">
        <v>731776</v>
      </c>
      <c r="E399" s="12">
        <f>B399-B398</f>
        <v>21.0</v>
      </c>
      <c r="F399" s="13">
        <f>(B399/B398-1)*100</f>
        <v>0.749</v>
      </c>
    </row>
    <row r="400" spans="1:6">
      <c r="A400" s="10" t="s">
        <v>782</v>
      </c>
      <c r="B400" s="12">
        <v>2793</v>
      </c>
      <c r="C400" s="15">
        <v>738175</v>
      </c>
      <c r="D400" s="15">
        <v>724503</v>
      </c>
      <c r="E400" s="12">
        <f>B400-B399</f>
        <v>-32.0</v>
      </c>
      <c r="F400" s="13">
        <f>(B400/B399-1)*100</f>
        <v>-1.133</v>
      </c>
    </row>
    <row r="401" spans="1:6">
      <c r="A401" s="10" t="s">
        <v>783</v>
      </c>
      <c r="B401" s="12">
        <v>2864</v>
      </c>
      <c r="C401" s="15">
        <v>727594</v>
      </c>
      <c r="D401" s="15">
        <v>707789</v>
      </c>
      <c r="E401" s="12">
        <f>B401-B400</f>
        <v>71.0</v>
      </c>
      <c r="F401" s="13">
        <f>(B401/B400-1)*100</f>
        <v>2.542</v>
      </c>
    </row>
    <row r="402" spans="1:6">
      <c r="A402" s="10" t="s">
        <v>784</v>
      </c>
      <c r="B402" s="12">
        <v>2890</v>
      </c>
      <c r="C402" s="15">
        <v>1047090</v>
      </c>
      <c r="D402" s="15">
        <v>716423</v>
      </c>
      <c r="E402" s="12">
        <f>B402-B401</f>
        <v>26.0</v>
      </c>
      <c r="F402" s="13">
        <f>(B402/B401-1)*100</f>
        <v>0.908</v>
      </c>
    </row>
    <row r="403" spans="1:6">
      <c r="A403" s="10" t="s">
        <v>379</v>
      </c>
      <c r="B403" s="12">
        <v>2926</v>
      </c>
      <c r="C403" s="15">
        <v>571050</v>
      </c>
      <c r="D403" s="15">
        <v>726223</v>
      </c>
      <c r="E403" s="12">
        <f>B403-B402</f>
        <v>36.0</v>
      </c>
      <c r="F403" s="13">
        <f>(B403/B402-1)*100</f>
        <v>1.246</v>
      </c>
    </row>
    <row r="404" spans="1:6">
      <c r="A404" s="10" t="s">
        <v>785</v>
      </c>
      <c r="B404" s="12">
        <v>2877</v>
      </c>
      <c r="C404" s="15">
        <v>589426</v>
      </c>
      <c r="D404" s="15">
        <v>694911</v>
      </c>
      <c r="E404" s="12">
        <f>B404-B403</f>
        <v>-49.0</v>
      </c>
      <c r="F404" s="13">
        <f>(B404/B403-1)*100</f>
        <v>-1.675</v>
      </c>
    </row>
    <row r="405" spans="1:6">
      <c r="A405" s="10" t="s">
        <v>786</v>
      </c>
      <c r="B405" s="12">
        <v>2906</v>
      </c>
      <c r="C405" s="15">
        <v>578657</v>
      </c>
      <c r="D405" s="15">
        <v>735338</v>
      </c>
      <c r="E405" s="12">
        <f>B405-B404</f>
        <v>29.0</v>
      </c>
      <c r="F405" s="13">
        <f>(B405/B404-1)*100</f>
        <v>1.008</v>
      </c>
    </row>
    <row r="406" spans="1:6">
      <c r="A406" s="10" t="s">
        <v>787</v>
      </c>
      <c r="B406" s="12">
        <v>3049</v>
      </c>
      <c r="C406" s="15">
        <v>1075119</v>
      </c>
      <c r="D406" s="15">
        <v>816549</v>
      </c>
      <c r="E406" s="12">
        <f>B406-B405</f>
        <v>143.0</v>
      </c>
      <c r="F406" s="13">
        <f>(B406/B405-1)*100</f>
        <v>4.921</v>
      </c>
    </row>
    <row r="407" spans="1:6">
      <c r="A407" s="10" t="s">
        <v>788</v>
      </c>
      <c r="B407" s="12">
        <v>2963</v>
      </c>
      <c r="C407" s="15">
        <v>903015</v>
      </c>
      <c r="D407" s="15">
        <v>770774</v>
      </c>
      <c r="E407" s="12">
        <f>B407-B406</f>
        <v>-86.0</v>
      </c>
      <c r="F407" s="13">
        <f>(B407/B406-1)*100</f>
        <v>-2.821</v>
      </c>
    </row>
    <row r="408" spans="1:6">
      <c r="A408" s="10" t="s">
        <v>383</v>
      </c>
      <c r="B408" s="12">
        <v>2972</v>
      </c>
      <c r="C408" s="15">
        <v>872107</v>
      </c>
      <c r="D408" s="15">
        <v>788063</v>
      </c>
      <c r="E408" s="12">
        <f>B408-B407</f>
        <v>9.0</v>
      </c>
      <c r="F408" s="13">
        <f>(B408/B407-1)*100</f>
        <v>0.304</v>
      </c>
    </row>
    <row r="409" spans="1:6">
      <c r="A409" s="10" t="s">
        <v>789</v>
      </c>
      <c r="B409" s="12">
        <v>3025</v>
      </c>
      <c r="C409" s="15">
        <v>974544</v>
      </c>
      <c r="D409" s="15">
        <v>837630</v>
      </c>
      <c r="E409" s="12">
        <f>B409-B408</f>
        <v>53.0</v>
      </c>
      <c r="F409" s="13">
        <f>(B409/B408-1)*100</f>
        <v>1.783</v>
      </c>
    </row>
    <row r="410" spans="1:6">
      <c r="A410" s="10" t="s">
        <v>790</v>
      </c>
      <c r="B410" s="12">
        <v>3010</v>
      </c>
      <c r="C410" s="15">
        <v>1042096</v>
      </c>
      <c r="D410" s="15">
        <v>848577</v>
      </c>
      <c r="E410" s="12">
        <f>B410-B409</f>
        <v>-15.0</v>
      </c>
      <c r="F410" s="13">
        <f>(B410/B409-1)*100</f>
        <v>-0.496</v>
      </c>
    </row>
    <row r="411" spans="1:6">
      <c r="A411" s="10" t="s">
        <v>791</v>
      </c>
      <c r="B411" s="12">
        <v>2770</v>
      </c>
      <c r="C411" s="15">
        <v>1750841</v>
      </c>
      <c r="D411" s="15">
        <v>794847</v>
      </c>
      <c r="E411" s="12">
        <f>B411-B410</f>
        <v>-240.0</v>
      </c>
      <c r="F411" s="13">
        <f>(B411/B410-1)*100</f>
        <v>-7.973</v>
      </c>
    </row>
    <row r="412" spans="1:6">
      <c r="A412" s="10" t="s">
        <v>792</v>
      </c>
      <c r="B412" s="12">
        <v>2684</v>
      </c>
      <c r="C412" s="15">
        <v>1361823</v>
      </c>
      <c r="D412" s="15">
        <v>761331</v>
      </c>
      <c r="E412" s="12">
        <f>B412-B411</f>
        <v>-86.0</v>
      </c>
      <c r="F412" s="13">
        <f>(B412/B411-1)*100</f>
        <v>-3.105</v>
      </c>
    </row>
    <row r="413" spans="1:6">
      <c r="A413" s="10" t="s">
        <v>387</v>
      </c>
      <c r="B413" s="12">
        <v>2614</v>
      </c>
      <c r="C413" s="15">
        <v>1117271</v>
      </c>
      <c r="D413" s="15">
        <v>755190</v>
      </c>
      <c r="E413" s="12">
        <f>B413-B412</f>
        <v>-70.0</v>
      </c>
      <c r="F413" s="13">
        <f>(B413/B412-1)*100</f>
        <v>-2.608</v>
      </c>
    </row>
    <row r="414" spans="1:6">
      <c r="A414" s="10" t="s">
        <v>793</v>
      </c>
      <c r="B414" s="12">
        <v>2566</v>
      </c>
      <c r="C414" s="15">
        <v>1083758</v>
      </c>
      <c r="D414" s="15">
        <v>715618</v>
      </c>
      <c r="E414" s="12">
        <f>B414-B413</f>
        <v>-48.0</v>
      </c>
      <c r="F414" s="13">
        <f>(B414/B413-1)*100</f>
        <v>-1.836</v>
      </c>
    </row>
    <row r="415" spans="1:6">
      <c r="A415" s="10" t="s">
        <v>794</v>
      </c>
      <c r="B415" s="12">
        <v>2528</v>
      </c>
      <c r="C415" s="15">
        <v>947953</v>
      </c>
      <c r="D415" s="15">
        <v>692562</v>
      </c>
      <c r="E415" s="12">
        <f>B415-B414</f>
        <v>-38.0</v>
      </c>
      <c r="F415" s="13">
        <f>(B415/B414-1)*100</f>
        <v>-1.481</v>
      </c>
    </row>
    <row r="416" spans="1:6">
      <c r="A416" s="10" t="s">
        <v>795</v>
      </c>
      <c r="B416" s="12">
        <v>2493</v>
      </c>
      <c r="C416" s="15">
        <v>1032302</v>
      </c>
      <c r="D416" s="15">
        <v>682499</v>
      </c>
      <c r="E416" s="12">
        <f>B416-B415</f>
        <v>-35.0</v>
      </c>
      <c r="F416" s="13">
        <f>(B416/B415-1)*100</f>
        <v>-1.384</v>
      </c>
    </row>
    <row r="417" spans="1:6">
      <c r="A417" s="10" t="s">
        <v>391</v>
      </c>
      <c r="B417" s="12">
        <v>2459</v>
      </c>
      <c r="C417" s="15">
        <v>1007539</v>
      </c>
      <c r="D417" s="15">
        <v>679449</v>
      </c>
      <c r="E417" s="12">
        <f>B417-B416</f>
        <v>-34.0</v>
      </c>
      <c r="F417" s="13">
        <f>(B417/B416-1)*100</f>
        <v>-1.364</v>
      </c>
    </row>
    <row r="418" spans="1:6">
      <c r="A418" s="10" t="s">
        <v>796</v>
      </c>
      <c r="B418" s="12">
        <v>2429</v>
      </c>
      <c r="C418" s="15">
        <v>1447493</v>
      </c>
      <c r="D418" s="15">
        <v>716209</v>
      </c>
      <c r="E418" s="12">
        <f>B418-B417</f>
        <v>-30.0</v>
      </c>
      <c r="F418" s="13">
        <f>(B418/B417-1)*100</f>
        <v>-1.22</v>
      </c>
    </row>
    <row r="419" spans="1:6">
      <c r="A419" s="10" t="s">
        <v>797</v>
      </c>
      <c r="B419" s="12">
        <v>2430</v>
      </c>
      <c r="C419" s="15">
        <v>1064197</v>
      </c>
      <c r="D419" s="15">
        <v>699787</v>
      </c>
      <c r="E419" s="12">
        <f>B419-B418</f>
        <v>1.0</v>
      </c>
      <c r="F419" s="13">
        <f>(B419/B418-1)*100</f>
        <v>0.041</v>
      </c>
    </row>
    <row r="420" spans="1:6">
      <c r="A420" s="10" t="s">
        <v>798</v>
      </c>
      <c r="B420" s="12">
        <v>2460</v>
      </c>
      <c r="C420" s="15">
        <v>1132860</v>
      </c>
      <c r="D420" s="15">
        <v>707950</v>
      </c>
      <c r="E420" s="12">
        <f>B420-B419</f>
        <v>30.0</v>
      </c>
      <c r="F420" s="13">
        <f>(B420/B419-1)*100</f>
        <v>1.235</v>
      </c>
    </row>
    <row r="421" spans="1:6">
      <c r="A421" s="10" t="s">
        <v>799</v>
      </c>
      <c r="B421" s="12">
        <v>2428</v>
      </c>
      <c r="C421" s="15">
        <v>1062345</v>
      </c>
      <c r="D421" s="15">
        <v>700024</v>
      </c>
      <c r="E421" s="12">
        <f>B421-B420</f>
        <v>-32.0</v>
      </c>
      <c r="F421" s="13">
        <f>(B421/B420-1)*100</f>
        <v>-1.301</v>
      </c>
    </row>
    <row r="422" spans="1:6">
      <c r="A422" s="10" t="s">
        <v>395</v>
      </c>
      <c r="B422" s="12">
        <v>2350</v>
      </c>
      <c r="C422" s="15">
        <v>1060905</v>
      </c>
      <c r="D422" s="15">
        <v>751100</v>
      </c>
      <c r="E422" s="12">
        <f>B422-B421</f>
        <v>-78.0</v>
      </c>
      <c r="F422" s="13">
        <f>(B422/B421-1)*100</f>
        <v>-3.213</v>
      </c>
    </row>
    <row r="423" spans="1:6">
      <c r="A423" s="10" t="s">
        <v>800</v>
      </c>
      <c r="B423" s="12">
        <v>2347</v>
      </c>
      <c r="C423" s="15">
        <v>1091180</v>
      </c>
      <c r="D423" s="15">
        <v>739481</v>
      </c>
      <c r="E423" s="12">
        <f>B423-B422</f>
        <v>-3.0</v>
      </c>
      <c r="F423" s="13">
        <f>(B423/B422-1)*100</f>
        <v>-0.128</v>
      </c>
    </row>
    <row r="424" spans="1:6">
      <c r="A424" s="10" t="s">
        <v>801</v>
      </c>
      <c r="B424" s="12">
        <v>2377</v>
      </c>
      <c r="C424" s="15">
        <v>1108844</v>
      </c>
      <c r="D424" s="15">
        <v>691119</v>
      </c>
      <c r="E424" s="12">
        <f>B424-B423</f>
        <v>30.0</v>
      </c>
      <c r="F424" s="13">
        <f>(B424/B423-1)*100</f>
        <v>1.278</v>
      </c>
    </row>
    <row r="425" spans="1:6">
      <c r="A425" s="10" t="s">
        <v>802</v>
      </c>
      <c r="B425" s="12">
        <v>2363</v>
      </c>
      <c r="C425" s="15">
        <v>861298</v>
      </c>
      <c r="D425" s="15">
        <v>678018</v>
      </c>
      <c r="E425" s="12">
        <f>B425-B424</f>
        <v>-14.0</v>
      </c>
      <c r="F425" s="13">
        <f>(B425/B424-1)*100</f>
        <v>-0.589</v>
      </c>
    </row>
    <row r="426" spans="1:6">
      <c r="A426" s="10" t="s">
        <v>803</v>
      </c>
      <c r="B426" s="12">
        <v>2404</v>
      </c>
      <c r="C426" s="15">
        <v>908267</v>
      </c>
      <c r="D426" s="15">
        <v>700156</v>
      </c>
      <c r="E426" s="12">
        <f>B426-B425</f>
        <v>41.0</v>
      </c>
      <c r="F426" s="13">
        <f>(B426/B425-1)*100</f>
        <v>1.735</v>
      </c>
    </row>
    <row r="427" spans="1:6">
      <c r="A427" s="10" t="s">
        <v>399</v>
      </c>
      <c r="B427" s="12">
        <v>2488</v>
      </c>
      <c r="C427" s="15">
        <v>1717209</v>
      </c>
      <c r="D427" s="15">
        <v>697883</v>
      </c>
      <c r="E427" s="12">
        <f>B427-B426</f>
        <v>84.0</v>
      </c>
      <c r="F427" s="13">
        <f>(B427/B426-1)*100</f>
        <v>3.494</v>
      </c>
    </row>
    <row r="428" spans="1:6">
      <c r="A428" s="10" t="s">
        <v>804</v>
      </c>
      <c r="B428" s="12">
        <v>2488</v>
      </c>
      <c r="C428" s="15">
        <v>1469852</v>
      </c>
      <c r="D428" s="15">
        <v>649423</v>
      </c>
      <c r="E428" s="12">
        <f>B428-B427</f>
        <v>0.0</v>
      </c>
      <c r="F428" s="13">
        <f>(B428/B427-1)*100</f>
        <v>0.0</v>
      </c>
    </row>
    <row r="429" spans="1:6">
      <c r="A429" s="10" t="s">
        <v>805</v>
      </c>
      <c r="B429" s="12">
        <v>2480</v>
      </c>
      <c r="C429" s="15">
        <v>997470</v>
      </c>
      <c r="D429" s="15">
        <v>656517</v>
      </c>
      <c r="E429" s="12">
        <f>B429-B428</f>
        <v>-8.0</v>
      </c>
      <c r="F429" s="13">
        <f>(B429/B428-1)*100</f>
        <v>-0.322</v>
      </c>
    </row>
    <row r="430" spans="1:6">
      <c r="A430" s="10" t="s">
        <v>806</v>
      </c>
      <c r="B430" s="12">
        <v>2516</v>
      </c>
      <c r="C430" s="15">
        <v>1238042</v>
      </c>
      <c r="D430" s="15">
        <v>652549</v>
      </c>
      <c r="E430" s="12">
        <f>B430-B429</f>
        <v>36.0</v>
      </c>
      <c r="F430" s="13">
        <f>(B430/B429-1)*100</f>
        <v>1.452</v>
      </c>
    </row>
    <row r="431" spans="1:6">
      <c r="A431" s="10" t="s">
        <v>807</v>
      </c>
      <c r="B431" s="12">
        <v>2632</v>
      </c>
      <c r="C431" s="15">
        <v>1970588</v>
      </c>
      <c r="D431" s="15">
        <v>654749</v>
      </c>
      <c r="E431" s="12">
        <f>B431-B430</f>
        <v>116.0</v>
      </c>
      <c r="F431" s="13">
        <f>(B431/B430-1)*100</f>
        <v>4.61</v>
      </c>
    </row>
    <row r="432" spans="1:6">
      <c r="A432" s="10" t="s">
        <v>403</v>
      </c>
      <c r="B432" s="12">
        <v>2648</v>
      </c>
      <c r="C432" s="15">
        <v>1255135</v>
      </c>
      <c r="D432" s="15">
        <v>661260</v>
      </c>
      <c r="E432" s="12">
        <f>B432-B431</f>
        <v>16.0</v>
      </c>
      <c r="F432" s="13">
        <f>(B432/B431-1)*100</f>
        <v>0.608</v>
      </c>
    </row>
    <row r="433" spans="1:6">
      <c r="A433" s="10" t="s">
        <v>808</v>
      </c>
      <c r="B433" s="12">
        <v>2633</v>
      </c>
      <c r="C433" s="15">
        <v>1155401</v>
      </c>
      <c r="D433" s="15">
        <v>665134</v>
      </c>
      <c r="E433" s="12">
        <f>B433-B432</f>
        <v>-15.0</v>
      </c>
      <c r="F433" s="13">
        <f>(B433/B432-1)*100</f>
        <v>-0.566</v>
      </c>
    </row>
    <row r="434" spans="1:6">
      <c r="A434" s="10" t="s">
        <v>809</v>
      </c>
      <c r="B434" s="12">
        <v>2630</v>
      </c>
      <c r="C434" s="15">
        <v>846093</v>
      </c>
      <c r="D434" s="15">
        <v>654879</v>
      </c>
      <c r="E434" s="12">
        <f>B434-B433</f>
        <v>-3.0</v>
      </c>
      <c r="F434" s="13">
        <f>(B434/B433-1)*100</f>
        <v>-0.114</v>
      </c>
    </row>
    <row r="435" spans="1:6">
      <c r="A435" s="10" t="s">
        <v>810</v>
      </c>
      <c r="B435" s="12">
        <v>2802</v>
      </c>
      <c r="C435" s="15">
        <v>1792132</v>
      </c>
      <c r="D435" s="15">
        <v>661579</v>
      </c>
      <c r="E435" s="12">
        <f>B435-B434</f>
        <v>172.0</v>
      </c>
      <c r="F435" s="13">
        <f>(B435/B434-1)*100</f>
        <v>6.54</v>
      </c>
    </row>
    <row r="436" spans="1:6">
      <c r="A436" s="10" t="s">
        <v>811</v>
      </c>
      <c r="B436" s="12">
        <v>2707</v>
      </c>
      <c r="C436" s="15">
        <v>1402896</v>
      </c>
      <c r="D436" s="15">
        <v>603375</v>
      </c>
      <c r="E436" s="12">
        <f>B436-B435</f>
        <v>-95.0</v>
      </c>
      <c r="F436" s="13">
        <f>(B436/B435-1)*100</f>
        <v>-3.39</v>
      </c>
    </row>
    <row r="437" spans="1:6">
      <c r="A437" s="10" t="s">
        <v>407</v>
      </c>
      <c r="B437" s="12">
        <v>2718</v>
      </c>
      <c r="C437" s="15">
        <v>1404678</v>
      </c>
      <c r="D437" s="15">
        <v>638579</v>
      </c>
      <c r="E437" s="12">
        <f>B437-B436</f>
        <v>11.0</v>
      </c>
      <c r="F437" s="13">
        <f>(B437/B436-1)*100</f>
        <v>0.406</v>
      </c>
    </row>
    <row r="438" spans="1:6">
      <c r="A438" s="10" t="s">
        <v>812</v>
      </c>
      <c r="B438" s="12">
        <v>2756</v>
      </c>
      <c r="C438" s="15">
        <v>1253549</v>
      </c>
      <c r="D438" s="15">
        <v>625617</v>
      </c>
      <c r="E438" s="12">
        <f>B438-B437</f>
        <v>38.0</v>
      </c>
      <c r="F438" s="13">
        <f>(B438/B437-1)*100</f>
        <v>1.398</v>
      </c>
    </row>
    <row r="439" spans="1:6">
      <c r="A439" s="10" t="s">
        <v>813</v>
      </c>
      <c r="B439" s="12">
        <v>2755</v>
      </c>
      <c r="C439" s="15">
        <v>1362580</v>
      </c>
      <c r="D439" s="15">
        <v>621986</v>
      </c>
      <c r="E439" s="12">
        <f>B439-B438</f>
        <v>-1.0</v>
      </c>
      <c r="F439" s="13">
        <f>(B439/B438-1)*100</f>
        <v>-0.036</v>
      </c>
    </row>
    <row r="440" spans="1:6">
      <c r="A440" s="10" t="s">
        <v>814</v>
      </c>
      <c r="B440" s="12">
        <v>2610</v>
      </c>
      <c r="C440" s="15">
        <v>1533522</v>
      </c>
      <c r="D440" s="15">
        <v>599960</v>
      </c>
      <c r="E440" s="12">
        <f>B440-B439</f>
        <v>-145.0</v>
      </c>
      <c r="F440" s="13">
        <f>(B440/B439-1)*100</f>
        <v>-5.263</v>
      </c>
    </row>
    <row r="441" spans="1:6">
      <c r="A441" s="10" t="s">
        <v>815</v>
      </c>
      <c r="B441" s="12">
        <v>2601</v>
      </c>
      <c r="C441" s="15">
        <v>1015801</v>
      </c>
      <c r="D441" s="15">
        <v>581945</v>
      </c>
      <c r="E441" s="12">
        <f>B441-B440</f>
        <v>-9.0</v>
      </c>
      <c r="F441" s="13">
        <f>(B441/B440-1)*100</f>
        <v>-0.345</v>
      </c>
    </row>
    <row r="442" spans="1:6">
      <c r="A442" s="10" t="s">
        <v>411</v>
      </c>
      <c r="B442" s="12">
        <v>2649</v>
      </c>
      <c r="C442" s="15">
        <v>879655</v>
      </c>
      <c r="D442" s="15">
        <v>565908</v>
      </c>
      <c r="E442" s="12">
        <f>B442-B441</f>
        <v>48.0</v>
      </c>
      <c r="F442" s="13">
        <f>(B442/B441-1)*100</f>
        <v>1.845</v>
      </c>
    </row>
    <row r="443" spans="1:6">
      <c r="A443" s="10" t="s">
        <v>816</v>
      </c>
      <c r="B443" s="12">
        <v>2657</v>
      </c>
      <c r="C443" s="15">
        <v>1086136</v>
      </c>
      <c r="D443" s="15">
        <v>567903</v>
      </c>
      <c r="E443" s="12">
        <f>B443-B442</f>
        <v>8.0</v>
      </c>
      <c r="F443" s="13">
        <f>(B443/B442-1)*100</f>
        <v>0.302</v>
      </c>
    </row>
    <row r="444" spans="1:6">
      <c r="A444" s="10" t="s">
        <v>817</v>
      </c>
      <c r="B444" s="12">
        <v>2618</v>
      </c>
      <c r="C444" s="15">
        <v>838475</v>
      </c>
      <c r="D444" s="15">
        <v>553497</v>
      </c>
      <c r="E444" s="12">
        <f>B444-B443</f>
        <v>-39.0</v>
      </c>
      <c r="F444" s="13">
        <f>(B444/B443-1)*100</f>
        <v>-1.468</v>
      </c>
    </row>
    <row r="445" spans="1:6">
      <c r="A445" s="10" t="s">
        <v>818</v>
      </c>
      <c r="B445" s="12">
        <v>2594</v>
      </c>
      <c r="C445" s="15">
        <v>1197855</v>
      </c>
      <c r="D445" s="15">
        <v>573082</v>
      </c>
      <c r="E445" s="12">
        <f>B445-B444</f>
        <v>-24.0</v>
      </c>
      <c r="F445" s="13">
        <f>(B445/B444-1)*100</f>
        <v>-0.917</v>
      </c>
    </row>
    <row r="446" spans="1:6">
      <c r="A446" s="10" t="s">
        <v>819</v>
      </c>
      <c r="B446" s="12">
        <v>2586</v>
      </c>
      <c r="C446" s="15">
        <v>967986</v>
      </c>
      <c r="D446" s="15">
        <v>546513</v>
      </c>
      <c r="E446" s="12">
        <f>B446-B445</f>
        <v>-8.0</v>
      </c>
      <c r="F446" s="13">
        <f>(B446/B445-1)*100</f>
        <v>-0.308</v>
      </c>
    </row>
    <row r="447" spans="1:6">
      <c r="A447" s="10" t="s">
        <v>415</v>
      </c>
      <c r="B447" s="12">
        <v>2517</v>
      </c>
      <c r="C447" s="15">
        <v>1264881</v>
      </c>
      <c r="D447" s="15">
        <v>511771</v>
      </c>
      <c r="E447" s="12">
        <f>B447-B446</f>
        <v>-69.0</v>
      </c>
      <c r="F447" s="13">
        <f>(B447/B446-1)*100</f>
        <v>-2.668</v>
      </c>
    </row>
    <row r="448" spans="1:6">
      <c r="A448" s="10" t="s">
        <v>820</v>
      </c>
      <c r="B448" s="12">
        <v>2495</v>
      </c>
      <c r="C448" s="15">
        <v>1266180</v>
      </c>
      <c r="D448" s="15">
        <v>501870</v>
      </c>
      <c r="E448" s="12">
        <f>B448-B447</f>
        <v>-22.0</v>
      </c>
      <c r="F448" s="13">
        <f>(B448/B447-1)*100</f>
        <v>-0.874</v>
      </c>
    </row>
    <row r="449" spans="1:6">
      <c r="A449" s="10" t="s">
        <v>821</v>
      </c>
      <c r="B449" s="12">
        <v>2500</v>
      </c>
      <c r="C449" s="15">
        <v>586330</v>
      </c>
      <c r="D449" s="15">
        <v>572847</v>
      </c>
      <c r="E449" s="12">
        <f>B449-B448</f>
        <v>5.0</v>
      </c>
      <c r="F449" s="13">
        <f>(B449/B448-1)*100</f>
        <v>0.2</v>
      </c>
    </row>
    <row r="450" spans="1:6">
      <c r="A450" s="10" t="s">
        <v>822</v>
      </c>
      <c r="B450" s="12">
        <v>2531</v>
      </c>
      <c r="C450" s="15">
        <v>489909</v>
      </c>
      <c r="D450" s="15">
        <v>582553</v>
      </c>
      <c r="E450" s="12">
        <f>B450-B449</f>
        <v>31.0</v>
      </c>
      <c r="F450" s="13">
        <f>(B450/B449-1)*100</f>
        <v>1.24</v>
      </c>
    </row>
    <row r="451" spans="1:6">
      <c r="A451" s="10" t="s">
        <v>823</v>
      </c>
      <c r="B451" s="12">
        <v>2633</v>
      </c>
      <c r="C451" s="15">
        <v>709718</v>
      </c>
      <c r="D451" s="15">
        <v>622247</v>
      </c>
      <c r="E451" s="12">
        <f>B451-B450</f>
        <v>102.0</v>
      </c>
      <c r="F451" s="13">
        <f>(B451/B450-1)*100</f>
        <v>4.03</v>
      </c>
    </row>
    <row r="452" spans="1:6">
      <c r="A452" s="10" t="s">
        <v>419</v>
      </c>
      <c r="B452" s="12">
        <v>2607</v>
      </c>
      <c r="C452" s="15">
        <v>594633</v>
      </c>
      <c r="D452" s="15">
        <v>649060</v>
      </c>
      <c r="E452" s="12">
        <f>B452-B451</f>
        <v>-26.0</v>
      </c>
      <c r="F452" s="13">
        <f>(B452/B451-1)*100</f>
        <v>-0.987</v>
      </c>
    </row>
    <row r="453" spans="1:6">
      <c r="A453" s="10" t="s">
        <v>824</v>
      </c>
      <c r="B453" s="12">
        <v>2645</v>
      </c>
      <c r="C453" s="15">
        <v>707907</v>
      </c>
      <c r="D453" s="15">
        <v>698962</v>
      </c>
      <c r="E453" s="12">
        <f>B453-B452</f>
        <v>38.0</v>
      </c>
      <c r="F453" s="13">
        <f>(B453/B452-1)*100</f>
        <v>1.458</v>
      </c>
    </row>
    <row r="454" spans="1:6">
      <c r="A454" s="10" t="s">
        <v>825</v>
      </c>
      <c r="B454" s="12">
        <v>2687</v>
      </c>
      <c r="C454" s="15">
        <v>1016105</v>
      </c>
      <c r="D454" s="15">
        <v>743462</v>
      </c>
      <c r="E454" s="12">
        <f>B454-B453</f>
        <v>42.0</v>
      </c>
      <c r="F454" s="13">
        <f>(B454/B453-1)*100</f>
        <v>1.588</v>
      </c>
    </row>
    <row r="455" spans="1:6">
      <c r="A455" s="10" t="s">
        <v>826</v>
      </c>
      <c r="B455" s="12">
        <v>2735</v>
      </c>
      <c r="C455" s="15">
        <v>1092763</v>
      </c>
      <c r="D455" s="15">
        <v>776665</v>
      </c>
      <c r="E455" s="12">
        <f>B455-B454</f>
        <v>48.0</v>
      </c>
      <c r="F455" s="13">
        <f>(B455/B454-1)*100</f>
        <v>1.786</v>
      </c>
    </row>
    <row r="456" spans="1:6">
      <c r="A456" s="10" t="s">
        <v>827</v>
      </c>
      <c r="B456" s="12">
        <v>2776</v>
      </c>
      <c r="C456" s="15">
        <v>1460630</v>
      </c>
      <c r="D456" s="15">
        <v>801166</v>
      </c>
      <c r="E456" s="12">
        <f>B456-B455</f>
        <v>41.0</v>
      </c>
      <c r="F456" s="13">
        <f>(B456/B455-1)*100</f>
        <v>1.499</v>
      </c>
    </row>
    <row r="457" spans="1:6">
      <c r="A457" s="10" t="s">
        <v>423</v>
      </c>
      <c r="B457" s="12">
        <v>2843</v>
      </c>
      <c r="C457" s="15">
        <v>1859342</v>
      </c>
      <c r="D457" s="15">
        <v>863462</v>
      </c>
      <c r="E457" s="12">
        <f>B457-B456</f>
        <v>67.0</v>
      </c>
      <c r="F457" s="13">
        <f>(B457/B456-1)*100</f>
        <v>2.414</v>
      </c>
    </row>
    <row r="458" spans="1:6">
      <c r="A458" s="10" t="s">
        <v>828</v>
      </c>
      <c r="B458" s="12">
        <v>2837</v>
      </c>
      <c r="C458" s="15">
        <v>1557465</v>
      </c>
      <c r="D458" s="15">
        <v>867734</v>
      </c>
      <c r="E458" s="12">
        <f>B458-B457</f>
        <v>-6.0</v>
      </c>
      <c r="F458" s="13">
        <f>(B458/B457-1)*100</f>
        <v>-0.211</v>
      </c>
    </row>
    <row r="459" spans="1:6">
      <c r="A459" s="10" t="s">
        <v>829</v>
      </c>
      <c r="B459" s="12">
        <v>2909</v>
      </c>
      <c r="C459" s="15">
        <v>1957108</v>
      </c>
      <c r="D459" s="15">
        <v>873688</v>
      </c>
      <c r="E459" s="12">
        <f>B459-B458</f>
        <v>72.0</v>
      </c>
      <c r="F459" s="13">
        <f>(B459/B458-1)*100</f>
        <v>2.538</v>
      </c>
    </row>
    <row r="460" spans="1:6">
      <c r="A460" s="10" t="s">
        <v>830</v>
      </c>
      <c r="B460" s="12">
        <v>2914</v>
      </c>
      <c r="C460" s="15">
        <v>1962523</v>
      </c>
      <c r="D460" s="15">
        <v>858225</v>
      </c>
      <c r="E460" s="12">
        <f>B460-B459</f>
        <v>5.0</v>
      </c>
      <c r="F460" s="13">
        <f>(B460/B459-1)*100</f>
        <v>0.172</v>
      </c>
    </row>
    <row r="461" spans="1:6">
      <c r="A461" s="10" t="s">
        <v>831</v>
      </c>
      <c r="B461" s="12">
        <v>2925</v>
      </c>
      <c r="C461" s="15">
        <v>2317854</v>
      </c>
      <c r="D461" s="15">
        <v>839343</v>
      </c>
      <c r="E461" s="12">
        <f>B461-B460</f>
        <v>11.0</v>
      </c>
      <c r="F461" s="13">
        <f>(B461/B460-1)*100</f>
        <v>0.377</v>
      </c>
    </row>
    <row r="462" spans="1:6">
      <c r="A462" s="10" t="s">
        <v>427</v>
      </c>
      <c r="B462" s="12">
        <v>2769</v>
      </c>
      <c r="C462" s="15">
        <v>2389981</v>
      </c>
      <c r="D462" s="15">
        <v>823696</v>
      </c>
      <c r="E462" s="12">
        <f>B462-B461</f>
        <v>-156.0</v>
      </c>
      <c r="F462" s="13">
        <f>(B462/B461-1)*100</f>
        <v>-5.333</v>
      </c>
    </row>
    <row r="463" spans="1:6">
      <c r="A463" s="10" t="s">
        <v>832</v>
      </c>
      <c r="B463" s="12">
        <v>2778</v>
      </c>
      <c r="C463" s="15">
        <v>1964664</v>
      </c>
      <c r="D463" s="15">
        <v>726057</v>
      </c>
      <c r="E463" s="12">
        <f>B463-B462</f>
        <v>9.0</v>
      </c>
      <c r="F463" s="13">
        <f>(B463/B462-1)*100</f>
        <v>0.325</v>
      </c>
    </row>
    <row r="464" spans="1:6">
      <c r="A464" s="10" t="s">
        <v>833</v>
      </c>
      <c r="B464" s="12">
        <v>2840</v>
      </c>
      <c r="C464" s="15">
        <v>1888117</v>
      </c>
      <c r="D464" s="15">
        <v>739677</v>
      </c>
      <c r="E464" s="12">
        <f>B464-B463</f>
        <v>62.0</v>
      </c>
      <c r="F464" s="13">
        <f>(B464/B463-1)*100</f>
        <v>2.232</v>
      </c>
    </row>
    <row r="465" spans="1:6">
      <c r="A465" s="10" t="s">
        <v>834</v>
      </c>
      <c r="B465" s="12">
        <v>2983</v>
      </c>
      <c r="C465" s="15">
        <v>1540186</v>
      </c>
      <c r="D465" s="15">
        <v>712863</v>
      </c>
      <c r="E465" s="12">
        <f>B465-B464</f>
        <v>143.0</v>
      </c>
      <c r="F465" s="13">
        <f>(B465/B464-1)*100</f>
        <v>5.035</v>
      </c>
    </row>
    <row r="466" spans="1:6">
      <c r="A466" s="10" t="s">
        <v>835</v>
      </c>
      <c r="B466" s="12">
        <v>3069</v>
      </c>
      <c r="C466" s="15">
        <v>2370894</v>
      </c>
      <c r="D466" s="15">
        <v>664795</v>
      </c>
      <c r="E466" s="12">
        <f>B466-B465</f>
        <v>86.0</v>
      </c>
      <c r="F466" s="13">
        <f>(B466/B465-1)*100</f>
        <v>2.883</v>
      </c>
    </row>
    <row r="467" spans="1:6">
      <c r="A467" s="10" t="s">
        <v>431</v>
      </c>
      <c r="B467" s="12">
        <v>3183</v>
      </c>
      <c r="C467" s="15">
        <v>2753905</v>
      </c>
      <c r="D467" s="15">
        <v>625478</v>
      </c>
      <c r="E467" s="12">
        <f>B467-B466</f>
        <v>114.0</v>
      </c>
      <c r="F467" s="13">
        <f>(B467/B466-1)*100</f>
        <v>3.715</v>
      </c>
    </row>
    <row r="468" spans="1:6">
      <c r="A468" s="10" t="s">
        <v>836</v>
      </c>
      <c r="B468" s="12">
        <v>3158</v>
      </c>
      <c r="C468" s="15">
        <v>3189794</v>
      </c>
      <c r="D468" s="15">
        <v>613186</v>
      </c>
      <c r="E468" s="12">
        <f>B468-B467</f>
        <v>-25.0</v>
      </c>
      <c r="F468" s="13">
        <f>(B468/B467-1)*100</f>
        <v>-0.785</v>
      </c>
    </row>
    <row r="469" spans="1:6">
      <c r="A469" s="10" t="s">
        <v>837</v>
      </c>
      <c r="B469" s="12">
        <v>3175</v>
      </c>
      <c r="C469" s="15">
        <v>2600450</v>
      </c>
      <c r="D469" s="15">
        <v>606495</v>
      </c>
      <c r="E469" s="12">
        <f>B469-B468</f>
        <v>17.0</v>
      </c>
      <c r="F469" s="13">
        <f>(B469/B468-1)*100</f>
        <v>0.538</v>
      </c>
    </row>
    <row r="470" spans="1:6">
      <c r="A470" s="10" t="s">
        <v>838</v>
      </c>
      <c r="B470" s="12">
        <v>3212</v>
      </c>
      <c r="C470" s="15">
        <v>2486680</v>
      </c>
      <c r="D470" s="15">
        <v>620729</v>
      </c>
      <c r="E470" s="12">
        <f>B470-B469</f>
        <v>37.0</v>
      </c>
      <c r="F470" s="13">
        <f>(B470/B469-1)*100</f>
        <v>1.165</v>
      </c>
    </row>
    <row r="471" spans="1:6">
      <c r="A471" s="10" t="s">
        <v>839</v>
      </c>
      <c r="B471" s="12">
        <v>3359</v>
      </c>
      <c r="C471" s="15">
        <v>2956932</v>
      </c>
      <c r="D471" s="15">
        <v>727098</v>
      </c>
      <c r="E471" s="12">
        <f>B471-B470</f>
        <v>147.0</v>
      </c>
      <c r="F471" s="13">
        <f>(B471/B470-1)*100</f>
        <v>4.577</v>
      </c>
    </row>
    <row r="472" spans="1:6">
      <c r="A472" s="10" t="s">
        <v>435</v>
      </c>
      <c r="B472" s="12">
        <v>3411</v>
      </c>
      <c r="C472" s="15">
        <v>3167525</v>
      </c>
      <c r="D472" s="15">
        <v>578655</v>
      </c>
      <c r="E472" s="12">
        <f>B472-B471</f>
        <v>52.0</v>
      </c>
      <c r="F472" s="13">
        <f>(B472/B471-1)*100</f>
        <v>1.548</v>
      </c>
    </row>
    <row r="473" spans="1:6">
      <c r="A473" s="10" t="s">
        <v>840</v>
      </c>
      <c r="B473" s="12">
        <v>3430</v>
      </c>
      <c r="C473" s="15">
        <v>3804381</v>
      </c>
      <c r="D473" s="15">
        <v>538818</v>
      </c>
      <c r="E473" s="12">
        <f>B473-B472</f>
        <v>19.0</v>
      </c>
      <c r="F473" s="13">
        <f>(B473/B472-1)*100</f>
        <v>0.557</v>
      </c>
    </row>
    <row r="474" spans="1:6">
      <c r="A474" s="10" t="s">
        <v>841</v>
      </c>
      <c r="B474" s="12">
        <v>3016</v>
      </c>
      <c r="C474" s="15">
        <v>835215</v>
      </c>
      <c r="D474" s="15">
        <v>564760</v>
      </c>
      <c r="E474" s="12">
        <f>B474-B473</f>
        <v>-414.0</v>
      </c>
      <c r="F474" s="13">
        <f>(B474/B473-1)*100</f>
        <v>-12.07</v>
      </c>
    </row>
    <row r="475" spans="1:6">
      <c r="A475" s="10" t="s">
        <v>842</v>
      </c>
      <c r="B475" s="12">
        <v>3016</v>
      </c>
      <c r="C475" s="15">
        <v>648274</v>
      </c>
      <c r="D475" s="15">
        <v>610426</v>
      </c>
      <c r="E475" s="12">
        <f>B475-B474</f>
        <v>0.0</v>
      </c>
      <c r="F475" s="13">
        <f>(B475/B474-1)*100</f>
        <v>0.0</v>
      </c>
    </row>
    <row r="476" spans="1:6">
      <c r="A476" s="10" t="s">
        <v>843</v>
      </c>
      <c r="B476" s="12">
        <v>3016</v>
      </c>
      <c r="C476" s="15">
        <v>688297</v>
      </c>
      <c r="D476" s="15">
        <v>623567</v>
      </c>
      <c r="E476" s="12">
        <f>B476-B475</f>
        <v>0.0</v>
      </c>
      <c r="F476" s="13">
        <f>(B476/B475-1)*100</f>
        <v>0.0</v>
      </c>
    </row>
    <row r="477" spans="1:6">
      <c r="A477" s="10" t="s">
        <v>439</v>
      </c>
      <c r="B477" s="12">
        <v>3052</v>
      </c>
      <c r="C477" s="15">
        <v>807779</v>
      </c>
      <c r="D477" s="15">
        <v>664087</v>
      </c>
      <c r="E477" s="12">
        <f>B477-B476</f>
        <v>36.0</v>
      </c>
      <c r="F477" s="13">
        <f>(B477/B476-1)*100</f>
        <v>1.194</v>
      </c>
    </row>
    <row r="478" spans="1:6">
      <c r="A478" s="10" t="s">
        <v>844</v>
      </c>
      <c r="B478" s="12">
        <v>2995</v>
      </c>
      <c r="C478" s="15">
        <v>610236</v>
      </c>
      <c r="D478" s="15">
        <v>662873</v>
      </c>
      <c r="E478" s="12">
        <f>B478-B477</f>
        <v>-57.0</v>
      </c>
      <c r="F478" s="13">
        <f>(B478/B477-1)*100</f>
        <v>-1.868</v>
      </c>
    </row>
    <row r="479" spans="1:6">
      <c r="A479" s="10" t="s">
        <v>845</v>
      </c>
      <c r="B479" s="12">
        <v>2952</v>
      </c>
      <c r="C479" s="15">
        <v>713009</v>
      </c>
      <c r="D479" s="15">
        <v>674984</v>
      </c>
      <c r="E479" s="12">
        <f>B479-B478</f>
        <v>-43.0</v>
      </c>
      <c r="F479" s="13">
        <f>(B479/B478-1)*100</f>
        <v>-1.436</v>
      </c>
    </row>
    <row r="480" spans="1:6">
      <c r="A480" s="10" t="s">
        <v>846</v>
      </c>
      <c r="B480" s="12">
        <v>2942</v>
      </c>
      <c r="C480" s="15">
        <v>771528</v>
      </c>
      <c r="D480" s="15">
        <v>712457</v>
      </c>
      <c r="E480" s="12">
        <f>B480-B479</f>
        <v>-10.0</v>
      </c>
      <c r="F480" s="13">
        <f>(B480/B479-1)*100</f>
        <v>-0.339</v>
      </c>
    </row>
    <row r="481" spans="1:6">
      <c r="A481" s="10" t="s">
        <v>847</v>
      </c>
      <c r="B481" s="12">
        <v>2944</v>
      </c>
      <c r="C481" s="15">
        <v>683656</v>
      </c>
      <c r="D481" s="15">
        <v>736173</v>
      </c>
      <c r="E481" s="12">
        <f>B481-B480</f>
        <v>2.0</v>
      </c>
      <c r="F481" s="13">
        <f>(B481/B480-1)*100</f>
        <v>0.068</v>
      </c>
    </row>
    <row r="482" spans="1:6">
      <c r="A482" s="10" t="s">
        <v>443</v>
      </c>
      <c r="B482" s="12">
        <v>2833</v>
      </c>
      <c r="C482" s="15">
        <v>865565</v>
      </c>
      <c r="D482" s="15">
        <v>714634</v>
      </c>
      <c r="E482" s="12">
        <f>B482-B481</f>
        <v>-111.0</v>
      </c>
      <c r="F482" s="13">
        <f>(B482/B481-1)*100</f>
        <v>-3.77</v>
      </c>
    </row>
    <row r="483" spans="1:6">
      <c r="A483" s="10" t="s">
        <v>848</v>
      </c>
      <c r="B483" s="12">
        <v>2960</v>
      </c>
      <c r="C483" s="15">
        <v>994519</v>
      </c>
      <c r="D483" s="15">
        <v>706693</v>
      </c>
      <c r="E483" s="12">
        <f>B483-B482</f>
        <v>127.0</v>
      </c>
      <c r="F483" s="13">
        <f>(B483/B482-1)*100</f>
        <v>4.483</v>
      </c>
    </row>
    <row r="484" spans="1:6">
      <c r="A484" s="10" t="s">
        <v>849</v>
      </c>
      <c r="B484" s="12">
        <v>2941</v>
      </c>
      <c r="C484" s="15">
        <v>604302</v>
      </c>
      <c r="D484" s="15">
        <v>695123</v>
      </c>
      <c r="E484" s="12">
        <f>B484-B483</f>
        <v>-19.0</v>
      </c>
      <c r="F484" s="13">
        <f>(B484/B483-1)*100</f>
        <v>-0.642</v>
      </c>
    </row>
    <row r="485" spans="1:6">
      <c r="A485" s="10" t="s">
        <v>850</v>
      </c>
      <c r="B485" s="12">
        <v>2953</v>
      </c>
      <c r="C485" s="15">
        <v>824100</v>
      </c>
      <c r="D485" s="15">
        <v>684554</v>
      </c>
      <c r="E485" s="12">
        <f>B485-B484</f>
        <v>12.0</v>
      </c>
      <c r="F485" s="13">
        <f>(B485/B484-1)*100</f>
        <v>0.408</v>
      </c>
    </row>
    <row r="486" spans="1:6">
      <c r="A486" s="10" t="s">
        <v>447</v>
      </c>
      <c r="B486" s="12">
        <v>2972</v>
      </c>
      <c r="C486" s="15">
        <v>617789</v>
      </c>
      <c r="D486" s="15">
        <v>660568</v>
      </c>
      <c r="E486" s="12">
        <f>B486-B485</f>
        <v>19.0</v>
      </c>
      <c r="F486" s="13">
        <f>(B486/B485-1)*100</f>
        <v>0.643</v>
      </c>
    </row>
    <row r="487" spans="1:6">
      <c r="A487" s="10" t="s">
        <v>451</v>
      </c>
      <c r="B487" s="12">
        <v>3200</v>
      </c>
      <c r="C487" s="15">
        <v>633499</v>
      </c>
      <c r="D487" s="15">
        <v>690748</v>
      </c>
      <c r="E487" s="12">
        <f>B487-B486</f>
        <v>228.0</v>
      </c>
      <c r="F487" s="13">
        <f>(B487/B486-1)*100</f>
        <v>7.672</v>
      </c>
    </row>
    <row r="488" spans="1:6">
      <c r="A488" s="10" t="s">
        <v>851</v>
      </c>
      <c r="B488" s="12">
        <v>3338</v>
      </c>
      <c r="C488" s="15">
        <v>1493099</v>
      </c>
      <c r="D488" s="15">
        <v>761175</v>
      </c>
      <c r="E488" s="12">
        <f>B488-B487</f>
        <v>138.0</v>
      </c>
      <c r="F488" s="13">
        <f>(B488/B487-1)*100</f>
        <v>4.313</v>
      </c>
    </row>
    <row r="489" spans="1:6">
      <c r="A489" s="10" t="s">
        <v>852</v>
      </c>
      <c r="B489" s="12">
        <v>3229</v>
      </c>
      <c r="C489" s="15">
        <v>1740113</v>
      </c>
      <c r="D489" s="15">
        <v>773423</v>
      </c>
      <c r="E489" s="12">
        <f>B489-B488</f>
        <v>-109.0</v>
      </c>
      <c r="F489" s="13">
        <f>(B489/B488-1)*100</f>
        <v>-3.265</v>
      </c>
    </row>
    <row r="490" spans="1:6">
      <c r="A490" s="10" t="s">
        <v>853</v>
      </c>
      <c r="B490" s="12">
        <v>3235</v>
      </c>
      <c r="C490" s="15">
        <v>1305280</v>
      </c>
      <c r="D490" s="15">
        <v>766220</v>
      </c>
      <c r="E490" s="12">
        <f>B490-B489</f>
        <v>6.0</v>
      </c>
      <c r="F490" s="13">
        <f>(B490/B489-1)*100</f>
        <v>0.186</v>
      </c>
    </row>
    <row r="491" spans="1:6">
      <c r="A491" s="10" t="s">
        <v>455</v>
      </c>
      <c r="B491" s="12">
        <v>3262</v>
      </c>
      <c r="C491" s="15">
        <v>1378408</v>
      </c>
      <c r="D491" s="15">
        <v>804320</v>
      </c>
      <c r="E491" s="12">
        <f>B491-B490</f>
        <v>27.0</v>
      </c>
      <c r="F491" s="13">
        <f>(B491/B490-1)*100</f>
        <v>0.835</v>
      </c>
    </row>
    <row r="492" spans="1:6">
      <c r="A492" s="10" t="s">
        <v>854</v>
      </c>
      <c r="B492" s="12">
        <v>3170</v>
      </c>
      <c r="C492" s="15">
        <v>1452554</v>
      </c>
      <c r="D492" s="15">
        <v>781032</v>
      </c>
      <c r="E492" s="12">
        <f>B492-B491</f>
        <v>-92.0</v>
      </c>
      <c r="F492" s="13">
        <f>(B492/B491-1)*100</f>
        <v>-2.82</v>
      </c>
    </row>
    <row r="493" spans="1:6">
      <c r="A493" s="10" t="s">
        <v>855</v>
      </c>
      <c r="B493" s="12">
        <v>3192</v>
      </c>
      <c r="C493" s="15">
        <v>1561960</v>
      </c>
      <c r="D493" s="15">
        <v>812542</v>
      </c>
      <c r="E493" s="12">
        <f>B493-B492</f>
        <v>22.0</v>
      </c>
      <c r="F493" s="13">
        <f>(B493/B492-1)*100</f>
        <v>0.694</v>
      </c>
    </row>
    <row r="494" spans="1:6">
      <c r="A494" s="10" t="s">
        <v>856</v>
      </c>
      <c r="B494" s="12">
        <v>3143</v>
      </c>
      <c r="C494" s="15">
        <v>1963474</v>
      </c>
      <c r="D494" s="15">
        <v>839680</v>
      </c>
      <c r="E494" s="12">
        <f>B494-B493</f>
        <v>-49.0</v>
      </c>
      <c r="F494" s="13">
        <f>(B494/B493-1)*100</f>
        <v>-1.535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04"/>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6.7109375" customWidth="1"/>
    <col min="2" max="2" width="18.7109375" customWidth="1"/>
    <col min="3" max="3" width="10.7109375" customWidth="1"/>
    <col min="4" max="4" width="18.7109375" customWidth="1"/>
    <col min="5" max="5" width="8.7109375" customWidth="1"/>
    <col min="6" max="6" width="12.7109375" customWidth="1"/>
    <col min="7" max="7" width="22.7109375" customWidth="1"/>
    <col min="8" max="8" width="12.7109375" customWidth="1"/>
    <col min="9" max="9" width="46.7109375" customWidth="1"/>
  </cols>
  <sheetData>
    <row r="1" spans="1:9">
      <c r="A1" s="8" t="s">
        <v>857</v>
      </c>
      <c r="B1" s="8" t="s">
        <v>858</v>
      </c>
      <c r="C1" s="8" t="s">
        <v>859</v>
      </c>
      <c r="D1" s="8" t="s">
        <v>860</v>
      </c>
      <c r="E1" s="8" t="s">
        <v>861</v>
      </c>
      <c r="F1" s="8" t="s">
        <v>862</v>
      </c>
      <c r="G1" s="8" t="s">
        <v>863</v>
      </c>
      <c r="H1" s="8" t="s">
        <v>864</v>
      </c>
      <c r="I1" s="8" t="s">
        <v>865</v>
      </c>
    </row>
    <row r="2" spans="1:9">
      <c r="A2" s="9">
        <v>1</v>
      </c>
      <c r="B2" s="10" t="s">
        <v>54</v>
      </c>
      <c r="C2" s="14" t="s">
        <v>866</v>
      </c>
      <c r="D2" s="11" t="s">
        <v>55</v>
      </c>
      <c r="E2" s="14" t="s">
        <v>867</v>
      </c>
      <c r="F2" s="14" t="s">
        <v>868</v>
      </c>
      <c r="G2" s="14" t="s">
        <v>869</v>
      </c>
      <c r="H2" s="14" t="s">
        <v>870</v>
      </c>
      <c r="I2" s="14" t="s">
        <v>871</v>
      </c>
    </row>
    <row r="3" spans="1:9">
      <c r="A3" s="9">
        <v>2</v>
      </c>
      <c r="B3" s="10" t="s">
        <v>59</v>
      </c>
      <c r="C3" s="14" t="s">
        <v>866</v>
      </c>
      <c r="D3" s="11" t="s">
        <v>60</v>
      </c>
      <c r="E3" s="14" t="s">
        <v>872</v>
      </c>
      <c r="F3" s="14" t="s">
        <v>868</v>
      </c>
      <c r="G3" s="14" t="s">
        <v>873</v>
      </c>
      <c r="H3" s="14" t="s">
        <v>870</v>
      </c>
      <c r="I3" s="14" t="s">
        <v>871</v>
      </c>
    </row>
    <row r="4" spans="1:9">
      <c r="A4" s="9">
        <v>3</v>
      </c>
      <c r="B4" s="10" t="s">
        <v>63</v>
      </c>
      <c r="C4" s="14" t="s">
        <v>866</v>
      </c>
      <c r="D4" s="11" t="s">
        <v>64</v>
      </c>
      <c r="E4" s="14" t="s">
        <v>874</v>
      </c>
      <c r="F4" s="14" t="s">
        <v>868</v>
      </c>
      <c r="G4" s="14" t="s">
        <v>875</v>
      </c>
      <c r="H4" s="14" t="s">
        <v>870</v>
      </c>
      <c r="I4" s="14" t="s">
        <v>871</v>
      </c>
    </row>
    <row r="5" spans="1:9">
      <c r="A5" s="9">
        <v>4</v>
      </c>
      <c r="B5" s="10" t="s">
        <v>67</v>
      </c>
      <c r="C5" s="14" t="s">
        <v>866</v>
      </c>
      <c r="D5" s="11" t="s">
        <v>68</v>
      </c>
      <c r="E5" s="14" t="s">
        <v>876</v>
      </c>
      <c r="F5" s="14" t="s">
        <v>868</v>
      </c>
      <c r="G5" s="14" t="s">
        <v>877</v>
      </c>
      <c r="H5" s="14" t="s">
        <v>870</v>
      </c>
      <c r="I5" s="14" t="s">
        <v>871</v>
      </c>
    </row>
    <row r="6" spans="1:9">
      <c r="A6" s="9">
        <v>5</v>
      </c>
      <c r="B6" s="10" t="s">
        <v>71</v>
      </c>
      <c r="C6" s="14" t="s">
        <v>866</v>
      </c>
      <c r="D6" s="11" t="s">
        <v>72</v>
      </c>
      <c r="E6" s="14" t="s">
        <v>874</v>
      </c>
      <c r="F6" s="14" t="s">
        <v>868</v>
      </c>
      <c r="G6" s="14" t="s">
        <v>878</v>
      </c>
      <c r="H6" s="14" t="s">
        <v>870</v>
      </c>
      <c r="I6" s="14" t="s">
        <v>871</v>
      </c>
    </row>
    <row r="7" spans="1:9">
      <c r="A7" s="9">
        <v>6</v>
      </c>
      <c r="B7" s="10" t="s">
        <v>75</v>
      </c>
      <c r="C7" s="14" t="s">
        <v>866</v>
      </c>
      <c r="D7" s="11" t="s">
        <v>76</v>
      </c>
      <c r="E7" s="14" t="s">
        <v>879</v>
      </c>
      <c r="F7" s="14" t="s">
        <v>868</v>
      </c>
      <c r="G7" s="14" t="s">
        <v>880</v>
      </c>
      <c r="H7" s="14" t="s">
        <v>870</v>
      </c>
      <c r="I7" s="14" t="s">
        <v>871</v>
      </c>
    </row>
    <row r="8" spans="1:9">
      <c r="A8" s="9">
        <v>7</v>
      </c>
      <c r="B8" s="10" t="s">
        <v>79</v>
      </c>
      <c r="C8" s="14" t="s">
        <v>866</v>
      </c>
      <c r="D8" s="11" t="s">
        <v>80</v>
      </c>
      <c r="E8" s="14" t="s">
        <v>874</v>
      </c>
      <c r="F8" s="14" t="s">
        <v>868</v>
      </c>
      <c r="G8" s="14" t="s">
        <v>881</v>
      </c>
      <c r="H8" s="14" t="s">
        <v>870</v>
      </c>
      <c r="I8" s="14" t="s">
        <v>871</v>
      </c>
    </row>
    <row r="9" spans="1:9">
      <c r="A9" s="9">
        <v>8</v>
      </c>
      <c r="B9" s="10" t="s">
        <v>83</v>
      </c>
      <c r="C9" s="14" t="s">
        <v>866</v>
      </c>
      <c r="D9" s="11" t="s">
        <v>84</v>
      </c>
      <c r="E9" s="14" t="s">
        <v>874</v>
      </c>
      <c r="F9" s="14" t="s">
        <v>868</v>
      </c>
      <c r="G9" s="14" t="s">
        <v>882</v>
      </c>
      <c r="H9" s="14" t="s">
        <v>870</v>
      </c>
      <c r="I9" s="14" t="s">
        <v>871</v>
      </c>
    </row>
    <row r="10" spans="1:9">
      <c r="A10" s="9">
        <v>9</v>
      </c>
      <c r="B10" s="10" t="s">
        <v>87</v>
      </c>
      <c r="C10" s="14" t="s">
        <v>866</v>
      </c>
      <c r="D10" s="11" t="s">
        <v>88</v>
      </c>
      <c r="E10" s="14" t="s">
        <v>874</v>
      </c>
      <c r="F10" s="14" t="s">
        <v>868</v>
      </c>
      <c r="G10" s="14" t="s">
        <v>883</v>
      </c>
      <c r="H10" s="14" t="s">
        <v>870</v>
      </c>
      <c r="I10" s="14" t="s">
        <v>871</v>
      </c>
    </row>
    <row r="11" spans="1:9">
      <c r="A11" s="9">
        <v>10</v>
      </c>
      <c r="B11" s="10" t="s">
        <v>91</v>
      </c>
      <c r="C11" s="14" t="s">
        <v>866</v>
      </c>
      <c r="D11" s="11" t="s">
        <v>92</v>
      </c>
      <c r="E11" s="14" t="s">
        <v>874</v>
      </c>
      <c r="F11" s="14" t="s">
        <v>868</v>
      </c>
      <c r="G11" s="14" t="s">
        <v>884</v>
      </c>
      <c r="H11" s="14" t="s">
        <v>870</v>
      </c>
      <c r="I11" s="14" t="s">
        <v>871</v>
      </c>
    </row>
    <row r="12" spans="1:9">
      <c r="A12" s="9">
        <v>11</v>
      </c>
      <c r="B12" s="10" t="s">
        <v>95</v>
      </c>
      <c r="C12" s="14" t="s">
        <v>885</v>
      </c>
      <c r="D12" s="11" t="s">
        <v>96</v>
      </c>
      <c r="E12" s="14" t="s">
        <v>874</v>
      </c>
      <c r="F12" s="14" t="s">
        <v>868</v>
      </c>
      <c r="G12" s="14" t="s">
        <v>886</v>
      </c>
      <c r="H12" s="14" t="s">
        <v>870</v>
      </c>
      <c r="I12" s="14" t="s">
        <v>871</v>
      </c>
    </row>
    <row r="13" spans="1:9">
      <c r="A13" s="9">
        <v>12</v>
      </c>
      <c r="B13" s="10" t="s">
        <v>99</v>
      </c>
      <c r="C13" s="14" t="s">
        <v>866</v>
      </c>
      <c r="D13" s="11" t="s">
        <v>100</v>
      </c>
      <c r="E13" s="14" t="s">
        <v>867</v>
      </c>
      <c r="F13" s="14" t="s">
        <v>868</v>
      </c>
      <c r="G13" s="14" t="s">
        <v>887</v>
      </c>
      <c r="H13" s="14" t="s">
        <v>870</v>
      </c>
      <c r="I13" s="14" t="s">
        <v>871</v>
      </c>
    </row>
    <row r="14" spans="1:9">
      <c r="A14" s="9">
        <v>13</v>
      </c>
      <c r="B14" s="10" t="s">
        <v>103</v>
      </c>
      <c r="C14" s="14" t="s">
        <v>866</v>
      </c>
      <c r="D14" s="11" t="s">
        <v>104</v>
      </c>
      <c r="E14" s="14" t="s">
        <v>874</v>
      </c>
      <c r="F14" s="14" t="s">
        <v>868</v>
      </c>
      <c r="G14" s="14" t="s">
        <v>888</v>
      </c>
      <c r="H14" s="14" t="s">
        <v>870</v>
      </c>
      <c r="I14" s="14" t="s">
        <v>871</v>
      </c>
    </row>
    <row r="15" spans="1:9">
      <c r="A15" s="9">
        <v>14</v>
      </c>
      <c r="B15" s="10" t="s">
        <v>107</v>
      </c>
      <c r="C15" s="14" t="s">
        <v>866</v>
      </c>
      <c r="D15" s="11" t="s">
        <v>108</v>
      </c>
      <c r="E15" s="14" t="s">
        <v>874</v>
      </c>
      <c r="F15" s="14" t="s">
        <v>868</v>
      </c>
      <c r="G15" s="14" t="s">
        <v>889</v>
      </c>
      <c r="H15" s="14" t="s">
        <v>870</v>
      </c>
      <c r="I15" s="14" t="s">
        <v>871</v>
      </c>
    </row>
    <row r="16" spans="1:9">
      <c r="A16" s="9">
        <v>15</v>
      </c>
      <c r="B16" s="10" t="s">
        <v>111</v>
      </c>
      <c r="C16" s="14" t="s">
        <v>866</v>
      </c>
      <c r="D16" s="11" t="s">
        <v>112</v>
      </c>
      <c r="E16" s="14" t="s">
        <v>890</v>
      </c>
      <c r="F16" s="14" t="s">
        <v>868</v>
      </c>
      <c r="G16" s="14" t="s">
        <v>891</v>
      </c>
      <c r="H16" s="14" t="s">
        <v>870</v>
      </c>
      <c r="I16" s="14" t="s">
        <v>871</v>
      </c>
    </row>
    <row r="17" spans="1:9">
      <c r="A17" s="9">
        <v>16</v>
      </c>
      <c r="B17" s="10" t="s">
        <v>115</v>
      </c>
      <c r="C17" s="14" t="s">
        <v>866</v>
      </c>
      <c r="D17" s="11" t="s">
        <v>116</v>
      </c>
      <c r="E17" s="14" t="s">
        <v>874</v>
      </c>
      <c r="F17" s="14" t="s">
        <v>868</v>
      </c>
      <c r="G17" s="14" t="s">
        <v>892</v>
      </c>
      <c r="H17" s="14" t="s">
        <v>870</v>
      </c>
      <c r="I17" s="14" t="s">
        <v>871</v>
      </c>
    </row>
    <row r="18" spans="1:9">
      <c r="A18" s="9">
        <v>17</v>
      </c>
      <c r="B18" s="10" t="s">
        <v>119</v>
      </c>
      <c r="C18" s="14" t="s">
        <v>866</v>
      </c>
      <c r="D18" s="11" t="s">
        <v>120</v>
      </c>
      <c r="E18" s="14" t="s">
        <v>874</v>
      </c>
      <c r="F18" s="14" t="s">
        <v>868</v>
      </c>
      <c r="G18" s="14" t="s">
        <v>893</v>
      </c>
      <c r="H18" s="14" t="s">
        <v>870</v>
      </c>
      <c r="I18" s="14" t="s">
        <v>871</v>
      </c>
    </row>
    <row r="19" spans="1:9">
      <c r="A19" s="9">
        <v>18</v>
      </c>
      <c r="B19" s="10" t="s">
        <v>123</v>
      </c>
      <c r="C19" s="14" t="s">
        <v>866</v>
      </c>
      <c r="D19" s="11" t="s">
        <v>124</v>
      </c>
      <c r="E19" s="14" t="s">
        <v>874</v>
      </c>
      <c r="F19" s="14" t="s">
        <v>868</v>
      </c>
      <c r="G19" s="14" t="s">
        <v>894</v>
      </c>
      <c r="H19" s="14" t="s">
        <v>870</v>
      </c>
      <c r="I19" s="14" t="s">
        <v>871</v>
      </c>
    </row>
    <row r="20" spans="1:9">
      <c r="A20" s="9">
        <v>19</v>
      </c>
      <c r="B20" s="10" t="s">
        <v>127</v>
      </c>
      <c r="C20" s="14" t="s">
        <v>866</v>
      </c>
      <c r="D20" s="11" t="s">
        <v>128</v>
      </c>
      <c r="E20" s="14" t="s">
        <v>874</v>
      </c>
      <c r="F20" s="14" t="s">
        <v>868</v>
      </c>
      <c r="G20" s="14" t="s">
        <v>895</v>
      </c>
      <c r="H20" s="14" t="s">
        <v>870</v>
      </c>
      <c r="I20" s="14" t="s">
        <v>871</v>
      </c>
    </row>
    <row r="21" spans="1:9">
      <c r="A21" s="9">
        <v>20</v>
      </c>
      <c r="B21" s="10" t="s">
        <v>131</v>
      </c>
      <c r="C21" s="14" t="s">
        <v>866</v>
      </c>
      <c r="D21" s="11" t="s">
        <v>132</v>
      </c>
      <c r="E21" s="14" t="s">
        <v>874</v>
      </c>
      <c r="F21" s="14" t="s">
        <v>868</v>
      </c>
      <c r="G21" s="14" t="s">
        <v>896</v>
      </c>
      <c r="H21" s="14" t="s">
        <v>870</v>
      </c>
      <c r="I21" s="14" t="s">
        <v>871</v>
      </c>
    </row>
    <row r="22" spans="1:9">
      <c r="A22" s="9">
        <v>21</v>
      </c>
      <c r="B22" s="10" t="s">
        <v>135</v>
      </c>
      <c r="C22" s="14" t="s">
        <v>866</v>
      </c>
      <c r="D22" s="11" t="s">
        <v>136</v>
      </c>
      <c r="E22" s="14" t="s">
        <v>874</v>
      </c>
      <c r="F22" s="14" t="s">
        <v>868</v>
      </c>
      <c r="G22" s="14" t="s">
        <v>897</v>
      </c>
      <c r="H22" s="14" t="s">
        <v>870</v>
      </c>
      <c r="I22" s="14" t="s">
        <v>871</v>
      </c>
    </row>
    <row r="23" spans="1:9">
      <c r="A23" s="9">
        <v>22</v>
      </c>
      <c r="B23" s="10" t="s">
        <v>139</v>
      </c>
      <c r="C23" s="14" t="s">
        <v>866</v>
      </c>
      <c r="D23" s="11" t="s">
        <v>140</v>
      </c>
      <c r="E23" s="14" t="s">
        <v>874</v>
      </c>
      <c r="F23" s="14" t="s">
        <v>868</v>
      </c>
      <c r="G23" s="14" t="s">
        <v>898</v>
      </c>
      <c r="H23" s="14" t="s">
        <v>870</v>
      </c>
      <c r="I23" s="14" t="s">
        <v>871</v>
      </c>
    </row>
    <row r="24" spans="1:9">
      <c r="A24" s="9">
        <v>23</v>
      </c>
      <c r="B24" s="10" t="s">
        <v>143</v>
      </c>
      <c r="C24" s="14" t="s">
        <v>866</v>
      </c>
      <c r="D24" s="11" t="s">
        <v>144</v>
      </c>
      <c r="E24" s="14" t="s">
        <v>874</v>
      </c>
      <c r="F24" s="14" t="s">
        <v>868</v>
      </c>
      <c r="G24" s="14" t="s">
        <v>899</v>
      </c>
      <c r="H24" s="14" t="s">
        <v>870</v>
      </c>
      <c r="I24" s="14" t="s">
        <v>871</v>
      </c>
    </row>
    <row r="25" spans="1:9">
      <c r="A25" s="9">
        <v>24</v>
      </c>
      <c r="B25" s="10" t="s">
        <v>147</v>
      </c>
      <c r="C25" s="14" t="s">
        <v>866</v>
      </c>
      <c r="D25" s="11" t="s">
        <v>148</v>
      </c>
      <c r="E25" s="14" t="s">
        <v>874</v>
      </c>
      <c r="F25" s="14" t="s">
        <v>868</v>
      </c>
      <c r="G25" s="14" t="s">
        <v>900</v>
      </c>
      <c r="H25" s="14" t="s">
        <v>870</v>
      </c>
      <c r="I25" s="14" t="s">
        <v>871</v>
      </c>
    </row>
    <row r="26" spans="1:9">
      <c r="A26" s="9">
        <v>25</v>
      </c>
      <c r="B26" s="10" t="s">
        <v>151</v>
      </c>
      <c r="C26" s="14" t="s">
        <v>866</v>
      </c>
      <c r="D26" s="11" t="s">
        <v>152</v>
      </c>
      <c r="E26" s="14" t="s">
        <v>874</v>
      </c>
      <c r="F26" s="14" t="s">
        <v>868</v>
      </c>
      <c r="G26" s="14" t="s">
        <v>901</v>
      </c>
      <c r="H26" s="14" t="s">
        <v>870</v>
      </c>
      <c r="I26" s="14" t="s">
        <v>871</v>
      </c>
    </row>
    <row r="27" spans="1:9">
      <c r="A27" s="9">
        <v>26</v>
      </c>
      <c r="B27" s="10" t="s">
        <v>155</v>
      </c>
      <c r="C27" s="14" t="s">
        <v>866</v>
      </c>
      <c r="D27" s="11" t="s">
        <v>156</v>
      </c>
      <c r="E27" s="14" t="s">
        <v>874</v>
      </c>
      <c r="F27" s="14" t="s">
        <v>868</v>
      </c>
      <c r="G27" s="14" t="s">
        <v>902</v>
      </c>
      <c r="H27" s="14" t="s">
        <v>870</v>
      </c>
      <c r="I27" s="14" t="s">
        <v>871</v>
      </c>
    </row>
    <row r="28" spans="1:9">
      <c r="A28" s="9">
        <v>27</v>
      </c>
      <c r="B28" s="10" t="s">
        <v>159</v>
      </c>
      <c r="C28" s="14" t="s">
        <v>866</v>
      </c>
      <c r="D28" s="11" t="s">
        <v>160</v>
      </c>
      <c r="E28" s="14" t="s">
        <v>874</v>
      </c>
      <c r="F28" s="14" t="s">
        <v>868</v>
      </c>
      <c r="G28" s="14" t="s">
        <v>903</v>
      </c>
      <c r="H28" s="14" t="s">
        <v>870</v>
      </c>
      <c r="I28" s="14" t="s">
        <v>871</v>
      </c>
    </row>
    <row r="29" spans="1:9">
      <c r="A29" s="9">
        <v>28</v>
      </c>
      <c r="B29" s="10" t="s">
        <v>163</v>
      </c>
      <c r="C29" s="14" t="s">
        <v>866</v>
      </c>
      <c r="D29" s="11" t="s">
        <v>164</v>
      </c>
      <c r="E29" s="14" t="s">
        <v>874</v>
      </c>
      <c r="F29" s="14" t="s">
        <v>868</v>
      </c>
      <c r="G29" s="14" t="s">
        <v>904</v>
      </c>
      <c r="H29" s="14" t="s">
        <v>870</v>
      </c>
      <c r="I29" s="14" t="s">
        <v>871</v>
      </c>
    </row>
    <row r="30" spans="1:9">
      <c r="A30" s="9">
        <v>29</v>
      </c>
      <c r="B30" s="10" t="s">
        <v>167</v>
      </c>
      <c r="C30" s="14" t="s">
        <v>866</v>
      </c>
      <c r="D30" s="11" t="s">
        <v>168</v>
      </c>
      <c r="E30" s="14" t="s">
        <v>874</v>
      </c>
      <c r="F30" s="14" t="s">
        <v>868</v>
      </c>
      <c r="G30" s="14" t="s">
        <v>905</v>
      </c>
      <c r="H30" s="14" t="s">
        <v>870</v>
      </c>
      <c r="I30" s="14" t="s">
        <v>871</v>
      </c>
    </row>
    <row r="31" spans="1:9">
      <c r="A31" s="9">
        <v>30</v>
      </c>
      <c r="B31" s="10" t="s">
        <v>171</v>
      </c>
      <c r="C31" s="14" t="s">
        <v>866</v>
      </c>
      <c r="D31" s="11" t="s">
        <v>172</v>
      </c>
      <c r="E31" s="14" t="s">
        <v>874</v>
      </c>
      <c r="F31" s="14" t="s">
        <v>868</v>
      </c>
      <c r="G31" s="14" t="s">
        <v>906</v>
      </c>
      <c r="H31" s="14" t="s">
        <v>870</v>
      </c>
      <c r="I31" s="14" t="s">
        <v>871</v>
      </c>
    </row>
    <row r="32" spans="1:9">
      <c r="A32" s="9">
        <v>31</v>
      </c>
      <c r="B32" s="10" t="s">
        <v>175</v>
      </c>
      <c r="C32" s="14" t="s">
        <v>866</v>
      </c>
      <c r="D32" s="11" t="s">
        <v>176</v>
      </c>
      <c r="E32" s="14" t="s">
        <v>876</v>
      </c>
      <c r="F32" s="14" t="s">
        <v>868</v>
      </c>
      <c r="G32" s="14" t="s">
        <v>907</v>
      </c>
      <c r="H32" s="14" t="s">
        <v>870</v>
      </c>
      <c r="I32" s="14" t="s">
        <v>871</v>
      </c>
    </row>
    <row r="33" spans="1:9">
      <c r="A33" s="9">
        <v>32</v>
      </c>
      <c r="B33" s="10" t="s">
        <v>179</v>
      </c>
      <c r="C33" s="14" t="s">
        <v>866</v>
      </c>
      <c r="D33" s="11" t="s">
        <v>180</v>
      </c>
      <c r="E33" s="14" t="s">
        <v>874</v>
      </c>
      <c r="F33" s="14" t="s">
        <v>868</v>
      </c>
      <c r="G33" s="14" t="s">
        <v>908</v>
      </c>
      <c r="H33" s="14" t="s">
        <v>870</v>
      </c>
      <c r="I33" s="14" t="s">
        <v>871</v>
      </c>
    </row>
    <row r="34" spans="1:9">
      <c r="A34" s="9">
        <v>33</v>
      </c>
      <c r="B34" s="10" t="s">
        <v>183</v>
      </c>
      <c r="C34" s="14" t="s">
        <v>866</v>
      </c>
      <c r="D34" s="11" t="s">
        <v>184</v>
      </c>
      <c r="E34" s="14" t="s">
        <v>890</v>
      </c>
      <c r="F34" s="14" t="s">
        <v>868</v>
      </c>
      <c r="G34" s="14" t="s">
        <v>909</v>
      </c>
      <c r="H34" s="14" t="s">
        <v>870</v>
      </c>
      <c r="I34" s="14" t="s">
        <v>871</v>
      </c>
    </row>
    <row r="35" spans="1:9">
      <c r="A35" s="9">
        <v>34</v>
      </c>
      <c r="B35" s="10" t="s">
        <v>187</v>
      </c>
      <c r="C35" s="14" t="s">
        <v>866</v>
      </c>
      <c r="D35" s="11" t="s">
        <v>188</v>
      </c>
      <c r="E35" s="14" t="s">
        <v>874</v>
      </c>
      <c r="F35" s="14" t="s">
        <v>868</v>
      </c>
      <c r="G35" s="14" t="s">
        <v>910</v>
      </c>
      <c r="H35" s="14" t="s">
        <v>870</v>
      </c>
      <c r="I35" s="14" t="s">
        <v>871</v>
      </c>
    </row>
    <row r="36" spans="1:9">
      <c r="A36" s="9">
        <v>35</v>
      </c>
      <c r="B36" s="10" t="s">
        <v>191</v>
      </c>
      <c r="C36" s="14" t="s">
        <v>866</v>
      </c>
      <c r="D36" s="11" t="s">
        <v>192</v>
      </c>
      <c r="E36" s="14" t="s">
        <v>874</v>
      </c>
      <c r="F36" s="14" t="s">
        <v>868</v>
      </c>
      <c r="G36" s="14" t="s">
        <v>911</v>
      </c>
      <c r="H36" s="14" t="s">
        <v>870</v>
      </c>
      <c r="I36" s="14" t="s">
        <v>871</v>
      </c>
    </row>
    <row r="37" spans="1:9">
      <c r="A37" s="9">
        <v>36</v>
      </c>
      <c r="B37" s="10" t="s">
        <v>195</v>
      </c>
      <c r="C37" s="14" t="s">
        <v>866</v>
      </c>
      <c r="D37" s="11" t="s">
        <v>196</v>
      </c>
      <c r="E37" s="14" t="s">
        <v>874</v>
      </c>
      <c r="F37" s="14" t="s">
        <v>868</v>
      </c>
      <c r="G37" s="14" t="s">
        <v>912</v>
      </c>
      <c r="H37" s="14" t="s">
        <v>870</v>
      </c>
      <c r="I37" s="14" t="s">
        <v>871</v>
      </c>
    </row>
    <row r="38" spans="1:9">
      <c r="A38" s="9">
        <v>37</v>
      </c>
      <c r="B38" s="10" t="s">
        <v>199</v>
      </c>
      <c r="C38" s="14" t="s">
        <v>866</v>
      </c>
      <c r="D38" s="11" t="s">
        <v>200</v>
      </c>
      <c r="E38" s="14" t="s">
        <v>874</v>
      </c>
      <c r="F38" s="14" t="s">
        <v>868</v>
      </c>
      <c r="G38" s="14" t="s">
        <v>913</v>
      </c>
      <c r="H38" s="14" t="s">
        <v>870</v>
      </c>
      <c r="I38" s="14" t="s">
        <v>871</v>
      </c>
    </row>
    <row r="39" spans="1:9">
      <c r="A39" s="9">
        <v>38</v>
      </c>
      <c r="B39" s="10" t="s">
        <v>203</v>
      </c>
      <c r="C39" s="14" t="s">
        <v>866</v>
      </c>
      <c r="D39" s="11" t="s">
        <v>204</v>
      </c>
      <c r="E39" s="14" t="s">
        <v>874</v>
      </c>
      <c r="F39" s="14" t="s">
        <v>868</v>
      </c>
      <c r="G39" s="14" t="s">
        <v>914</v>
      </c>
      <c r="H39" s="14" t="s">
        <v>870</v>
      </c>
      <c r="I39" s="14" t="s">
        <v>871</v>
      </c>
    </row>
    <row r="40" spans="1:9">
      <c r="A40" s="9">
        <v>39</v>
      </c>
      <c r="B40" s="10" t="s">
        <v>207</v>
      </c>
      <c r="C40" s="14" t="s">
        <v>866</v>
      </c>
      <c r="D40" s="11" t="s">
        <v>208</v>
      </c>
      <c r="E40" s="14" t="s">
        <v>874</v>
      </c>
      <c r="F40" s="14" t="s">
        <v>868</v>
      </c>
      <c r="G40" s="14" t="s">
        <v>915</v>
      </c>
      <c r="H40" s="14" t="s">
        <v>870</v>
      </c>
      <c r="I40" s="14" t="s">
        <v>871</v>
      </c>
    </row>
    <row r="41" spans="1:9">
      <c r="A41" s="9">
        <v>40</v>
      </c>
      <c r="B41" s="10" t="s">
        <v>211</v>
      </c>
      <c r="C41" s="14" t="s">
        <v>866</v>
      </c>
      <c r="D41" s="11" t="s">
        <v>212</v>
      </c>
      <c r="E41" s="14" t="s">
        <v>874</v>
      </c>
      <c r="F41" s="14" t="s">
        <v>868</v>
      </c>
      <c r="G41" s="14" t="s">
        <v>916</v>
      </c>
      <c r="H41" s="14" t="s">
        <v>870</v>
      </c>
      <c r="I41" s="14" t="s">
        <v>871</v>
      </c>
    </row>
    <row r="42" spans="1:9">
      <c r="A42" s="9">
        <v>41</v>
      </c>
      <c r="B42" s="10" t="s">
        <v>215</v>
      </c>
      <c r="C42" s="14" t="s">
        <v>866</v>
      </c>
      <c r="D42" s="11" t="s">
        <v>216</v>
      </c>
      <c r="E42" s="14" t="s">
        <v>874</v>
      </c>
      <c r="F42" s="14" t="s">
        <v>868</v>
      </c>
      <c r="G42" s="14" t="s">
        <v>917</v>
      </c>
      <c r="H42" s="14" t="s">
        <v>870</v>
      </c>
      <c r="I42" s="14" t="s">
        <v>871</v>
      </c>
    </row>
    <row r="43" spans="1:9">
      <c r="A43" s="9">
        <v>42</v>
      </c>
      <c r="B43" s="10" t="s">
        <v>219</v>
      </c>
      <c r="C43" s="14" t="s">
        <v>866</v>
      </c>
      <c r="D43" s="11" t="s">
        <v>220</v>
      </c>
      <c r="E43" s="14" t="s">
        <v>874</v>
      </c>
      <c r="F43" s="14" t="s">
        <v>868</v>
      </c>
      <c r="G43" s="14" t="s">
        <v>918</v>
      </c>
      <c r="H43" s="14" t="s">
        <v>870</v>
      </c>
      <c r="I43" s="14" t="s">
        <v>871</v>
      </c>
    </row>
    <row r="44" spans="1:9">
      <c r="A44" s="9">
        <v>43</v>
      </c>
      <c r="B44" s="10" t="s">
        <v>223</v>
      </c>
      <c r="C44" s="14" t="s">
        <v>866</v>
      </c>
      <c r="D44" s="11" t="s">
        <v>224</v>
      </c>
      <c r="E44" s="14" t="s">
        <v>874</v>
      </c>
      <c r="F44" s="14" t="s">
        <v>868</v>
      </c>
      <c r="G44" s="14" t="s">
        <v>919</v>
      </c>
      <c r="H44" s="14" t="s">
        <v>870</v>
      </c>
      <c r="I44" s="14" t="s">
        <v>871</v>
      </c>
    </row>
    <row r="45" spans="1:9">
      <c r="A45" s="9">
        <v>44</v>
      </c>
      <c r="B45" s="10" t="s">
        <v>227</v>
      </c>
      <c r="C45" s="14" t="s">
        <v>866</v>
      </c>
      <c r="D45" s="11" t="s">
        <v>228</v>
      </c>
      <c r="E45" s="14" t="s">
        <v>874</v>
      </c>
      <c r="F45" s="14" t="s">
        <v>868</v>
      </c>
      <c r="G45" s="14" t="s">
        <v>920</v>
      </c>
      <c r="H45" s="14" t="s">
        <v>870</v>
      </c>
      <c r="I45" s="14" t="s">
        <v>871</v>
      </c>
    </row>
    <row r="46" spans="1:9">
      <c r="A46" s="9">
        <v>45</v>
      </c>
      <c r="B46" s="10" t="s">
        <v>231</v>
      </c>
      <c r="C46" s="14" t="s">
        <v>866</v>
      </c>
      <c r="D46" s="11" t="s">
        <v>232</v>
      </c>
      <c r="E46" s="14" t="s">
        <v>874</v>
      </c>
      <c r="F46" s="14" t="s">
        <v>868</v>
      </c>
      <c r="G46" s="14" t="s">
        <v>921</v>
      </c>
      <c r="H46" s="14" t="s">
        <v>870</v>
      </c>
      <c r="I46" s="14" t="s">
        <v>871</v>
      </c>
    </row>
    <row r="47" spans="1:9">
      <c r="A47" s="9">
        <v>46</v>
      </c>
      <c r="B47" s="10" t="s">
        <v>235</v>
      </c>
      <c r="C47" s="14" t="s">
        <v>866</v>
      </c>
      <c r="D47" s="11" t="s">
        <v>236</v>
      </c>
      <c r="E47" s="14" t="s">
        <v>874</v>
      </c>
      <c r="F47" s="14" t="s">
        <v>868</v>
      </c>
      <c r="G47" s="14" t="s">
        <v>922</v>
      </c>
      <c r="H47" s="14" t="s">
        <v>870</v>
      </c>
      <c r="I47" s="14" t="s">
        <v>871</v>
      </c>
    </row>
    <row r="48" spans="1:9">
      <c r="A48" s="9">
        <v>47</v>
      </c>
      <c r="B48" s="10" t="s">
        <v>239</v>
      </c>
      <c r="C48" s="14" t="s">
        <v>866</v>
      </c>
      <c r="D48" s="11" t="s">
        <v>240</v>
      </c>
      <c r="E48" s="14" t="s">
        <v>923</v>
      </c>
      <c r="F48" s="14" t="s">
        <v>868</v>
      </c>
      <c r="G48" s="14" t="s">
        <v>924</v>
      </c>
      <c r="H48" s="14" t="s">
        <v>870</v>
      </c>
      <c r="I48" s="14" t="s">
        <v>871</v>
      </c>
    </row>
    <row r="49" spans="1:9">
      <c r="A49" s="9">
        <v>48</v>
      </c>
      <c r="B49" s="10" t="s">
        <v>243</v>
      </c>
      <c r="C49" s="14" t="s">
        <v>866</v>
      </c>
      <c r="D49" s="11" t="s">
        <v>244</v>
      </c>
      <c r="E49" s="14" t="s">
        <v>874</v>
      </c>
      <c r="F49" s="14" t="s">
        <v>868</v>
      </c>
      <c r="G49" s="14" t="s">
        <v>925</v>
      </c>
      <c r="H49" s="14" t="s">
        <v>870</v>
      </c>
      <c r="I49" s="14" t="s">
        <v>871</v>
      </c>
    </row>
    <row r="50" spans="1:9">
      <c r="A50" s="9">
        <v>49</v>
      </c>
      <c r="B50" s="10" t="s">
        <v>247</v>
      </c>
      <c r="C50" s="14" t="s">
        <v>885</v>
      </c>
      <c r="D50" s="11" t="s">
        <v>248</v>
      </c>
      <c r="E50" s="14" t="s">
        <v>874</v>
      </c>
      <c r="F50" s="14" t="s">
        <v>868</v>
      </c>
      <c r="G50" s="14" t="s">
        <v>926</v>
      </c>
      <c r="H50" s="14" t="s">
        <v>870</v>
      </c>
      <c r="I50" s="14" t="s">
        <v>871</v>
      </c>
    </row>
    <row r="51" spans="1:9">
      <c r="A51" s="9">
        <v>50</v>
      </c>
      <c r="B51" s="10" t="s">
        <v>251</v>
      </c>
      <c r="C51" s="14" t="s">
        <v>866</v>
      </c>
      <c r="D51" s="11" t="s">
        <v>252</v>
      </c>
      <c r="E51" s="14" t="s">
        <v>890</v>
      </c>
      <c r="F51" s="14" t="s">
        <v>868</v>
      </c>
      <c r="G51" s="14" t="s">
        <v>927</v>
      </c>
      <c r="H51" s="14" t="s">
        <v>870</v>
      </c>
      <c r="I51" s="14" t="s">
        <v>871</v>
      </c>
    </row>
    <row r="52" spans="1:9">
      <c r="A52" s="9">
        <v>51</v>
      </c>
      <c r="B52" s="10" t="s">
        <v>255</v>
      </c>
      <c r="C52" s="14" t="s">
        <v>866</v>
      </c>
      <c r="D52" s="11" t="s">
        <v>256</v>
      </c>
      <c r="E52" s="14" t="s">
        <v>874</v>
      </c>
      <c r="F52" s="14" t="s">
        <v>868</v>
      </c>
      <c r="G52" s="14" t="s">
        <v>928</v>
      </c>
      <c r="H52" s="14" t="s">
        <v>870</v>
      </c>
      <c r="I52" s="14" t="s">
        <v>871</v>
      </c>
    </row>
    <row r="53" spans="1:9">
      <c r="A53" s="9">
        <v>52</v>
      </c>
      <c r="B53" s="10" t="s">
        <v>259</v>
      </c>
      <c r="C53" s="14" t="s">
        <v>866</v>
      </c>
      <c r="D53" s="11" t="s">
        <v>260</v>
      </c>
      <c r="E53" s="14" t="s">
        <v>874</v>
      </c>
      <c r="F53" s="14" t="s">
        <v>868</v>
      </c>
      <c r="G53" s="14" t="s">
        <v>929</v>
      </c>
      <c r="H53" s="14" t="s">
        <v>870</v>
      </c>
      <c r="I53" s="14" t="s">
        <v>871</v>
      </c>
    </row>
    <row r="54" spans="1:9">
      <c r="A54" s="9">
        <v>53</v>
      </c>
      <c r="B54" s="10" t="s">
        <v>263</v>
      </c>
      <c r="C54" s="14" t="s">
        <v>866</v>
      </c>
      <c r="D54" s="11" t="s">
        <v>264</v>
      </c>
      <c r="E54" s="14" t="s">
        <v>876</v>
      </c>
      <c r="F54" s="14" t="s">
        <v>868</v>
      </c>
      <c r="G54" s="14" t="s">
        <v>930</v>
      </c>
      <c r="H54" s="14" t="s">
        <v>870</v>
      </c>
      <c r="I54" s="14" t="s">
        <v>871</v>
      </c>
    </row>
    <row r="55" spans="1:9">
      <c r="A55" s="9">
        <v>54</v>
      </c>
      <c r="B55" s="10" t="s">
        <v>267</v>
      </c>
      <c r="C55" s="14" t="s">
        <v>866</v>
      </c>
      <c r="D55" s="11" t="s">
        <v>268</v>
      </c>
      <c r="E55" s="14" t="s">
        <v>890</v>
      </c>
      <c r="F55" s="14" t="s">
        <v>868</v>
      </c>
      <c r="G55" s="14" t="s">
        <v>931</v>
      </c>
      <c r="H55" s="14" t="s">
        <v>870</v>
      </c>
      <c r="I55" s="14" t="s">
        <v>871</v>
      </c>
    </row>
    <row r="56" spans="1:9">
      <c r="A56" s="9">
        <v>55</v>
      </c>
      <c r="B56" s="10" t="s">
        <v>271</v>
      </c>
      <c r="C56" s="14" t="s">
        <v>866</v>
      </c>
      <c r="D56" s="11" t="s">
        <v>272</v>
      </c>
      <c r="E56" s="14" t="s">
        <v>932</v>
      </c>
      <c r="F56" s="14" t="s">
        <v>868</v>
      </c>
      <c r="G56" s="14" t="s">
        <v>933</v>
      </c>
      <c r="H56" s="14" t="s">
        <v>870</v>
      </c>
      <c r="I56" s="14" t="s">
        <v>871</v>
      </c>
    </row>
    <row r="57" spans="1:9">
      <c r="A57" s="9">
        <v>56</v>
      </c>
      <c r="B57" s="10" t="s">
        <v>275</v>
      </c>
      <c r="C57" s="14" t="s">
        <v>866</v>
      </c>
      <c r="D57" s="11" t="s">
        <v>276</v>
      </c>
      <c r="E57" s="14" t="s">
        <v>867</v>
      </c>
      <c r="F57" s="14" t="s">
        <v>868</v>
      </c>
      <c r="G57" s="14" t="s">
        <v>934</v>
      </c>
      <c r="H57" s="14" t="s">
        <v>870</v>
      </c>
      <c r="I57" s="14" t="s">
        <v>871</v>
      </c>
    </row>
    <row r="58" spans="1:9">
      <c r="A58" s="9">
        <v>57</v>
      </c>
      <c r="B58" s="10" t="s">
        <v>279</v>
      </c>
      <c r="C58" s="14" t="s">
        <v>866</v>
      </c>
      <c r="D58" s="11" t="s">
        <v>280</v>
      </c>
      <c r="E58" s="14" t="s">
        <v>874</v>
      </c>
      <c r="F58" s="14" t="s">
        <v>868</v>
      </c>
      <c r="G58" s="14" t="s">
        <v>935</v>
      </c>
      <c r="H58" s="14" t="s">
        <v>870</v>
      </c>
      <c r="I58" s="14" t="s">
        <v>871</v>
      </c>
    </row>
    <row r="59" spans="1:9">
      <c r="A59" s="9">
        <v>58</v>
      </c>
      <c r="B59" s="10" t="s">
        <v>283</v>
      </c>
      <c r="C59" s="14" t="s">
        <v>866</v>
      </c>
      <c r="D59" s="11" t="s">
        <v>284</v>
      </c>
      <c r="E59" s="14" t="s">
        <v>874</v>
      </c>
      <c r="F59" s="14" t="s">
        <v>868</v>
      </c>
      <c r="G59" s="14" t="s">
        <v>936</v>
      </c>
      <c r="H59" s="14" t="s">
        <v>870</v>
      </c>
      <c r="I59" s="14" t="s">
        <v>871</v>
      </c>
    </row>
    <row r="60" spans="1:9">
      <c r="A60" s="9">
        <v>59</v>
      </c>
      <c r="B60" s="10" t="s">
        <v>287</v>
      </c>
      <c r="C60" s="14" t="s">
        <v>866</v>
      </c>
      <c r="D60" s="11" t="s">
        <v>288</v>
      </c>
      <c r="E60" s="14" t="s">
        <v>874</v>
      </c>
      <c r="F60" s="14" t="s">
        <v>868</v>
      </c>
      <c r="G60" s="14" t="s">
        <v>937</v>
      </c>
      <c r="H60" s="14" t="s">
        <v>870</v>
      </c>
      <c r="I60" s="14" t="s">
        <v>871</v>
      </c>
    </row>
    <row r="61" spans="1:9">
      <c r="A61" s="9">
        <v>60</v>
      </c>
      <c r="B61" s="10" t="s">
        <v>291</v>
      </c>
      <c r="C61" s="14" t="s">
        <v>866</v>
      </c>
      <c r="D61" s="11" t="s">
        <v>292</v>
      </c>
      <c r="E61" s="14" t="s">
        <v>874</v>
      </c>
      <c r="F61" s="14" t="s">
        <v>868</v>
      </c>
      <c r="G61" s="14" t="s">
        <v>938</v>
      </c>
      <c r="H61" s="14" t="s">
        <v>870</v>
      </c>
      <c r="I61" s="14" t="s">
        <v>871</v>
      </c>
    </row>
    <row r="62" spans="1:9">
      <c r="A62" s="9">
        <v>61</v>
      </c>
      <c r="B62" s="10" t="s">
        <v>295</v>
      </c>
      <c r="C62" s="14" t="s">
        <v>866</v>
      </c>
      <c r="D62" s="11" t="s">
        <v>296</v>
      </c>
      <c r="E62" s="14" t="s">
        <v>874</v>
      </c>
      <c r="F62" s="14" t="s">
        <v>868</v>
      </c>
      <c r="G62" s="14" t="s">
        <v>939</v>
      </c>
      <c r="H62" s="14" t="s">
        <v>870</v>
      </c>
      <c r="I62" s="14" t="s">
        <v>871</v>
      </c>
    </row>
    <row r="63" spans="1:9">
      <c r="A63" s="9">
        <v>62</v>
      </c>
      <c r="B63" s="10" t="s">
        <v>299</v>
      </c>
      <c r="C63" s="14" t="s">
        <v>866</v>
      </c>
      <c r="D63" s="11" t="s">
        <v>300</v>
      </c>
      <c r="E63" s="14" t="s">
        <v>874</v>
      </c>
      <c r="F63" s="14" t="s">
        <v>868</v>
      </c>
      <c r="G63" s="14" t="s">
        <v>940</v>
      </c>
      <c r="H63" s="14" t="s">
        <v>870</v>
      </c>
      <c r="I63" s="14" t="s">
        <v>871</v>
      </c>
    </row>
    <row r="64" spans="1:9">
      <c r="A64" s="9">
        <v>63</v>
      </c>
      <c r="B64" s="10" t="s">
        <v>303</v>
      </c>
      <c r="C64" s="14" t="s">
        <v>866</v>
      </c>
      <c r="D64" s="11" t="s">
        <v>304</v>
      </c>
      <c r="E64" s="14" t="s">
        <v>874</v>
      </c>
      <c r="F64" s="14" t="s">
        <v>868</v>
      </c>
      <c r="G64" s="14" t="s">
        <v>941</v>
      </c>
      <c r="H64" s="14" t="s">
        <v>870</v>
      </c>
      <c r="I64" s="14" t="s">
        <v>871</v>
      </c>
    </row>
    <row r="65" spans="1:9">
      <c r="A65" s="9">
        <v>64</v>
      </c>
      <c r="B65" s="10" t="s">
        <v>307</v>
      </c>
      <c r="C65" s="14" t="s">
        <v>866</v>
      </c>
      <c r="D65" s="11" t="s">
        <v>308</v>
      </c>
      <c r="E65" s="14" t="s">
        <v>874</v>
      </c>
      <c r="F65" s="14" t="s">
        <v>868</v>
      </c>
      <c r="G65" s="14" t="s">
        <v>942</v>
      </c>
      <c r="H65" s="14" t="s">
        <v>870</v>
      </c>
      <c r="I65" s="14" t="s">
        <v>871</v>
      </c>
    </row>
    <row r="66" spans="1:9">
      <c r="A66" s="9">
        <v>65</v>
      </c>
      <c r="B66" s="10" t="s">
        <v>311</v>
      </c>
      <c r="C66" s="14" t="s">
        <v>866</v>
      </c>
      <c r="D66" s="11" t="s">
        <v>312</v>
      </c>
      <c r="E66" s="14" t="s">
        <v>874</v>
      </c>
      <c r="F66" s="14" t="s">
        <v>868</v>
      </c>
      <c r="G66" s="14" t="s">
        <v>943</v>
      </c>
      <c r="H66" s="14" t="s">
        <v>870</v>
      </c>
      <c r="I66" s="14" t="s">
        <v>871</v>
      </c>
    </row>
    <row r="67" spans="1:9">
      <c r="A67" s="9">
        <v>66</v>
      </c>
      <c r="B67" s="10" t="s">
        <v>315</v>
      </c>
      <c r="C67" s="14" t="s">
        <v>866</v>
      </c>
      <c r="D67" s="11" t="s">
        <v>316</v>
      </c>
      <c r="E67" s="14" t="s">
        <v>874</v>
      </c>
      <c r="F67" s="14" t="s">
        <v>868</v>
      </c>
      <c r="G67" s="14" t="s">
        <v>944</v>
      </c>
      <c r="H67" s="14" t="s">
        <v>870</v>
      </c>
      <c r="I67" s="14" t="s">
        <v>871</v>
      </c>
    </row>
    <row r="68" spans="1:9">
      <c r="A68" s="9">
        <v>67</v>
      </c>
      <c r="B68" s="10" t="s">
        <v>319</v>
      </c>
      <c r="C68" s="14" t="s">
        <v>866</v>
      </c>
      <c r="D68" s="11" t="s">
        <v>320</v>
      </c>
      <c r="E68" s="14" t="s">
        <v>874</v>
      </c>
      <c r="F68" s="14" t="s">
        <v>868</v>
      </c>
      <c r="G68" s="14" t="s">
        <v>945</v>
      </c>
      <c r="H68" s="14" t="s">
        <v>870</v>
      </c>
      <c r="I68" s="14" t="s">
        <v>871</v>
      </c>
    </row>
    <row r="69" spans="1:9">
      <c r="A69" s="9">
        <v>68</v>
      </c>
      <c r="B69" s="10" t="s">
        <v>323</v>
      </c>
      <c r="C69" s="14" t="s">
        <v>866</v>
      </c>
      <c r="D69" s="11" t="s">
        <v>324</v>
      </c>
      <c r="E69" s="14" t="s">
        <v>874</v>
      </c>
      <c r="F69" s="14" t="s">
        <v>868</v>
      </c>
      <c r="G69" s="14" t="s">
        <v>946</v>
      </c>
      <c r="H69" s="14" t="s">
        <v>870</v>
      </c>
      <c r="I69" s="14" t="s">
        <v>871</v>
      </c>
    </row>
    <row r="70" spans="1:9">
      <c r="A70" s="9">
        <v>69</v>
      </c>
      <c r="B70" s="10" t="s">
        <v>327</v>
      </c>
      <c r="C70" s="14" t="s">
        <v>866</v>
      </c>
      <c r="D70" s="11" t="s">
        <v>328</v>
      </c>
      <c r="E70" s="14" t="s">
        <v>874</v>
      </c>
      <c r="F70" s="14" t="s">
        <v>868</v>
      </c>
      <c r="G70" s="14" t="s">
        <v>947</v>
      </c>
      <c r="H70" s="14" t="s">
        <v>870</v>
      </c>
      <c r="I70" s="14" t="s">
        <v>871</v>
      </c>
    </row>
    <row r="71" spans="1:9">
      <c r="A71" s="9">
        <v>70</v>
      </c>
      <c r="B71" s="10" t="s">
        <v>331</v>
      </c>
      <c r="C71" s="14" t="s">
        <v>866</v>
      </c>
      <c r="D71" s="11" t="s">
        <v>332</v>
      </c>
      <c r="E71" s="14" t="s">
        <v>874</v>
      </c>
      <c r="F71" s="14" t="s">
        <v>868</v>
      </c>
      <c r="G71" s="14" t="s">
        <v>948</v>
      </c>
      <c r="H71" s="14" t="s">
        <v>870</v>
      </c>
      <c r="I71" s="14" t="s">
        <v>871</v>
      </c>
    </row>
    <row r="72" spans="1:9">
      <c r="A72" s="9">
        <v>71</v>
      </c>
      <c r="B72" s="10" t="s">
        <v>335</v>
      </c>
      <c r="C72" s="14" t="s">
        <v>866</v>
      </c>
      <c r="D72" s="11" t="s">
        <v>336</v>
      </c>
      <c r="E72" s="14" t="s">
        <v>874</v>
      </c>
      <c r="F72" s="14" t="s">
        <v>868</v>
      </c>
      <c r="G72" s="14" t="s">
        <v>949</v>
      </c>
      <c r="H72" s="14" t="s">
        <v>870</v>
      </c>
      <c r="I72" s="14" t="s">
        <v>871</v>
      </c>
    </row>
    <row r="73" spans="1:9">
      <c r="A73" s="9">
        <v>72</v>
      </c>
      <c r="B73" s="10" t="s">
        <v>339</v>
      </c>
      <c r="C73" s="14" t="s">
        <v>866</v>
      </c>
      <c r="D73" s="11" t="s">
        <v>340</v>
      </c>
      <c r="E73" s="14" t="s">
        <v>874</v>
      </c>
      <c r="F73" s="14" t="s">
        <v>868</v>
      </c>
      <c r="G73" s="14" t="s">
        <v>950</v>
      </c>
      <c r="H73" s="14" t="s">
        <v>870</v>
      </c>
      <c r="I73" s="14" t="s">
        <v>871</v>
      </c>
    </row>
    <row r="74" spans="1:9">
      <c r="A74" s="9">
        <v>73</v>
      </c>
      <c r="B74" s="10" t="s">
        <v>343</v>
      </c>
      <c r="C74" s="14" t="s">
        <v>866</v>
      </c>
      <c r="D74" s="11" t="s">
        <v>344</v>
      </c>
      <c r="E74" s="14" t="s">
        <v>874</v>
      </c>
      <c r="F74" s="14" t="s">
        <v>868</v>
      </c>
      <c r="G74" s="14" t="s">
        <v>951</v>
      </c>
      <c r="H74" s="14" t="s">
        <v>870</v>
      </c>
      <c r="I74" s="14" t="s">
        <v>871</v>
      </c>
    </row>
    <row r="75" spans="1:9">
      <c r="A75" s="9">
        <v>74</v>
      </c>
      <c r="B75" s="10" t="s">
        <v>347</v>
      </c>
      <c r="C75" s="14" t="s">
        <v>866</v>
      </c>
      <c r="D75" s="11" t="s">
        <v>348</v>
      </c>
      <c r="E75" s="14" t="s">
        <v>874</v>
      </c>
      <c r="F75" s="14" t="s">
        <v>868</v>
      </c>
      <c r="G75" s="14" t="s">
        <v>952</v>
      </c>
      <c r="H75" s="14" t="s">
        <v>870</v>
      </c>
      <c r="I75" s="14" t="s">
        <v>871</v>
      </c>
    </row>
    <row r="76" spans="1:9">
      <c r="A76" s="9">
        <v>75</v>
      </c>
      <c r="B76" s="10" t="s">
        <v>351</v>
      </c>
      <c r="C76" s="14" t="s">
        <v>866</v>
      </c>
      <c r="D76" s="11" t="s">
        <v>352</v>
      </c>
      <c r="E76" s="14" t="s">
        <v>874</v>
      </c>
      <c r="F76" s="14" t="s">
        <v>868</v>
      </c>
      <c r="G76" s="14" t="s">
        <v>953</v>
      </c>
      <c r="H76" s="14" t="s">
        <v>870</v>
      </c>
      <c r="I76" s="14" t="s">
        <v>871</v>
      </c>
    </row>
    <row r="77" spans="1:9">
      <c r="A77" s="9">
        <v>76</v>
      </c>
      <c r="B77" s="10" t="s">
        <v>355</v>
      </c>
      <c r="C77" s="14" t="s">
        <v>866</v>
      </c>
      <c r="D77" s="11" t="s">
        <v>356</v>
      </c>
      <c r="E77" s="14" t="s">
        <v>923</v>
      </c>
      <c r="F77" s="14" t="s">
        <v>868</v>
      </c>
      <c r="G77" s="14" t="s">
        <v>954</v>
      </c>
      <c r="H77" s="14" t="s">
        <v>870</v>
      </c>
      <c r="I77" s="14" t="s">
        <v>871</v>
      </c>
    </row>
    <row r="78" spans="1:9">
      <c r="A78" s="9">
        <v>77</v>
      </c>
      <c r="B78" s="10" t="s">
        <v>359</v>
      </c>
      <c r="C78" s="14" t="s">
        <v>866</v>
      </c>
      <c r="D78" s="11" t="s">
        <v>360</v>
      </c>
      <c r="E78" s="14" t="s">
        <v>874</v>
      </c>
      <c r="F78" s="14" t="s">
        <v>868</v>
      </c>
      <c r="G78" s="14" t="s">
        <v>955</v>
      </c>
      <c r="H78" s="14" t="s">
        <v>870</v>
      </c>
      <c r="I78" s="14" t="s">
        <v>871</v>
      </c>
    </row>
    <row r="79" spans="1:9">
      <c r="A79" s="9">
        <v>78</v>
      </c>
      <c r="B79" s="10" t="s">
        <v>363</v>
      </c>
      <c r="C79" s="14" t="s">
        <v>866</v>
      </c>
      <c r="D79" s="11" t="s">
        <v>364</v>
      </c>
      <c r="E79" s="14" t="s">
        <v>874</v>
      </c>
      <c r="F79" s="14" t="s">
        <v>868</v>
      </c>
      <c r="G79" s="14" t="s">
        <v>956</v>
      </c>
      <c r="H79" s="14" t="s">
        <v>870</v>
      </c>
      <c r="I79" s="14" t="s">
        <v>871</v>
      </c>
    </row>
    <row r="80" spans="1:9">
      <c r="A80" s="9">
        <v>79</v>
      </c>
      <c r="B80" s="10" t="s">
        <v>367</v>
      </c>
      <c r="C80" s="14" t="s">
        <v>866</v>
      </c>
      <c r="D80" s="11" t="s">
        <v>368</v>
      </c>
      <c r="E80" s="14" t="s">
        <v>874</v>
      </c>
      <c r="F80" s="14" t="s">
        <v>868</v>
      </c>
      <c r="G80" s="14" t="s">
        <v>957</v>
      </c>
      <c r="H80" s="14" t="s">
        <v>870</v>
      </c>
      <c r="I80" s="14" t="s">
        <v>871</v>
      </c>
    </row>
    <row r="81" spans="1:9">
      <c r="A81" s="9">
        <v>80</v>
      </c>
      <c r="B81" s="10" t="s">
        <v>371</v>
      </c>
      <c r="C81" s="14" t="s">
        <v>866</v>
      </c>
      <c r="D81" s="11" t="s">
        <v>372</v>
      </c>
      <c r="E81" s="14" t="s">
        <v>874</v>
      </c>
      <c r="F81" s="14" t="s">
        <v>868</v>
      </c>
      <c r="G81" s="14" t="s">
        <v>958</v>
      </c>
      <c r="H81" s="14" t="s">
        <v>870</v>
      </c>
      <c r="I81" s="14" t="s">
        <v>871</v>
      </c>
    </row>
    <row r="82" spans="1:9">
      <c r="A82" s="9">
        <v>81</v>
      </c>
      <c r="B82" s="10" t="s">
        <v>375</v>
      </c>
      <c r="C82" s="14" t="s">
        <v>866</v>
      </c>
      <c r="D82" s="11" t="s">
        <v>376</v>
      </c>
      <c r="E82" s="14" t="s">
        <v>890</v>
      </c>
      <c r="F82" s="14" t="s">
        <v>868</v>
      </c>
      <c r="G82" s="14" t="s">
        <v>959</v>
      </c>
      <c r="H82" s="14" t="s">
        <v>870</v>
      </c>
      <c r="I82" s="14" t="s">
        <v>871</v>
      </c>
    </row>
    <row r="83" spans="1:9">
      <c r="A83" s="9">
        <v>82</v>
      </c>
      <c r="B83" s="10" t="s">
        <v>379</v>
      </c>
      <c r="C83" s="14" t="s">
        <v>866</v>
      </c>
      <c r="D83" s="11" t="s">
        <v>380</v>
      </c>
      <c r="E83" s="14" t="s">
        <v>879</v>
      </c>
      <c r="F83" s="14" t="s">
        <v>868</v>
      </c>
      <c r="G83" s="14" t="s">
        <v>960</v>
      </c>
      <c r="H83" s="14" t="s">
        <v>870</v>
      </c>
      <c r="I83" s="14" t="s">
        <v>871</v>
      </c>
    </row>
    <row r="84" spans="1:9">
      <c r="A84" s="9">
        <v>83</v>
      </c>
      <c r="B84" s="10" t="s">
        <v>383</v>
      </c>
      <c r="C84" s="14" t="s">
        <v>866</v>
      </c>
      <c r="D84" s="11" t="s">
        <v>384</v>
      </c>
      <c r="E84" s="14" t="s">
        <v>874</v>
      </c>
      <c r="F84" s="14" t="s">
        <v>868</v>
      </c>
      <c r="G84" s="14" t="s">
        <v>961</v>
      </c>
      <c r="H84" s="14" t="s">
        <v>870</v>
      </c>
      <c r="I84" s="14" t="s">
        <v>871</v>
      </c>
    </row>
    <row r="85" spans="1:9">
      <c r="A85" s="9">
        <v>84</v>
      </c>
      <c r="B85" s="10" t="s">
        <v>387</v>
      </c>
      <c r="C85" s="14" t="s">
        <v>866</v>
      </c>
      <c r="D85" s="11" t="s">
        <v>388</v>
      </c>
      <c r="E85" s="14" t="s">
        <v>874</v>
      </c>
      <c r="F85" s="14" t="s">
        <v>868</v>
      </c>
      <c r="G85" s="14" t="s">
        <v>962</v>
      </c>
      <c r="H85" s="14" t="s">
        <v>870</v>
      </c>
      <c r="I85" s="14" t="s">
        <v>871</v>
      </c>
    </row>
    <row r="86" spans="1:9">
      <c r="A86" s="9">
        <v>85</v>
      </c>
      <c r="B86" s="10" t="s">
        <v>391</v>
      </c>
      <c r="C86" s="14" t="s">
        <v>866</v>
      </c>
      <c r="D86" s="11" t="s">
        <v>392</v>
      </c>
      <c r="E86" s="14" t="s">
        <v>874</v>
      </c>
      <c r="F86" s="14" t="s">
        <v>868</v>
      </c>
      <c r="G86" s="14" t="s">
        <v>963</v>
      </c>
      <c r="H86" s="14" t="s">
        <v>870</v>
      </c>
      <c r="I86" s="14" t="s">
        <v>871</v>
      </c>
    </row>
    <row r="87" spans="1:9">
      <c r="A87" s="9">
        <v>86</v>
      </c>
      <c r="B87" s="10" t="s">
        <v>395</v>
      </c>
      <c r="C87" s="14" t="s">
        <v>866</v>
      </c>
      <c r="D87" s="11" t="s">
        <v>396</v>
      </c>
      <c r="E87" s="14" t="s">
        <v>874</v>
      </c>
      <c r="F87" s="14" t="s">
        <v>868</v>
      </c>
      <c r="G87" s="14" t="s">
        <v>964</v>
      </c>
      <c r="H87" s="14" t="s">
        <v>870</v>
      </c>
      <c r="I87" s="14" t="s">
        <v>871</v>
      </c>
    </row>
    <row r="88" spans="1:9">
      <c r="A88" s="9">
        <v>87</v>
      </c>
      <c r="B88" s="10" t="s">
        <v>399</v>
      </c>
      <c r="C88" s="14" t="s">
        <v>866</v>
      </c>
      <c r="D88" s="11" t="s">
        <v>400</v>
      </c>
      <c r="E88" s="14" t="s">
        <v>874</v>
      </c>
      <c r="F88" s="14" t="s">
        <v>868</v>
      </c>
      <c r="G88" s="14" t="s">
        <v>965</v>
      </c>
      <c r="H88" s="14" t="s">
        <v>870</v>
      </c>
      <c r="I88" s="14" t="s">
        <v>871</v>
      </c>
    </row>
    <row r="89" spans="1:9">
      <c r="A89" s="9">
        <v>88</v>
      </c>
      <c r="B89" s="10" t="s">
        <v>403</v>
      </c>
      <c r="C89" s="14" t="s">
        <v>866</v>
      </c>
      <c r="D89" s="11" t="s">
        <v>404</v>
      </c>
      <c r="E89" s="14" t="s">
        <v>874</v>
      </c>
      <c r="F89" s="14" t="s">
        <v>868</v>
      </c>
      <c r="G89" s="14" t="s">
        <v>966</v>
      </c>
      <c r="H89" s="14" t="s">
        <v>870</v>
      </c>
      <c r="I89" s="14" t="s">
        <v>871</v>
      </c>
    </row>
    <row r="90" spans="1:9">
      <c r="A90" s="9">
        <v>89</v>
      </c>
      <c r="B90" s="10" t="s">
        <v>407</v>
      </c>
      <c r="C90" s="14" t="s">
        <v>866</v>
      </c>
      <c r="D90" s="11" t="s">
        <v>408</v>
      </c>
      <c r="E90" s="14" t="s">
        <v>874</v>
      </c>
      <c r="F90" s="14" t="s">
        <v>868</v>
      </c>
      <c r="G90" s="14" t="s">
        <v>967</v>
      </c>
      <c r="H90" s="14" t="s">
        <v>870</v>
      </c>
      <c r="I90" s="14" t="s">
        <v>871</v>
      </c>
    </row>
    <row r="91" spans="1:9">
      <c r="A91" s="9">
        <v>90</v>
      </c>
      <c r="B91" s="10" t="s">
        <v>411</v>
      </c>
      <c r="C91" s="14" t="s">
        <v>866</v>
      </c>
      <c r="D91" s="11" t="s">
        <v>412</v>
      </c>
      <c r="E91" s="14" t="s">
        <v>876</v>
      </c>
      <c r="F91" s="14" t="s">
        <v>868</v>
      </c>
      <c r="G91" s="14" t="s">
        <v>968</v>
      </c>
      <c r="H91" s="14" t="s">
        <v>870</v>
      </c>
      <c r="I91" s="14" t="s">
        <v>871</v>
      </c>
    </row>
    <row r="92" spans="1:9">
      <c r="A92" s="9">
        <v>91</v>
      </c>
      <c r="B92" s="10" t="s">
        <v>415</v>
      </c>
      <c r="C92" s="14" t="s">
        <v>866</v>
      </c>
      <c r="D92" s="11" t="s">
        <v>416</v>
      </c>
      <c r="E92" s="14" t="s">
        <v>874</v>
      </c>
      <c r="F92" s="14" t="s">
        <v>868</v>
      </c>
      <c r="G92" s="14" t="s">
        <v>969</v>
      </c>
      <c r="H92" s="14" t="s">
        <v>870</v>
      </c>
      <c r="I92" s="14" t="s">
        <v>871</v>
      </c>
    </row>
    <row r="93" spans="1:9">
      <c r="A93" s="9">
        <v>92</v>
      </c>
      <c r="B93" s="10" t="s">
        <v>419</v>
      </c>
      <c r="C93" s="14" t="s">
        <v>866</v>
      </c>
      <c r="D93" s="11" t="s">
        <v>420</v>
      </c>
      <c r="E93" s="14" t="s">
        <v>874</v>
      </c>
      <c r="F93" s="14" t="s">
        <v>868</v>
      </c>
      <c r="G93" s="14" t="s">
        <v>970</v>
      </c>
      <c r="H93" s="14" t="s">
        <v>870</v>
      </c>
      <c r="I93" s="14" t="s">
        <v>871</v>
      </c>
    </row>
    <row r="94" spans="1:9">
      <c r="A94" s="9">
        <v>93</v>
      </c>
      <c r="B94" s="10" t="s">
        <v>423</v>
      </c>
      <c r="C94" s="14" t="s">
        <v>866</v>
      </c>
      <c r="D94" s="11" t="s">
        <v>424</v>
      </c>
      <c r="E94" s="14" t="s">
        <v>971</v>
      </c>
      <c r="F94" s="14" t="s">
        <v>868</v>
      </c>
      <c r="G94" s="14" t="s">
        <v>972</v>
      </c>
      <c r="H94" s="14" t="s">
        <v>870</v>
      </c>
      <c r="I94" s="14" t="s">
        <v>871</v>
      </c>
    </row>
    <row r="95" spans="1:9">
      <c r="A95" s="9">
        <v>94</v>
      </c>
      <c r="B95" s="10" t="s">
        <v>427</v>
      </c>
      <c r="C95" s="14" t="s">
        <v>866</v>
      </c>
      <c r="D95" s="11" t="s">
        <v>428</v>
      </c>
      <c r="E95" s="14" t="s">
        <v>874</v>
      </c>
      <c r="F95" s="14" t="s">
        <v>868</v>
      </c>
      <c r="G95" s="14" t="s">
        <v>973</v>
      </c>
      <c r="H95" s="14" t="s">
        <v>870</v>
      </c>
      <c r="I95" s="14" t="s">
        <v>871</v>
      </c>
    </row>
    <row r="96" spans="1:9">
      <c r="A96" s="9">
        <v>95</v>
      </c>
      <c r="B96" s="10" t="s">
        <v>431</v>
      </c>
      <c r="C96" s="14" t="s">
        <v>866</v>
      </c>
      <c r="D96" s="11" t="s">
        <v>432</v>
      </c>
      <c r="E96" s="14" t="s">
        <v>874</v>
      </c>
      <c r="F96" s="14" t="s">
        <v>868</v>
      </c>
      <c r="G96" s="14" t="s">
        <v>974</v>
      </c>
      <c r="H96" s="14" t="s">
        <v>870</v>
      </c>
      <c r="I96" s="14" t="s">
        <v>871</v>
      </c>
    </row>
    <row r="97" spans="1:9">
      <c r="A97" s="9">
        <v>96</v>
      </c>
      <c r="B97" s="10" t="s">
        <v>435</v>
      </c>
      <c r="C97" s="14" t="s">
        <v>866</v>
      </c>
      <c r="D97" s="11" t="s">
        <v>436</v>
      </c>
      <c r="E97" s="14" t="s">
        <v>876</v>
      </c>
      <c r="F97" s="14" t="s">
        <v>868</v>
      </c>
      <c r="G97" s="14" t="s">
        <v>975</v>
      </c>
      <c r="H97" s="14" t="s">
        <v>870</v>
      </c>
      <c r="I97" s="14" t="s">
        <v>871</v>
      </c>
    </row>
    <row r="98" spans="1:9">
      <c r="A98" s="9">
        <v>97</v>
      </c>
      <c r="B98" s="10" t="s">
        <v>439</v>
      </c>
      <c r="C98" s="14" t="s">
        <v>866</v>
      </c>
      <c r="D98" s="11" t="s">
        <v>440</v>
      </c>
      <c r="E98" s="14" t="s">
        <v>874</v>
      </c>
      <c r="F98" s="14" t="s">
        <v>868</v>
      </c>
      <c r="G98" s="14" t="s">
        <v>976</v>
      </c>
      <c r="H98" s="14" t="s">
        <v>870</v>
      </c>
      <c r="I98" s="14" t="s">
        <v>871</v>
      </c>
    </row>
    <row r="99" spans="1:9">
      <c r="A99" s="9">
        <v>98</v>
      </c>
      <c r="B99" s="10" t="s">
        <v>443</v>
      </c>
      <c r="C99" s="14" t="s">
        <v>866</v>
      </c>
      <c r="D99" s="11" t="s">
        <v>444</v>
      </c>
      <c r="E99" s="14" t="s">
        <v>874</v>
      </c>
      <c r="F99" s="14" t="s">
        <v>868</v>
      </c>
      <c r="G99" s="14" t="s">
        <v>977</v>
      </c>
      <c r="H99" s="14" t="s">
        <v>870</v>
      </c>
      <c r="I99" s="14" t="s">
        <v>871</v>
      </c>
    </row>
    <row r="100" spans="1:9">
      <c r="A100" s="9">
        <v>99</v>
      </c>
      <c r="B100" s="10" t="s">
        <v>447</v>
      </c>
      <c r="C100" s="14" t="s">
        <v>866</v>
      </c>
      <c r="D100" s="11" t="s">
        <v>448</v>
      </c>
      <c r="E100" s="14" t="s">
        <v>874</v>
      </c>
      <c r="F100" s="14" t="s">
        <v>868</v>
      </c>
      <c r="G100" s="14" t="s">
        <v>978</v>
      </c>
      <c r="H100" s="14" t="s">
        <v>870</v>
      </c>
      <c r="I100" s="14" t="s">
        <v>871</v>
      </c>
    </row>
    <row r="101" spans="1:9">
      <c r="A101" s="9">
        <v>100</v>
      </c>
      <c r="B101" s="10" t="s">
        <v>451</v>
      </c>
      <c r="C101" s="14" t="s">
        <v>885</v>
      </c>
      <c r="D101" s="11" t="s">
        <v>452</v>
      </c>
      <c r="E101" s="14" t="s">
        <v>876</v>
      </c>
      <c r="F101" s="14" t="s">
        <v>868</v>
      </c>
      <c r="G101" s="14" t="s">
        <v>979</v>
      </c>
      <c r="H101" s="14" t="s">
        <v>870</v>
      </c>
      <c r="I101" s="14" t="s">
        <v>871</v>
      </c>
    </row>
    <row r="102" spans="1:9">
      <c r="A102" s="9">
        <v>101</v>
      </c>
      <c r="B102" s="10" t="s">
        <v>455</v>
      </c>
      <c r="C102" s="14" t="s">
        <v>866</v>
      </c>
      <c r="D102" s="11" t="s">
        <v>456</v>
      </c>
      <c r="E102" s="14" t="s">
        <v>874</v>
      </c>
      <c r="F102" s="14" t="s">
        <v>868</v>
      </c>
      <c r="G102" s="14" t="s">
        <v>980</v>
      </c>
      <c r="H102" s="14" t="s">
        <v>870</v>
      </c>
      <c r="I102" s="14" t="s">
        <v>871</v>
      </c>
    </row>
    <row r="104" spans="1:9" ht="46" customHeight="1">
      <c r="A104" s="7" t="s">
        <v>981</v>
      </c>
      <c r="B104" s="7"/>
      <c r="C104" s="7"/>
      <c r="D104" s="7"/>
      <c r="E104" s="7"/>
      <c r="F104" s="7"/>
      <c r="G104" s="7"/>
      <c r="H104" s="7"/>
      <c r="I104" s="7"/>
    </row>
  </sheetData>
  <mergeCells count="1">
    <mergeCell ref="A104:I10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102"/>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6.7109375" customWidth="1"/>
    <col min="2" max="3" width="13.7109375" customWidth="1"/>
    <col min="4" max="4" width="12.7109375" customWidth="1"/>
    <col min="5" max="5" width="10.7109375" customWidth="1"/>
    <col min="6" max="7" width="18.7109375" customWidth="1"/>
    <col min="8" max="8" width="14.7109375" customWidth="1"/>
    <col min="9" max="10" width="16.7109375" customWidth="1"/>
    <col min="11" max="11" width="18.7109375" customWidth="1"/>
  </cols>
  <sheetData>
    <row r="1" spans="1:11">
      <c r="A1" s="8" t="s">
        <v>857</v>
      </c>
      <c r="B1" s="8" t="s">
        <v>982</v>
      </c>
      <c r="C1" s="8" t="s">
        <v>983</v>
      </c>
      <c r="D1" s="8" t="s">
        <v>984</v>
      </c>
      <c r="E1" s="8" t="s">
        <v>985</v>
      </c>
      <c r="F1" s="8" t="s">
        <v>986</v>
      </c>
      <c r="G1" s="8" t="s">
        <v>987</v>
      </c>
      <c r="H1" s="8" t="s">
        <v>988</v>
      </c>
      <c r="I1" s="8" t="s">
        <v>989</v>
      </c>
      <c r="J1" s="8" t="s">
        <v>990</v>
      </c>
      <c r="K1" s="8" t="s">
        <v>991</v>
      </c>
    </row>
    <row r="2" spans="1:11">
      <c r="A2" s="9">
        <v>1</v>
      </c>
      <c r="B2" s="10" t="s">
        <v>54</v>
      </c>
      <c r="C2" s="12">
        <v>110.87</v>
      </c>
      <c r="D2" s="12"/>
      <c r="E2" s="13"/>
      <c r="F2" s="12">
        <v>2425</v>
      </c>
      <c r="G2" s="12">
        <v>2424</v>
      </c>
      <c r="H2" s="12">
        <f>LN(G2/F2)*100</f>
        <v>-0.0412</v>
      </c>
      <c r="I2" s="13"/>
      <c r="J2" s="16">
        <v>0</v>
      </c>
      <c r="K2" s="12"/>
    </row>
    <row r="3" spans="1:11">
      <c r="A3" s="9">
        <v>2</v>
      </c>
      <c r="B3" s="10" t="s">
        <v>59</v>
      </c>
      <c r="C3" s="12">
        <v>118.78</v>
      </c>
      <c r="D3" s="12">
        <f>C3-C2</f>
        <v>7.91</v>
      </c>
      <c r="E3" s="13">
        <f>(C3-C2)/C2*100</f>
        <v>7.13</v>
      </c>
      <c r="F3" s="12">
        <v>2448</v>
      </c>
      <c r="G3" s="12">
        <v>2437</v>
      </c>
      <c r="H3" s="12">
        <f>LN(G3/F3)*100</f>
        <v>-0.4504</v>
      </c>
      <c r="I3" s="13">
        <v>0.536</v>
      </c>
      <c r="J3" s="16">
        <v>0</v>
      </c>
      <c r="K3" s="12"/>
    </row>
    <row r="4" spans="1:11">
      <c r="A4" s="9">
        <v>3</v>
      </c>
      <c r="B4" s="10" t="s">
        <v>63</v>
      </c>
      <c r="C4" s="12">
        <v>120.64</v>
      </c>
      <c r="D4" s="12">
        <f>C4-C3</f>
        <v>1.86</v>
      </c>
      <c r="E4" s="13">
        <f>(C4-C3)/C3*100</f>
        <v>1.57</v>
      </c>
      <c r="F4" s="12">
        <v>2501</v>
      </c>
      <c r="G4" s="12">
        <v>2479</v>
      </c>
      <c r="H4" s="12">
        <f>LN(G4/F4)*100</f>
        <v>-0.8835</v>
      </c>
      <c r="I4" s="13">
        <v>1.723</v>
      </c>
      <c r="J4" s="16">
        <v>0</v>
      </c>
      <c r="K4" s="12"/>
    </row>
    <row r="5" spans="1:11">
      <c r="A5" s="9">
        <v>4</v>
      </c>
      <c r="B5" s="10" t="s">
        <v>67</v>
      </c>
      <c r="C5" s="12">
        <v>125.28</v>
      </c>
      <c r="D5" s="12">
        <f>C5-C4</f>
        <v>4.64</v>
      </c>
      <c r="E5" s="13">
        <f>(C5-C4)/C4*100</f>
        <v>3.85</v>
      </c>
      <c r="F5" s="12">
        <v>2479</v>
      </c>
      <c r="G5" s="12">
        <v>2492</v>
      </c>
      <c r="H5" s="12">
        <f>LN(G5/F5)*100</f>
        <v>0.523</v>
      </c>
      <c r="I5" s="13">
        <v>0.524</v>
      </c>
      <c r="J5" s="16">
        <v>1.474923234390993</v>
      </c>
      <c r="K5" s="12"/>
    </row>
    <row r="6" spans="1:11">
      <c r="A6" s="9">
        <v>5</v>
      </c>
      <c r="B6" s="10" t="s">
        <v>71</v>
      </c>
      <c r="C6" s="12">
        <v>127.57</v>
      </c>
      <c r="D6" s="12">
        <f>C6-C5</f>
        <v>2.29</v>
      </c>
      <c r="E6" s="13">
        <f>(C6-C5)/C5*100</f>
        <v>1.83</v>
      </c>
      <c r="F6" s="12">
        <v>2556</v>
      </c>
      <c r="G6" s="12">
        <v>2567</v>
      </c>
      <c r="H6" s="12">
        <f>LN(G6/F6)*100</f>
        <v>0.4294</v>
      </c>
      <c r="I6" s="13">
        <v>3.01</v>
      </c>
      <c r="J6" s="16">
        <v>1.158917418459403</v>
      </c>
      <c r="K6" s="12"/>
    </row>
    <row r="7" spans="1:11">
      <c r="A7" s="9">
        <v>6</v>
      </c>
      <c r="B7" s="10" t="s">
        <v>75</v>
      </c>
      <c r="C7" s="12">
        <v>117.7</v>
      </c>
      <c r="D7" s="12">
        <f>C7-C6</f>
        <v>-9.87</v>
      </c>
      <c r="E7" s="13">
        <f>(C7-C6)/C6*100</f>
        <v>-7.74</v>
      </c>
      <c r="F7" s="12">
        <v>2602</v>
      </c>
      <c r="G7" s="12">
        <v>2573</v>
      </c>
      <c r="H7" s="12">
        <f>LN(G7/F7)*100</f>
        <v>-1.1208</v>
      </c>
      <c r="I7" s="13">
        <v>0.234</v>
      </c>
      <c r="J7" s="16">
        <v>0.4089820359281439</v>
      </c>
      <c r="K7" s="12"/>
    </row>
    <row r="8" spans="1:11">
      <c r="A8" s="9">
        <v>7</v>
      </c>
      <c r="B8" s="10" t="s">
        <v>79</v>
      </c>
      <c r="C8" s="12">
        <v>122.13</v>
      </c>
      <c r="D8" s="12">
        <f>C8-C7</f>
        <v>4.43</v>
      </c>
      <c r="E8" s="13">
        <f>(C8-C7)/C7*100</f>
        <v>3.76</v>
      </c>
      <c r="F8" s="12">
        <v>2543</v>
      </c>
      <c r="G8" s="12">
        <v>2521</v>
      </c>
      <c r="H8" s="12">
        <f>LN(G8/F8)*100</f>
        <v>-0.8689</v>
      </c>
      <c r="I8" s="13">
        <v>-2.021</v>
      </c>
      <c r="J8" s="16">
        <v>0.674251497005988</v>
      </c>
      <c r="K8" s="12"/>
    </row>
    <row r="9" spans="1:11">
      <c r="A9" s="9">
        <v>8</v>
      </c>
      <c r="B9" s="10" t="s">
        <v>83</v>
      </c>
      <c r="C9" s="12">
        <v>108.5</v>
      </c>
      <c r="D9" s="12">
        <f>C9-C8</f>
        <v>-13.63</v>
      </c>
      <c r="E9" s="13">
        <f>(C9-C8)/C8*100</f>
        <v>-11.16</v>
      </c>
      <c r="F9" s="12">
        <v>2569</v>
      </c>
      <c r="G9" s="12">
        <v>2589</v>
      </c>
      <c r="H9" s="12">
        <f>LN(G9/F9)*100</f>
        <v>0.7755</v>
      </c>
      <c r="I9" s="13">
        <v>2.697</v>
      </c>
      <c r="J9" s="16">
        <v>-0.141916167664671</v>
      </c>
      <c r="K9" s="12"/>
    </row>
    <row r="10" spans="1:11">
      <c r="A10" s="9">
        <v>9</v>
      </c>
      <c r="B10" s="10" t="s">
        <v>87</v>
      </c>
      <c r="C10" s="12">
        <v>107.03</v>
      </c>
      <c r="D10" s="12">
        <f>C10-C9</f>
        <v>-1.47</v>
      </c>
      <c r="E10" s="13">
        <f>(C10-C9)/C9*100</f>
        <v>-1.35</v>
      </c>
      <c r="F10" s="12">
        <v>2604</v>
      </c>
      <c r="G10" s="12">
        <v>2596</v>
      </c>
      <c r="H10" s="12">
        <f>LN(G10/F10)*100</f>
        <v>-0.3077</v>
      </c>
      <c r="I10" s="13">
        <v>0.27</v>
      </c>
      <c r="J10" s="16">
        <v>-0.07708442579968534</v>
      </c>
      <c r="K10" s="12"/>
    </row>
    <row r="11" spans="1:11">
      <c r="A11" s="9">
        <v>10</v>
      </c>
      <c r="B11" s="10" t="s">
        <v>91</v>
      </c>
      <c r="C11" s="12">
        <v>95.83</v>
      </c>
      <c r="D11" s="12">
        <f>C11-C10</f>
        <v>-11.2</v>
      </c>
      <c r="E11" s="13">
        <f>(C11-C10)/C10*100</f>
        <v>-10.46</v>
      </c>
      <c r="F11" s="12">
        <v>2657</v>
      </c>
      <c r="G11" s="12">
        <v>2653</v>
      </c>
      <c r="H11" s="12">
        <f>LN(G11/F11)*100</f>
        <v>-0.1507</v>
      </c>
      <c r="I11" s="13">
        <v>2.196</v>
      </c>
      <c r="J11" s="16">
        <v>-0.5452775073028241</v>
      </c>
      <c r="K11" s="12"/>
    </row>
    <row r="12" spans="1:11">
      <c r="A12" s="9">
        <v>11</v>
      </c>
      <c r="B12" s="10" t="s">
        <v>95</v>
      </c>
      <c r="C12" s="12">
        <v>93.36</v>
      </c>
      <c r="D12" s="12">
        <f>C12-C11</f>
        <v>-2.47</v>
      </c>
      <c r="E12" s="13">
        <f>(C12-C11)/C11*100</f>
        <v>-2.58</v>
      </c>
      <c r="F12" s="12">
        <v>2703</v>
      </c>
      <c r="G12" s="12">
        <v>2707</v>
      </c>
      <c r="H12" s="12">
        <f>LN(G12/F12)*100</f>
        <v>0.1479</v>
      </c>
      <c r="I12" s="13">
        <v>2.035</v>
      </c>
      <c r="J12" s="16">
        <v>-0.07781978575929424</v>
      </c>
      <c r="K12" s="12">
        <v>68.83</v>
      </c>
    </row>
    <row r="13" spans="1:11">
      <c r="A13" s="9">
        <v>12</v>
      </c>
      <c r="B13" s="10" t="s">
        <v>99</v>
      </c>
      <c r="C13" s="12">
        <v>84.77</v>
      </c>
      <c r="D13" s="12">
        <f>C13-C12</f>
        <v>-8.59</v>
      </c>
      <c r="E13" s="13">
        <f>(C13-C12)/C12*100</f>
        <v>-9.2</v>
      </c>
      <c r="F13" s="12">
        <v>2584</v>
      </c>
      <c r="G13" s="12">
        <v>2601</v>
      </c>
      <c r="H13" s="12">
        <f>LN(G13/F13)*100</f>
        <v>0.6557</v>
      </c>
      <c r="I13" s="13">
        <v>-3.916</v>
      </c>
      <c r="J13" s="16">
        <v>-0.2510961707103188</v>
      </c>
      <c r="K13" s="12"/>
    </row>
    <row r="14" spans="1:11">
      <c r="A14" s="9">
        <v>13</v>
      </c>
      <c r="B14" s="10" t="s">
        <v>103</v>
      </c>
      <c r="C14" s="12">
        <v>91.47</v>
      </c>
      <c r="D14" s="12">
        <f>C14-C13</f>
        <v>6.7</v>
      </c>
      <c r="E14" s="13">
        <f>(C14-C13)/C13*100</f>
        <v>7.9</v>
      </c>
      <c r="F14" s="12">
        <v>2638</v>
      </c>
      <c r="G14" s="12">
        <v>2656</v>
      </c>
      <c r="H14" s="12">
        <f>LN(G14/F14)*100</f>
        <v>0.68</v>
      </c>
      <c r="I14" s="13">
        <v>2.115</v>
      </c>
      <c r="J14" s="16">
        <v>0.1565420560747664</v>
      </c>
      <c r="K14" s="12"/>
    </row>
    <row r="15" spans="1:11">
      <c r="A15" s="9">
        <v>14</v>
      </c>
      <c r="B15" s="10" t="s">
        <v>107</v>
      </c>
      <c r="C15" s="12">
        <v>92.97</v>
      </c>
      <c r="D15" s="12">
        <f>C15-C14</f>
        <v>1.5</v>
      </c>
      <c r="E15" s="13">
        <f>(C15-C14)/C14*100</f>
        <v>1.64</v>
      </c>
      <c r="F15" s="12">
        <v>2591</v>
      </c>
      <c r="G15" s="12">
        <v>2572</v>
      </c>
      <c r="H15" s="12">
        <f>LN(G15/F15)*100</f>
        <v>-0.736</v>
      </c>
      <c r="I15" s="13">
        <v>-3.163</v>
      </c>
      <c r="J15" s="16">
        <v>0.191588785046729</v>
      </c>
      <c r="K15" s="12"/>
    </row>
    <row r="16" spans="1:11">
      <c r="A16" s="9">
        <v>15</v>
      </c>
      <c r="B16" s="10" t="s">
        <v>111</v>
      </c>
      <c r="C16" s="12">
        <v>95.51000000000001</v>
      </c>
      <c r="D16" s="12">
        <f>C16-C15</f>
        <v>2.54</v>
      </c>
      <c r="E16" s="13">
        <f>(C16-C15)/C15*100</f>
        <v>2.73</v>
      </c>
      <c r="F16" s="12">
        <v>2554</v>
      </c>
      <c r="G16" s="12">
        <v>2569</v>
      </c>
      <c r="H16" s="12">
        <f>LN(G16/F16)*100</f>
        <v>0.5856</v>
      </c>
      <c r="I16" s="13">
        <v>-0.117</v>
      </c>
      <c r="J16" s="16">
        <v>0.2509345794392526</v>
      </c>
      <c r="K16" s="12"/>
    </row>
    <row r="17" spans="1:11">
      <c r="A17" s="9">
        <v>16</v>
      </c>
      <c r="B17" s="10" t="s">
        <v>115</v>
      </c>
      <c r="C17" s="12">
        <v>96.95</v>
      </c>
      <c r="D17" s="12">
        <f>C17-C16</f>
        <v>1.44</v>
      </c>
      <c r="E17" s="13">
        <f>(C17-C16)/C16*100</f>
        <v>1.51</v>
      </c>
      <c r="F17" s="12">
        <v>2601</v>
      </c>
      <c r="G17" s="12">
        <v>2579</v>
      </c>
      <c r="H17" s="12">
        <f>LN(G17/F17)*100</f>
        <v>-0.8494</v>
      </c>
      <c r="I17" s="13">
        <v>0.389</v>
      </c>
      <c r="J17" s="16">
        <v>0.2845794392523366</v>
      </c>
      <c r="K17" s="12"/>
    </row>
    <row r="18" spans="1:11">
      <c r="A18" s="9">
        <v>17</v>
      </c>
      <c r="B18" s="10" t="s">
        <v>119</v>
      </c>
      <c r="C18" s="12">
        <v>100.12</v>
      </c>
      <c r="D18" s="12">
        <f>C18-C17</f>
        <v>3.17</v>
      </c>
      <c r="E18" s="13">
        <f>(C18-C17)/C17*100</f>
        <v>3.27</v>
      </c>
      <c r="F18" s="12">
        <v>2545</v>
      </c>
      <c r="G18" s="12">
        <v>2535</v>
      </c>
      <c r="H18" s="12">
        <f>LN(G18/F18)*100</f>
        <v>-0.3937</v>
      </c>
      <c r="I18" s="13">
        <v>-1.706</v>
      </c>
      <c r="J18" s="16">
        <v>0.3586448598130844</v>
      </c>
      <c r="K18" s="12"/>
    </row>
    <row r="19" spans="1:11">
      <c r="A19" s="9">
        <v>18</v>
      </c>
      <c r="B19" s="10" t="s">
        <v>123</v>
      </c>
      <c r="C19" s="12">
        <v>106.92</v>
      </c>
      <c r="D19" s="12">
        <f>C19-C18</f>
        <v>6.8</v>
      </c>
      <c r="E19" s="13">
        <f>(C19-C18)/C18*100</f>
        <v>6.79</v>
      </c>
      <c r="F19" s="12">
        <v>2540</v>
      </c>
      <c r="G19" s="12">
        <v>2555</v>
      </c>
      <c r="H19" s="12">
        <f>LN(G19/F19)*100</f>
        <v>0.5888</v>
      </c>
      <c r="I19" s="13">
        <v>0.789</v>
      </c>
      <c r="J19" s="16">
        <v>0.5175233644859815</v>
      </c>
      <c r="K19" s="12"/>
    </row>
    <row r="20" spans="1:11">
      <c r="A20" s="9">
        <v>19</v>
      </c>
      <c r="B20" s="10" t="s">
        <v>127</v>
      </c>
      <c r="C20" s="12">
        <v>100.61</v>
      </c>
      <c r="D20" s="12">
        <f>C20-C19</f>
        <v>-6.31</v>
      </c>
      <c r="E20" s="13">
        <f>(C20-C19)/C19*100</f>
        <v>-5.9</v>
      </c>
      <c r="F20" s="12">
        <v>2607</v>
      </c>
      <c r="G20" s="12">
        <v>2591</v>
      </c>
      <c r="H20" s="12">
        <f>LN(G20/F20)*100</f>
        <v>-0.6156</v>
      </c>
      <c r="I20" s="13">
        <v>1.409</v>
      </c>
      <c r="J20" s="16">
        <v>0.3700934579439253</v>
      </c>
      <c r="K20" s="12"/>
    </row>
    <row r="21" spans="1:11">
      <c r="A21" s="9">
        <v>20</v>
      </c>
      <c r="B21" s="10" t="s">
        <v>131</v>
      </c>
      <c r="C21" s="12">
        <v>91.09999999999999</v>
      </c>
      <c r="D21" s="12">
        <f>C21-C20</f>
        <v>-9.51</v>
      </c>
      <c r="E21" s="13">
        <f>(C21-C20)/C20*100</f>
        <v>-9.45</v>
      </c>
      <c r="F21" s="12">
        <v>2589</v>
      </c>
      <c r="G21" s="12">
        <v>2526</v>
      </c>
      <c r="H21" s="12">
        <f>LN(G21/F21)*100</f>
        <v>-2.4635</v>
      </c>
      <c r="I21" s="13">
        <v>-2.509</v>
      </c>
      <c r="J21" s="16">
        <v>0.1478971962616822</v>
      </c>
      <c r="K21" s="12"/>
    </row>
    <row r="22" spans="1:11">
      <c r="A22" s="9">
        <v>21</v>
      </c>
      <c r="B22" s="10" t="s">
        <v>135</v>
      </c>
      <c r="C22" s="12">
        <v>80.01000000000001</v>
      </c>
      <c r="D22" s="12">
        <f>C22-C21</f>
        <v>-11.09</v>
      </c>
      <c r="E22" s="13">
        <f>(C22-C21)/C21*100</f>
        <v>-12.17</v>
      </c>
      <c r="F22" s="12">
        <v>2532</v>
      </c>
      <c r="G22" s="12">
        <v>2537</v>
      </c>
      <c r="H22" s="12">
        <f>LN(G22/F22)*100</f>
        <v>0.1973</v>
      </c>
      <c r="I22" s="13">
        <v>0.435</v>
      </c>
      <c r="J22" s="16">
        <v>-0.1112149532710278</v>
      </c>
      <c r="K22" s="12"/>
    </row>
    <row r="23" spans="1:11">
      <c r="A23" s="9">
        <v>22</v>
      </c>
      <c r="B23" s="10" t="s">
        <v>139</v>
      </c>
      <c r="C23" s="12">
        <v>77.38</v>
      </c>
      <c r="D23" s="12">
        <f>C23-C22</f>
        <v>-2.63</v>
      </c>
      <c r="E23" s="13">
        <f>(C23-C22)/C22*100</f>
        <v>-3.29</v>
      </c>
      <c r="F23" s="12">
        <v>2549</v>
      </c>
      <c r="G23" s="12">
        <v>2552</v>
      </c>
      <c r="H23" s="12">
        <f>LN(G23/F23)*100</f>
        <v>0.1176</v>
      </c>
      <c r="I23" s="13">
        <v>0.591</v>
      </c>
      <c r="J23" s="16">
        <v>-0.0552985702270818</v>
      </c>
      <c r="K23" s="12"/>
    </row>
    <row r="24" spans="1:11">
      <c r="A24" s="9">
        <v>23</v>
      </c>
      <c r="B24" s="10" t="s">
        <v>143</v>
      </c>
      <c r="C24" s="12">
        <v>61.61</v>
      </c>
      <c r="D24" s="12">
        <f>C24-C23</f>
        <v>-15.77</v>
      </c>
      <c r="E24" s="13">
        <f>(C24-C23)/C23*100</f>
        <v>-20.38</v>
      </c>
      <c r="F24" s="12">
        <v>2486</v>
      </c>
      <c r="G24" s="12">
        <v>2484</v>
      </c>
      <c r="H24" s="12">
        <f>LN(G24/F24)*100</f>
        <v>-0.0805</v>
      </c>
      <c r="I24" s="13">
        <v>-2.665</v>
      </c>
      <c r="J24" s="16">
        <v>-0.3142060171348874</v>
      </c>
      <c r="K24" s="12"/>
    </row>
    <row r="25" spans="1:11">
      <c r="A25" s="9">
        <v>24</v>
      </c>
      <c r="B25" s="10" t="s">
        <v>147</v>
      </c>
      <c r="C25" s="12">
        <v>56.98</v>
      </c>
      <c r="D25" s="12">
        <f>C25-C24</f>
        <v>-4.63</v>
      </c>
      <c r="E25" s="13">
        <f>(C25-C24)/C24*100</f>
        <v>-7.52</v>
      </c>
      <c r="F25" s="12">
        <v>2368</v>
      </c>
      <c r="G25" s="12">
        <v>2352</v>
      </c>
      <c r="H25" s="12">
        <f>LN(G25/F25)*100</f>
        <v>-0.678</v>
      </c>
      <c r="I25" s="13">
        <v>-5.314</v>
      </c>
      <c r="J25" s="16">
        <v>-0.07019405700424504</v>
      </c>
      <c r="K25" s="12"/>
    </row>
    <row r="26" spans="1:11">
      <c r="A26" s="9">
        <v>25</v>
      </c>
      <c r="B26" s="10" t="s">
        <v>151</v>
      </c>
      <c r="C26" s="12">
        <v>58.56</v>
      </c>
      <c r="D26" s="12">
        <f>C26-C25</f>
        <v>1.58</v>
      </c>
      <c r="E26" s="13">
        <f>(C26-C25)/C25*100</f>
        <v>2.77</v>
      </c>
      <c r="F26" s="12">
        <v>2277</v>
      </c>
      <c r="G26" s="12">
        <v>2262</v>
      </c>
      <c r="H26" s="12">
        <f>LN(G26/F26)*100</f>
        <v>-0.6609</v>
      </c>
      <c r="I26" s="13">
        <v>-3.827</v>
      </c>
      <c r="J26" s="16">
        <v>0.02238277376398931</v>
      </c>
      <c r="K26" s="12"/>
    </row>
    <row r="27" spans="1:11">
      <c r="A27" s="9">
        <v>26</v>
      </c>
      <c r="B27" s="10" t="s">
        <v>155</v>
      </c>
      <c r="C27" s="12">
        <v>46.32</v>
      </c>
      <c r="D27" s="12">
        <f>C27-C26</f>
        <v>-12.24</v>
      </c>
      <c r="E27" s="13">
        <f>(C27-C26)/C26*100</f>
        <v>-20.9</v>
      </c>
      <c r="F27" s="12">
        <v>2260</v>
      </c>
      <c r="G27" s="12">
        <v>2300</v>
      </c>
      <c r="H27" s="12">
        <f>LN(G27/F27)*100</f>
        <v>1.7544</v>
      </c>
      <c r="I27" s="13">
        <v>1.68</v>
      </c>
      <c r="J27" s="16">
        <v>-0.151012891344383</v>
      </c>
      <c r="K27" s="12"/>
    </row>
    <row r="28" spans="1:11">
      <c r="A28" s="9">
        <v>27</v>
      </c>
      <c r="B28" s="10" t="s">
        <v>159</v>
      </c>
      <c r="C28" s="12">
        <v>53.74</v>
      </c>
      <c r="D28" s="12">
        <f>C28-C27</f>
        <v>7.42</v>
      </c>
      <c r="E28" s="13">
        <f>(C28-C27)/C27*100</f>
        <v>16.02</v>
      </c>
      <c r="F28" s="12">
        <v>2278</v>
      </c>
      <c r="G28" s="12">
        <v>2251</v>
      </c>
      <c r="H28" s="12">
        <f>LN(G28/F28)*100</f>
        <v>-1.1923</v>
      </c>
      <c r="I28" s="13">
        <v>-2.13</v>
      </c>
      <c r="J28" s="16">
        <v>0.09132307692307694</v>
      </c>
      <c r="K28" s="12"/>
    </row>
    <row r="29" spans="1:11">
      <c r="A29" s="9">
        <v>28</v>
      </c>
      <c r="B29" s="10" t="s">
        <v>163</v>
      </c>
      <c r="C29" s="12">
        <v>56.19</v>
      </c>
      <c r="D29" s="12">
        <f>C29-C28</f>
        <v>2.45</v>
      </c>
      <c r="E29" s="13">
        <f>(C29-C28)/C28*100</f>
        <v>4.56</v>
      </c>
      <c r="F29" s="12">
        <v>2219</v>
      </c>
      <c r="G29" s="12">
        <v>2239</v>
      </c>
      <c r="H29" s="12">
        <f>LN(G29/F29)*100</f>
        <v>0.8973</v>
      </c>
      <c r="I29" s="13">
        <v>-0.533</v>
      </c>
      <c r="J29" s="16">
        <v>0.1214769230769231</v>
      </c>
      <c r="K29" s="12"/>
    </row>
    <row r="30" spans="1:11">
      <c r="A30" s="9">
        <v>29</v>
      </c>
      <c r="B30" s="10" t="s">
        <v>167</v>
      </c>
      <c r="C30" s="12">
        <v>48.39</v>
      </c>
      <c r="D30" s="12">
        <f>C30-C29</f>
        <v>-7.8</v>
      </c>
      <c r="E30" s="13">
        <f>(C30-C29)/C29*100</f>
        <v>-13.88</v>
      </c>
      <c r="F30" s="12">
        <v>2291</v>
      </c>
      <c r="G30" s="12">
        <v>2365</v>
      </c>
      <c r="H30" s="12">
        <f>LN(G30/F30)*100</f>
        <v>3.179</v>
      </c>
      <c r="I30" s="13">
        <v>5.628</v>
      </c>
      <c r="J30" s="16">
        <v>0.02547692307692308</v>
      </c>
      <c r="K30" s="12"/>
    </row>
    <row r="31" spans="1:11">
      <c r="A31" s="9">
        <v>30</v>
      </c>
      <c r="B31" s="10" t="s">
        <v>171</v>
      </c>
      <c r="C31" s="12">
        <v>49.04</v>
      </c>
      <c r="D31" s="12">
        <f>C31-C30</f>
        <v>0.65</v>
      </c>
      <c r="E31" s="13">
        <f>(C31-C30)/C30*100</f>
        <v>1.34</v>
      </c>
      <c r="F31" s="12">
        <v>2256</v>
      </c>
      <c r="G31" s="12">
        <v>2270</v>
      </c>
      <c r="H31" s="12">
        <f>LN(G31/F31)*100</f>
        <v>0.6186</v>
      </c>
      <c r="I31" s="13">
        <v>-4.017</v>
      </c>
      <c r="J31" s="16">
        <v>0.03347692307692306</v>
      </c>
      <c r="K31" s="12"/>
    </row>
    <row r="32" spans="1:11">
      <c r="A32" s="9">
        <v>31</v>
      </c>
      <c r="B32" s="10" t="s">
        <v>175</v>
      </c>
      <c r="C32" s="12">
        <v>52.3</v>
      </c>
      <c r="D32" s="12">
        <f>C32-C31</f>
        <v>3.26</v>
      </c>
      <c r="E32" s="13">
        <f>(C32-C31)/C31*100</f>
        <v>6.65</v>
      </c>
      <c r="F32" s="12">
        <v>2208</v>
      </c>
      <c r="G32" s="12">
        <v>2206</v>
      </c>
      <c r="H32" s="12">
        <f>LN(G32/F32)*100</f>
        <v>-0.0906</v>
      </c>
      <c r="I32" s="13">
        <v>-2.819</v>
      </c>
      <c r="J32" s="16">
        <v>0.07359999999999996</v>
      </c>
      <c r="K32" s="12"/>
    </row>
    <row r="33" spans="1:11">
      <c r="A33" s="9">
        <v>32</v>
      </c>
      <c r="B33" s="10" t="s">
        <v>179</v>
      </c>
      <c r="C33" s="12">
        <v>58.12</v>
      </c>
      <c r="D33" s="12">
        <f>C33-C32</f>
        <v>5.82</v>
      </c>
      <c r="E33" s="13">
        <f>(C33-C32)/C32*100</f>
        <v>11.13</v>
      </c>
      <c r="F33" s="12">
        <v>2225</v>
      </c>
      <c r="G33" s="12">
        <v>2270</v>
      </c>
      <c r="H33" s="12">
        <f>LN(G33/F33)*100</f>
        <v>2.0023</v>
      </c>
      <c r="I33" s="13">
        <v>2.901</v>
      </c>
      <c r="J33" s="16">
        <v>0.1452307692307692</v>
      </c>
      <c r="K33" s="12"/>
    </row>
    <row r="34" spans="1:11">
      <c r="A34" s="9">
        <v>33</v>
      </c>
      <c r="B34" s="10" t="s">
        <v>183</v>
      </c>
      <c r="C34" s="12">
        <v>65.22</v>
      </c>
      <c r="D34" s="12">
        <f>C34-C33</f>
        <v>7.1</v>
      </c>
      <c r="E34" s="13">
        <f>(C34-C33)/C33*100</f>
        <v>12.22</v>
      </c>
      <c r="F34" s="12">
        <v>2276</v>
      </c>
      <c r="G34" s="12">
        <v>2282</v>
      </c>
      <c r="H34" s="12">
        <f>LN(G34/F34)*100</f>
        <v>0.2633</v>
      </c>
      <c r="I34" s="13">
        <v>0.529</v>
      </c>
      <c r="J34" s="16">
        <v>0.2326153846153846</v>
      </c>
      <c r="K34" s="12"/>
    </row>
    <row r="35" spans="1:11">
      <c r="A35" s="9">
        <v>34</v>
      </c>
      <c r="B35" s="10" t="s">
        <v>187</v>
      </c>
      <c r="C35" s="12">
        <v>58.64</v>
      </c>
      <c r="D35" s="12">
        <f>C35-C34</f>
        <v>-6.58</v>
      </c>
      <c r="E35" s="13">
        <f>(C35-C34)/C34*100</f>
        <v>-10.09</v>
      </c>
      <c r="F35" s="12">
        <v>2455</v>
      </c>
      <c r="G35" s="12">
        <v>2517</v>
      </c>
      <c r="H35" s="12">
        <f>LN(G35/F35)*100</f>
        <v>2.4941</v>
      </c>
      <c r="I35" s="13">
        <v>10.298</v>
      </c>
      <c r="J35" s="16">
        <v>0.1516307692307692</v>
      </c>
      <c r="K35" s="12"/>
    </row>
    <row r="36" spans="1:11">
      <c r="A36" s="9">
        <v>35</v>
      </c>
      <c r="B36" s="10" t="s">
        <v>191</v>
      </c>
      <c r="C36" s="12">
        <v>67.05</v>
      </c>
      <c r="D36" s="12">
        <f>C36-C35</f>
        <v>8.41</v>
      </c>
      <c r="E36" s="13">
        <f>(C36-C35)/C35*100</f>
        <v>14.34</v>
      </c>
      <c r="F36" s="12">
        <v>2379</v>
      </c>
      <c r="G36" s="12">
        <v>2391</v>
      </c>
      <c r="H36" s="12">
        <f>LN(G36/F36)*100</f>
        <v>0.5031</v>
      </c>
      <c r="I36" s="13">
        <v>-5.006</v>
      </c>
      <c r="J36" s="16">
        <v>0.2551384615384615</v>
      </c>
      <c r="K36" s="12"/>
    </row>
    <row r="37" spans="1:11">
      <c r="A37" s="9">
        <v>36</v>
      </c>
      <c r="B37" s="10" t="s">
        <v>195</v>
      </c>
      <c r="C37" s="12">
        <v>67.37</v>
      </c>
      <c r="D37" s="12">
        <f>C37-C36</f>
        <v>0.32</v>
      </c>
      <c r="E37" s="13">
        <f>(C37-C36)/C36*100</f>
        <v>0.48</v>
      </c>
      <c r="F37" s="12">
        <v>2384</v>
      </c>
      <c r="G37" s="12">
        <v>2404</v>
      </c>
      <c r="H37" s="12">
        <f>LN(G37/F37)*100</f>
        <v>0.8354</v>
      </c>
      <c r="I37" s="13">
        <v>0.544</v>
      </c>
      <c r="J37" s="16">
        <v>0.2590769230769231</v>
      </c>
      <c r="K37" s="12"/>
    </row>
    <row r="38" spans="1:11">
      <c r="A38" s="9">
        <v>37</v>
      </c>
      <c r="B38" s="10" t="s">
        <v>199</v>
      </c>
      <c r="C38" s="12">
        <v>71.89</v>
      </c>
      <c r="D38" s="12">
        <f>C38-C37</f>
        <v>4.52</v>
      </c>
      <c r="E38" s="13">
        <f>(C38-C37)/C37*100</f>
        <v>6.71</v>
      </c>
      <c r="F38" s="12">
        <v>2373</v>
      </c>
      <c r="G38" s="12">
        <v>2372</v>
      </c>
      <c r="H38" s="12">
        <f>LN(G38/F38)*100</f>
        <v>-0.0421</v>
      </c>
      <c r="I38" s="13">
        <v>-1.331</v>
      </c>
      <c r="J38" s="16">
        <v>0.3147076923076923</v>
      </c>
      <c r="K38" s="12"/>
    </row>
    <row r="39" spans="1:11">
      <c r="A39" s="9">
        <v>38</v>
      </c>
      <c r="B39" s="10" t="s">
        <v>203</v>
      </c>
      <c r="C39" s="12">
        <v>79.02</v>
      </c>
      <c r="D39" s="12">
        <f>C39-C38</f>
        <v>7.13</v>
      </c>
      <c r="E39" s="13">
        <f>(C39-C38)/C38*100</f>
        <v>9.92</v>
      </c>
      <c r="F39" s="12">
        <v>2386</v>
      </c>
      <c r="G39" s="12">
        <v>2367</v>
      </c>
      <c r="H39" s="12">
        <f>LN(G39/F39)*100</f>
        <v>-0.7995</v>
      </c>
      <c r="I39" s="13">
        <v>-0.211</v>
      </c>
      <c r="J39" s="16">
        <v>0.4024615384615384</v>
      </c>
      <c r="K39" s="12"/>
    </row>
    <row r="40" spans="1:11">
      <c r="A40" s="9">
        <v>39</v>
      </c>
      <c r="B40" s="10" t="s">
        <v>207</v>
      </c>
      <c r="C40" s="12">
        <v>72.58</v>
      </c>
      <c r="D40" s="12">
        <f>C40-C39</f>
        <v>-6.44</v>
      </c>
      <c r="E40" s="13">
        <f>(C40-C39)/C39*100</f>
        <v>-8.15</v>
      </c>
      <c r="F40" s="12">
        <v>2457</v>
      </c>
      <c r="G40" s="12">
        <v>2411</v>
      </c>
      <c r="H40" s="12">
        <f>LN(G40/F40)*100</f>
        <v>-1.8899</v>
      </c>
      <c r="I40" s="13">
        <v>1.859</v>
      </c>
      <c r="J40" s="16">
        <v>0.3232</v>
      </c>
      <c r="K40" s="12"/>
    </row>
    <row r="41" spans="1:11">
      <c r="A41" s="9">
        <v>40</v>
      </c>
      <c r="B41" s="10" t="s">
        <v>211</v>
      </c>
      <c r="C41" s="12">
        <v>80.84</v>
      </c>
      <c r="D41" s="12">
        <f>C41-C40</f>
        <v>8.26</v>
      </c>
      <c r="E41" s="13">
        <f>(C41-C40)/C40*100</f>
        <v>11.38</v>
      </c>
      <c r="F41" s="12">
        <v>2434</v>
      </c>
      <c r="G41" s="12">
        <v>2419</v>
      </c>
      <c r="H41" s="12">
        <f>LN(G41/F41)*100</f>
        <v>-0.6182</v>
      </c>
      <c r="I41" s="13">
        <v>0.332</v>
      </c>
      <c r="J41" s="16">
        <v>0.4248615384615385</v>
      </c>
      <c r="K41" s="12"/>
    </row>
    <row r="42" spans="1:11">
      <c r="A42" s="9">
        <v>41</v>
      </c>
      <c r="B42" s="10" t="s">
        <v>215</v>
      </c>
      <c r="C42" s="12">
        <v>92.55</v>
      </c>
      <c r="D42" s="12">
        <f>C42-C41</f>
        <v>11.71</v>
      </c>
      <c r="E42" s="13">
        <f>(C42-C41)/C41*100</f>
        <v>14.49</v>
      </c>
      <c r="F42" s="12">
        <v>2397</v>
      </c>
      <c r="G42" s="12">
        <v>2396</v>
      </c>
      <c r="H42" s="12">
        <f>LN(G42/F42)*100</f>
        <v>-0.0417</v>
      </c>
      <c r="I42" s="13">
        <v>-0.951</v>
      </c>
      <c r="J42" s="16">
        <v>0.5689846153846153</v>
      </c>
      <c r="K42" s="12"/>
    </row>
    <row r="43" spans="1:11">
      <c r="A43" s="9">
        <v>42</v>
      </c>
      <c r="B43" s="10" t="s">
        <v>219</v>
      </c>
      <c r="C43" s="12">
        <v>102.18</v>
      </c>
      <c r="D43" s="12">
        <f>C43-C42</f>
        <v>9.63</v>
      </c>
      <c r="E43" s="13">
        <f>(C43-C42)/C42*100</f>
        <v>10.41</v>
      </c>
      <c r="F43" s="12">
        <v>2496</v>
      </c>
      <c r="G43" s="12">
        <v>2479</v>
      </c>
      <c r="H43" s="12">
        <f>LN(G43/F43)*100</f>
        <v>-0.6834</v>
      </c>
      <c r="I43" s="13">
        <v>3.464</v>
      </c>
      <c r="J43" s="16">
        <v>0.6875076923076924</v>
      </c>
      <c r="K43" s="12"/>
    </row>
    <row r="44" spans="1:11">
      <c r="A44" s="9">
        <v>43</v>
      </c>
      <c r="B44" s="10" t="s">
        <v>223</v>
      </c>
      <c r="C44" s="12">
        <v>107.6</v>
      </c>
      <c r="D44" s="12">
        <f>C44-C43</f>
        <v>5.42</v>
      </c>
      <c r="E44" s="13">
        <f>(C44-C43)/C43*100</f>
        <v>5.3</v>
      </c>
      <c r="F44" s="12">
        <v>2391</v>
      </c>
      <c r="G44" s="12">
        <v>2424</v>
      </c>
      <c r="H44" s="12">
        <f>LN(G44/F44)*100</f>
        <v>1.3707</v>
      </c>
      <c r="I44" s="13">
        <v>-2.219</v>
      </c>
      <c r="J44" s="16">
        <v>0.7542153846153845</v>
      </c>
      <c r="K44" s="12"/>
    </row>
    <row r="45" spans="1:11">
      <c r="A45" s="9">
        <v>44</v>
      </c>
      <c r="B45" s="10" t="s">
        <v>227</v>
      </c>
      <c r="C45" s="12">
        <v>129.93</v>
      </c>
      <c r="D45" s="12">
        <f>C45-C44</f>
        <v>22.33</v>
      </c>
      <c r="E45" s="13">
        <f>(C45-C44)/C44*100</f>
        <v>20.75</v>
      </c>
      <c r="F45" s="12">
        <v>2395</v>
      </c>
      <c r="G45" s="12">
        <v>2372</v>
      </c>
      <c r="H45" s="12">
        <f>LN(G45/F45)*100</f>
        <v>-0.965</v>
      </c>
      <c r="I45" s="13">
        <v>-2.145</v>
      </c>
      <c r="J45" s="16">
        <v>1.029046153846154</v>
      </c>
      <c r="K45" s="12"/>
    </row>
    <row r="46" spans="1:11">
      <c r="A46" s="9">
        <v>45</v>
      </c>
      <c r="B46" s="10" t="s">
        <v>231</v>
      </c>
      <c r="C46" s="12">
        <v>142.77</v>
      </c>
      <c r="D46" s="12">
        <f>C46-C45</f>
        <v>12.84</v>
      </c>
      <c r="E46" s="13">
        <f>(C46-C45)/C45*100</f>
        <v>9.88</v>
      </c>
      <c r="F46" s="12">
        <v>2372</v>
      </c>
      <c r="G46" s="12">
        <v>2382</v>
      </c>
      <c r="H46" s="12">
        <f>LN(G46/F46)*100</f>
        <v>0.4207</v>
      </c>
      <c r="I46" s="13">
        <v>0.422</v>
      </c>
      <c r="J46" s="16">
        <v>1.15357014711159</v>
      </c>
      <c r="K46" s="12"/>
    </row>
    <row r="47" spans="1:11">
      <c r="A47" s="9">
        <v>46</v>
      </c>
      <c r="B47" s="10" t="s">
        <v>235</v>
      </c>
      <c r="C47" s="12">
        <v>155.03</v>
      </c>
      <c r="D47" s="12">
        <f>C47-C46</f>
        <v>12.26</v>
      </c>
      <c r="E47" s="13">
        <f>(C47-C46)/C46*100</f>
        <v>8.59</v>
      </c>
      <c r="F47" s="12">
        <v>2398</v>
      </c>
      <c r="G47" s="12">
        <v>2407</v>
      </c>
      <c r="H47" s="12">
        <f>LN(G47/F47)*100</f>
        <v>0.3746</v>
      </c>
      <c r="I47" s="13">
        <v>1.05</v>
      </c>
      <c r="J47" s="16">
        <v>1.127112493519958</v>
      </c>
      <c r="K47" s="12"/>
    </row>
    <row r="48" spans="1:11">
      <c r="A48" s="9">
        <v>47</v>
      </c>
      <c r="B48" s="10" t="s">
        <v>239</v>
      </c>
      <c r="C48" s="12">
        <v>155.78</v>
      </c>
      <c r="D48" s="12">
        <f>C48-C47</f>
        <v>0.75</v>
      </c>
      <c r="E48" s="13">
        <f>(C48-C47)/C47*100</f>
        <v>0.48</v>
      </c>
      <c r="F48" s="12">
        <v>2375</v>
      </c>
      <c r="G48" s="12">
        <v>2376</v>
      </c>
      <c r="H48" s="12">
        <f>LN(G48/F48)*100</f>
        <v>0.0421</v>
      </c>
      <c r="I48" s="13">
        <v>-1.288</v>
      </c>
      <c r="J48" s="16">
        <v>1.00689908932021</v>
      </c>
      <c r="K48" s="12"/>
    </row>
    <row r="49" spans="1:11">
      <c r="A49" s="9">
        <v>48</v>
      </c>
      <c r="B49" s="10" t="s">
        <v>243</v>
      </c>
      <c r="C49" s="12">
        <v>149.22</v>
      </c>
      <c r="D49" s="12">
        <f>C49-C48</f>
        <v>-6.56</v>
      </c>
      <c r="E49" s="13">
        <f>(C49-C48)/C48*100</f>
        <v>-4.21</v>
      </c>
      <c r="F49" s="12">
        <v>2343</v>
      </c>
      <c r="G49" s="12">
        <v>2351</v>
      </c>
      <c r="H49" s="12">
        <f>LN(G49/F49)*100</f>
        <v>0.3409</v>
      </c>
      <c r="I49" s="13">
        <v>-1.052</v>
      </c>
      <c r="J49" s="16">
        <v>0.9400694317558925</v>
      </c>
      <c r="K49" s="12"/>
    </row>
    <row r="50" spans="1:11">
      <c r="A50" s="9">
        <v>49</v>
      </c>
      <c r="B50" s="10" t="s">
        <v>247</v>
      </c>
      <c r="C50" s="12">
        <v>154.32</v>
      </c>
      <c r="D50" s="12">
        <f>C50-C49</f>
        <v>5.1</v>
      </c>
      <c r="E50" s="13">
        <f>(C50-C49)/C49*100</f>
        <v>3.42</v>
      </c>
      <c r="F50" s="12">
        <v>2328</v>
      </c>
      <c r="G50" s="12">
        <v>2290</v>
      </c>
      <c r="H50" s="12">
        <f>LN(G50/F50)*100</f>
        <v>-1.6458</v>
      </c>
      <c r="I50" s="13">
        <v>-2.595</v>
      </c>
      <c r="J50" s="16">
        <v>0.9866617942627444</v>
      </c>
      <c r="K50" s="12">
        <v>88.08</v>
      </c>
    </row>
    <row r="51" spans="1:11">
      <c r="A51" s="9">
        <v>50</v>
      </c>
      <c r="B51" s="10" t="s">
        <v>251</v>
      </c>
      <c r="C51" s="12">
        <v>149.14</v>
      </c>
      <c r="D51" s="12">
        <f>C51-C50</f>
        <v>-5.18</v>
      </c>
      <c r="E51" s="13">
        <f>(C51-C50)/C50*100</f>
        <v>-3.36</v>
      </c>
      <c r="F51" s="12">
        <v>2274</v>
      </c>
      <c r="G51" s="12">
        <v>2298</v>
      </c>
      <c r="H51" s="12">
        <f>LN(G51/F51)*100</f>
        <v>1.0499</v>
      </c>
      <c r="I51" s="13">
        <v>0.349</v>
      </c>
      <c r="J51" s="16">
        <v>0.9393385711675497</v>
      </c>
      <c r="K51" s="12"/>
    </row>
    <row r="52" spans="1:11">
      <c r="A52" s="9">
        <v>51</v>
      </c>
      <c r="B52" s="10" t="s">
        <v>255</v>
      </c>
      <c r="C52" s="12">
        <v>151.22</v>
      </c>
      <c r="D52" s="12">
        <f>C52-C51</f>
        <v>2.08</v>
      </c>
      <c r="E52" s="13">
        <f>(C52-C51)/C51*100</f>
        <v>1.39</v>
      </c>
      <c r="F52" s="12">
        <v>2268</v>
      </c>
      <c r="G52" s="12">
        <v>2261</v>
      </c>
      <c r="H52" s="12">
        <f>LN(G52/F52)*100</f>
        <v>-0.3091</v>
      </c>
      <c r="I52" s="13">
        <v>-1.61</v>
      </c>
      <c r="J52" s="16">
        <v>0.9583409464644619</v>
      </c>
      <c r="K52" s="12"/>
    </row>
    <row r="53" spans="1:11">
      <c r="A53" s="9">
        <v>52</v>
      </c>
      <c r="B53" s="10" t="s">
        <v>259</v>
      </c>
      <c r="C53" s="12">
        <v>150.65</v>
      </c>
      <c r="D53" s="12">
        <f>C53-C52</f>
        <v>-0.57</v>
      </c>
      <c r="E53" s="13">
        <f>(C53-C52)/C52*100</f>
        <v>-0.38</v>
      </c>
      <c r="F53" s="12">
        <v>2241</v>
      </c>
      <c r="G53" s="12">
        <v>2257</v>
      </c>
      <c r="H53" s="12">
        <f>LN(G53/F53)*100</f>
        <v>0.7114</v>
      </c>
      <c r="I53" s="13">
        <v>-0.177</v>
      </c>
      <c r="J53" s="16">
        <v>0.9531335647725196</v>
      </c>
      <c r="K53" s="12"/>
    </row>
    <row r="54" spans="1:11">
      <c r="A54" s="9">
        <v>53</v>
      </c>
      <c r="B54" s="10" t="s">
        <v>263</v>
      </c>
      <c r="C54" s="12">
        <v>151.71</v>
      </c>
      <c r="D54" s="12">
        <f>C54-C53</f>
        <v>1.06</v>
      </c>
      <c r="E54" s="13">
        <f>(C54-C53)/C53*100</f>
        <v>0.7</v>
      </c>
      <c r="F54" s="12">
        <v>2115</v>
      </c>
      <c r="G54" s="12">
        <v>2141</v>
      </c>
      <c r="H54" s="12">
        <f>LN(G54/F54)*100</f>
        <v>1.2218</v>
      </c>
      <c r="I54" s="13">
        <v>-5.14</v>
      </c>
      <c r="J54" s="16">
        <v>0.9628174675680614</v>
      </c>
      <c r="K54" s="12"/>
    </row>
    <row r="55" spans="1:11">
      <c r="A55" s="9">
        <v>54</v>
      </c>
      <c r="B55" s="10" t="s">
        <v>267</v>
      </c>
      <c r="C55" s="12">
        <v>154.36</v>
      </c>
      <c r="D55" s="12">
        <f>C55-C54</f>
        <v>2.65</v>
      </c>
      <c r="E55" s="13">
        <f>(C55-C54)/C54*100</f>
        <v>1.75</v>
      </c>
      <c r="F55" s="12">
        <v>2082</v>
      </c>
      <c r="G55" s="12">
        <v>2108</v>
      </c>
      <c r="H55" s="12">
        <f>LN(G55/F55)*100</f>
        <v>1.2411</v>
      </c>
      <c r="I55" s="13">
        <v>-1.541</v>
      </c>
      <c r="J55" s="16">
        <v>0.9870272245569159</v>
      </c>
      <c r="K55" s="12"/>
    </row>
    <row r="56" spans="1:11">
      <c r="A56" s="9">
        <v>55</v>
      </c>
      <c r="B56" s="10" t="s">
        <v>271</v>
      </c>
      <c r="C56" s="12">
        <v>147.93</v>
      </c>
      <c r="D56" s="12">
        <f>C56-C55</f>
        <v>-6.43</v>
      </c>
      <c r="E56" s="13">
        <f>(C56-C55)/C55*100</f>
        <v>-4.17</v>
      </c>
      <c r="F56" s="12">
        <v>2030</v>
      </c>
      <c r="G56" s="12">
        <v>2013</v>
      </c>
      <c r="H56" s="12">
        <f>LN(G56/F56)*100</f>
        <v>-0.841</v>
      </c>
      <c r="I56" s="13">
        <v>-4.507</v>
      </c>
      <c r="J56" s="16">
        <v>0.9282843047688654</v>
      </c>
      <c r="K56" s="12"/>
    </row>
    <row r="57" spans="1:11">
      <c r="A57" s="9">
        <v>56</v>
      </c>
      <c r="B57" s="10" t="s">
        <v>275</v>
      </c>
      <c r="C57" s="12">
        <v>136.35</v>
      </c>
      <c r="D57" s="12">
        <f>C57-C56</f>
        <v>-11.58</v>
      </c>
      <c r="E57" s="13">
        <f>(C57-C56)/C56*100</f>
        <v>-7.83</v>
      </c>
      <c r="F57" s="12">
        <v>2067</v>
      </c>
      <c r="G57" s="12">
        <v>2094</v>
      </c>
      <c r="H57" s="12">
        <f>LN(G57/F57)*100</f>
        <v>1.2978</v>
      </c>
      <c r="I57" s="13">
        <v>4.024</v>
      </c>
      <c r="J57" s="16">
        <v>0.8224922346062488</v>
      </c>
      <c r="K57" s="12"/>
    </row>
    <row r="58" spans="1:11">
      <c r="A58" s="9">
        <v>57</v>
      </c>
      <c r="B58" s="10" t="s">
        <v>279</v>
      </c>
      <c r="C58" s="12">
        <v>134.94</v>
      </c>
      <c r="D58" s="12">
        <f>C58-C57</f>
        <v>-1.41</v>
      </c>
      <c r="E58" s="13">
        <f>(C58-C57)/C57*100</f>
        <v>-1.03</v>
      </c>
      <c r="F58" s="12">
        <v>2132</v>
      </c>
      <c r="G58" s="12">
        <v>2128</v>
      </c>
      <c r="H58" s="12">
        <f>LN(G58/F58)*100</f>
        <v>-0.1878</v>
      </c>
      <c r="I58" s="13">
        <v>1.624</v>
      </c>
      <c r="J58" s="16">
        <v>0.8096108167367074</v>
      </c>
      <c r="K58" s="12"/>
    </row>
    <row r="59" spans="1:11">
      <c r="A59" s="9">
        <v>58</v>
      </c>
      <c r="B59" s="10" t="s">
        <v>283</v>
      </c>
      <c r="C59" s="12">
        <v>123.44</v>
      </c>
      <c r="D59" s="12">
        <f>C59-C58</f>
        <v>-11.5</v>
      </c>
      <c r="E59" s="13">
        <f>(C59-C58)/C58*100</f>
        <v>-8.52</v>
      </c>
      <c r="F59" s="12">
        <v>2066</v>
      </c>
      <c r="G59" s="12">
        <v>2053</v>
      </c>
      <c r="H59" s="12">
        <f>LN(G59/F59)*100</f>
        <v>-0.6312</v>
      </c>
      <c r="I59" s="13">
        <v>-3.524</v>
      </c>
      <c r="J59" s="16">
        <v>0.7045496071624338</v>
      </c>
      <c r="K59" s="12"/>
    </row>
    <row r="60" spans="1:11">
      <c r="A60" s="9">
        <v>59</v>
      </c>
      <c r="B60" s="10" t="s">
        <v>287</v>
      </c>
      <c r="C60" s="12">
        <v>121.88</v>
      </c>
      <c r="D60" s="12">
        <f>C60-C59</f>
        <v>-1.56</v>
      </c>
      <c r="E60" s="13">
        <f>(C60-C59)/C59*100</f>
        <v>-1.26</v>
      </c>
      <c r="F60" s="12">
        <v>2129</v>
      </c>
      <c r="G60" s="12">
        <v>2156</v>
      </c>
      <c r="H60" s="12">
        <f>LN(G60/F60)*100</f>
        <v>1.2602</v>
      </c>
      <c r="I60" s="13">
        <v>5.017</v>
      </c>
      <c r="J60" s="16">
        <v>0.6902978256897496</v>
      </c>
      <c r="K60" s="12"/>
    </row>
    <row r="61" spans="1:11">
      <c r="A61" s="9">
        <v>60</v>
      </c>
      <c r="B61" s="10" t="s">
        <v>291</v>
      </c>
      <c r="C61" s="12">
        <v>141.25</v>
      </c>
      <c r="D61" s="12">
        <f>C61-C60</f>
        <v>19.37</v>
      </c>
      <c r="E61" s="13">
        <f>(C61-C60)/C60*100</f>
        <v>15.89</v>
      </c>
      <c r="F61" s="12">
        <v>2156</v>
      </c>
      <c r="G61" s="12">
        <v>2172</v>
      </c>
      <c r="H61" s="12">
        <f>LN(G61/F61)*100</f>
        <v>0.7394</v>
      </c>
      <c r="I61" s="13">
        <v>0.742</v>
      </c>
      <c r="J61" s="16">
        <v>0.8672574456422437</v>
      </c>
      <c r="K61" s="12"/>
    </row>
    <row r="62" spans="1:11">
      <c r="A62" s="9">
        <v>61</v>
      </c>
      <c r="B62" s="10" t="s">
        <v>295</v>
      </c>
      <c r="C62" s="12">
        <v>147.74</v>
      </c>
      <c r="D62" s="12">
        <f>C62-C61</f>
        <v>6.49</v>
      </c>
      <c r="E62" s="13">
        <f>(C62-C61)/C61*100</f>
        <v>4.59</v>
      </c>
      <c r="F62" s="12">
        <v>2219</v>
      </c>
      <c r="G62" s="12">
        <v>2216</v>
      </c>
      <c r="H62" s="12">
        <f>LN(G62/F62)*100</f>
        <v>-0.1353</v>
      </c>
      <c r="I62" s="13">
        <v>2.026</v>
      </c>
      <c r="J62" s="16">
        <v>0.9265485108715513</v>
      </c>
      <c r="K62" s="12"/>
    </row>
    <row r="63" spans="1:11">
      <c r="A63" s="9">
        <v>62</v>
      </c>
      <c r="B63" s="10" t="s">
        <v>299</v>
      </c>
      <c r="C63" s="12">
        <v>153.72</v>
      </c>
      <c r="D63" s="12">
        <f>C63-C62</f>
        <v>5.98</v>
      </c>
      <c r="E63" s="13">
        <f>(C63-C62)/C62*100</f>
        <v>4.05</v>
      </c>
      <c r="F63" s="12">
        <v>2293</v>
      </c>
      <c r="G63" s="12">
        <v>2267</v>
      </c>
      <c r="H63" s="12">
        <f>LN(G63/F63)*100</f>
        <v>-1.1404</v>
      </c>
      <c r="I63" s="13">
        <v>2.301</v>
      </c>
      <c r="J63" s="16">
        <v>0.9811803398501736</v>
      </c>
      <c r="K63" s="12"/>
    </row>
    <row r="64" spans="1:11">
      <c r="A64" s="9">
        <v>63</v>
      </c>
      <c r="B64" s="10" t="s">
        <v>303</v>
      </c>
      <c r="C64" s="12">
        <v>143.53</v>
      </c>
      <c r="D64" s="12">
        <f>C64-C63</f>
        <v>-10.19</v>
      </c>
      <c r="E64" s="13">
        <f>(C64-C63)/C63*100</f>
        <v>-6.63</v>
      </c>
      <c r="F64" s="12">
        <v>2263</v>
      </c>
      <c r="G64" s="12">
        <v>2288</v>
      </c>
      <c r="H64" s="12">
        <f>LN(G64/F64)*100</f>
        <v>1.0987</v>
      </c>
      <c r="I64" s="13">
        <v>0.926</v>
      </c>
      <c r="J64" s="16">
        <v>0.8880869724100128</v>
      </c>
      <c r="K64" s="12"/>
    </row>
    <row r="65" spans="1:11">
      <c r="A65" s="9">
        <v>64</v>
      </c>
      <c r="B65" s="10" t="s">
        <v>307</v>
      </c>
      <c r="C65" s="12">
        <v>145.75</v>
      </c>
      <c r="D65" s="12">
        <f>C65-C64</f>
        <v>2.22</v>
      </c>
      <c r="E65" s="13">
        <f>(C65-C64)/C64*100</f>
        <v>1.55</v>
      </c>
      <c r="F65" s="12">
        <v>2206</v>
      </c>
      <c r="G65" s="12">
        <v>2209</v>
      </c>
      <c r="H65" s="12">
        <f>LN(G65/F65)*100</f>
        <v>0.1359</v>
      </c>
      <c r="I65" s="13">
        <v>-3.453</v>
      </c>
      <c r="J65" s="16">
        <v>0.9083683537365248</v>
      </c>
      <c r="K65" s="12"/>
    </row>
    <row r="66" spans="1:11">
      <c r="A66" s="9">
        <v>65</v>
      </c>
      <c r="B66" s="10" t="s">
        <v>311</v>
      </c>
      <c r="C66" s="12">
        <v>147.21</v>
      </c>
      <c r="D66" s="12">
        <f>C66-C65</f>
        <v>1.46</v>
      </c>
      <c r="E66" s="13">
        <f>(C66-C65)/C65*100</f>
        <v>1.0</v>
      </c>
      <c r="F66" s="12">
        <v>2304</v>
      </c>
      <c r="G66" s="12">
        <v>2339</v>
      </c>
      <c r="H66" s="12">
        <f>LN(G66/F66)*100</f>
        <v>1.5077</v>
      </c>
      <c r="I66" s="13">
        <v>5.885</v>
      </c>
      <c r="J66" s="16">
        <v>0.9217065594737804</v>
      </c>
      <c r="K66" s="12"/>
    </row>
    <row r="67" spans="1:11">
      <c r="A67" s="9">
        <v>66</v>
      </c>
      <c r="B67" s="10" t="s">
        <v>315</v>
      </c>
      <c r="C67" s="12">
        <v>141.1</v>
      </c>
      <c r="D67" s="12">
        <f>C67-C66</f>
        <v>-6.11</v>
      </c>
      <c r="E67" s="13">
        <f>(C67-C66)/C66*100</f>
        <v>-4.15</v>
      </c>
      <c r="F67" s="12">
        <v>2247</v>
      </c>
      <c r="G67" s="12">
        <v>2279</v>
      </c>
      <c r="H67" s="12">
        <f>LN(G67/F67)*100</f>
        <v>1.4141</v>
      </c>
      <c r="I67" s="13">
        <v>-2.565</v>
      </c>
      <c r="J67" s="16">
        <v>0.865887082039101</v>
      </c>
      <c r="K67" s="12"/>
    </row>
    <row r="68" spans="1:11">
      <c r="A68" s="9">
        <v>67</v>
      </c>
      <c r="B68" s="10" t="s">
        <v>319</v>
      </c>
      <c r="C68" s="12">
        <v>143.22</v>
      </c>
      <c r="D68" s="12">
        <f>C68-C67</f>
        <v>2.12</v>
      </c>
      <c r="E68" s="13">
        <f>(C68-C67)/C67*100</f>
        <v>1.5</v>
      </c>
      <c r="F68" s="12">
        <v>2241</v>
      </c>
      <c r="G68" s="12">
        <v>2248</v>
      </c>
      <c r="H68" s="12">
        <f>LN(G68/F68)*100</f>
        <v>0.3119</v>
      </c>
      <c r="I68" s="13">
        <v>-1.36</v>
      </c>
      <c r="J68" s="16">
        <v>0.8852548876301846</v>
      </c>
      <c r="K68" s="12"/>
    </row>
    <row r="69" spans="1:11">
      <c r="A69" s="9">
        <v>68</v>
      </c>
      <c r="B69" s="10" t="s">
        <v>323</v>
      </c>
      <c r="C69" s="12">
        <v>144.67</v>
      </c>
      <c r="D69" s="12">
        <f>C69-C68</f>
        <v>1.45</v>
      </c>
      <c r="E69" s="13">
        <f>(C69-C68)/C68*100</f>
        <v>1.01</v>
      </c>
      <c r="F69" s="12">
        <v>2285</v>
      </c>
      <c r="G69" s="12">
        <v>2249</v>
      </c>
      <c r="H69" s="12">
        <f>LN(G69/F69)*100</f>
        <v>-1.588</v>
      </c>
      <c r="I69" s="13">
        <v>0.044</v>
      </c>
      <c r="J69" s="16">
        <v>0.8985017357938972</v>
      </c>
      <c r="K69" s="12"/>
    </row>
    <row r="70" spans="1:11">
      <c r="A70" s="9">
        <v>69</v>
      </c>
      <c r="B70" s="10" t="s">
        <v>327</v>
      </c>
      <c r="C70" s="12">
        <v>144.35</v>
      </c>
      <c r="D70" s="12">
        <f>C70-C69</f>
        <v>-0.32</v>
      </c>
      <c r="E70" s="13">
        <f>(C70-C69)/C69*100</f>
        <v>-0.22</v>
      </c>
      <c r="F70" s="12">
        <v>2557</v>
      </c>
      <c r="G70" s="12">
        <v>2553</v>
      </c>
      <c r="H70" s="12">
        <f>LN(G70/F70)*100</f>
        <v>-0.1566</v>
      </c>
      <c r="I70" s="13">
        <v>13.517</v>
      </c>
      <c r="J70" s="16">
        <v>0.8955782934405262</v>
      </c>
      <c r="K70" s="12"/>
    </row>
    <row r="71" spans="1:11">
      <c r="A71" s="9">
        <v>70</v>
      </c>
      <c r="B71" s="10" t="s">
        <v>331</v>
      </c>
      <c r="C71" s="12">
        <v>131.28</v>
      </c>
      <c r="D71" s="12">
        <f>C71-C70</f>
        <v>-13.07</v>
      </c>
      <c r="E71" s="13">
        <f>(C71-C70)/C70*100</f>
        <v>-9.05</v>
      </c>
      <c r="F71" s="12">
        <v>2549</v>
      </c>
      <c r="G71" s="12">
        <v>2658</v>
      </c>
      <c r="H71" s="12">
        <f>LN(G71/F71)*100</f>
        <v>4.1873</v>
      </c>
      <c r="I71" s="13">
        <v>4.113</v>
      </c>
      <c r="J71" s="16">
        <v>0.7761739448200256</v>
      </c>
      <c r="K71" s="12"/>
    </row>
    <row r="72" spans="1:11">
      <c r="A72" s="9">
        <v>71</v>
      </c>
      <c r="B72" s="10" t="s">
        <v>335</v>
      </c>
      <c r="C72" s="12">
        <v>126.17</v>
      </c>
      <c r="D72" s="12">
        <f>C72-C71</f>
        <v>-5.11</v>
      </c>
      <c r="E72" s="13">
        <f>(C72-C71)/C71*100</f>
        <v>-3.89</v>
      </c>
      <c r="F72" s="12">
        <v>2847</v>
      </c>
      <c r="G72" s="12">
        <v>2912</v>
      </c>
      <c r="H72" s="12">
        <f>LN(G72/F72)*100</f>
        <v>2.2574</v>
      </c>
      <c r="I72" s="13">
        <v>9.555999999999999</v>
      </c>
      <c r="J72" s="16">
        <v>0.7294902247396308</v>
      </c>
      <c r="K72" s="12"/>
    </row>
    <row r="73" spans="1:11">
      <c r="A73" s="9">
        <v>72</v>
      </c>
      <c r="B73" s="10" t="s">
        <v>339</v>
      </c>
      <c r="C73" s="12">
        <v>115.55</v>
      </c>
      <c r="D73" s="12">
        <f>C73-C72</f>
        <v>-10.62</v>
      </c>
      <c r="E73" s="13">
        <f>(C73-C72)/C72*100</f>
        <v>-8.42</v>
      </c>
      <c r="F73" s="12">
        <v>3139</v>
      </c>
      <c r="G73" s="12">
        <v>3089</v>
      </c>
      <c r="H73" s="12">
        <f>LN(G73/F73)*100</f>
        <v>-1.6057</v>
      </c>
      <c r="I73" s="13">
        <v>6.078</v>
      </c>
      <c r="J73" s="16">
        <v>0.6324684816371275</v>
      </c>
      <c r="K73" s="12"/>
    </row>
    <row r="74" spans="1:11">
      <c r="A74" s="9">
        <v>73</v>
      </c>
      <c r="B74" s="10" t="s">
        <v>343</v>
      </c>
      <c r="C74" s="12">
        <v>103.4</v>
      </c>
      <c r="D74" s="12">
        <f>C74-C73</f>
        <v>-12.15</v>
      </c>
      <c r="E74" s="13">
        <f>(C74-C73)/C73*100</f>
        <v>-10.51</v>
      </c>
      <c r="F74" s="12">
        <v>3229</v>
      </c>
      <c r="G74" s="12">
        <v>3014</v>
      </c>
      <c r="H74" s="12">
        <f>LN(G74/F74)*100</f>
        <v>-6.8904</v>
      </c>
      <c r="I74" s="13">
        <v>-2.428</v>
      </c>
      <c r="J74" s="16">
        <v>0.521469029782569</v>
      </c>
      <c r="K74" s="12"/>
    </row>
    <row r="75" spans="1:11">
      <c r="A75" s="9">
        <v>74</v>
      </c>
      <c r="B75" s="10" t="s">
        <v>347</v>
      </c>
      <c r="C75" s="12">
        <v>102.55</v>
      </c>
      <c r="D75" s="12">
        <f>C75-C74</f>
        <v>-0.85</v>
      </c>
      <c r="E75" s="13">
        <f>(C75-C74)/C74*100</f>
        <v>-0.82</v>
      </c>
      <c r="F75" s="12">
        <v>3553</v>
      </c>
      <c r="G75" s="12">
        <v>3122</v>
      </c>
      <c r="H75" s="12">
        <f>LN(G75/F75)*100</f>
        <v>-12.9318</v>
      </c>
      <c r="I75" s="13">
        <v>3.583</v>
      </c>
      <c r="J75" s="16">
        <v>0.513703636031427</v>
      </c>
      <c r="K75" s="12"/>
    </row>
    <row r="76" spans="1:11">
      <c r="A76" s="9">
        <v>75</v>
      </c>
      <c r="B76" s="10" t="s">
        <v>351</v>
      </c>
      <c r="C76" s="12">
        <v>95.36</v>
      </c>
      <c r="D76" s="12">
        <f>C76-C75</f>
        <v>-7.19</v>
      </c>
      <c r="E76" s="13">
        <f>(C76-C75)/C75*100</f>
        <v>-7.01</v>
      </c>
      <c r="F76" s="12">
        <v>2828</v>
      </c>
      <c r="G76" s="12">
        <v>2844</v>
      </c>
      <c r="H76" s="12">
        <f>LN(G76/F76)*100</f>
        <v>0.5642</v>
      </c>
      <c r="I76" s="13">
        <v>-8.904999999999999</v>
      </c>
      <c r="J76" s="16">
        <v>0.4480175406541202</v>
      </c>
      <c r="K76" s="12"/>
    </row>
    <row r="77" spans="1:11">
      <c r="A77" s="9">
        <v>76</v>
      </c>
      <c r="B77" s="10" t="s">
        <v>355</v>
      </c>
      <c r="C77" s="12">
        <v>97.56999999999999</v>
      </c>
      <c r="D77" s="12">
        <f>C77-C76</f>
        <v>2.21</v>
      </c>
      <c r="E77" s="13">
        <f>(C77-C76)/C76*100</f>
        <v>2.32</v>
      </c>
      <c r="F77" s="12">
        <v>2824</v>
      </c>
      <c r="G77" s="12">
        <v>2848</v>
      </c>
      <c r="H77" s="12">
        <f>LN(G77/F77)*100</f>
        <v>0.8463</v>
      </c>
      <c r="I77" s="13">
        <v>0.141</v>
      </c>
      <c r="J77" s="16">
        <v>0.4682075644070893</v>
      </c>
      <c r="K77" s="12"/>
    </row>
    <row r="78" spans="1:11">
      <c r="A78" s="9">
        <v>77</v>
      </c>
      <c r="B78" s="10" t="s">
        <v>359</v>
      </c>
      <c r="C78" s="12">
        <v>91.48999999999999</v>
      </c>
      <c r="D78" s="12">
        <f>C78-C77</f>
        <v>-6.08</v>
      </c>
      <c r="E78" s="13">
        <f>(C78-C77)/C77*100</f>
        <v>-6.23</v>
      </c>
      <c r="F78" s="12">
        <v>3020</v>
      </c>
      <c r="G78" s="12">
        <v>3007</v>
      </c>
      <c r="H78" s="12">
        <f>LN(G78/F78)*100</f>
        <v>-0.4314</v>
      </c>
      <c r="I78" s="13">
        <v>5.583</v>
      </c>
      <c r="J78" s="16">
        <v>0.4126621596930385</v>
      </c>
      <c r="K78" s="12"/>
    </row>
    <row r="79" spans="1:11">
      <c r="A79" s="9">
        <v>78</v>
      </c>
      <c r="B79" s="10" t="s">
        <v>363</v>
      </c>
      <c r="C79" s="12">
        <v>92.2</v>
      </c>
      <c r="D79" s="12">
        <f>C79-C78</f>
        <v>0.71</v>
      </c>
      <c r="E79" s="13">
        <f>(C79-C78)/C78*100</f>
        <v>0.78</v>
      </c>
      <c r="F79" s="12">
        <v>3009</v>
      </c>
      <c r="G79" s="12">
        <v>3045</v>
      </c>
      <c r="H79" s="12">
        <f>LN(G79/F79)*100</f>
        <v>1.1893</v>
      </c>
      <c r="I79" s="13">
        <v>1.264</v>
      </c>
      <c r="J79" s="16">
        <v>0.4191485474145807</v>
      </c>
      <c r="K79" s="12"/>
    </row>
    <row r="80" spans="1:11">
      <c r="A80" s="9">
        <v>79</v>
      </c>
      <c r="B80" s="10" t="s">
        <v>367</v>
      </c>
      <c r="C80" s="12">
        <v>79.68000000000001</v>
      </c>
      <c r="D80" s="12">
        <f>C80-C79</f>
        <v>-12.52</v>
      </c>
      <c r="E80" s="13">
        <f>(C80-C79)/C79*100</f>
        <v>-13.58</v>
      </c>
      <c r="F80" s="12">
        <v>2915</v>
      </c>
      <c r="G80" s="12">
        <v>2906</v>
      </c>
      <c r="H80" s="12">
        <f>LN(G80/F80)*100</f>
        <v>-0.3092</v>
      </c>
      <c r="I80" s="13">
        <v>-4.565</v>
      </c>
      <c r="J80" s="16">
        <v>0.2913679113511501</v>
      </c>
      <c r="K80" s="12"/>
    </row>
    <row r="81" spans="1:11">
      <c r="A81" s="9">
        <v>80</v>
      </c>
      <c r="B81" s="10" t="s">
        <v>371</v>
      </c>
      <c r="C81" s="12">
        <v>71.55</v>
      </c>
      <c r="D81" s="12">
        <f>C81-C80</f>
        <v>-8.13</v>
      </c>
      <c r="E81" s="13">
        <f>(C81-C80)/C80*100</f>
        <v>-10.2</v>
      </c>
      <c r="F81" s="12">
        <v>2963</v>
      </c>
      <c r="G81" s="12">
        <v>2968</v>
      </c>
      <c r="H81" s="12">
        <f>LN(G81/F81)*100</f>
        <v>0.1686</v>
      </c>
      <c r="I81" s="13">
        <v>2.134</v>
      </c>
      <c r="J81" s="16">
        <v>0.2156625384113977</v>
      </c>
      <c r="K81" s="12"/>
    </row>
    <row r="82" spans="1:11">
      <c r="A82" s="9">
        <v>81</v>
      </c>
      <c r="B82" s="10" t="s">
        <v>375</v>
      </c>
      <c r="C82" s="12">
        <v>66.2</v>
      </c>
      <c r="D82" s="12">
        <f>C82-C81</f>
        <v>-5.35</v>
      </c>
      <c r="E82" s="13">
        <f>(C82-C81)/C81*100</f>
        <v>-7.48</v>
      </c>
      <c r="F82" s="12">
        <v>2837</v>
      </c>
      <c r="G82" s="12">
        <v>2804</v>
      </c>
      <c r="H82" s="12">
        <f>LN(G82/F82)*100</f>
        <v>-1.17</v>
      </c>
      <c r="I82" s="13">
        <v>-5.526</v>
      </c>
      <c r="J82" s="16">
        <v>0.1658441195642053</v>
      </c>
      <c r="K82" s="12"/>
    </row>
    <row r="83" spans="1:11">
      <c r="A83" s="9">
        <v>82</v>
      </c>
      <c r="B83" s="10" t="s">
        <v>379</v>
      </c>
      <c r="C83" s="12">
        <v>63.35</v>
      </c>
      <c r="D83" s="12">
        <f>C83-C82</f>
        <v>-2.85</v>
      </c>
      <c r="E83" s="13">
        <f>(C83-C82)/C82*100</f>
        <v>-4.31</v>
      </c>
      <c r="F83" s="12">
        <v>2890</v>
      </c>
      <c r="G83" s="12">
        <v>2926</v>
      </c>
      <c r="H83" s="12">
        <f>LN(G83/F83)*100</f>
        <v>1.238</v>
      </c>
      <c r="I83" s="13">
        <v>4.351</v>
      </c>
      <c r="J83" s="16">
        <v>0.1340640809443508</v>
      </c>
      <c r="K83" s="12"/>
    </row>
    <row r="84" spans="1:11">
      <c r="A84" s="9">
        <v>83</v>
      </c>
      <c r="B84" s="10" t="s">
        <v>383</v>
      </c>
      <c r="C84" s="12">
        <v>56.61</v>
      </c>
      <c r="D84" s="12">
        <f>C84-C83</f>
        <v>-6.74</v>
      </c>
      <c r="E84" s="13">
        <f>(C84-C83)/C83*100</f>
        <v>-10.64</v>
      </c>
      <c r="F84" s="12">
        <v>2963</v>
      </c>
      <c r="G84" s="12">
        <v>2972</v>
      </c>
      <c r="H84" s="12">
        <f>LN(G84/F84)*100</f>
        <v>0.3033</v>
      </c>
      <c r="I84" s="13">
        <v>1.572</v>
      </c>
      <c r="J84" s="16">
        <v>0.04165056049478162</v>
      </c>
      <c r="K84" s="12"/>
    </row>
    <row r="85" spans="1:11">
      <c r="A85" s="9">
        <v>84</v>
      </c>
      <c r="B85" s="10" t="s">
        <v>387</v>
      </c>
      <c r="C85" s="12">
        <v>63.24</v>
      </c>
      <c r="D85" s="12">
        <f>C85-C84</f>
        <v>6.63</v>
      </c>
      <c r="E85" s="13">
        <f>(C85-C84)/C84*100</f>
        <v>11.71</v>
      </c>
      <c r="F85" s="12">
        <v>2684</v>
      </c>
      <c r="G85" s="12">
        <v>2614</v>
      </c>
      <c r="H85" s="12">
        <f>LN(G85/F85)*100</f>
        <v>-2.6427</v>
      </c>
      <c r="I85" s="13">
        <v>-12.046</v>
      </c>
      <c r="J85" s="16">
        <v>0.06685489563376024</v>
      </c>
      <c r="K85" s="12"/>
    </row>
    <row r="86" spans="1:11">
      <c r="A86" s="9">
        <v>85</v>
      </c>
      <c r="B86" s="10" t="s">
        <v>391</v>
      </c>
      <c r="C86" s="12">
        <v>56.03</v>
      </c>
      <c r="D86" s="12">
        <f>C86-C85</f>
        <v>-7.21</v>
      </c>
      <c r="E86" s="13">
        <f>(C86-C85)/C85*100</f>
        <v>-11.4</v>
      </c>
      <c r="F86" s="12">
        <v>2493</v>
      </c>
      <c r="G86" s="12">
        <v>2459</v>
      </c>
      <c r="H86" s="12">
        <f>LN(G86/F86)*100</f>
        <v>-1.3732</v>
      </c>
      <c r="I86" s="13">
        <v>-5.93</v>
      </c>
      <c r="J86" s="16">
        <v>-0.005848542906120785</v>
      </c>
      <c r="K86" s="12"/>
    </row>
    <row r="87" spans="1:11">
      <c r="A87" s="9">
        <v>86</v>
      </c>
      <c r="B87" s="10" t="s">
        <v>395</v>
      </c>
      <c r="C87" s="12">
        <v>49.32</v>
      </c>
      <c r="D87" s="12">
        <f>C87-C86</f>
        <v>-6.71</v>
      </c>
      <c r="E87" s="13">
        <f>(C87-C86)/C86*100</f>
        <v>-11.98</v>
      </c>
      <c r="F87" s="12">
        <v>2428</v>
      </c>
      <c r="G87" s="12">
        <v>2350</v>
      </c>
      <c r="H87" s="12">
        <f>LN(G87/F87)*100</f>
        <v>-3.2653</v>
      </c>
      <c r="I87" s="13">
        <v>-4.433</v>
      </c>
      <c r="J87" s="16">
        <v>-0.06726817042606517</v>
      </c>
      <c r="K87" s="12"/>
    </row>
    <row r="88" spans="1:11">
      <c r="A88" s="9">
        <v>87</v>
      </c>
      <c r="B88" s="10" t="s">
        <v>399</v>
      </c>
      <c r="C88" s="12">
        <v>44.67</v>
      </c>
      <c r="D88" s="12">
        <f>C88-C87</f>
        <v>-4.65</v>
      </c>
      <c r="E88" s="13">
        <f>(C88-C87)/C87*100</f>
        <v>-9.43</v>
      </c>
      <c r="F88" s="12">
        <v>2404</v>
      </c>
      <c r="G88" s="12">
        <v>2488</v>
      </c>
      <c r="H88" s="12">
        <f>LN(G88/F88)*100</f>
        <v>3.4345</v>
      </c>
      <c r="I88" s="13">
        <v>5.872</v>
      </c>
      <c r="J88" s="16">
        <v>-0.04367837685515685</v>
      </c>
      <c r="K88" s="12"/>
    </row>
    <row r="89" spans="1:11">
      <c r="A89" s="9">
        <v>88</v>
      </c>
      <c r="B89" s="10" t="s">
        <v>403</v>
      </c>
      <c r="C89" s="12">
        <v>40.15</v>
      </c>
      <c r="D89" s="12">
        <f>C89-C88</f>
        <v>-4.52</v>
      </c>
      <c r="E89" s="13">
        <f>(C89-C88)/C88*100</f>
        <v>-10.12</v>
      </c>
      <c r="F89" s="12">
        <v>2632</v>
      </c>
      <c r="G89" s="12">
        <v>2648</v>
      </c>
      <c r="H89" s="12">
        <f>LN(G89/F89)*100</f>
        <v>0.6061</v>
      </c>
      <c r="I89" s="13">
        <v>6.431</v>
      </c>
      <c r="J89" s="16">
        <v>-0.04068040680406807</v>
      </c>
      <c r="K89" s="12"/>
    </row>
    <row r="90" spans="1:11">
      <c r="A90" s="9">
        <v>89</v>
      </c>
      <c r="B90" s="10" t="s">
        <v>407</v>
      </c>
      <c r="C90" s="12">
        <v>54.87</v>
      </c>
      <c r="D90" s="12">
        <f>C90-C89</f>
        <v>14.72</v>
      </c>
      <c r="E90" s="13">
        <f>(C90-C89)/C89*100</f>
        <v>36.66</v>
      </c>
      <c r="F90" s="12">
        <v>2707</v>
      </c>
      <c r="G90" s="12">
        <v>2718</v>
      </c>
      <c r="H90" s="12">
        <f>LN(G90/F90)*100</f>
        <v>0.4055</v>
      </c>
      <c r="I90" s="13">
        <v>2.644</v>
      </c>
      <c r="J90" s="16">
        <v>0.1273026031306754</v>
      </c>
      <c r="K90" s="12"/>
    </row>
    <row r="91" spans="1:11">
      <c r="A91" s="9">
        <v>90</v>
      </c>
      <c r="B91" s="10" t="s">
        <v>411</v>
      </c>
      <c r="C91" s="12">
        <v>68.68000000000001</v>
      </c>
      <c r="D91" s="12">
        <f>C91-C90</f>
        <v>13.81</v>
      </c>
      <c r="E91" s="13">
        <f>(C91-C90)/C90*100</f>
        <v>25.17</v>
      </c>
      <c r="F91" s="12">
        <v>2601</v>
      </c>
      <c r="G91" s="12">
        <v>2649</v>
      </c>
      <c r="H91" s="12">
        <f>LN(G91/F91)*100</f>
        <v>1.8286</v>
      </c>
      <c r="I91" s="13">
        <v>-2.539</v>
      </c>
      <c r="J91" s="16">
        <v>0.2467352763123758</v>
      </c>
      <c r="K91" s="12"/>
    </row>
    <row r="92" spans="1:11">
      <c r="A92" s="9">
        <v>91</v>
      </c>
      <c r="B92" s="10" t="s">
        <v>415</v>
      </c>
      <c r="C92" s="12">
        <v>69.26000000000001</v>
      </c>
      <c r="D92" s="12">
        <f>C92-C91</f>
        <v>0.58</v>
      </c>
      <c r="E92" s="13">
        <f>(C92-C91)/C91*100</f>
        <v>0.84</v>
      </c>
      <c r="F92" s="12">
        <v>2586</v>
      </c>
      <c r="G92" s="12">
        <v>2517</v>
      </c>
      <c r="H92" s="12">
        <f>LN(G92/F92)*100</f>
        <v>-2.7045</v>
      </c>
      <c r="I92" s="13">
        <v>-4.983</v>
      </c>
      <c r="J92" s="16">
        <v>0.2517512756205137</v>
      </c>
      <c r="K92" s="12"/>
    </row>
    <row r="93" spans="1:11">
      <c r="A93" s="9">
        <v>92</v>
      </c>
      <c r="B93" s="10" t="s">
        <v>419</v>
      </c>
      <c r="C93" s="12">
        <v>60</v>
      </c>
      <c r="D93" s="12">
        <f>C93-C92</f>
        <v>-9.26</v>
      </c>
      <c r="E93" s="13">
        <f>(C93-C92)/C92*100</f>
        <v>-13.37</v>
      </c>
      <c r="F93" s="12">
        <v>2633</v>
      </c>
      <c r="G93" s="12">
        <v>2607</v>
      </c>
      <c r="H93" s="12">
        <f>LN(G93/F93)*100</f>
        <v>-0.9924</v>
      </c>
      <c r="I93" s="13">
        <v>3.576</v>
      </c>
      <c r="J93" s="16">
        <v>0.1716682521836894</v>
      </c>
      <c r="K93" s="12"/>
    </row>
    <row r="94" spans="1:11">
      <c r="A94" s="9">
        <v>93</v>
      </c>
      <c r="B94" s="10" t="s">
        <v>423</v>
      </c>
      <c r="C94" s="12">
        <v>66.7</v>
      </c>
      <c r="D94" s="12">
        <f>C94-C93</f>
        <v>6.7</v>
      </c>
      <c r="E94" s="13">
        <f>(C94-C93)/C93*100</f>
        <v>11.17</v>
      </c>
      <c r="F94" s="12">
        <v>2776</v>
      </c>
      <c r="G94" s="12">
        <v>2843</v>
      </c>
      <c r="H94" s="12">
        <f>LN(G94/F94)*100</f>
        <v>2.3849</v>
      </c>
      <c r="I94" s="13">
        <v>9.053000000000001</v>
      </c>
      <c r="J94" s="16">
        <v>0.2296116924673528</v>
      </c>
      <c r="K94" s="12"/>
    </row>
    <row r="95" spans="1:11">
      <c r="A95" s="9">
        <v>94</v>
      </c>
      <c r="B95" s="10" t="s">
        <v>427</v>
      </c>
      <c r="C95" s="12">
        <v>68.56</v>
      </c>
      <c r="D95" s="12">
        <f>C95-C94</f>
        <v>1.86</v>
      </c>
      <c r="E95" s="13">
        <f>(C95-C94)/C94*100</f>
        <v>2.79</v>
      </c>
      <c r="F95" s="12">
        <v>2925</v>
      </c>
      <c r="G95" s="12">
        <v>2769</v>
      </c>
      <c r="H95" s="12">
        <f>LN(G95/F95)*100</f>
        <v>-5.4808</v>
      </c>
      <c r="I95" s="13">
        <v>-2.603</v>
      </c>
      <c r="J95" s="16">
        <v>0.2456974833520713</v>
      </c>
      <c r="K95" s="12"/>
    </row>
    <row r="96" spans="1:11">
      <c r="A96" s="9">
        <v>95</v>
      </c>
      <c r="B96" s="10" t="s">
        <v>431</v>
      </c>
      <c r="C96" s="12">
        <v>64.15000000000001</v>
      </c>
      <c r="D96" s="12">
        <f>C96-C95</f>
        <v>-4.41</v>
      </c>
      <c r="E96" s="13">
        <f>(C96-C95)/C95*100</f>
        <v>-6.43</v>
      </c>
      <c r="F96" s="12">
        <v>3069</v>
      </c>
      <c r="G96" s="12">
        <v>3183</v>
      </c>
      <c r="H96" s="12">
        <f>LN(G96/F96)*100</f>
        <v>3.6472</v>
      </c>
      <c r="I96" s="13">
        <v>14.951</v>
      </c>
      <c r="J96" s="16">
        <v>0.2075585920608839</v>
      </c>
      <c r="K96" s="12"/>
    </row>
    <row r="97" spans="1:11">
      <c r="A97" s="9">
        <v>96</v>
      </c>
      <c r="B97" s="10" t="s">
        <v>435</v>
      </c>
      <c r="C97" s="12">
        <v>55.15</v>
      </c>
      <c r="D97" s="12">
        <f>C97-C96</f>
        <v>-9.0</v>
      </c>
      <c r="E97" s="13">
        <f>(C97-C96)/C96*100</f>
        <v>-14.03</v>
      </c>
      <c r="F97" s="12">
        <v>3359</v>
      </c>
      <c r="G97" s="12">
        <v>3411</v>
      </c>
      <c r="H97" s="12">
        <f>LN(G97/F97)*100</f>
        <v>1.5362</v>
      </c>
      <c r="I97" s="13">
        <v>7.163</v>
      </c>
      <c r="J97" s="16">
        <v>0.1297241200380524</v>
      </c>
      <c r="K97" s="12"/>
    </row>
    <row r="98" spans="1:11">
      <c r="A98" s="9">
        <v>97</v>
      </c>
      <c r="B98" s="10" t="s">
        <v>439</v>
      </c>
      <c r="C98" s="12">
        <v>42.39</v>
      </c>
      <c r="D98" s="12">
        <f>C98-C97</f>
        <v>-12.76</v>
      </c>
      <c r="E98" s="13">
        <f>(C98-C97)/C97*100</f>
        <v>-23.14</v>
      </c>
      <c r="F98" s="12">
        <v>3016</v>
      </c>
      <c r="G98" s="12">
        <v>3052</v>
      </c>
      <c r="H98" s="12">
        <f>LN(G98/F98)*100</f>
        <v>1.1866</v>
      </c>
      <c r="I98" s="13">
        <v>-10.525</v>
      </c>
      <c r="J98" s="16">
        <v>0.01937213525901585</v>
      </c>
      <c r="K98" s="12"/>
    </row>
    <row r="99" spans="1:11">
      <c r="A99" s="9">
        <v>98</v>
      </c>
      <c r="B99" s="10" t="s">
        <v>443</v>
      </c>
      <c r="C99" s="12">
        <v>41.2</v>
      </c>
      <c r="D99" s="12">
        <f>C99-C98</f>
        <v>-1.19</v>
      </c>
      <c r="E99" s="13">
        <f>(C99-C98)/C98*100</f>
        <v>-2.81</v>
      </c>
      <c r="F99" s="12">
        <v>2944</v>
      </c>
      <c r="G99" s="12">
        <v>2833</v>
      </c>
      <c r="H99" s="12">
        <f>LN(G99/F99)*100</f>
        <v>-3.8433</v>
      </c>
      <c r="I99" s="13">
        <v>-7.176</v>
      </c>
      <c r="J99" s="16">
        <v>0.009080688402663706</v>
      </c>
      <c r="K99" s="12"/>
    </row>
    <row r="100" spans="1:11">
      <c r="A100" s="9">
        <v>99</v>
      </c>
      <c r="B100" s="10" t="s">
        <v>447</v>
      </c>
      <c r="C100" s="12">
        <v>39.35</v>
      </c>
      <c r="D100" s="12">
        <f>C100-C99</f>
        <v>-1.85</v>
      </c>
      <c r="E100" s="13">
        <f>(C100-C99)/C99*100</f>
        <v>-4.49</v>
      </c>
      <c r="F100" s="12">
        <v>2953</v>
      </c>
      <c r="G100" s="12">
        <v>2972</v>
      </c>
      <c r="H100" s="12">
        <f>LN(G100/F100)*100</f>
        <v>0.6414</v>
      </c>
      <c r="I100" s="13">
        <v>4.906</v>
      </c>
      <c r="J100" s="16">
        <v>-0.006918619735362771</v>
      </c>
      <c r="K100" s="12"/>
    </row>
    <row r="101" spans="1:11">
      <c r="A101" s="9">
        <v>100</v>
      </c>
      <c r="B101" s="10" t="s">
        <v>451</v>
      </c>
      <c r="C101" s="12">
        <v>30.51</v>
      </c>
      <c r="D101" s="12">
        <f>C101-C100</f>
        <v>-8.84</v>
      </c>
      <c r="E101" s="13">
        <f>(C101-C100)/C100*100</f>
        <v>-22.47</v>
      </c>
      <c r="F101" s="12">
        <v>2972</v>
      </c>
      <c r="G101" s="12">
        <v>3200</v>
      </c>
      <c r="H101" s="12">
        <f>LN(G101/F101)*100</f>
        <v>7.3916</v>
      </c>
      <c r="I101" s="13">
        <v>7.672</v>
      </c>
      <c r="J101" s="16">
        <v>-0.0768628814885662</v>
      </c>
      <c r="K101" s="12">
        <v>20.06</v>
      </c>
    </row>
    <row r="102" spans="1:11">
      <c r="A102" s="9">
        <v>101</v>
      </c>
      <c r="B102" s="10" t="s">
        <v>455</v>
      </c>
      <c r="C102" s="12">
        <v>36.72</v>
      </c>
      <c r="D102" s="12">
        <f>C102-C101</f>
        <v>6.21</v>
      </c>
      <c r="E102" s="13">
        <f>(C102-C101)/C101*100</f>
        <v>20.35</v>
      </c>
      <c r="F102" s="12">
        <v>3235</v>
      </c>
      <c r="G102" s="12">
        <v>3262</v>
      </c>
      <c r="H102" s="12">
        <f>LN(G102/F102)*100</f>
        <v>0.8312</v>
      </c>
      <c r="I102" s="13">
        <v>1.937</v>
      </c>
      <c r="J102" s="16">
        <v>0.05014129995962856</v>
      </c>
      <c r="K102" s="12"/>
    </row>
  </sheetData>
  <autoFilter ref="A1:K102"/>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3"/>
  <sheetViews>
    <sheetView workbookViewId="0">
      <pane ySplit="1" topLeftCell="A2" activePane="bottomLeft" state="frozen"/>
      <selection pane="bottomLeft"/>
    </sheetView>
  </sheetViews>
  <sheetFormatPr defaultRowHeight="15"/>
  <cols>
    <col min="1" max="1" width="7.7109375" customWidth="1"/>
    <col min="2" max="2" width="15.7109375" customWidth="1"/>
    <col min="3" max="3" width="17.7109375" customWidth="1"/>
    <col min="4" max="5" width="15.7109375" customWidth="1"/>
    <col min="6" max="6" width="13.7109375" customWidth="1"/>
    <col min="7" max="7" width="40.7109375" customWidth="1"/>
  </cols>
  <sheetData>
    <row r="1" spans="1:7">
      <c r="A1" s="8" t="s">
        <v>992</v>
      </c>
      <c r="B1" s="8" t="s">
        <v>993</v>
      </c>
      <c r="C1" s="8" t="s">
        <v>994</v>
      </c>
      <c r="D1" s="8" t="s">
        <v>995</v>
      </c>
      <c r="E1" s="8" t="s">
        <v>996</v>
      </c>
      <c r="F1" s="8" t="s">
        <v>997</v>
      </c>
      <c r="G1" s="8" t="s">
        <v>998</v>
      </c>
    </row>
    <row r="2" spans="1:7">
      <c r="A2" s="9">
        <v>1</v>
      </c>
      <c r="B2" s="10" t="s">
        <v>59</v>
      </c>
      <c r="C2" s="11" t="s">
        <v>60</v>
      </c>
      <c r="D2" s="12">
        <v>7.91</v>
      </c>
      <c r="E2" s="10" t="s">
        <v>67</v>
      </c>
      <c r="F2" s="12">
        <v>0.523</v>
      </c>
      <c r="G2" s="14" t="s">
        <v>999</v>
      </c>
    </row>
    <row r="3" spans="1:7">
      <c r="A3" s="9">
        <v>2</v>
      </c>
      <c r="B3" s="10" t="s">
        <v>63</v>
      </c>
      <c r="C3" s="11" t="s">
        <v>64</v>
      </c>
      <c r="D3" s="12">
        <v>1.86</v>
      </c>
      <c r="E3" s="10" t="s">
        <v>71</v>
      </c>
      <c r="F3" s="12">
        <v>0.429</v>
      </c>
      <c r="G3" s="14" t="s">
        <v>1000</v>
      </c>
    </row>
    <row r="4" spans="1:7">
      <c r="A4" s="9">
        <v>3</v>
      </c>
      <c r="B4" s="10" t="s">
        <v>67</v>
      </c>
      <c r="C4" s="11" t="s">
        <v>68</v>
      </c>
      <c r="D4" s="12">
        <v>4.64</v>
      </c>
      <c r="E4" s="10" t="s">
        <v>75</v>
      </c>
      <c r="F4" s="12">
        <v>-1.121</v>
      </c>
      <c r="G4" s="14" t="s">
        <v>1001</v>
      </c>
    </row>
    <row r="5" spans="1:7">
      <c r="A5" s="9">
        <v>4</v>
      </c>
      <c r="B5" s="10" t="s">
        <v>71</v>
      </c>
      <c r="C5" s="11" t="s">
        <v>72</v>
      </c>
      <c r="D5" s="12">
        <v>2.29</v>
      </c>
      <c r="E5" s="10" t="s">
        <v>79</v>
      </c>
      <c r="F5" s="12">
        <v>-0.869</v>
      </c>
      <c r="G5" s="14" t="s">
        <v>1002</v>
      </c>
    </row>
    <row r="6" spans="1:7">
      <c r="A6" s="9">
        <v>5</v>
      </c>
      <c r="B6" s="10" t="s">
        <v>75</v>
      </c>
      <c r="C6" s="11" t="s">
        <v>76</v>
      </c>
      <c r="D6" s="12">
        <v>-9.869999999999999</v>
      </c>
      <c r="E6" s="10" t="s">
        <v>83</v>
      </c>
      <c r="F6" s="12">
        <v>0.775</v>
      </c>
      <c r="G6" s="14" t="s">
        <v>1003</v>
      </c>
    </row>
    <row r="7" spans="1:7">
      <c r="A7" s="9">
        <v>6</v>
      </c>
      <c r="B7" s="10" t="s">
        <v>79</v>
      </c>
      <c r="C7" s="11" t="s">
        <v>80</v>
      </c>
      <c r="D7" s="12">
        <v>4.43</v>
      </c>
      <c r="E7" s="10" t="s">
        <v>87</v>
      </c>
      <c r="F7" s="12">
        <v>-0.308</v>
      </c>
      <c r="G7" s="14" t="s">
        <v>1004</v>
      </c>
    </row>
    <row r="8" spans="1:7">
      <c r="A8" s="9">
        <v>7</v>
      </c>
      <c r="B8" s="10" t="s">
        <v>83</v>
      </c>
      <c r="C8" s="11" t="s">
        <v>84</v>
      </c>
      <c r="D8" s="12">
        <v>-13.63</v>
      </c>
      <c r="E8" s="10" t="s">
        <v>91</v>
      </c>
      <c r="F8" s="12">
        <v>-0.151</v>
      </c>
      <c r="G8" s="14" t="s">
        <v>1005</v>
      </c>
    </row>
    <row r="9" spans="1:7">
      <c r="A9" s="9">
        <v>8</v>
      </c>
      <c r="B9" s="10" t="s">
        <v>87</v>
      </c>
      <c r="C9" s="11" t="s">
        <v>88</v>
      </c>
      <c r="D9" s="12">
        <v>-1.47</v>
      </c>
      <c r="E9" s="10" t="s">
        <v>95</v>
      </c>
      <c r="F9" s="12">
        <v>0.148</v>
      </c>
      <c r="G9" s="14" t="s">
        <v>1006</v>
      </c>
    </row>
    <row r="10" spans="1:7">
      <c r="A10" s="9">
        <v>9</v>
      </c>
      <c r="B10" s="10" t="s">
        <v>91</v>
      </c>
      <c r="C10" s="11" t="s">
        <v>92</v>
      </c>
      <c r="D10" s="12">
        <v>-11.2</v>
      </c>
      <c r="E10" s="10" t="s">
        <v>99</v>
      </c>
      <c r="F10" s="12">
        <v>0.656</v>
      </c>
      <c r="G10" s="14" t="s">
        <v>1007</v>
      </c>
    </row>
    <row r="11" spans="1:7">
      <c r="A11" s="9">
        <v>10</v>
      </c>
      <c r="B11" s="10" t="s">
        <v>95</v>
      </c>
      <c r="C11" s="11" t="s">
        <v>96</v>
      </c>
      <c r="D11" s="12">
        <v>-2.47</v>
      </c>
      <c r="E11" s="10" t="s">
        <v>103</v>
      </c>
      <c r="F11" s="12">
        <v>0.68</v>
      </c>
      <c r="G11" s="14" t="s">
        <v>1008</v>
      </c>
    </row>
    <row r="12" spans="1:7">
      <c r="A12" s="9">
        <v>11</v>
      </c>
      <c r="B12" s="10" t="s">
        <v>99</v>
      </c>
      <c r="C12" s="11" t="s">
        <v>100</v>
      </c>
      <c r="D12" s="12">
        <v>-8.59</v>
      </c>
      <c r="E12" s="10" t="s">
        <v>107</v>
      </c>
      <c r="F12" s="12">
        <v>-0.736</v>
      </c>
      <c r="G12" s="14" t="s">
        <v>1009</v>
      </c>
    </row>
    <row r="13" spans="1:7">
      <c r="A13" s="9">
        <v>12</v>
      </c>
      <c r="B13" s="10" t="s">
        <v>103</v>
      </c>
      <c r="C13" s="11" t="s">
        <v>104</v>
      </c>
      <c r="D13" s="12">
        <v>6.7</v>
      </c>
      <c r="E13" s="10" t="s">
        <v>111</v>
      </c>
      <c r="F13" s="12">
        <v>0.586</v>
      </c>
      <c r="G13" s="14" t="s">
        <v>1010</v>
      </c>
    </row>
    <row r="14" spans="1:7">
      <c r="A14" s="9">
        <v>13</v>
      </c>
      <c r="B14" s="10" t="s">
        <v>107</v>
      </c>
      <c r="C14" s="11" t="s">
        <v>108</v>
      </c>
      <c r="D14" s="12">
        <v>1.5</v>
      </c>
      <c r="E14" s="10" t="s">
        <v>115</v>
      </c>
      <c r="F14" s="12">
        <v>-0.849</v>
      </c>
      <c r="G14" s="14" t="s">
        <v>1011</v>
      </c>
    </row>
    <row r="15" spans="1:7">
      <c r="A15" s="9">
        <v>14</v>
      </c>
      <c r="B15" s="10" t="s">
        <v>111</v>
      </c>
      <c r="C15" s="11" t="s">
        <v>112</v>
      </c>
      <c r="D15" s="12">
        <v>2.54</v>
      </c>
      <c r="E15" s="10" t="s">
        <v>119</v>
      </c>
      <c r="F15" s="12">
        <v>-0.394</v>
      </c>
      <c r="G15" s="14" t="s">
        <v>1012</v>
      </c>
    </row>
    <row r="16" spans="1:7">
      <c r="A16" s="9">
        <v>15</v>
      </c>
      <c r="B16" s="10" t="s">
        <v>115</v>
      </c>
      <c r="C16" s="11" t="s">
        <v>116</v>
      </c>
      <c r="D16" s="12">
        <v>1.44</v>
      </c>
      <c r="E16" s="10" t="s">
        <v>123</v>
      </c>
      <c r="F16" s="12">
        <v>0.589</v>
      </c>
      <c r="G16" s="14" t="s">
        <v>1013</v>
      </c>
    </row>
    <row r="17" spans="1:7">
      <c r="A17" s="9">
        <v>16</v>
      </c>
      <c r="B17" s="10" t="s">
        <v>119</v>
      </c>
      <c r="C17" s="11" t="s">
        <v>120</v>
      </c>
      <c r="D17" s="12">
        <v>3.17</v>
      </c>
      <c r="E17" s="10" t="s">
        <v>127</v>
      </c>
      <c r="F17" s="12">
        <v>-0.616</v>
      </c>
      <c r="G17" s="14" t="s">
        <v>1014</v>
      </c>
    </row>
    <row r="18" spans="1:7">
      <c r="A18" s="9">
        <v>17</v>
      </c>
      <c r="B18" s="10" t="s">
        <v>123</v>
      </c>
      <c r="C18" s="11" t="s">
        <v>124</v>
      </c>
      <c r="D18" s="12">
        <v>6.8</v>
      </c>
      <c r="E18" s="10" t="s">
        <v>131</v>
      </c>
      <c r="F18" s="12">
        <v>-2.463</v>
      </c>
      <c r="G18" s="14" t="s">
        <v>1015</v>
      </c>
    </row>
    <row r="19" spans="1:7">
      <c r="A19" s="9">
        <v>18</v>
      </c>
      <c r="B19" s="10" t="s">
        <v>127</v>
      </c>
      <c r="C19" s="11" t="s">
        <v>128</v>
      </c>
      <c r="D19" s="12">
        <v>-6.31</v>
      </c>
      <c r="E19" s="10" t="s">
        <v>135</v>
      </c>
      <c r="F19" s="12">
        <v>0.197</v>
      </c>
      <c r="G19" s="14" t="s">
        <v>1016</v>
      </c>
    </row>
    <row r="20" spans="1:7">
      <c r="A20" s="9">
        <v>19</v>
      </c>
      <c r="B20" s="10" t="s">
        <v>131</v>
      </c>
      <c r="C20" s="11" t="s">
        <v>132</v>
      </c>
      <c r="D20" s="12">
        <v>-9.51</v>
      </c>
      <c r="E20" s="10" t="s">
        <v>139</v>
      </c>
      <c r="F20" s="12">
        <v>0.118</v>
      </c>
      <c r="G20" s="14" t="s">
        <v>1017</v>
      </c>
    </row>
    <row r="21" spans="1:7">
      <c r="A21" s="9">
        <v>20</v>
      </c>
      <c r="B21" s="10" t="s">
        <v>135</v>
      </c>
      <c r="C21" s="11" t="s">
        <v>136</v>
      </c>
      <c r="D21" s="12">
        <v>-11.09</v>
      </c>
      <c r="E21" s="10" t="s">
        <v>143</v>
      </c>
      <c r="F21" s="12">
        <v>-0.08</v>
      </c>
      <c r="G21" s="14" t="s">
        <v>1018</v>
      </c>
    </row>
    <row r="22" spans="1:7">
      <c r="A22" s="9">
        <v>21</v>
      </c>
      <c r="B22" s="10" t="s">
        <v>139</v>
      </c>
      <c r="C22" s="11" t="s">
        <v>140</v>
      </c>
      <c r="D22" s="12">
        <v>-2.63</v>
      </c>
      <c r="E22" s="10" t="s">
        <v>147</v>
      </c>
      <c r="F22" s="12">
        <v>-0.678</v>
      </c>
      <c r="G22" s="14" t="s">
        <v>1019</v>
      </c>
    </row>
    <row r="23" spans="1:7">
      <c r="A23" s="9">
        <v>22</v>
      </c>
      <c r="B23" s="10" t="s">
        <v>143</v>
      </c>
      <c r="C23" s="11" t="s">
        <v>144</v>
      </c>
      <c r="D23" s="12">
        <v>-15.77</v>
      </c>
      <c r="E23" s="10" t="s">
        <v>151</v>
      </c>
      <c r="F23" s="12">
        <v>-0.661</v>
      </c>
      <c r="G23" s="14" t="s">
        <v>1020</v>
      </c>
    </row>
    <row r="24" spans="1:7">
      <c r="A24" s="9">
        <v>23</v>
      </c>
      <c r="B24" s="10" t="s">
        <v>147</v>
      </c>
      <c r="C24" s="11" t="s">
        <v>148</v>
      </c>
      <c r="D24" s="12">
        <v>-4.63</v>
      </c>
      <c r="E24" s="10" t="s">
        <v>155</v>
      </c>
      <c r="F24" s="12">
        <v>1.754</v>
      </c>
      <c r="G24" s="14" t="s">
        <v>1021</v>
      </c>
    </row>
    <row r="25" spans="1:7">
      <c r="A25" s="9">
        <v>24</v>
      </c>
      <c r="B25" s="10" t="s">
        <v>151</v>
      </c>
      <c r="C25" s="11" t="s">
        <v>152</v>
      </c>
      <c r="D25" s="12">
        <v>1.58</v>
      </c>
      <c r="E25" s="10" t="s">
        <v>159</v>
      </c>
      <c r="F25" s="12">
        <v>-1.192</v>
      </c>
      <c r="G25" s="14" t="s">
        <v>1022</v>
      </c>
    </row>
    <row r="26" spans="1:7">
      <c r="A26" s="9">
        <v>25</v>
      </c>
      <c r="B26" s="10" t="s">
        <v>155</v>
      </c>
      <c r="C26" s="11" t="s">
        <v>156</v>
      </c>
      <c r="D26" s="12">
        <v>-12.24</v>
      </c>
      <c r="E26" s="10" t="s">
        <v>163</v>
      </c>
      <c r="F26" s="12">
        <v>0.897</v>
      </c>
      <c r="G26" s="14" t="s">
        <v>1023</v>
      </c>
    </row>
    <row r="27" spans="1:7">
      <c r="A27" s="9">
        <v>26</v>
      </c>
      <c r="B27" s="10" t="s">
        <v>159</v>
      </c>
      <c r="C27" s="11" t="s">
        <v>160</v>
      </c>
      <c r="D27" s="12">
        <v>7.42</v>
      </c>
      <c r="E27" s="10" t="s">
        <v>167</v>
      </c>
      <c r="F27" s="12">
        <v>3.179</v>
      </c>
      <c r="G27" s="14" t="s">
        <v>1024</v>
      </c>
    </row>
    <row r="28" spans="1:7">
      <c r="A28" s="9">
        <v>27</v>
      </c>
      <c r="B28" s="10" t="s">
        <v>163</v>
      </c>
      <c r="C28" s="11" t="s">
        <v>164</v>
      </c>
      <c r="D28" s="12">
        <v>2.45</v>
      </c>
      <c r="E28" s="10" t="s">
        <v>171</v>
      </c>
      <c r="F28" s="12">
        <v>0.619</v>
      </c>
      <c r="G28" s="14" t="s">
        <v>1025</v>
      </c>
    </row>
    <row r="29" spans="1:7">
      <c r="A29" s="9">
        <v>28</v>
      </c>
      <c r="B29" s="10" t="s">
        <v>167</v>
      </c>
      <c r="C29" s="11" t="s">
        <v>168</v>
      </c>
      <c r="D29" s="12">
        <v>-7.8</v>
      </c>
      <c r="E29" s="10" t="s">
        <v>175</v>
      </c>
      <c r="F29" s="12">
        <v>-0.091</v>
      </c>
      <c r="G29" s="14" t="s">
        <v>1026</v>
      </c>
    </row>
    <row r="30" spans="1:7">
      <c r="A30" s="9">
        <v>29</v>
      </c>
      <c r="B30" s="10" t="s">
        <v>171</v>
      </c>
      <c r="C30" s="11" t="s">
        <v>172</v>
      </c>
      <c r="D30" s="12">
        <v>0.65</v>
      </c>
      <c r="E30" s="10" t="s">
        <v>179</v>
      </c>
      <c r="F30" s="12">
        <v>2.002</v>
      </c>
      <c r="G30" s="14" t="s">
        <v>1027</v>
      </c>
    </row>
    <row r="31" spans="1:7">
      <c r="A31" s="9">
        <v>30</v>
      </c>
      <c r="B31" s="10" t="s">
        <v>175</v>
      </c>
      <c r="C31" s="11" t="s">
        <v>176</v>
      </c>
      <c r="D31" s="12">
        <v>3.26</v>
      </c>
      <c r="E31" s="10" t="s">
        <v>183</v>
      </c>
      <c r="F31" s="12">
        <v>0.263</v>
      </c>
      <c r="G31" s="14" t="s">
        <v>1028</v>
      </c>
    </row>
    <row r="32" spans="1:7">
      <c r="A32" s="9">
        <v>31</v>
      </c>
      <c r="B32" s="10" t="s">
        <v>179</v>
      </c>
      <c r="C32" s="11" t="s">
        <v>180</v>
      </c>
      <c r="D32" s="12">
        <v>5.82</v>
      </c>
      <c r="E32" s="10" t="s">
        <v>187</v>
      </c>
      <c r="F32" s="12">
        <v>2.494</v>
      </c>
      <c r="G32" s="14" t="s">
        <v>1029</v>
      </c>
    </row>
    <row r="33" spans="1:7">
      <c r="A33" s="9">
        <v>32</v>
      </c>
      <c r="B33" s="10" t="s">
        <v>183</v>
      </c>
      <c r="C33" s="11" t="s">
        <v>184</v>
      </c>
      <c r="D33" s="12">
        <v>7.1</v>
      </c>
      <c r="E33" s="10" t="s">
        <v>191</v>
      </c>
      <c r="F33" s="12">
        <v>0.503</v>
      </c>
      <c r="G33" s="14" t="s">
        <v>1030</v>
      </c>
    </row>
    <row r="34" spans="1:7">
      <c r="A34" s="9">
        <v>33</v>
      </c>
      <c r="B34" s="10" t="s">
        <v>187</v>
      </c>
      <c r="C34" s="11" t="s">
        <v>188</v>
      </c>
      <c r="D34" s="12">
        <v>-6.58</v>
      </c>
      <c r="E34" s="10" t="s">
        <v>195</v>
      </c>
      <c r="F34" s="12">
        <v>0.835</v>
      </c>
      <c r="G34" s="14" t="s">
        <v>1031</v>
      </c>
    </row>
    <row r="35" spans="1:7">
      <c r="A35" s="9">
        <v>34</v>
      </c>
      <c r="B35" s="10" t="s">
        <v>191</v>
      </c>
      <c r="C35" s="11" t="s">
        <v>192</v>
      </c>
      <c r="D35" s="12">
        <v>8.41</v>
      </c>
      <c r="E35" s="10" t="s">
        <v>199</v>
      </c>
      <c r="F35" s="12">
        <v>-0.042</v>
      </c>
      <c r="G35" s="14" t="s">
        <v>1032</v>
      </c>
    </row>
    <row r="36" spans="1:7">
      <c r="A36" s="9">
        <v>35</v>
      </c>
      <c r="B36" s="10" t="s">
        <v>195</v>
      </c>
      <c r="C36" s="11" t="s">
        <v>196</v>
      </c>
      <c r="D36" s="12">
        <v>0.32</v>
      </c>
      <c r="E36" s="10" t="s">
        <v>203</v>
      </c>
      <c r="F36" s="12">
        <v>-0.799</v>
      </c>
      <c r="G36" s="14" t="s">
        <v>1033</v>
      </c>
    </row>
    <row r="37" spans="1:7">
      <c r="A37" s="9">
        <v>36</v>
      </c>
      <c r="B37" s="10" t="s">
        <v>199</v>
      </c>
      <c r="C37" s="11" t="s">
        <v>200</v>
      </c>
      <c r="D37" s="12">
        <v>4.52</v>
      </c>
      <c r="E37" s="10" t="s">
        <v>207</v>
      </c>
      <c r="F37" s="12">
        <v>-1.89</v>
      </c>
      <c r="G37" s="14" t="s">
        <v>1034</v>
      </c>
    </row>
    <row r="38" spans="1:7">
      <c r="A38" s="9">
        <v>37</v>
      </c>
      <c r="B38" s="10" t="s">
        <v>203</v>
      </c>
      <c r="C38" s="11" t="s">
        <v>204</v>
      </c>
      <c r="D38" s="12">
        <v>7.13</v>
      </c>
      <c r="E38" s="10" t="s">
        <v>211</v>
      </c>
      <c r="F38" s="12">
        <v>-0.618</v>
      </c>
      <c r="G38" s="14" t="s">
        <v>1035</v>
      </c>
    </row>
    <row r="39" spans="1:7">
      <c r="A39" s="9">
        <v>38</v>
      </c>
      <c r="B39" s="10" t="s">
        <v>207</v>
      </c>
      <c r="C39" s="11" t="s">
        <v>208</v>
      </c>
      <c r="D39" s="12">
        <v>-6.44</v>
      </c>
      <c r="E39" s="10" t="s">
        <v>215</v>
      </c>
      <c r="F39" s="12">
        <v>-0.042</v>
      </c>
      <c r="G39" s="14" t="s">
        <v>1036</v>
      </c>
    </row>
    <row r="40" spans="1:7">
      <c r="A40" s="9">
        <v>39</v>
      </c>
      <c r="B40" s="10" t="s">
        <v>211</v>
      </c>
      <c r="C40" s="11" t="s">
        <v>212</v>
      </c>
      <c r="D40" s="12">
        <v>8.26</v>
      </c>
      <c r="E40" s="10" t="s">
        <v>219</v>
      </c>
      <c r="F40" s="12">
        <v>-0.6830000000000001</v>
      </c>
      <c r="G40" s="14" t="s">
        <v>1037</v>
      </c>
    </row>
    <row r="41" spans="1:7">
      <c r="A41" s="9">
        <v>40</v>
      </c>
      <c r="B41" s="10" t="s">
        <v>215</v>
      </c>
      <c r="C41" s="11" t="s">
        <v>216</v>
      </c>
      <c r="D41" s="12">
        <v>11.71</v>
      </c>
      <c r="E41" s="10" t="s">
        <v>223</v>
      </c>
      <c r="F41" s="12">
        <v>1.371</v>
      </c>
      <c r="G41" s="14" t="s">
        <v>1038</v>
      </c>
    </row>
    <row r="42" spans="1:7">
      <c r="A42" s="9">
        <v>41</v>
      </c>
      <c r="B42" s="10" t="s">
        <v>219</v>
      </c>
      <c r="C42" s="11" t="s">
        <v>220</v>
      </c>
      <c r="D42" s="12">
        <v>9.630000000000001</v>
      </c>
      <c r="E42" s="10" t="s">
        <v>227</v>
      </c>
      <c r="F42" s="12">
        <v>-0.965</v>
      </c>
      <c r="G42" s="14" t="s">
        <v>1039</v>
      </c>
    </row>
    <row r="43" spans="1:7">
      <c r="A43" s="9">
        <v>42</v>
      </c>
      <c r="B43" s="10" t="s">
        <v>223</v>
      </c>
      <c r="C43" s="11" t="s">
        <v>224</v>
      </c>
      <c r="D43" s="12">
        <v>5.42</v>
      </c>
      <c r="E43" s="10" t="s">
        <v>231</v>
      </c>
      <c r="F43" s="12">
        <v>0.421</v>
      </c>
      <c r="G43" s="14" t="s">
        <v>1040</v>
      </c>
    </row>
    <row r="44" spans="1:7">
      <c r="A44" s="9">
        <v>43</v>
      </c>
      <c r="B44" s="10" t="s">
        <v>227</v>
      </c>
      <c r="C44" s="11" t="s">
        <v>228</v>
      </c>
      <c r="D44" s="12">
        <v>22.33</v>
      </c>
      <c r="E44" s="10" t="s">
        <v>235</v>
      </c>
      <c r="F44" s="12">
        <v>0.375</v>
      </c>
      <c r="G44" s="14" t="s">
        <v>1041</v>
      </c>
    </row>
    <row r="45" spans="1:7">
      <c r="A45" s="9">
        <v>44</v>
      </c>
      <c r="B45" s="10" t="s">
        <v>231</v>
      </c>
      <c r="C45" s="11" t="s">
        <v>232</v>
      </c>
      <c r="D45" s="12">
        <v>12.84</v>
      </c>
      <c r="E45" s="10" t="s">
        <v>239</v>
      </c>
      <c r="F45" s="12">
        <v>0.042</v>
      </c>
      <c r="G45" s="14" t="s">
        <v>1042</v>
      </c>
    </row>
    <row r="46" spans="1:7">
      <c r="A46" s="9">
        <v>45</v>
      </c>
      <c r="B46" s="10" t="s">
        <v>235</v>
      </c>
      <c r="C46" s="11" t="s">
        <v>236</v>
      </c>
      <c r="D46" s="12">
        <v>12.26</v>
      </c>
      <c r="E46" s="10" t="s">
        <v>243</v>
      </c>
      <c r="F46" s="12">
        <v>0.341</v>
      </c>
      <c r="G46" s="14" t="s">
        <v>1043</v>
      </c>
    </row>
    <row r="47" spans="1:7">
      <c r="A47" s="9">
        <v>46</v>
      </c>
      <c r="B47" s="10" t="s">
        <v>239</v>
      </c>
      <c r="C47" s="11" t="s">
        <v>240</v>
      </c>
      <c r="D47" s="12">
        <v>0.75</v>
      </c>
      <c r="E47" s="10" t="s">
        <v>247</v>
      </c>
      <c r="F47" s="12">
        <v>-1.646</v>
      </c>
      <c r="G47" s="14" t="s">
        <v>1044</v>
      </c>
    </row>
    <row r="48" spans="1:7">
      <c r="A48" s="9">
        <v>47</v>
      </c>
      <c r="B48" s="10" t="s">
        <v>243</v>
      </c>
      <c r="C48" s="11" t="s">
        <v>244</v>
      </c>
      <c r="D48" s="12">
        <v>-6.56</v>
      </c>
      <c r="E48" s="10" t="s">
        <v>251</v>
      </c>
      <c r="F48" s="12">
        <v>1.05</v>
      </c>
      <c r="G48" s="14" t="s">
        <v>1045</v>
      </c>
    </row>
    <row r="49" spans="1:7">
      <c r="A49" s="9">
        <v>48</v>
      </c>
      <c r="B49" s="10" t="s">
        <v>247</v>
      </c>
      <c r="C49" s="11" t="s">
        <v>248</v>
      </c>
      <c r="D49" s="12">
        <v>5.1</v>
      </c>
      <c r="E49" s="10" t="s">
        <v>255</v>
      </c>
      <c r="F49" s="12">
        <v>-0.309</v>
      </c>
      <c r="G49" s="14" t="s">
        <v>1046</v>
      </c>
    </row>
    <row r="50" spans="1:7">
      <c r="A50" s="9">
        <v>49</v>
      </c>
      <c r="B50" s="10" t="s">
        <v>251</v>
      </c>
      <c r="C50" s="11" t="s">
        <v>252</v>
      </c>
      <c r="D50" s="12">
        <v>-5.18</v>
      </c>
      <c r="E50" s="10" t="s">
        <v>259</v>
      </c>
      <c r="F50" s="12">
        <v>0.711</v>
      </c>
      <c r="G50" s="14" t="s">
        <v>1047</v>
      </c>
    </row>
    <row r="51" spans="1:7">
      <c r="A51" s="9">
        <v>50</v>
      </c>
      <c r="B51" s="10" t="s">
        <v>255</v>
      </c>
      <c r="C51" s="11" t="s">
        <v>256</v>
      </c>
      <c r="D51" s="12">
        <v>2.08</v>
      </c>
      <c r="E51" s="10" t="s">
        <v>263</v>
      </c>
      <c r="F51" s="12">
        <v>1.222</v>
      </c>
      <c r="G51" s="14" t="s">
        <v>1048</v>
      </c>
    </row>
    <row r="52" spans="1:7">
      <c r="A52" s="9">
        <v>51</v>
      </c>
      <c r="B52" s="10" t="s">
        <v>259</v>
      </c>
      <c r="C52" s="11" t="s">
        <v>260</v>
      </c>
      <c r="D52" s="12">
        <v>-0.57</v>
      </c>
      <c r="E52" s="10" t="s">
        <v>267</v>
      </c>
      <c r="F52" s="12">
        <v>1.241</v>
      </c>
      <c r="G52" s="14" t="s">
        <v>1049</v>
      </c>
    </row>
    <row r="53" spans="1:7">
      <c r="A53" s="9">
        <v>52</v>
      </c>
      <c r="B53" s="10" t="s">
        <v>263</v>
      </c>
      <c r="C53" s="11" t="s">
        <v>264</v>
      </c>
      <c r="D53" s="12">
        <v>1.06</v>
      </c>
      <c r="E53" s="10" t="s">
        <v>271</v>
      </c>
      <c r="F53" s="12">
        <v>-0.841</v>
      </c>
      <c r="G53" s="14" t="s">
        <v>1050</v>
      </c>
    </row>
    <row r="54" spans="1:7">
      <c r="A54" s="9">
        <v>53</v>
      </c>
      <c r="B54" s="10" t="s">
        <v>267</v>
      </c>
      <c r="C54" s="11" t="s">
        <v>268</v>
      </c>
      <c r="D54" s="12">
        <v>2.65</v>
      </c>
      <c r="E54" s="10" t="s">
        <v>275</v>
      </c>
      <c r="F54" s="12">
        <v>1.298</v>
      </c>
      <c r="G54" s="14" t="s">
        <v>1051</v>
      </c>
    </row>
    <row r="55" spans="1:7">
      <c r="A55" s="9">
        <v>54</v>
      </c>
      <c r="B55" s="10" t="s">
        <v>271</v>
      </c>
      <c r="C55" s="11" t="s">
        <v>272</v>
      </c>
      <c r="D55" s="12">
        <v>-6.43</v>
      </c>
      <c r="E55" s="10" t="s">
        <v>279</v>
      </c>
      <c r="F55" s="12">
        <v>-0.188</v>
      </c>
      <c r="G55" s="14" t="s">
        <v>1052</v>
      </c>
    </row>
    <row r="56" spans="1:7">
      <c r="A56" s="9">
        <v>55</v>
      </c>
      <c r="B56" s="10" t="s">
        <v>275</v>
      </c>
      <c r="C56" s="11" t="s">
        <v>276</v>
      </c>
      <c r="D56" s="12">
        <v>-11.58</v>
      </c>
      <c r="E56" s="10" t="s">
        <v>283</v>
      </c>
      <c r="F56" s="12">
        <v>-0.631</v>
      </c>
      <c r="G56" s="14" t="s">
        <v>1053</v>
      </c>
    </row>
    <row r="57" spans="1:7">
      <c r="A57" s="9">
        <v>56</v>
      </c>
      <c r="B57" s="10" t="s">
        <v>279</v>
      </c>
      <c r="C57" s="11" t="s">
        <v>280</v>
      </c>
      <c r="D57" s="12">
        <v>-1.41</v>
      </c>
      <c r="E57" s="10" t="s">
        <v>287</v>
      </c>
      <c r="F57" s="12">
        <v>1.26</v>
      </c>
      <c r="G57" s="14" t="s">
        <v>1054</v>
      </c>
    </row>
    <row r="58" spans="1:7">
      <c r="A58" s="9">
        <v>57</v>
      </c>
      <c r="B58" s="10" t="s">
        <v>283</v>
      </c>
      <c r="C58" s="11" t="s">
        <v>284</v>
      </c>
      <c r="D58" s="12">
        <v>-11.5</v>
      </c>
      <c r="E58" s="10" t="s">
        <v>291</v>
      </c>
      <c r="F58" s="12">
        <v>0.739</v>
      </c>
      <c r="G58" s="14" t="s">
        <v>1055</v>
      </c>
    </row>
    <row r="59" spans="1:7">
      <c r="A59" s="9">
        <v>58</v>
      </c>
      <c r="B59" s="10" t="s">
        <v>287</v>
      </c>
      <c r="C59" s="11" t="s">
        <v>288</v>
      </c>
      <c r="D59" s="12">
        <v>-1.56</v>
      </c>
      <c r="E59" s="10" t="s">
        <v>295</v>
      </c>
      <c r="F59" s="12">
        <v>-0.135</v>
      </c>
      <c r="G59" s="14" t="s">
        <v>1056</v>
      </c>
    </row>
    <row r="60" spans="1:7">
      <c r="A60" s="9">
        <v>59</v>
      </c>
      <c r="B60" s="10" t="s">
        <v>291</v>
      </c>
      <c r="C60" s="11" t="s">
        <v>292</v>
      </c>
      <c r="D60" s="12">
        <v>19.37</v>
      </c>
      <c r="E60" s="10" t="s">
        <v>299</v>
      </c>
      <c r="F60" s="12">
        <v>-1.14</v>
      </c>
      <c r="G60" s="14" t="s">
        <v>1057</v>
      </c>
    </row>
    <row r="61" spans="1:7">
      <c r="A61" s="9">
        <v>60</v>
      </c>
      <c r="B61" s="10" t="s">
        <v>295</v>
      </c>
      <c r="C61" s="11" t="s">
        <v>296</v>
      </c>
      <c r="D61" s="12">
        <v>6.49</v>
      </c>
      <c r="E61" s="10" t="s">
        <v>303</v>
      </c>
      <c r="F61" s="12">
        <v>1.099</v>
      </c>
      <c r="G61" s="14" t="s">
        <v>1058</v>
      </c>
    </row>
    <row r="62" spans="1:7">
      <c r="A62" s="9">
        <v>61</v>
      </c>
      <c r="B62" s="10" t="s">
        <v>299</v>
      </c>
      <c r="C62" s="11" t="s">
        <v>300</v>
      </c>
      <c r="D62" s="12">
        <v>5.98</v>
      </c>
      <c r="E62" s="10" t="s">
        <v>307</v>
      </c>
      <c r="F62" s="12">
        <v>0.136</v>
      </c>
      <c r="G62" s="14" t="s">
        <v>1059</v>
      </c>
    </row>
    <row r="63" spans="1:7">
      <c r="A63" s="9">
        <v>62</v>
      </c>
      <c r="B63" s="10" t="s">
        <v>303</v>
      </c>
      <c r="C63" s="11" t="s">
        <v>304</v>
      </c>
      <c r="D63" s="12">
        <v>-10.19</v>
      </c>
      <c r="E63" s="10" t="s">
        <v>311</v>
      </c>
      <c r="F63" s="12">
        <v>1.508</v>
      </c>
      <c r="G63" s="14" t="s">
        <v>1060</v>
      </c>
    </row>
    <row r="64" spans="1:7">
      <c r="A64" s="9">
        <v>63</v>
      </c>
      <c r="B64" s="10" t="s">
        <v>307</v>
      </c>
      <c r="C64" s="11" t="s">
        <v>308</v>
      </c>
      <c r="D64" s="12">
        <v>2.22</v>
      </c>
      <c r="E64" s="10" t="s">
        <v>315</v>
      </c>
      <c r="F64" s="12">
        <v>1.414</v>
      </c>
      <c r="G64" s="14" t="s">
        <v>1061</v>
      </c>
    </row>
    <row r="65" spans="1:7">
      <c r="A65" s="9">
        <v>64</v>
      </c>
      <c r="B65" s="10" t="s">
        <v>311</v>
      </c>
      <c r="C65" s="11" t="s">
        <v>312</v>
      </c>
      <c r="D65" s="12">
        <v>1.46</v>
      </c>
      <c r="E65" s="10" t="s">
        <v>319</v>
      </c>
      <c r="F65" s="12">
        <v>0.312</v>
      </c>
      <c r="G65" s="14" t="s">
        <v>1062</v>
      </c>
    </row>
    <row r="66" spans="1:7">
      <c r="A66" s="9">
        <v>65</v>
      </c>
      <c r="B66" s="10" t="s">
        <v>315</v>
      </c>
      <c r="C66" s="11" t="s">
        <v>316</v>
      </c>
      <c r="D66" s="12">
        <v>-6.11</v>
      </c>
      <c r="E66" s="10" t="s">
        <v>323</v>
      </c>
      <c r="F66" s="12">
        <v>-1.588</v>
      </c>
      <c r="G66" s="14" t="s">
        <v>1063</v>
      </c>
    </row>
    <row r="67" spans="1:7">
      <c r="A67" s="9">
        <v>66</v>
      </c>
      <c r="B67" s="10" t="s">
        <v>319</v>
      </c>
      <c r="C67" s="11" t="s">
        <v>320</v>
      </c>
      <c r="D67" s="12">
        <v>2.12</v>
      </c>
      <c r="E67" s="10" t="s">
        <v>327</v>
      </c>
      <c r="F67" s="12">
        <v>-0.157</v>
      </c>
      <c r="G67" s="14" t="s">
        <v>1064</v>
      </c>
    </row>
    <row r="68" spans="1:7">
      <c r="A68" s="9">
        <v>67</v>
      </c>
      <c r="B68" s="10" t="s">
        <v>323</v>
      </c>
      <c r="C68" s="11" t="s">
        <v>324</v>
      </c>
      <c r="D68" s="12">
        <v>1.45</v>
      </c>
      <c r="E68" s="10" t="s">
        <v>331</v>
      </c>
      <c r="F68" s="12">
        <v>4.187</v>
      </c>
      <c r="G68" s="14" t="s">
        <v>1065</v>
      </c>
    </row>
    <row r="69" spans="1:7">
      <c r="A69" s="9">
        <v>68</v>
      </c>
      <c r="B69" s="10" t="s">
        <v>327</v>
      </c>
      <c r="C69" s="11" t="s">
        <v>328</v>
      </c>
      <c r="D69" s="12">
        <v>-0.32</v>
      </c>
      <c r="E69" s="10" t="s">
        <v>335</v>
      </c>
      <c r="F69" s="12">
        <v>2.257</v>
      </c>
      <c r="G69" s="14" t="s">
        <v>1066</v>
      </c>
    </row>
    <row r="70" spans="1:7">
      <c r="A70" s="9">
        <v>69</v>
      </c>
      <c r="B70" s="10" t="s">
        <v>331</v>
      </c>
      <c r="C70" s="11" t="s">
        <v>332</v>
      </c>
      <c r="D70" s="12">
        <v>-13.07</v>
      </c>
      <c r="E70" s="10" t="s">
        <v>339</v>
      </c>
      <c r="F70" s="12">
        <v>-1.606</v>
      </c>
      <c r="G70" s="14" t="s">
        <v>1067</v>
      </c>
    </row>
    <row r="71" spans="1:7">
      <c r="A71" s="9">
        <v>70</v>
      </c>
      <c r="B71" s="10" t="s">
        <v>335</v>
      </c>
      <c r="C71" s="11" t="s">
        <v>336</v>
      </c>
      <c r="D71" s="12">
        <v>-5.11</v>
      </c>
      <c r="E71" s="10" t="s">
        <v>343</v>
      </c>
      <c r="F71" s="12">
        <v>-6.89</v>
      </c>
      <c r="G71" s="14" t="s">
        <v>1068</v>
      </c>
    </row>
    <row r="72" spans="1:7">
      <c r="A72" s="9">
        <v>71</v>
      </c>
      <c r="B72" s="10" t="s">
        <v>339</v>
      </c>
      <c r="C72" s="11" t="s">
        <v>340</v>
      </c>
      <c r="D72" s="12">
        <v>-10.62</v>
      </c>
      <c r="E72" s="10" t="s">
        <v>347</v>
      </c>
      <c r="F72" s="12">
        <v>-12.932</v>
      </c>
      <c r="G72" s="14" t="s">
        <v>1069</v>
      </c>
    </row>
    <row r="73" spans="1:7">
      <c r="A73" s="9">
        <v>72</v>
      </c>
      <c r="B73" s="10" t="s">
        <v>343</v>
      </c>
      <c r="C73" s="11" t="s">
        <v>344</v>
      </c>
      <c r="D73" s="12">
        <v>-12.15</v>
      </c>
      <c r="E73" s="10" t="s">
        <v>351</v>
      </c>
      <c r="F73" s="12">
        <v>0.5639999999999999</v>
      </c>
      <c r="G73" s="14" t="s">
        <v>1070</v>
      </c>
    </row>
    <row r="74" spans="1:7">
      <c r="A74" s="9">
        <v>73</v>
      </c>
      <c r="B74" s="10" t="s">
        <v>347</v>
      </c>
      <c r="C74" s="11" t="s">
        <v>348</v>
      </c>
      <c r="D74" s="12">
        <v>-0.85</v>
      </c>
      <c r="E74" s="10" t="s">
        <v>355</v>
      </c>
      <c r="F74" s="12">
        <v>0.846</v>
      </c>
      <c r="G74" s="14" t="s">
        <v>1071</v>
      </c>
    </row>
    <row r="75" spans="1:7">
      <c r="A75" s="9">
        <v>74</v>
      </c>
      <c r="B75" s="10" t="s">
        <v>351</v>
      </c>
      <c r="C75" s="11" t="s">
        <v>352</v>
      </c>
      <c r="D75" s="12">
        <v>-7.19</v>
      </c>
      <c r="E75" s="10" t="s">
        <v>359</v>
      </c>
      <c r="F75" s="12">
        <v>-0.431</v>
      </c>
      <c r="G75" s="14" t="s">
        <v>1072</v>
      </c>
    </row>
    <row r="76" spans="1:7">
      <c r="A76" s="9">
        <v>75</v>
      </c>
      <c r="B76" s="10" t="s">
        <v>355</v>
      </c>
      <c r="C76" s="11" t="s">
        <v>356</v>
      </c>
      <c r="D76" s="12">
        <v>2.21</v>
      </c>
      <c r="E76" s="10" t="s">
        <v>363</v>
      </c>
      <c r="F76" s="12">
        <v>1.189</v>
      </c>
      <c r="G76" s="14" t="s">
        <v>1073</v>
      </c>
    </row>
    <row r="77" spans="1:7">
      <c r="A77" s="9">
        <v>76</v>
      </c>
      <c r="B77" s="10" t="s">
        <v>359</v>
      </c>
      <c r="C77" s="11" t="s">
        <v>360</v>
      </c>
      <c r="D77" s="12">
        <v>-6.08</v>
      </c>
      <c r="E77" s="10" t="s">
        <v>367</v>
      </c>
      <c r="F77" s="12">
        <v>-0.309</v>
      </c>
      <c r="G77" s="14" t="s">
        <v>1074</v>
      </c>
    </row>
    <row r="78" spans="1:7">
      <c r="A78" s="9">
        <v>77</v>
      </c>
      <c r="B78" s="10" t="s">
        <v>363</v>
      </c>
      <c r="C78" s="11" t="s">
        <v>364</v>
      </c>
      <c r="D78" s="12">
        <v>0.71</v>
      </c>
      <c r="E78" s="10" t="s">
        <v>371</v>
      </c>
      <c r="F78" s="12">
        <v>0.169</v>
      </c>
      <c r="G78" s="14" t="s">
        <v>1075</v>
      </c>
    </row>
    <row r="79" spans="1:7">
      <c r="A79" s="9">
        <v>78</v>
      </c>
      <c r="B79" s="10" t="s">
        <v>367</v>
      </c>
      <c r="C79" s="11" t="s">
        <v>368</v>
      </c>
      <c r="D79" s="12">
        <v>-12.52</v>
      </c>
      <c r="E79" s="10" t="s">
        <v>375</v>
      </c>
      <c r="F79" s="12">
        <v>-1.17</v>
      </c>
      <c r="G79" s="14" t="s">
        <v>1076</v>
      </c>
    </row>
    <row r="80" spans="1:7">
      <c r="A80" s="9">
        <v>79</v>
      </c>
      <c r="B80" s="10" t="s">
        <v>371</v>
      </c>
      <c r="C80" s="11" t="s">
        <v>372</v>
      </c>
      <c r="D80" s="12">
        <v>-8.130000000000001</v>
      </c>
      <c r="E80" s="10" t="s">
        <v>379</v>
      </c>
      <c r="F80" s="12">
        <v>1.238</v>
      </c>
      <c r="G80" s="14" t="s">
        <v>1077</v>
      </c>
    </row>
    <row r="81" spans="1:7">
      <c r="A81" s="9">
        <v>80</v>
      </c>
      <c r="B81" s="10" t="s">
        <v>375</v>
      </c>
      <c r="C81" s="11" t="s">
        <v>376</v>
      </c>
      <c r="D81" s="12">
        <v>-5.35</v>
      </c>
      <c r="E81" s="10" t="s">
        <v>383</v>
      </c>
      <c r="F81" s="12">
        <v>0.303</v>
      </c>
      <c r="G81" s="14" t="s">
        <v>1078</v>
      </c>
    </row>
    <row r="82" spans="1:7">
      <c r="A82" s="9">
        <v>81</v>
      </c>
      <c r="B82" s="10" t="s">
        <v>379</v>
      </c>
      <c r="C82" s="11" t="s">
        <v>380</v>
      </c>
      <c r="D82" s="12">
        <v>-2.85</v>
      </c>
      <c r="E82" s="10" t="s">
        <v>387</v>
      </c>
      <c r="F82" s="12">
        <v>-2.643</v>
      </c>
      <c r="G82" s="14" t="s">
        <v>1079</v>
      </c>
    </row>
    <row r="83" spans="1:7">
      <c r="A83" s="9">
        <v>82</v>
      </c>
      <c r="B83" s="10" t="s">
        <v>383</v>
      </c>
      <c r="C83" s="11" t="s">
        <v>384</v>
      </c>
      <c r="D83" s="12">
        <v>-6.74</v>
      </c>
      <c r="E83" s="10" t="s">
        <v>391</v>
      </c>
      <c r="F83" s="12">
        <v>-1.373</v>
      </c>
      <c r="G83" s="14" t="s">
        <v>1080</v>
      </c>
    </row>
    <row r="84" spans="1:7">
      <c r="A84" s="9">
        <v>83</v>
      </c>
      <c r="B84" s="10" t="s">
        <v>387</v>
      </c>
      <c r="C84" s="11" t="s">
        <v>388</v>
      </c>
      <c r="D84" s="12">
        <v>6.63</v>
      </c>
      <c r="E84" s="10" t="s">
        <v>395</v>
      </c>
      <c r="F84" s="12">
        <v>-3.265</v>
      </c>
      <c r="G84" s="14" t="s">
        <v>1081</v>
      </c>
    </row>
    <row r="85" spans="1:7">
      <c r="A85" s="9">
        <v>84</v>
      </c>
      <c r="B85" s="10" t="s">
        <v>391</v>
      </c>
      <c r="C85" s="11" t="s">
        <v>392</v>
      </c>
      <c r="D85" s="12">
        <v>-7.21</v>
      </c>
      <c r="E85" s="10" t="s">
        <v>399</v>
      </c>
      <c r="F85" s="12">
        <v>3.435</v>
      </c>
      <c r="G85" s="14" t="s">
        <v>1082</v>
      </c>
    </row>
    <row r="86" spans="1:7">
      <c r="A86" s="9">
        <v>85</v>
      </c>
      <c r="B86" s="10" t="s">
        <v>395</v>
      </c>
      <c r="C86" s="11" t="s">
        <v>396</v>
      </c>
      <c r="D86" s="12">
        <v>-6.71</v>
      </c>
      <c r="E86" s="10" t="s">
        <v>403</v>
      </c>
      <c r="F86" s="12">
        <v>0.606</v>
      </c>
      <c r="G86" s="14" t="s">
        <v>1083</v>
      </c>
    </row>
    <row r="87" spans="1:7">
      <c r="A87" s="9">
        <v>86</v>
      </c>
      <c r="B87" s="10" t="s">
        <v>399</v>
      </c>
      <c r="C87" s="11" t="s">
        <v>400</v>
      </c>
      <c r="D87" s="12">
        <v>-4.65</v>
      </c>
      <c r="E87" s="10" t="s">
        <v>407</v>
      </c>
      <c r="F87" s="12">
        <v>0.406</v>
      </c>
      <c r="G87" s="14" t="s">
        <v>1084</v>
      </c>
    </row>
    <row r="88" spans="1:7">
      <c r="A88" s="9">
        <v>87</v>
      </c>
      <c r="B88" s="10" t="s">
        <v>403</v>
      </c>
      <c r="C88" s="11" t="s">
        <v>404</v>
      </c>
      <c r="D88" s="12">
        <v>-4.52</v>
      </c>
      <c r="E88" s="10" t="s">
        <v>411</v>
      </c>
      <c r="F88" s="12">
        <v>1.829</v>
      </c>
      <c r="G88" s="14" t="s">
        <v>1085</v>
      </c>
    </row>
    <row r="89" spans="1:7">
      <c r="A89" s="9">
        <v>88</v>
      </c>
      <c r="B89" s="10" t="s">
        <v>407</v>
      </c>
      <c r="C89" s="11" t="s">
        <v>408</v>
      </c>
      <c r="D89" s="12">
        <v>14.72</v>
      </c>
      <c r="E89" s="10" t="s">
        <v>415</v>
      </c>
      <c r="F89" s="12">
        <v>-2.704</v>
      </c>
      <c r="G89" s="14" t="s">
        <v>1086</v>
      </c>
    </row>
    <row r="90" spans="1:7">
      <c r="A90" s="9">
        <v>89</v>
      </c>
      <c r="B90" s="10" t="s">
        <v>411</v>
      </c>
      <c r="C90" s="11" t="s">
        <v>412</v>
      </c>
      <c r="D90" s="12">
        <v>13.81</v>
      </c>
      <c r="E90" s="10" t="s">
        <v>419</v>
      </c>
      <c r="F90" s="12">
        <v>-0.992</v>
      </c>
      <c r="G90" s="14" t="s">
        <v>1087</v>
      </c>
    </row>
    <row r="91" spans="1:7">
      <c r="A91" s="9">
        <v>90</v>
      </c>
      <c r="B91" s="10" t="s">
        <v>415</v>
      </c>
      <c r="C91" s="11" t="s">
        <v>416</v>
      </c>
      <c r="D91" s="12">
        <v>0.58</v>
      </c>
      <c r="E91" s="10" t="s">
        <v>423</v>
      </c>
      <c r="F91" s="12">
        <v>2.385</v>
      </c>
      <c r="G91" s="14" t="s">
        <v>1088</v>
      </c>
    </row>
    <row r="92" spans="1:7">
      <c r="A92" s="9">
        <v>91</v>
      </c>
      <c r="B92" s="10" t="s">
        <v>419</v>
      </c>
      <c r="C92" s="11" t="s">
        <v>420</v>
      </c>
      <c r="D92" s="12">
        <v>-9.26</v>
      </c>
      <c r="E92" s="10" t="s">
        <v>427</v>
      </c>
      <c r="F92" s="12">
        <v>-5.481</v>
      </c>
      <c r="G92" s="14" t="s">
        <v>1089</v>
      </c>
    </row>
    <row r="93" spans="1:7">
      <c r="A93" s="9">
        <v>92</v>
      </c>
      <c r="B93" s="10" t="s">
        <v>423</v>
      </c>
      <c r="C93" s="11" t="s">
        <v>424</v>
      </c>
      <c r="D93" s="12">
        <v>6.7</v>
      </c>
      <c r="E93" s="10" t="s">
        <v>431</v>
      </c>
      <c r="F93" s="12">
        <v>3.647</v>
      </c>
      <c r="G93" s="14" t="s">
        <v>1090</v>
      </c>
    </row>
    <row r="94" spans="1:7">
      <c r="A94" s="9">
        <v>93</v>
      </c>
      <c r="B94" s="10" t="s">
        <v>427</v>
      </c>
      <c r="C94" s="11" t="s">
        <v>428</v>
      </c>
      <c r="D94" s="12">
        <v>1.86</v>
      </c>
      <c r="E94" s="10" t="s">
        <v>435</v>
      </c>
      <c r="F94" s="12">
        <v>1.536</v>
      </c>
      <c r="G94" s="14" t="s">
        <v>1091</v>
      </c>
    </row>
    <row r="95" spans="1:7">
      <c r="A95" s="9">
        <v>94</v>
      </c>
      <c r="B95" s="10" t="s">
        <v>431</v>
      </c>
      <c r="C95" s="11" t="s">
        <v>432</v>
      </c>
      <c r="D95" s="12">
        <v>-4.41</v>
      </c>
      <c r="E95" s="10" t="s">
        <v>439</v>
      </c>
      <c r="F95" s="12">
        <v>1.187</v>
      </c>
      <c r="G95" s="14" t="s">
        <v>1092</v>
      </c>
    </row>
    <row r="96" spans="1:7">
      <c r="A96" s="9">
        <v>95</v>
      </c>
      <c r="B96" s="10" t="s">
        <v>435</v>
      </c>
      <c r="C96" s="11" t="s">
        <v>436</v>
      </c>
      <c r="D96" s="12">
        <v>-9</v>
      </c>
      <c r="E96" s="10" t="s">
        <v>443</v>
      </c>
      <c r="F96" s="12">
        <v>-3.843</v>
      </c>
      <c r="G96" s="14" t="s">
        <v>1093</v>
      </c>
    </row>
    <row r="97" spans="1:7">
      <c r="A97" s="9">
        <v>96</v>
      </c>
      <c r="B97" s="10" t="s">
        <v>439</v>
      </c>
      <c r="C97" s="11" t="s">
        <v>440</v>
      </c>
      <c r="D97" s="12">
        <v>-12.76</v>
      </c>
      <c r="E97" s="10" t="s">
        <v>447</v>
      </c>
      <c r="F97" s="12">
        <v>0.641</v>
      </c>
      <c r="G97" s="14" t="s">
        <v>1094</v>
      </c>
    </row>
    <row r="98" spans="1:7">
      <c r="A98" s="9">
        <v>97</v>
      </c>
      <c r="B98" s="10" t="s">
        <v>443</v>
      </c>
      <c r="C98" s="11" t="s">
        <v>444</v>
      </c>
      <c r="D98" s="12">
        <v>-1.19</v>
      </c>
      <c r="E98" s="10" t="s">
        <v>451</v>
      </c>
      <c r="F98" s="12">
        <v>7.392</v>
      </c>
      <c r="G98" s="14" t="s">
        <v>1095</v>
      </c>
    </row>
    <row r="99" spans="1:7">
      <c r="A99" s="9">
        <v>98</v>
      </c>
      <c r="B99" s="10" t="s">
        <v>447</v>
      </c>
      <c r="C99" s="11" t="s">
        <v>448</v>
      </c>
      <c r="D99" s="12">
        <v>-1.85</v>
      </c>
      <c r="E99" s="10" t="s">
        <v>455</v>
      </c>
      <c r="F99" s="12">
        <v>0.831</v>
      </c>
      <c r="G99" s="14" t="s">
        <v>1096</v>
      </c>
    </row>
    <row r="101" spans="1:7">
      <c r="D101" s="17" t="s">
        <v>1097</v>
      </c>
      <c r="E101" s="12">
        <f>CORREL(D2:D99,F2:F99)</f>
        <v>None</v>
      </c>
    </row>
    <row r="102" spans="1:7">
      <c r="D102" s="17" t="s">
        <v>1098</v>
      </c>
      <c r="E102" s="9">
        <f>COUNT(D2:F99)/3</f>
        <v>98</v>
      </c>
    </row>
    <row r="103" spans="1:7">
      <c r="D103" s="17" t="s">
        <v>1099</v>
      </c>
      <c r="E103" s="16">
        <f>T.DIST.2T(ABS(E101*SQRT((E102-2)/(1-E101^2))),E102-2)</f>
        <v>None</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05"/>
  <sheetViews>
    <sheetView workbookViewId="0">
      <pane ySplit="1" topLeftCell="A2" activePane="bottomLeft" state="frozen"/>
      <selection pane="bottomLeft"/>
    </sheetView>
  </sheetViews>
  <sheetFormatPr defaultRowHeight="15"/>
  <cols>
    <col min="1" max="1" width="7.7109375" customWidth="1"/>
    <col min="2" max="2" width="15.7109375" customWidth="1"/>
    <col min="3" max="3" width="17.7109375" customWidth="1"/>
    <col min="4" max="5" width="15.7109375" customWidth="1"/>
    <col min="6" max="6" width="13.7109375" customWidth="1"/>
    <col min="7" max="7" width="40.7109375" customWidth="1"/>
  </cols>
  <sheetData>
    <row r="1" spans="1:7">
      <c r="A1" s="8" t="s">
        <v>992</v>
      </c>
      <c r="B1" s="8" t="s">
        <v>993</v>
      </c>
      <c r="C1" s="8" t="s">
        <v>994</v>
      </c>
      <c r="D1" s="8" t="s">
        <v>995</v>
      </c>
      <c r="E1" s="8" t="s">
        <v>996</v>
      </c>
      <c r="F1" s="8" t="s">
        <v>997</v>
      </c>
      <c r="G1" s="8" t="s">
        <v>998</v>
      </c>
    </row>
    <row r="2" spans="1:7">
      <c r="A2" s="9">
        <v>1</v>
      </c>
      <c r="B2" s="10" t="s">
        <v>59</v>
      </c>
      <c r="C2" s="11" t="s">
        <v>60</v>
      </c>
      <c r="D2" s="12">
        <v>7.91</v>
      </c>
      <c r="E2" s="10" t="s">
        <v>59</v>
      </c>
      <c r="F2" s="12">
        <v>-0.45</v>
      </c>
      <c r="G2" s="14" t="s">
        <v>1100</v>
      </c>
    </row>
    <row r="3" spans="1:7">
      <c r="A3" s="9">
        <v>2</v>
      </c>
      <c r="B3" s="10" t="s">
        <v>63</v>
      </c>
      <c r="C3" s="11" t="s">
        <v>64</v>
      </c>
      <c r="D3" s="12">
        <v>1.86</v>
      </c>
      <c r="E3" s="10" t="s">
        <v>63</v>
      </c>
      <c r="F3" s="12">
        <v>-0.884</v>
      </c>
      <c r="G3" s="14" t="s">
        <v>1100</v>
      </c>
    </row>
    <row r="4" spans="1:7">
      <c r="A4" s="9">
        <v>3</v>
      </c>
      <c r="B4" s="10" t="s">
        <v>67</v>
      </c>
      <c r="C4" s="11" t="s">
        <v>68</v>
      </c>
      <c r="D4" s="12">
        <v>4.64</v>
      </c>
      <c r="E4" s="10" t="s">
        <v>67</v>
      </c>
      <c r="F4" s="12">
        <v>0.523</v>
      </c>
      <c r="G4" s="14" t="s">
        <v>1100</v>
      </c>
    </row>
    <row r="5" spans="1:7">
      <c r="A5" s="9">
        <v>4</v>
      </c>
      <c r="B5" s="10" t="s">
        <v>71</v>
      </c>
      <c r="C5" s="11" t="s">
        <v>72</v>
      </c>
      <c r="D5" s="12">
        <v>2.29</v>
      </c>
      <c r="E5" s="10" t="s">
        <v>71</v>
      </c>
      <c r="F5" s="12">
        <v>0.429</v>
      </c>
      <c r="G5" s="14" t="s">
        <v>1100</v>
      </c>
    </row>
    <row r="6" spans="1:7">
      <c r="A6" s="9">
        <v>5</v>
      </c>
      <c r="B6" s="10" t="s">
        <v>75</v>
      </c>
      <c r="C6" s="11" t="s">
        <v>76</v>
      </c>
      <c r="D6" s="12">
        <v>-9.869999999999999</v>
      </c>
      <c r="E6" s="10" t="s">
        <v>75</v>
      </c>
      <c r="F6" s="12">
        <v>-1.121</v>
      </c>
      <c r="G6" s="14" t="s">
        <v>1100</v>
      </c>
    </row>
    <row r="7" spans="1:7">
      <c r="A7" s="9">
        <v>6</v>
      </c>
      <c r="B7" s="10" t="s">
        <v>79</v>
      </c>
      <c r="C7" s="11" t="s">
        <v>80</v>
      </c>
      <c r="D7" s="12">
        <v>4.43</v>
      </c>
      <c r="E7" s="10" t="s">
        <v>79</v>
      </c>
      <c r="F7" s="12">
        <v>-0.869</v>
      </c>
      <c r="G7" s="14" t="s">
        <v>1100</v>
      </c>
    </row>
    <row r="8" spans="1:7">
      <c r="A8" s="9">
        <v>7</v>
      </c>
      <c r="B8" s="10" t="s">
        <v>83</v>
      </c>
      <c r="C8" s="11" t="s">
        <v>84</v>
      </c>
      <c r="D8" s="12">
        <v>-13.63</v>
      </c>
      <c r="E8" s="10" t="s">
        <v>83</v>
      </c>
      <c r="F8" s="12">
        <v>0.775</v>
      </c>
      <c r="G8" s="14" t="s">
        <v>1100</v>
      </c>
    </row>
    <row r="9" spans="1:7">
      <c r="A9" s="9">
        <v>8</v>
      </c>
      <c r="B9" s="10" t="s">
        <v>87</v>
      </c>
      <c r="C9" s="11" t="s">
        <v>88</v>
      </c>
      <c r="D9" s="12">
        <v>-1.47</v>
      </c>
      <c r="E9" s="10" t="s">
        <v>87</v>
      </c>
      <c r="F9" s="12">
        <v>-0.308</v>
      </c>
      <c r="G9" s="14" t="s">
        <v>1100</v>
      </c>
    </row>
    <row r="10" spans="1:7">
      <c r="A10" s="9">
        <v>9</v>
      </c>
      <c r="B10" s="10" t="s">
        <v>91</v>
      </c>
      <c r="C10" s="11" t="s">
        <v>92</v>
      </c>
      <c r="D10" s="12">
        <v>-11.2</v>
      </c>
      <c r="E10" s="10" t="s">
        <v>91</v>
      </c>
      <c r="F10" s="12">
        <v>-0.151</v>
      </c>
      <c r="G10" s="14" t="s">
        <v>1100</v>
      </c>
    </row>
    <row r="11" spans="1:7">
      <c r="A11" s="9">
        <v>10</v>
      </c>
      <c r="B11" s="10" t="s">
        <v>95</v>
      </c>
      <c r="C11" s="11" t="s">
        <v>96</v>
      </c>
      <c r="D11" s="12">
        <v>-2.47</v>
      </c>
      <c r="E11" s="10" t="s">
        <v>95</v>
      </c>
      <c r="F11" s="12">
        <v>0.148</v>
      </c>
      <c r="G11" s="14" t="s">
        <v>1100</v>
      </c>
    </row>
    <row r="12" spans="1:7">
      <c r="A12" s="9">
        <v>11</v>
      </c>
      <c r="B12" s="10" t="s">
        <v>99</v>
      </c>
      <c r="C12" s="11" t="s">
        <v>100</v>
      </c>
      <c r="D12" s="12">
        <v>-8.59</v>
      </c>
      <c r="E12" s="10" t="s">
        <v>99</v>
      </c>
      <c r="F12" s="12">
        <v>0.656</v>
      </c>
      <c r="G12" s="14" t="s">
        <v>1100</v>
      </c>
    </row>
    <row r="13" spans="1:7">
      <c r="A13" s="9">
        <v>12</v>
      </c>
      <c r="B13" s="10" t="s">
        <v>103</v>
      </c>
      <c r="C13" s="11" t="s">
        <v>104</v>
      </c>
      <c r="D13" s="12">
        <v>6.7</v>
      </c>
      <c r="E13" s="10" t="s">
        <v>103</v>
      </c>
      <c r="F13" s="12">
        <v>0.68</v>
      </c>
      <c r="G13" s="14" t="s">
        <v>1100</v>
      </c>
    </row>
    <row r="14" spans="1:7">
      <c r="A14" s="9">
        <v>13</v>
      </c>
      <c r="B14" s="10" t="s">
        <v>107</v>
      </c>
      <c r="C14" s="11" t="s">
        <v>108</v>
      </c>
      <c r="D14" s="12">
        <v>1.5</v>
      </c>
      <c r="E14" s="10" t="s">
        <v>107</v>
      </c>
      <c r="F14" s="12">
        <v>-0.736</v>
      </c>
      <c r="G14" s="14" t="s">
        <v>1100</v>
      </c>
    </row>
    <row r="15" spans="1:7">
      <c r="A15" s="9">
        <v>14</v>
      </c>
      <c r="B15" s="10" t="s">
        <v>111</v>
      </c>
      <c r="C15" s="11" t="s">
        <v>112</v>
      </c>
      <c r="D15" s="12">
        <v>2.54</v>
      </c>
      <c r="E15" s="10" t="s">
        <v>111</v>
      </c>
      <c r="F15" s="12">
        <v>0.586</v>
      </c>
      <c r="G15" s="14" t="s">
        <v>1100</v>
      </c>
    </row>
    <row r="16" spans="1:7">
      <c r="A16" s="9">
        <v>15</v>
      </c>
      <c r="B16" s="10" t="s">
        <v>115</v>
      </c>
      <c r="C16" s="11" t="s">
        <v>116</v>
      </c>
      <c r="D16" s="12">
        <v>1.44</v>
      </c>
      <c r="E16" s="10" t="s">
        <v>115</v>
      </c>
      <c r="F16" s="12">
        <v>-0.849</v>
      </c>
      <c r="G16" s="14" t="s">
        <v>1100</v>
      </c>
    </row>
    <row r="17" spans="1:7">
      <c r="A17" s="9">
        <v>16</v>
      </c>
      <c r="B17" s="10" t="s">
        <v>119</v>
      </c>
      <c r="C17" s="11" t="s">
        <v>120</v>
      </c>
      <c r="D17" s="12">
        <v>3.17</v>
      </c>
      <c r="E17" s="10" t="s">
        <v>119</v>
      </c>
      <c r="F17" s="12">
        <v>-0.394</v>
      </c>
      <c r="G17" s="14" t="s">
        <v>1100</v>
      </c>
    </row>
    <row r="18" spans="1:7">
      <c r="A18" s="9">
        <v>17</v>
      </c>
      <c r="B18" s="10" t="s">
        <v>123</v>
      </c>
      <c r="C18" s="11" t="s">
        <v>124</v>
      </c>
      <c r="D18" s="12">
        <v>6.8</v>
      </c>
      <c r="E18" s="10" t="s">
        <v>123</v>
      </c>
      <c r="F18" s="12">
        <v>0.589</v>
      </c>
      <c r="G18" s="14" t="s">
        <v>1100</v>
      </c>
    </row>
    <row r="19" spans="1:7">
      <c r="A19" s="9">
        <v>18</v>
      </c>
      <c r="B19" s="10" t="s">
        <v>127</v>
      </c>
      <c r="C19" s="11" t="s">
        <v>128</v>
      </c>
      <c r="D19" s="12">
        <v>-6.31</v>
      </c>
      <c r="E19" s="10" t="s">
        <v>127</v>
      </c>
      <c r="F19" s="12">
        <v>-0.616</v>
      </c>
      <c r="G19" s="14" t="s">
        <v>1100</v>
      </c>
    </row>
    <row r="20" spans="1:7">
      <c r="A20" s="9">
        <v>19</v>
      </c>
      <c r="B20" s="10" t="s">
        <v>131</v>
      </c>
      <c r="C20" s="11" t="s">
        <v>132</v>
      </c>
      <c r="D20" s="12">
        <v>-9.51</v>
      </c>
      <c r="E20" s="10" t="s">
        <v>131</v>
      </c>
      <c r="F20" s="12">
        <v>-2.463</v>
      </c>
      <c r="G20" s="14" t="s">
        <v>1100</v>
      </c>
    </row>
    <row r="21" spans="1:7">
      <c r="A21" s="9">
        <v>20</v>
      </c>
      <c r="B21" s="10" t="s">
        <v>135</v>
      </c>
      <c r="C21" s="11" t="s">
        <v>136</v>
      </c>
      <c r="D21" s="12">
        <v>-11.09</v>
      </c>
      <c r="E21" s="10" t="s">
        <v>135</v>
      </c>
      <c r="F21" s="12">
        <v>0.197</v>
      </c>
      <c r="G21" s="14" t="s">
        <v>1100</v>
      </c>
    </row>
    <row r="22" spans="1:7">
      <c r="A22" s="9">
        <v>21</v>
      </c>
      <c r="B22" s="10" t="s">
        <v>139</v>
      </c>
      <c r="C22" s="11" t="s">
        <v>140</v>
      </c>
      <c r="D22" s="12">
        <v>-2.63</v>
      </c>
      <c r="E22" s="10" t="s">
        <v>139</v>
      </c>
      <c r="F22" s="12">
        <v>0.118</v>
      </c>
      <c r="G22" s="14" t="s">
        <v>1100</v>
      </c>
    </row>
    <row r="23" spans="1:7">
      <c r="A23" s="9">
        <v>22</v>
      </c>
      <c r="B23" s="10" t="s">
        <v>143</v>
      </c>
      <c r="C23" s="11" t="s">
        <v>144</v>
      </c>
      <c r="D23" s="12">
        <v>-15.77</v>
      </c>
      <c r="E23" s="10" t="s">
        <v>143</v>
      </c>
      <c r="F23" s="12">
        <v>-0.08</v>
      </c>
      <c r="G23" s="14" t="s">
        <v>1100</v>
      </c>
    </row>
    <row r="24" spans="1:7">
      <c r="A24" s="9">
        <v>23</v>
      </c>
      <c r="B24" s="10" t="s">
        <v>147</v>
      </c>
      <c r="C24" s="11" t="s">
        <v>148</v>
      </c>
      <c r="D24" s="12">
        <v>-4.63</v>
      </c>
      <c r="E24" s="10" t="s">
        <v>147</v>
      </c>
      <c r="F24" s="12">
        <v>-0.678</v>
      </c>
      <c r="G24" s="14" t="s">
        <v>1100</v>
      </c>
    </row>
    <row r="25" spans="1:7">
      <c r="A25" s="9">
        <v>24</v>
      </c>
      <c r="B25" s="10" t="s">
        <v>151</v>
      </c>
      <c r="C25" s="11" t="s">
        <v>152</v>
      </c>
      <c r="D25" s="12">
        <v>1.58</v>
      </c>
      <c r="E25" s="10" t="s">
        <v>151</v>
      </c>
      <c r="F25" s="12">
        <v>-0.661</v>
      </c>
      <c r="G25" s="14" t="s">
        <v>1100</v>
      </c>
    </row>
    <row r="26" spans="1:7">
      <c r="A26" s="9">
        <v>25</v>
      </c>
      <c r="B26" s="10" t="s">
        <v>155</v>
      </c>
      <c r="C26" s="11" t="s">
        <v>156</v>
      </c>
      <c r="D26" s="12">
        <v>-12.24</v>
      </c>
      <c r="E26" s="10" t="s">
        <v>155</v>
      </c>
      <c r="F26" s="12">
        <v>1.754</v>
      </c>
      <c r="G26" s="14" t="s">
        <v>1100</v>
      </c>
    </row>
    <row r="27" spans="1:7">
      <c r="A27" s="9">
        <v>26</v>
      </c>
      <c r="B27" s="10" t="s">
        <v>159</v>
      </c>
      <c r="C27" s="11" t="s">
        <v>160</v>
      </c>
      <c r="D27" s="12">
        <v>7.42</v>
      </c>
      <c r="E27" s="10" t="s">
        <v>159</v>
      </c>
      <c r="F27" s="12">
        <v>-1.192</v>
      </c>
      <c r="G27" s="14" t="s">
        <v>1100</v>
      </c>
    </row>
    <row r="28" spans="1:7">
      <c r="A28" s="9">
        <v>27</v>
      </c>
      <c r="B28" s="10" t="s">
        <v>163</v>
      </c>
      <c r="C28" s="11" t="s">
        <v>164</v>
      </c>
      <c r="D28" s="12">
        <v>2.45</v>
      </c>
      <c r="E28" s="10" t="s">
        <v>163</v>
      </c>
      <c r="F28" s="12">
        <v>0.897</v>
      </c>
      <c r="G28" s="14" t="s">
        <v>1100</v>
      </c>
    </row>
    <row r="29" spans="1:7">
      <c r="A29" s="9">
        <v>28</v>
      </c>
      <c r="B29" s="10" t="s">
        <v>167</v>
      </c>
      <c r="C29" s="11" t="s">
        <v>168</v>
      </c>
      <c r="D29" s="12">
        <v>-7.8</v>
      </c>
      <c r="E29" s="10" t="s">
        <v>167</v>
      </c>
      <c r="F29" s="12">
        <v>3.179</v>
      </c>
      <c r="G29" s="14" t="s">
        <v>1100</v>
      </c>
    </row>
    <row r="30" spans="1:7">
      <c r="A30" s="9">
        <v>29</v>
      </c>
      <c r="B30" s="10" t="s">
        <v>171</v>
      </c>
      <c r="C30" s="11" t="s">
        <v>172</v>
      </c>
      <c r="D30" s="12">
        <v>0.65</v>
      </c>
      <c r="E30" s="10" t="s">
        <v>171</v>
      </c>
      <c r="F30" s="12">
        <v>0.619</v>
      </c>
      <c r="G30" s="14" t="s">
        <v>1100</v>
      </c>
    </row>
    <row r="31" spans="1:7">
      <c r="A31" s="9">
        <v>30</v>
      </c>
      <c r="B31" s="10" t="s">
        <v>175</v>
      </c>
      <c r="C31" s="11" t="s">
        <v>176</v>
      </c>
      <c r="D31" s="12">
        <v>3.26</v>
      </c>
      <c r="E31" s="10" t="s">
        <v>175</v>
      </c>
      <c r="F31" s="12">
        <v>-0.091</v>
      </c>
      <c r="G31" s="14" t="s">
        <v>1100</v>
      </c>
    </row>
    <row r="32" spans="1:7">
      <c r="A32" s="9">
        <v>31</v>
      </c>
      <c r="B32" s="10" t="s">
        <v>179</v>
      </c>
      <c r="C32" s="11" t="s">
        <v>180</v>
      </c>
      <c r="D32" s="12">
        <v>5.82</v>
      </c>
      <c r="E32" s="10" t="s">
        <v>179</v>
      </c>
      <c r="F32" s="12">
        <v>2.002</v>
      </c>
      <c r="G32" s="14" t="s">
        <v>1100</v>
      </c>
    </row>
    <row r="33" spans="1:7">
      <c r="A33" s="9">
        <v>32</v>
      </c>
      <c r="B33" s="10" t="s">
        <v>183</v>
      </c>
      <c r="C33" s="11" t="s">
        <v>184</v>
      </c>
      <c r="D33" s="12">
        <v>7.1</v>
      </c>
      <c r="E33" s="10" t="s">
        <v>183</v>
      </c>
      <c r="F33" s="12">
        <v>0.263</v>
      </c>
      <c r="G33" s="14" t="s">
        <v>1100</v>
      </c>
    </row>
    <row r="34" spans="1:7">
      <c r="A34" s="9">
        <v>33</v>
      </c>
      <c r="B34" s="10" t="s">
        <v>187</v>
      </c>
      <c r="C34" s="11" t="s">
        <v>188</v>
      </c>
      <c r="D34" s="12">
        <v>-6.58</v>
      </c>
      <c r="E34" s="10" t="s">
        <v>187</v>
      </c>
      <c r="F34" s="12">
        <v>2.494</v>
      </c>
      <c r="G34" s="14" t="s">
        <v>1100</v>
      </c>
    </row>
    <row r="35" spans="1:7">
      <c r="A35" s="9">
        <v>34</v>
      </c>
      <c r="B35" s="10" t="s">
        <v>191</v>
      </c>
      <c r="C35" s="11" t="s">
        <v>192</v>
      </c>
      <c r="D35" s="12">
        <v>8.41</v>
      </c>
      <c r="E35" s="10" t="s">
        <v>191</v>
      </c>
      <c r="F35" s="12">
        <v>0.503</v>
      </c>
      <c r="G35" s="14" t="s">
        <v>1100</v>
      </c>
    </row>
    <row r="36" spans="1:7">
      <c r="A36" s="9">
        <v>35</v>
      </c>
      <c r="B36" s="10" t="s">
        <v>195</v>
      </c>
      <c r="C36" s="11" t="s">
        <v>196</v>
      </c>
      <c r="D36" s="12">
        <v>0.32</v>
      </c>
      <c r="E36" s="10" t="s">
        <v>195</v>
      </c>
      <c r="F36" s="12">
        <v>0.835</v>
      </c>
      <c r="G36" s="14" t="s">
        <v>1100</v>
      </c>
    </row>
    <row r="37" spans="1:7">
      <c r="A37" s="9">
        <v>36</v>
      </c>
      <c r="B37" s="10" t="s">
        <v>199</v>
      </c>
      <c r="C37" s="11" t="s">
        <v>200</v>
      </c>
      <c r="D37" s="12">
        <v>4.52</v>
      </c>
      <c r="E37" s="10" t="s">
        <v>199</v>
      </c>
      <c r="F37" s="12">
        <v>-0.042</v>
      </c>
      <c r="G37" s="14" t="s">
        <v>1100</v>
      </c>
    </row>
    <row r="38" spans="1:7">
      <c r="A38" s="9">
        <v>37</v>
      </c>
      <c r="B38" s="10" t="s">
        <v>203</v>
      </c>
      <c r="C38" s="11" t="s">
        <v>204</v>
      </c>
      <c r="D38" s="12">
        <v>7.13</v>
      </c>
      <c r="E38" s="10" t="s">
        <v>203</v>
      </c>
      <c r="F38" s="12">
        <v>-0.799</v>
      </c>
      <c r="G38" s="14" t="s">
        <v>1100</v>
      </c>
    </row>
    <row r="39" spans="1:7">
      <c r="A39" s="9">
        <v>38</v>
      </c>
      <c r="B39" s="10" t="s">
        <v>207</v>
      </c>
      <c r="C39" s="11" t="s">
        <v>208</v>
      </c>
      <c r="D39" s="12">
        <v>-6.44</v>
      </c>
      <c r="E39" s="10" t="s">
        <v>207</v>
      </c>
      <c r="F39" s="12">
        <v>-1.89</v>
      </c>
      <c r="G39" s="14" t="s">
        <v>1100</v>
      </c>
    </row>
    <row r="40" spans="1:7">
      <c r="A40" s="9">
        <v>39</v>
      </c>
      <c r="B40" s="10" t="s">
        <v>211</v>
      </c>
      <c r="C40" s="11" t="s">
        <v>212</v>
      </c>
      <c r="D40" s="12">
        <v>8.26</v>
      </c>
      <c r="E40" s="10" t="s">
        <v>211</v>
      </c>
      <c r="F40" s="12">
        <v>-0.618</v>
      </c>
      <c r="G40" s="14" t="s">
        <v>1100</v>
      </c>
    </row>
    <row r="41" spans="1:7">
      <c r="A41" s="9">
        <v>40</v>
      </c>
      <c r="B41" s="10" t="s">
        <v>215</v>
      </c>
      <c r="C41" s="11" t="s">
        <v>216</v>
      </c>
      <c r="D41" s="12">
        <v>11.71</v>
      </c>
      <c r="E41" s="10" t="s">
        <v>215</v>
      </c>
      <c r="F41" s="12">
        <v>-0.042</v>
      </c>
      <c r="G41" s="14" t="s">
        <v>1100</v>
      </c>
    </row>
    <row r="42" spans="1:7">
      <c r="A42" s="9">
        <v>41</v>
      </c>
      <c r="B42" s="10" t="s">
        <v>219</v>
      </c>
      <c r="C42" s="11" t="s">
        <v>220</v>
      </c>
      <c r="D42" s="12">
        <v>9.630000000000001</v>
      </c>
      <c r="E42" s="10" t="s">
        <v>219</v>
      </c>
      <c r="F42" s="12">
        <v>-0.6830000000000001</v>
      </c>
      <c r="G42" s="14" t="s">
        <v>1100</v>
      </c>
    </row>
    <row r="43" spans="1:7">
      <c r="A43" s="9">
        <v>42</v>
      </c>
      <c r="B43" s="10" t="s">
        <v>223</v>
      </c>
      <c r="C43" s="11" t="s">
        <v>224</v>
      </c>
      <c r="D43" s="12">
        <v>5.42</v>
      </c>
      <c r="E43" s="10" t="s">
        <v>223</v>
      </c>
      <c r="F43" s="12">
        <v>1.371</v>
      </c>
      <c r="G43" s="14" t="s">
        <v>1100</v>
      </c>
    </row>
    <row r="44" spans="1:7">
      <c r="A44" s="9">
        <v>43</v>
      </c>
      <c r="B44" s="10" t="s">
        <v>227</v>
      </c>
      <c r="C44" s="11" t="s">
        <v>228</v>
      </c>
      <c r="D44" s="12">
        <v>22.33</v>
      </c>
      <c r="E44" s="10" t="s">
        <v>227</v>
      </c>
      <c r="F44" s="12">
        <v>-0.965</v>
      </c>
      <c r="G44" s="14" t="s">
        <v>1100</v>
      </c>
    </row>
    <row r="45" spans="1:7">
      <c r="A45" s="9">
        <v>44</v>
      </c>
      <c r="B45" s="10" t="s">
        <v>231</v>
      </c>
      <c r="C45" s="11" t="s">
        <v>232</v>
      </c>
      <c r="D45" s="12">
        <v>12.84</v>
      </c>
      <c r="E45" s="10" t="s">
        <v>231</v>
      </c>
      <c r="F45" s="12">
        <v>0.421</v>
      </c>
      <c r="G45" s="14" t="s">
        <v>1100</v>
      </c>
    </row>
    <row r="46" spans="1:7">
      <c r="A46" s="9">
        <v>45</v>
      </c>
      <c r="B46" s="10" t="s">
        <v>235</v>
      </c>
      <c r="C46" s="11" t="s">
        <v>236</v>
      </c>
      <c r="D46" s="12">
        <v>12.26</v>
      </c>
      <c r="E46" s="10" t="s">
        <v>235</v>
      </c>
      <c r="F46" s="12">
        <v>0.375</v>
      </c>
      <c r="G46" s="14" t="s">
        <v>1100</v>
      </c>
    </row>
    <row r="47" spans="1:7">
      <c r="A47" s="9">
        <v>46</v>
      </c>
      <c r="B47" s="10" t="s">
        <v>239</v>
      </c>
      <c r="C47" s="11" t="s">
        <v>240</v>
      </c>
      <c r="D47" s="12">
        <v>0.75</v>
      </c>
      <c r="E47" s="10" t="s">
        <v>239</v>
      </c>
      <c r="F47" s="12">
        <v>0.042</v>
      </c>
      <c r="G47" s="14" t="s">
        <v>1100</v>
      </c>
    </row>
    <row r="48" spans="1:7">
      <c r="A48" s="9">
        <v>47</v>
      </c>
      <c r="B48" s="10" t="s">
        <v>243</v>
      </c>
      <c r="C48" s="11" t="s">
        <v>244</v>
      </c>
      <c r="D48" s="12">
        <v>-6.56</v>
      </c>
      <c r="E48" s="10" t="s">
        <v>243</v>
      </c>
      <c r="F48" s="12">
        <v>0.341</v>
      </c>
      <c r="G48" s="14" t="s">
        <v>1100</v>
      </c>
    </row>
    <row r="49" spans="1:7">
      <c r="A49" s="9">
        <v>48</v>
      </c>
      <c r="B49" s="10" t="s">
        <v>247</v>
      </c>
      <c r="C49" s="11" t="s">
        <v>248</v>
      </c>
      <c r="D49" s="12">
        <v>5.1</v>
      </c>
      <c r="E49" s="10" t="s">
        <v>247</v>
      </c>
      <c r="F49" s="12">
        <v>-1.646</v>
      </c>
      <c r="G49" s="14" t="s">
        <v>1100</v>
      </c>
    </row>
    <row r="50" spans="1:7">
      <c r="A50" s="9">
        <v>49</v>
      </c>
      <c r="B50" s="10" t="s">
        <v>251</v>
      </c>
      <c r="C50" s="11" t="s">
        <v>252</v>
      </c>
      <c r="D50" s="12">
        <v>-5.18</v>
      </c>
      <c r="E50" s="10" t="s">
        <v>251</v>
      </c>
      <c r="F50" s="12">
        <v>1.05</v>
      </c>
      <c r="G50" s="14" t="s">
        <v>1100</v>
      </c>
    </row>
    <row r="51" spans="1:7">
      <c r="A51" s="9">
        <v>50</v>
      </c>
      <c r="B51" s="10" t="s">
        <v>255</v>
      </c>
      <c r="C51" s="11" t="s">
        <v>256</v>
      </c>
      <c r="D51" s="12">
        <v>2.08</v>
      </c>
      <c r="E51" s="10" t="s">
        <v>255</v>
      </c>
      <c r="F51" s="12">
        <v>-0.309</v>
      </c>
      <c r="G51" s="14" t="s">
        <v>1100</v>
      </c>
    </row>
    <row r="52" spans="1:7">
      <c r="A52" s="9">
        <v>51</v>
      </c>
      <c r="B52" s="10" t="s">
        <v>259</v>
      </c>
      <c r="C52" s="11" t="s">
        <v>260</v>
      </c>
      <c r="D52" s="12">
        <v>-0.57</v>
      </c>
      <c r="E52" s="10" t="s">
        <v>259</v>
      </c>
      <c r="F52" s="12">
        <v>0.711</v>
      </c>
      <c r="G52" s="14" t="s">
        <v>1100</v>
      </c>
    </row>
    <row r="53" spans="1:7">
      <c r="A53" s="9">
        <v>52</v>
      </c>
      <c r="B53" s="10" t="s">
        <v>263</v>
      </c>
      <c r="C53" s="11" t="s">
        <v>264</v>
      </c>
      <c r="D53" s="12">
        <v>1.06</v>
      </c>
      <c r="E53" s="10" t="s">
        <v>263</v>
      </c>
      <c r="F53" s="12">
        <v>1.222</v>
      </c>
      <c r="G53" s="14" t="s">
        <v>1100</v>
      </c>
    </row>
    <row r="54" spans="1:7">
      <c r="A54" s="9">
        <v>53</v>
      </c>
      <c r="B54" s="10" t="s">
        <v>267</v>
      </c>
      <c r="C54" s="11" t="s">
        <v>268</v>
      </c>
      <c r="D54" s="12">
        <v>2.65</v>
      </c>
      <c r="E54" s="10" t="s">
        <v>267</v>
      </c>
      <c r="F54" s="12">
        <v>1.241</v>
      </c>
      <c r="G54" s="14" t="s">
        <v>1100</v>
      </c>
    </row>
    <row r="55" spans="1:7">
      <c r="A55" s="9">
        <v>54</v>
      </c>
      <c r="B55" s="10" t="s">
        <v>271</v>
      </c>
      <c r="C55" s="11" t="s">
        <v>272</v>
      </c>
      <c r="D55" s="12">
        <v>-6.43</v>
      </c>
      <c r="E55" s="10" t="s">
        <v>271</v>
      </c>
      <c r="F55" s="12">
        <v>-0.841</v>
      </c>
      <c r="G55" s="14" t="s">
        <v>1100</v>
      </c>
    </row>
    <row r="56" spans="1:7">
      <c r="A56" s="9">
        <v>55</v>
      </c>
      <c r="B56" s="10" t="s">
        <v>275</v>
      </c>
      <c r="C56" s="11" t="s">
        <v>276</v>
      </c>
      <c r="D56" s="12">
        <v>-11.58</v>
      </c>
      <c r="E56" s="10" t="s">
        <v>275</v>
      </c>
      <c r="F56" s="12">
        <v>1.298</v>
      </c>
      <c r="G56" s="14" t="s">
        <v>1100</v>
      </c>
    </row>
    <row r="57" spans="1:7">
      <c r="A57" s="9">
        <v>56</v>
      </c>
      <c r="B57" s="10" t="s">
        <v>279</v>
      </c>
      <c r="C57" s="11" t="s">
        <v>280</v>
      </c>
      <c r="D57" s="12">
        <v>-1.41</v>
      </c>
      <c r="E57" s="10" t="s">
        <v>279</v>
      </c>
      <c r="F57" s="12">
        <v>-0.188</v>
      </c>
      <c r="G57" s="14" t="s">
        <v>1100</v>
      </c>
    </row>
    <row r="58" spans="1:7">
      <c r="A58" s="9">
        <v>57</v>
      </c>
      <c r="B58" s="10" t="s">
        <v>283</v>
      </c>
      <c r="C58" s="11" t="s">
        <v>284</v>
      </c>
      <c r="D58" s="12">
        <v>-11.5</v>
      </c>
      <c r="E58" s="10" t="s">
        <v>283</v>
      </c>
      <c r="F58" s="12">
        <v>-0.631</v>
      </c>
      <c r="G58" s="14" t="s">
        <v>1100</v>
      </c>
    </row>
    <row r="59" spans="1:7">
      <c r="A59" s="9">
        <v>58</v>
      </c>
      <c r="B59" s="10" t="s">
        <v>287</v>
      </c>
      <c r="C59" s="11" t="s">
        <v>288</v>
      </c>
      <c r="D59" s="12">
        <v>-1.56</v>
      </c>
      <c r="E59" s="10" t="s">
        <v>287</v>
      </c>
      <c r="F59" s="12">
        <v>1.26</v>
      </c>
      <c r="G59" s="14" t="s">
        <v>1100</v>
      </c>
    </row>
    <row r="60" spans="1:7">
      <c r="A60" s="9">
        <v>59</v>
      </c>
      <c r="B60" s="10" t="s">
        <v>291</v>
      </c>
      <c r="C60" s="11" t="s">
        <v>292</v>
      </c>
      <c r="D60" s="12">
        <v>19.37</v>
      </c>
      <c r="E60" s="10" t="s">
        <v>291</v>
      </c>
      <c r="F60" s="12">
        <v>0.739</v>
      </c>
      <c r="G60" s="14" t="s">
        <v>1100</v>
      </c>
    </row>
    <row r="61" spans="1:7">
      <c r="A61" s="9">
        <v>60</v>
      </c>
      <c r="B61" s="10" t="s">
        <v>295</v>
      </c>
      <c r="C61" s="11" t="s">
        <v>296</v>
      </c>
      <c r="D61" s="12">
        <v>6.49</v>
      </c>
      <c r="E61" s="10" t="s">
        <v>295</v>
      </c>
      <c r="F61" s="12">
        <v>-0.135</v>
      </c>
      <c r="G61" s="14" t="s">
        <v>1100</v>
      </c>
    </row>
    <row r="62" spans="1:7">
      <c r="A62" s="9">
        <v>61</v>
      </c>
      <c r="B62" s="10" t="s">
        <v>299</v>
      </c>
      <c r="C62" s="11" t="s">
        <v>300</v>
      </c>
      <c r="D62" s="12">
        <v>5.98</v>
      </c>
      <c r="E62" s="10" t="s">
        <v>299</v>
      </c>
      <c r="F62" s="12">
        <v>-1.14</v>
      </c>
      <c r="G62" s="14" t="s">
        <v>1100</v>
      </c>
    </row>
    <row r="63" spans="1:7">
      <c r="A63" s="9">
        <v>62</v>
      </c>
      <c r="B63" s="10" t="s">
        <v>303</v>
      </c>
      <c r="C63" s="11" t="s">
        <v>304</v>
      </c>
      <c r="D63" s="12">
        <v>-10.19</v>
      </c>
      <c r="E63" s="10" t="s">
        <v>303</v>
      </c>
      <c r="F63" s="12">
        <v>1.099</v>
      </c>
      <c r="G63" s="14" t="s">
        <v>1100</v>
      </c>
    </row>
    <row r="64" spans="1:7">
      <c r="A64" s="9">
        <v>63</v>
      </c>
      <c r="B64" s="10" t="s">
        <v>307</v>
      </c>
      <c r="C64" s="11" t="s">
        <v>308</v>
      </c>
      <c r="D64" s="12">
        <v>2.22</v>
      </c>
      <c r="E64" s="10" t="s">
        <v>307</v>
      </c>
      <c r="F64" s="12">
        <v>0.136</v>
      </c>
      <c r="G64" s="14" t="s">
        <v>1100</v>
      </c>
    </row>
    <row r="65" spans="1:7">
      <c r="A65" s="9">
        <v>64</v>
      </c>
      <c r="B65" s="10" t="s">
        <v>311</v>
      </c>
      <c r="C65" s="11" t="s">
        <v>312</v>
      </c>
      <c r="D65" s="12">
        <v>1.46</v>
      </c>
      <c r="E65" s="10" t="s">
        <v>311</v>
      </c>
      <c r="F65" s="12">
        <v>1.508</v>
      </c>
      <c r="G65" s="14" t="s">
        <v>1100</v>
      </c>
    </row>
    <row r="66" spans="1:7">
      <c r="A66" s="9">
        <v>65</v>
      </c>
      <c r="B66" s="10" t="s">
        <v>315</v>
      </c>
      <c r="C66" s="11" t="s">
        <v>316</v>
      </c>
      <c r="D66" s="12">
        <v>-6.11</v>
      </c>
      <c r="E66" s="10" t="s">
        <v>315</v>
      </c>
      <c r="F66" s="12">
        <v>1.414</v>
      </c>
      <c r="G66" s="14" t="s">
        <v>1100</v>
      </c>
    </row>
    <row r="67" spans="1:7">
      <c r="A67" s="9">
        <v>66</v>
      </c>
      <c r="B67" s="10" t="s">
        <v>319</v>
      </c>
      <c r="C67" s="11" t="s">
        <v>320</v>
      </c>
      <c r="D67" s="12">
        <v>2.12</v>
      </c>
      <c r="E67" s="10" t="s">
        <v>319</v>
      </c>
      <c r="F67" s="12">
        <v>0.312</v>
      </c>
      <c r="G67" s="14" t="s">
        <v>1100</v>
      </c>
    </row>
    <row r="68" spans="1:7">
      <c r="A68" s="9">
        <v>67</v>
      </c>
      <c r="B68" s="10" t="s">
        <v>323</v>
      </c>
      <c r="C68" s="11" t="s">
        <v>324</v>
      </c>
      <c r="D68" s="12">
        <v>1.45</v>
      </c>
      <c r="E68" s="10" t="s">
        <v>323</v>
      </c>
      <c r="F68" s="12">
        <v>-1.588</v>
      </c>
      <c r="G68" s="14" t="s">
        <v>1100</v>
      </c>
    </row>
    <row r="69" spans="1:7">
      <c r="A69" s="9">
        <v>68</v>
      </c>
      <c r="B69" s="10" t="s">
        <v>327</v>
      </c>
      <c r="C69" s="11" t="s">
        <v>328</v>
      </c>
      <c r="D69" s="12">
        <v>-0.32</v>
      </c>
      <c r="E69" s="10" t="s">
        <v>327</v>
      </c>
      <c r="F69" s="12">
        <v>-0.157</v>
      </c>
      <c r="G69" s="14" t="s">
        <v>1100</v>
      </c>
    </row>
    <row r="70" spans="1:7">
      <c r="A70" s="9">
        <v>69</v>
      </c>
      <c r="B70" s="10" t="s">
        <v>331</v>
      </c>
      <c r="C70" s="11" t="s">
        <v>332</v>
      </c>
      <c r="D70" s="12">
        <v>-13.07</v>
      </c>
      <c r="E70" s="10" t="s">
        <v>331</v>
      </c>
      <c r="F70" s="12">
        <v>4.187</v>
      </c>
      <c r="G70" s="14" t="s">
        <v>1100</v>
      </c>
    </row>
    <row r="71" spans="1:7">
      <c r="A71" s="9">
        <v>70</v>
      </c>
      <c r="B71" s="10" t="s">
        <v>335</v>
      </c>
      <c r="C71" s="11" t="s">
        <v>336</v>
      </c>
      <c r="D71" s="12">
        <v>-5.11</v>
      </c>
      <c r="E71" s="10" t="s">
        <v>335</v>
      </c>
      <c r="F71" s="12">
        <v>2.257</v>
      </c>
      <c r="G71" s="14" t="s">
        <v>1100</v>
      </c>
    </row>
    <row r="72" spans="1:7">
      <c r="A72" s="9">
        <v>71</v>
      </c>
      <c r="B72" s="10" t="s">
        <v>339</v>
      </c>
      <c r="C72" s="11" t="s">
        <v>340</v>
      </c>
      <c r="D72" s="12">
        <v>-10.62</v>
      </c>
      <c r="E72" s="10" t="s">
        <v>339</v>
      </c>
      <c r="F72" s="12">
        <v>-1.606</v>
      </c>
      <c r="G72" s="14" t="s">
        <v>1100</v>
      </c>
    </row>
    <row r="73" spans="1:7">
      <c r="A73" s="9">
        <v>72</v>
      </c>
      <c r="B73" s="10" t="s">
        <v>343</v>
      </c>
      <c r="C73" s="11" t="s">
        <v>344</v>
      </c>
      <c r="D73" s="12">
        <v>-12.15</v>
      </c>
      <c r="E73" s="10" t="s">
        <v>343</v>
      </c>
      <c r="F73" s="12">
        <v>-6.89</v>
      </c>
      <c r="G73" s="14" t="s">
        <v>1100</v>
      </c>
    </row>
    <row r="74" spans="1:7">
      <c r="A74" s="9">
        <v>73</v>
      </c>
      <c r="B74" s="10" t="s">
        <v>347</v>
      </c>
      <c r="C74" s="11" t="s">
        <v>348</v>
      </c>
      <c r="D74" s="12">
        <v>-0.85</v>
      </c>
      <c r="E74" s="10" t="s">
        <v>347</v>
      </c>
      <c r="F74" s="12">
        <v>-12.932</v>
      </c>
      <c r="G74" s="14" t="s">
        <v>1100</v>
      </c>
    </row>
    <row r="75" spans="1:7">
      <c r="A75" s="9">
        <v>74</v>
      </c>
      <c r="B75" s="10" t="s">
        <v>351</v>
      </c>
      <c r="C75" s="11" t="s">
        <v>352</v>
      </c>
      <c r="D75" s="12">
        <v>-7.19</v>
      </c>
      <c r="E75" s="10" t="s">
        <v>351</v>
      </c>
      <c r="F75" s="12">
        <v>0.5639999999999999</v>
      </c>
      <c r="G75" s="14" t="s">
        <v>1100</v>
      </c>
    </row>
    <row r="76" spans="1:7">
      <c r="A76" s="9">
        <v>75</v>
      </c>
      <c r="B76" s="10" t="s">
        <v>355</v>
      </c>
      <c r="C76" s="11" t="s">
        <v>356</v>
      </c>
      <c r="D76" s="12">
        <v>2.21</v>
      </c>
      <c r="E76" s="10" t="s">
        <v>355</v>
      </c>
      <c r="F76" s="12">
        <v>0.846</v>
      </c>
      <c r="G76" s="14" t="s">
        <v>1100</v>
      </c>
    </row>
    <row r="77" spans="1:7">
      <c r="A77" s="9">
        <v>76</v>
      </c>
      <c r="B77" s="10" t="s">
        <v>359</v>
      </c>
      <c r="C77" s="11" t="s">
        <v>360</v>
      </c>
      <c r="D77" s="12">
        <v>-6.08</v>
      </c>
      <c r="E77" s="10" t="s">
        <v>359</v>
      </c>
      <c r="F77" s="12">
        <v>-0.431</v>
      </c>
      <c r="G77" s="14" t="s">
        <v>1100</v>
      </c>
    </row>
    <row r="78" spans="1:7">
      <c r="A78" s="9">
        <v>77</v>
      </c>
      <c r="B78" s="10" t="s">
        <v>363</v>
      </c>
      <c r="C78" s="11" t="s">
        <v>364</v>
      </c>
      <c r="D78" s="12">
        <v>0.71</v>
      </c>
      <c r="E78" s="10" t="s">
        <v>363</v>
      </c>
      <c r="F78" s="12">
        <v>1.189</v>
      </c>
      <c r="G78" s="14" t="s">
        <v>1100</v>
      </c>
    </row>
    <row r="79" spans="1:7">
      <c r="A79" s="9">
        <v>78</v>
      </c>
      <c r="B79" s="10" t="s">
        <v>367</v>
      </c>
      <c r="C79" s="11" t="s">
        <v>368</v>
      </c>
      <c r="D79" s="12">
        <v>-12.52</v>
      </c>
      <c r="E79" s="10" t="s">
        <v>367</v>
      </c>
      <c r="F79" s="12">
        <v>-0.309</v>
      </c>
      <c r="G79" s="14" t="s">
        <v>1100</v>
      </c>
    </row>
    <row r="80" spans="1:7">
      <c r="A80" s="9">
        <v>79</v>
      </c>
      <c r="B80" s="10" t="s">
        <v>371</v>
      </c>
      <c r="C80" s="11" t="s">
        <v>372</v>
      </c>
      <c r="D80" s="12">
        <v>-8.130000000000001</v>
      </c>
      <c r="E80" s="10" t="s">
        <v>371</v>
      </c>
      <c r="F80" s="12">
        <v>0.169</v>
      </c>
      <c r="G80" s="14" t="s">
        <v>1100</v>
      </c>
    </row>
    <row r="81" spans="1:7">
      <c r="A81" s="9">
        <v>80</v>
      </c>
      <c r="B81" s="10" t="s">
        <v>375</v>
      </c>
      <c r="C81" s="11" t="s">
        <v>376</v>
      </c>
      <c r="D81" s="12">
        <v>-5.35</v>
      </c>
      <c r="E81" s="10" t="s">
        <v>375</v>
      </c>
      <c r="F81" s="12">
        <v>-1.17</v>
      </c>
      <c r="G81" s="14" t="s">
        <v>1100</v>
      </c>
    </row>
    <row r="82" spans="1:7">
      <c r="A82" s="9">
        <v>81</v>
      </c>
      <c r="B82" s="10" t="s">
        <v>379</v>
      </c>
      <c r="C82" s="11" t="s">
        <v>380</v>
      </c>
      <c r="D82" s="12">
        <v>-2.85</v>
      </c>
      <c r="E82" s="10" t="s">
        <v>379</v>
      </c>
      <c r="F82" s="12">
        <v>1.238</v>
      </c>
      <c r="G82" s="14" t="s">
        <v>1100</v>
      </c>
    </row>
    <row r="83" spans="1:7">
      <c r="A83" s="9">
        <v>82</v>
      </c>
      <c r="B83" s="10" t="s">
        <v>383</v>
      </c>
      <c r="C83" s="11" t="s">
        <v>384</v>
      </c>
      <c r="D83" s="12">
        <v>-6.74</v>
      </c>
      <c r="E83" s="10" t="s">
        <v>383</v>
      </c>
      <c r="F83" s="12">
        <v>0.303</v>
      </c>
      <c r="G83" s="14" t="s">
        <v>1100</v>
      </c>
    </row>
    <row r="84" spans="1:7">
      <c r="A84" s="9">
        <v>83</v>
      </c>
      <c r="B84" s="10" t="s">
        <v>387</v>
      </c>
      <c r="C84" s="11" t="s">
        <v>388</v>
      </c>
      <c r="D84" s="12">
        <v>6.63</v>
      </c>
      <c r="E84" s="10" t="s">
        <v>387</v>
      </c>
      <c r="F84" s="12">
        <v>-2.643</v>
      </c>
      <c r="G84" s="14" t="s">
        <v>1100</v>
      </c>
    </row>
    <row r="85" spans="1:7">
      <c r="A85" s="9">
        <v>84</v>
      </c>
      <c r="B85" s="10" t="s">
        <v>391</v>
      </c>
      <c r="C85" s="11" t="s">
        <v>392</v>
      </c>
      <c r="D85" s="12">
        <v>-7.21</v>
      </c>
      <c r="E85" s="10" t="s">
        <v>391</v>
      </c>
      <c r="F85" s="12">
        <v>-1.373</v>
      </c>
      <c r="G85" s="14" t="s">
        <v>1100</v>
      </c>
    </row>
    <row r="86" spans="1:7">
      <c r="A86" s="9">
        <v>85</v>
      </c>
      <c r="B86" s="10" t="s">
        <v>395</v>
      </c>
      <c r="C86" s="11" t="s">
        <v>396</v>
      </c>
      <c r="D86" s="12">
        <v>-6.71</v>
      </c>
      <c r="E86" s="10" t="s">
        <v>395</v>
      </c>
      <c r="F86" s="12">
        <v>-3.265</v>
      </c>
      <c r="G86" s="14" t="s">
        <v>1100</v>
      </c>
    </row>
    <row r="87" spans="1:7">
      <c r="A87" s="9">
        <v>86</v>
      </c>
      <c r="B87" s="10" t="s">
        <v>399</v>
      </c>
      <c r="C87" s="11" t="s">
        <v>400</v>
      </c>
      <c r="D87" s="12">
        <v>-4.65</v>
      </c>
      <c r="E87" s="10" t="s">
        <v>399</v>
      </c>
      <c r="F87" s="12">
        <v>3.435</v>
      </c>
      <c r="G87" s="14" t="s">
        <v>1100</v>
      </c>
    </row>
    <row r="88" spans="1:7">
      <c r="A88" s="9">
        <v>87</v>
      </c>
      <c r="B88" s="10" t="s">
        <v>403</v>
      </c>
      <c r="C88" s="11" t="s">
        <v>404</v>
      </c>
      <c r="D88" s="12">
        <v>-4.52</v>
      </c>
      <c r="E88" s="10" t="s">
        <v>403</v>
      </c>
      <c r="F88" s="12">
        <v>0.606</v>
      </c>
      <c r="G88" s="14" t="s">
        <v>1100</v>
      </c>
    </row>
    <row r="89" spans="1:7">
      <c r="A89" s="9">
        <v>88</v>
      </c>
      <c r="B89" s="10" t="s">
        <v>407</v>
      </c>
      <c r="C89" s="11" t="s">
        <v>408</v>
      </c>
      <c r="D89" s="12">
        <v>14.72</v>
      </c>
      <c r="E89" s="10" t="s">
        <v>407</v>
      </c>
      <c r="F89" s="12">
        <v>0.406</v>
      </c>
      <c r="G89" s="14" t="s">
        <v>1100</v>
      </c>
    </row>
    <row r="90" spans="1:7">
      <c r="A90" s="9">
        <v>89</v>
      </c>
      <c r="B90" s="10" t="s">
        <v>411</v>
      </c>
      <c r="C90" s="11" t="s">
        <v>412</v>
      </c>
      <c r="D90" s="12">
        <v>13.81</v>
      </c>
      <c r="E90" s="10" t="s">
        <v>411</v>
      </c>
      <c r="F90" s="12">
        <v>1.829</v>
      </c>
      <c r="G90" s="14" t="s">
        <v>1100</v>
      </c>
    </row>
    <row r="91" spans="1:7">
      <c r="A91" s="9">
        <v>90</v>
      </c>
      <c r="B91" s="10" t="s">
        <v>415</v>
      </c>
      <c r="C91" s="11" t="s">
        <v>416</v>
      </c>
      <c r="D91" s="12">
        <v>0.58</v>
      </c>
      <c r="E91" s="10" t="s">
        <v>415</v>
      </c>
      <c r="F91" s="12">
        <v>-2.704</v>
      </c>
      <c r="G91" s="14" t="s">
        <v>1100</v>
      </c>
    </row>
    <row r="92" spans="1:7">
      <c r="A92" s="9">
        <v>91</v>
      </c>
      <c r="B92" s="10" t="s">
        <v>419</v>
      </c>
      <c r="C92" s="11" t="s">
        <v>420</v>
      </c>
      <c r="D92" s="12">
        <v>-9.26</v>
      </c>
      <c r="E92" s="10" t="s">
        <v>419</v>
      </c>
      <c r="F92" s="12">
        <v>-0.992</v>
      </c>
      <c r="G92" s="14" t="s">
        <v>1100</v>
      </c>
    </row>
    <row r="93" spans="1:7">
      <c r="A93" s="9">
        <v>92</v>
      </c>
      <c r="B93" s="10" t="s">
        <v>423</v>
      </c>
      <c r="C93" s="11" t="s">
        <v>424</v>
      </c>
      <c r="D93" s="12">
        <v>6.7</v>
      </c>
      <c r="E93" s="10" t="s">
        <v>423</v>
      </c>
      <c r="F93" s="12">
        <v>2.385</v>
      </c>
      <c r="G93" s="14" t="s">
        <v>1100</v>
      </c>
    </row>
    <row r="94" spans="1:7">
      <c r="A94" s="9">
        <v>93</v>
      </c>
      <c r="B94" s="10" t="s">
        <v>427</v>
      </c>
      <c r="C94" s="11" t="s">
        <v>428</v>
      </c>
      <c r="D94" s="12">
        <v>1.86</v>
      </c>
      <c r="E94" s="10" t="s">
        <v>427</v>
      </c>
      <c r="F94" s="12">
        <v>-5.481</v>
      </c>
      <c r="G94" s="14" t="s">
        <v>1100</v>
      </c>
    </row>
    <row r="95" spans="1:7">
      <c r="A95" s="9">
        <v>94</v>
      </c>
      <c r="B95" s="10" t="s">
        <v>431</v>
      </c>
      <c r="C95" s="11" t="s">
        <v>432</v>
      </c>
      <c r="D95" s="12">
        <v>-4.41</v>
      </c>
      <c r="E95" s="10" t="s">
        <v>431</v>
      </c>
      <c r="F95" s="12">
        <v>3.647</v>
      </c>
      <c r="G95" s="14" t="s">
        <v>1100</v>
      </c>
    </row>
    <row r="96" spans="1:7">
      <c r="A96" s="9">
        <v>95</v>
      </c>
      <c r="B96" s="10" t="s">
        <v>435</v>
      </c>
      <c r="C96" s="11" t="s">
        <v>436</v>
      </c>
      <c r="D96" s="12">
        <v>-9</v>
      </c>
      <c r="E96" s="10" t="s">
        <v>435</v>
      </c>
      <c r="F96" s="12">
        <v>1.536</v>
      </c>
      <c r="G96" s="14" t="s">
        <v>1100</v>
      </c>
    </row>
    <row r="97" spans="1:7">
      <c r="A97" s="9">
        <v>96</v>
      </c>
      <c r="B97" s="10" t="s">
        <v>439</v>
      </c>
      <c r="C97" s="11" t="s">
        <v>440</v>
      </c>
      <c r="D97" s="12">
        <v>-12.76</v>
      </c>
      <c r="E97" s="10" t="s">
        <v>439</v>
      </c>
      <c r="F97" s="12">
        <v>1.187</v>
      </c>
      <c r="G97" s="14" t="s">
        <v>1100</v>
      </c>
    </row>
    <row r="98" spans="1:7">
      <c r="A98" s="9">
        <v>97</v>
      </c>
      <c r="B98" s="10" t="s">
        <v>443</v>
      </c>
      <c r="C98" s="11" t="s">
        <v>444</v>
      </c>
      <c r="D98" s="12">
        <v>-1.19</v>
      </c>
      <c r="E98" s="10" t="s">
        <v>443</v>
      </c>
      <c r="F98" s="12">
        <v>-3.843</v>
      </c>
      <c r="G98" s="14" t="s">
        <v>1100</v>
      </c>
    </row>
    <row r="99" spans="1:7">
      <c r="A99" s="9">
        <v>98</v>
      </c>
      <c r="B99" s="10" t="s">
        <v>447</v>
      </c>
      <c r="C99" s="11" t="s">
        <v>448</v>
      </c>
      <c r="D99" s="12">
        <v>-1.85</v>
      </c>
      <c r="E99" s="10" t="s">
        <v>447</v>
      </c>
      <c r="F99" s="12">
        <v>0.641</v>
      </c>
      <c r="G99" s="14" t="s">
        <v>1100</v>
      </c>
    </row>
    <row r="100" spans="1:7">
      <c r="A100" s="9">
        <v>99</v>
      </c>
      <c r="B100" s="10" t="s">
        <v>451</v>
      </c>
      <c r="C100" s="11" t="s">
        <v>452</v>
      </c>
      <c r="D100" s="12">
        <v>-8.84</v>
      </c>
      <c r="E100" s="10" t="s">
        <v>451</v>
      </c>
      <c r="F100" s="12">
        <v>7.392</v>
      </c>
      <c r="G100" s="14" t="s">
        <v>1100</v>
      </c>
    </row>
    <row r="101" spans="1:7">
      <c r="A101" s="9">
        <v>100</v>
      </c>
      <c r="B101" s="10" t="s">
        <v>455</v>
      </c>
      <c r="C101" s="11" t="s">
        <v>456</v>
      </c>
      <c r="D101" s="12">
        <v>6.21</v>
      </c>
      <c r="E101" s="10" t="s">
        <v>455</v>
      </c>
      <c r="F101" s="12">
        <v>0.831</v>
      </c>
      <c r="G101" s="14" t="s">
        <v>1100</v>
      </c>
    </row>
    <row r="103" spans="1:7">
      <c r="D103" s="17" t="s">
        <v>1097</v>
      </c>
      <c r="E103" s="12">
        <f>CORREL(D2:D101,F2:F101)</f>
        <v>None</v>
      </c>
    </row>
    <row r="104" spans="1:7">
      <c r="D104" s="17" t="s">
        <v>1098</v>
      </c>
      <c r="E104" s="9">
        <f>COUNT(D2:F101)/3</f>
        <v>100</v>
      </c>
    </row>
    <row r="105" spans="1:7">
      <c r="D105" s="17" t="s">
        <v>1099</v>
      </c>
      <c r="E105" s="16">
        <f>T.DIST.2T(ABS(E103*SQRT((E104-2)/(1-E103^2))),E104-2)</f>
        <v>None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4"/>
  <sheetViews>
    <sheetView workbookViewId="0">
      <pane ySplit="1" topLeftCell="A2" activePane="bottomLeft" state="frozen"/>
      <selection pane="bottomLeft"/>
    </sheetView>
  </sheetViews>
  <sheetFormatPr defaultRowHeight="15"/>
  <cols>
    <col min="1" max="1" width="7.7109375" customWidth="1"/>
    <col min="2" max="2" width="15.7109375" customWidth="1"/>
    <col min="3" max="3" width="17.7109375" customWidth="1"/>
    <col min="4" max="5" width="15.7109375" customWidth="1"/>
    <col min="6" max="6" width="13.7109375" customWidth="1"/>
    <col min="7" max="7" width="40.7109375" customWidth="1"/>
  </cols>
  <sheetData>
    <row r="1" spans="1:7">
      <c r="A1" s="8" t="s">
        <v>992</v>
      </c>
      <c r="B1" s="8" t="s">
        <v>993</v>
      </c>
      <c r="C1" s="8" t="s">
        <v>994</v>
      </c>
      <c r="D1" s="8" t="s">
        <v>995</v>
      </c>
      <c r="E1" s="8" t="s">
        <v>996</v>
      </c>
      <c r="F1" s="8" t="s">
        <v>997</v>
      </c>
      <c r="G1" s="8" t="s">
        <v>998</v>
      </c>
    </row>
    <row r="2" spans="1:7">
      <c r="A2" s="9">
        <v>1</v>
      </c>
      <c r="B2" s="10" t="s">
        <v>63</v>
      </c>
      <c r="C2" s="11" t="s">
        <v>64</v>
      </c>
      <c r="D2" s="12">
        <v>1.86</v>
      </c>
      <c r="E2" s="10" t="s">
        <v>54</v>
      </c>
      <c r="F2" s="12">
        <v>-0.041</v>
      </c>
      <c r="G2" s="14" t="s">
        <v>1101</v>
      </c>
    </row>
    <row r="3" spans="1:7">
      <c r="A3" s="9">
        <v>2</v>
      </c>
      <c r="B3" s="10" t="s">
        <v>67</v>
      </c>
      <c r="C3" s="11" t="s">
        <v>68</v>
      </c>
      <c r="D3" s="12">
        <v>4.64</v>
      </c>
      <c r="E3" s="10" t="s">
        <v>59</v>
      </c>
      <c r="F3" s="12">
        <v>-0.45</v>
      </c>
      <c r="G3" s="14" t="s">
        <v>1102</v>
      </c>
    </row>
    <row r="4" spans="1:7">
      <c r="A4" s="9">
        <v>3</v>
      </c>
      <c r="B4" s="10" t="s">
        <v>71</v>
      </c>
      <c r="C4" s="11" t="s">
        <v>72</v>
      </c>
      <c r="D4" s="12">
        <v>2.29</v>
      </c>
      <c r="E4" s="10" t="s">
        <v>63</v>
      </c>
      <c r="F4" s="12">
        <v>-0.884</v>
      </c>
      <c r="G4" s="14" t="s">
        <v>1103</v>
      </c>
    </row>
    <row r="5" spans="1:7">
      <c r="A5" s="9">
        <v>4</v>
      </c>
      <c r="B5" s="10" t="s">
        <v>75</v>
      </c>
      <c r="C5" s="11" t="s">
        <v>76</v>
      </c>
      <c r="D5" s="12">
        <v>-9.869999999999999</v>
      </c>
      <c r="E5" s="10" t="s">
        <v>67</v>
      </c>
      <c r="F5" s="12">
        <v>0.523</v>
      </c>
      <c r="G5" s="14" t="s">
        <v>1104</v>
      </c>
    </row>
    <row r="6" spans="1:7">
      <c r="A6" s="9">
        <v>5</v>
      </c>
      <c r="B6" s="10" t="s">
        <v>79</v>
      </c>
      <c r="C6" s="11" t="s">
        <v>80</v>
      </c>
      <c r="D6" s="12">
        <v>4.43</v>
      </c>
      <c r="E6" s="10" t="s">
        <v>71</v>
      </c>
      <c r="F6" s="12">
        <v>0.429</v>
      </c>
      <c r="G6" s="14" t="s">
        <v>1105</v>
      </c>
    </row>
    <row r="7" spans="1:7">
      <c r="A7" s="9">
        <v>6</v>
      </c>
      <c r="B7" s="10" t="s">
        <v>83</v>
      </c>
      <c r="C7" s="11" t="s">
        <v>84</v>
      </c>
      <c r="D7" s="12">
        <v>-13.63</v>
      </c>
      <c r="E7" s="10" t="s">
        <v>75</v>
      </c>
      <c r="F7" s="12">
        <v>-1.121</v>
      </c>
      <c r="G7" s="14" t="s">
        <v>1106</v>
      </c>
    </row>
    <row r="8" spans="1:7">
      <c r="A8" s="9">
        <v>7</v>
      </c>
      <c r="B8" s="10" t="s">
        <v>87</v>
      </c>
      <c r="C8" s="11" t="s">
        <v>88</v>
      </c>
      <c r="D8" s="12">
        <v>-1.47</v>
      </c>
      <c r="E8" s="10" t="s">
        <v>79</v>
      </c>
      <c r="F8" s="12">
        <v>-0.869</v>
      </c>
      <c r="G8" s="14" t="s">
        <v>1107</v>
      </c>
    </row>
    <row r="9" spans="1:7">
      <c r="A9" s="9">
        <v>8</v>
      </c>
      <c r="B9" s="10" t="s">
        <v>91</v>
      </c>
      <c r="C9" s="11" t="s">
        <v>92</v>
      </c>
      <c r="D9" s="12">
        <v>-11.2</v>
      </c>
      <c r="E9" s="10" t="s">
        <v>83</v>
      </c>
      <c r="F9" s="12">
        <v>0.775</v>
      </c>
      <c r="G9" s="14" t="s">
        <v>1108</v>
      </c>
    </row>
    <row r="10" spans="1:7">
      <c r="A10" s="9">
        <v>9</v>
      </c>
      <c r="B10" s="10" t="s">
        <v>95</v>
      </c>
      <c r="C10" s="11" t="s">
        <v>96</v>
      </c>
      <c r="D10" s="12">
        <v>-2.47</v>
      </c>
      <c r="E10" s="10" t="s">
        <v>87</v>
      </c>
      <c r="F10" s="12">
        <v>-0.308</v>
      </c>
      <c r="G10" s="14" t="s">
        <v>1109</v>
      </c>
    </row>
    <row r="11" spans="1:7">
      <c r="A11" s="9">
        <v>10</v>
      </c>
      <c r="B11" s="10" t="s">
        <v>99</v>
      </c>
      <c r="C11" s="11" t="s">
        <v>100</v>
      </c>
      <c r="D11" s="12">
        <v>-8.59</v>
      </c>
      <c r="E11" s="10" t="s">
        <v>91</v>
      </c>
      <c r="F11" s="12">
        <v>-0.151</v>
      </c>
      <c r="G11" s="14" t="s">
        <v>1110</v>
      </c>
    </row>
    <row r="12" spans="1:7">
      <c r="A12" s="9">
        <v>11</v>
      </c>
      <c r="B12" s="10" t="s">
        <v>103</v>
      </c>
      <c r="C12" s="11" t="s">
        <v>104</v>
      </c>
      <c r="D12" s="12">
        <v>6.7</v>
      </c>
      <c r="E12" s="10" t="s">
        <v>95</v>
      </c>
      <c r="F12" s="12">
        <v>0.148</v>
      </c>
      <c r="G12" s="14" t="s">
        <v>1111</v>
      </c>
    </row>
    <row r="13" spans="1:7">
      <c r="A13" s="9">
        <v>12</v>
      </c>
      <c r="B13" s="10" t="s">
        <v>107</v>
      </c>
      <c r="C13" s="11" t="s">
        <v>108</v>
      </c>
      <c r="D13" s="12">
        <v>1.5</v>
      </c>
      <c r="E13" s="10" t="s">
        <v>99</v>
      </c>
      <c r="F13" s="12">
        <v>0.656</v>
      </c>
      <c r="G13" s="14" t="s">
        <v>1112</v>
      </c>
    </row>
    <row r="14" spans="1:7">
      <c r="A14" s="9">
        <v>13</v>
      </c>
      <c r="B14" s="10" t="s">
        <v>111</v>
      </c>
      <c r="C14" s="11" t="s">
        <v>112</v>
      </c>
      <c r="D14" s="12">
        <v>2.54</v>
      </c>
      <c r="E14" s="10" t="s">
        <v>103</v>
      </c>
      <c r="F14" s="12">
        <v>0.68</v>
      </c>
      <c r="G14" s="14" t="s">
        <v>1113</v>
      </c>
    </row>
    <row r="15" spans="1:7">
      <c r="A15" s="9">
        <v>14</v>
      </c>
      <c r="B15" s="10" t="s">
        <v>115</v>
      </c>
      <c r="C15" s="11" t="s">
        <v>116</v>
      </c>
      <c r="D15" s="12">
        <v>1.44</v>
      </c>
      <c r="E15" s="10" t="s">
        <v>107</v>
      </c>
      <c r="F15" s="12">
        <v>-0.736</v>
      </c>
      <c r="G15" s="14" t="s">
        <v>1114</v>
      </c>
    </row>
    <row r="16" spans="1:7">
      <c r="A16" s="9">
        <v>15</v>
      </c>
      <c r="B16" s="10" t="s">
        <v>119</v>
      </c>
      <c r="C16" s="11" t="s">
        <v>120</v>
      </c>
      <c r="D16" s="12">
        <v>3.17</v>
      </c>
      <c r="E16" s="10" t="s">
        <v>111</v>
      </c>
      <c r="F16" s="12">
        <v>0.586</v>
      </c>
      <c r="G16" s="14" t="s">
        <v>1115</v>
      </c>
    </row>
    <row r="17" spans="1:7">
      <c r="A17" s="9">
        <v>16</v>
      </c>
      <c r="B17" s="10" t="s">
        <v>123</v>
      </c>
      <c r="C17" s="11" t="s">
        <v>124</v>
      </c>
      <c r="D17" s="12">
        <v>6.8</v>
      </c>
      <c r="E17" s="10" t="s">
        <v>115</v>
      </c>
      <c r="F17" s="12">
        <v>-0.849</v>
      </c>
      <c r="G17" s="14" t="s">
        <v>1116</v>
      </c>
    </row>
    <row r="18" spans="1:7">
      <c r="A18" s="9">
        <v>17</v>
      </c>
      <c r="B18" s="10" t="s">
        <v>127</v>
      </c>
      <c r="C18" s="11" t="s">
        <v>128</v>
      </c>
      <c r="D18" s="12">
        <v>-6.31</v>
      </c>
      <c r="E18" s="10" t="s">
        <v>119</v>
      </c>
      <c r="F18" s="12">
        <v>-0.394</v>
      </c>
      <c r="G18" s="14" t="s">
        <v>1117</v>
      </c>
    </row>
    <row r="19" spans="1:7">
      <c r="A19" s="9">
        <v>18</v>
      </c>
      <c r="B19" s="10" t="s">
        <v>131</v>
      </c>
      <c r="C19" s="11" t="s">
        <v>132</v>
      </c>
      <c r="D19" s="12">
        <v>-9.51</v>
      </c>
      <c r="E19" s="10" t="s">
        <v>123</v>
      </c>
      <c r="F19" s="12">
        <v>0.589</v>
      </c>
      <c r="G19" s="14" t="s">
        <v>1118</v>
      </c>
    </row>
    <row r="20" spans="1:7">
      <c r="A20" s="9">
        <v>19</v>
      </c>
      <c r="B20" s="10" t="s">
        <v>135</v>
      </c>
      <c r="C20" s="11" t="s">
        <v>136</v>
      </c>
      <c r="D20" s="12">
        <v>-11.09</v>
      </c>
      <c r="E20" s="10" t="s">
        <v>127</v>
      </c>
      <c r="F20" s="12">
        <v>-0.616</v>
      </c>
      <c r="G20" s="14" t="s">
        <v>1119</v>
      </c>
    </row>
    <row r="21" spans="1:7">
      <c r="A21" s="9">
        <v>20</v>
      </c>
      <c r="B21" s="10" t="s">
        <v>139</v>
      </c>
      <c r="C21" s="11" t="s">
        <v>140</v>
      </c>
      <c r="D21" s="12">
        <v>-2.63</v>
      </c>
      <c r="E21" s="10" t="s">
        <v>131</v>
      </c>
      <c r="F21" s="12">
        <v>-2.463</v>
      </c>
      <c r="G21" s="14" t="s">
        <v>1120</v>
      </c>
    </row>
    <row r="22" spans="1:7">
      <c r="A22" s="9">
        <v>21</v>
      </c>
      <c r="B22" s="10" t="s">
        <v>143</v>
      </c>
      <c r="C22" s="11" t="s">
        <v>144</v>
      </c>
      <c r="D22" s="12">
        <v>-15.77</v>
      </c>
      <c r="E22" s="10" t="s">
        <v>135</v>
      </c>
      <c r="F22" s="12">
        <v>0.197</v>
      </c>
      <c r="G22" s="14" t="s">
        <v>1121</v>
      </c>
    </row>
    <row r="23" spans="1:7">
      <c r="A23" s="9">
        <v>22</v>
      </c>
      <c r="B23" s="10" t="s">
        <v>147</v>
      </c>
      <c r="C23" s="11" t="s">
        <v>148</v>
      </c>
      <c r="D23" s="12">
        <v>-4.63</v>
      </c>
      <c r="E23" s="10" t="s">
        <v>139</v>
      </c>
      <c r="F23" s="12">
        <v>0.118</v>
      </c>
      <c r="G23" s="14" t="s">
        <v>1122</v>
      </c>
    </row>
    <row r="24" spans="1:7">
      <c r="A24" s="9">
        <v>23</v>
      </c>
      <c r="B24" s="10" t="s">
        <v>151</v>
      </c>
      <c r="C24" s="11" t="s">
        <v>152</v>
      </c>
      <c r="D24" s="12">
        <v>1.58</v>
      </c>
      <c r="E24" s="10" t="s">
        <v>143</v>
      </c>
      <c r="F24" s="12">
        <v>-0.08</v>
      </c>
      <c r="G24" s="14" t="s">
        <v>1123</v>
      </c>
    </row>
    <row r="25" spans="1:7">
      <c r="A25" s="9">
        <v>24</v>
      </c>
      <c r="B25" s="10" t="s">
        <v>155</v>
      </c>
      <c r="C25" s="11" t="s">
        <v>156</v>
      </c>
      <c r="D25" s="12">
        <v>-12.24</v>
      </c>
      <c r="E25" s="10" t="s">
        <v>147</v>
      </c>
      <c r="F25" s="12">
        <v>-0.678</v>
      </c>
      <c r="G25" s="14" t="s">
        <v>1124</v>
      </c>
    </row>
    <row r="26" spans="1:7">
      <c r="A26" s="9">
        <v>25</v>
      </c>
      <c r="B26" s="10" t="s">
        <v>159</v>
      </c>
      <c r="C26" s="11" t="s">
        <v>160</v>
      </c>
      <c r="D26" s="12">
        <v>7.42</v>
      </c>
      <c r="E26" s="10" t="s">
        <v>151</v>
      </c>
      <c r="F26" s="12">
        <v>-0.661</v>
      </c>
      <c r="G26" s="14" t="s">
        <v>1125</v>
      </c>
    </row>
    <row r="27" spans="1:7">
      <c r="A27" s="9">
        <v>26</v>
      </c>
      <c r="B27" s="10" t="s">
        <v>163</v>
      </c>
      <c r="C27" s="11" t="s">
        <v>164</v>
      </c>
      <c r="D27" s="12">
        <v>2.45</v>
      </c>
      <c r="E27" s="10" t="s">
        <v>155</v>
      </c>
      <c r="F27" s="12">
        <v>1.754</v>
      </c>
      <c r="G27" s="14" t="s">
        <v>1126</v>
      </c>
    </row>
    <row r="28" spans="1:7">
      <c r="A28" s="9">
        <v>27</v>
      </c>
      <c r="B28" s="10" t="s">
        <v>167</v>
      </c>
      <c r="C28" s="11" t="s">
        <v>168</v>
      </c>
      <c r="D28" s="12">
        <v>-7.8</v>
      </c>
      <c r="E28" s="10" t="s">
        <v>159</v>
      </c>
      <c r="F28" s="12">
        <v>-1.192</v>
      </c>
      <c r="G28" s="14" t="s">
        <v>1127</v>
      </c>
    </row>
    <row r="29" spans="1:7">
      <c r="A29" s="9">
        <v>28</v>
      </c>
      <c r="B29" s="10" t="s">
        <v>171</v>
      </c>
      <c r="C29" s="11" t="s">
        <v>172</v>
      </c>
      <c r="D29" s="12">
        <v>0.65</v>
      </c>
      <c r="E29" s="10" t="s">
        <v>163</v>
      </c>
      <c r="F29" s="12">
        <v>0.897</v>
      </c>
      <c r="G29" s="14" t="s">
        <v>1128</v>
      </c>
    </row>
    <row r="30" spans="1:7">
      <c r="A30" s="9">
        <v>29</v>
      </c>
      <c r="B30" s="10" t="s">
        <v>175</v>
      </c>
      <c r="C30" s="11" t="s">
        <v>176</v>
      </c>
      <c r="D30" s="12">
        <v>3.26</v>
      </c>
      <c r="E30" s="10" t="s">
        <v>167</v>
      </c>
      <c r="F30" s="12">
        <v>3.179</v>
      </c>
      <c r="G30" s="14" t="s">
        <v>1129</v>
      </c>
    </row>
    <row r="31" spans="1:7">
      <c r="A31" s="9">
        <v>30</v>
      </c>
      <c r="B31" s="10" t="s">
        <v>179</v>
      </c>
      <c r="C31" s="11" t="s">
        <v>180</v>
      </c>
      <c r="D31" s="12">
        <v>5.82</v>
      </c>
      <c r="E31" s="10" t="s">
        <v>171</v>
      </c>
      <c r="F31" s="12">
        <v>0.619</v>
      </c>
      <c r="G31" s="14" t="s">
        <v>1130</v>
      </c>
    </row>
    <row r="32" spans="1:7">
      <c r="A32" s="9">
        <v>31</v>
      </c>
      <c r="B32" s="10" t="s">
        <v>183</v>
      </c>
      <c r="C32" s="11" t="s">
        <v>184</v>
      </c>
      <c r="D32" s="12">
        <v>7.1</v>
      </c>
      <c r="E32" s="10" t="s">
        <v>175</v>
      </c>
      <c r="F32" s="12">
        <v>-0.091</v>
      </c>
      <c r="G32" s="14" t="s">
        <v>1131</v>
      </c>
    </row>
    <row r="33" spans="1:7">
      <c r="A33" s="9">
        <v>32</v>
      </c>
      <c r="B33" s="10" t="s">
        <v>187</v>
      </c>
      <c r="C33" s="11" t="s">
        <v>188</v>
      </c>
      <c r="D33" s="12">
        <v>-6.58</v>
      </c>
      <c r="E33" s="10" t="s">
        <v>179</v>
      </c>
      <c r="F33" s="12">
        <v>2.002</v>
      </c>
      <c r="G33" s="14" t="s">
        <v>1132</v>
      </c>
    </row>
    <row r="34" spans="1:7">
      <c r="A34" s="9">
        <v>33</v>
      </c>
      <c r="B34" s="10" t="s">
        <v>191</v>
      </c>
      <c r="C34" s="11" t="s">
        <v>192</v>
      </c>
      <c r="D34" s="12">
        <v>8.41</v>
      </c>
      <c r="E34" s="10" t="s">
        <v>183</v>
      </c>
      <c r="F34" s="12">
        <v>0.263</v>
      </c>
      <c r="G34" s="14" t="s">
        <v>1133</v>
      </c>
    </row>
    <row r="35" spans="1:7">
      <c r="A35" s="9">
        <v>34</v>
      </c>
      <c r="B35" s="10" t="s">
        <v>195</v>
      </c>
      <c r="C35" s="11" t="s">
        <v>196</v>
      </c>
      <c r="D35" s="12">
        <v>0.32</v>
      </c>
      <c r="E35" s="10" t="s">
        <v>187</v>
      </c>
      <c r="F35" s="12">
        <v>2.494</v>
      </c>
      <c r="G35" s="14" t="s">
        <v>1134</v>
      </c>
    </row>
    <row r="36" spans="1:7">
      <c r="A36" s="9">
        <v>35</v>
      </c>
      <c r="B36" s="10" t="s">
        <v>199</v>
      </c>
      <c r="C36" s="11" t="s">
        <v>200</v>
      </c>
      <c r="D36" s="12">
        <v>4.52</v>
      </c>
      <c r="E36" s="10" t="s">
        <v>191</v>
      </c>
      <c r="F36" s="12">
        <v>0.503</v>
      </c>
      <c r="G36" s="14" t="s">
        <v>1135</v>
      </c>
    </row>
    <row r="37" spans="1:7">
      <c r="A37" s="9">
        <v>36</v>
      </c>
      <c r="B37" s="10" t="s">
        <v>203</v>
      </c>
      <c r="C37" s="11" t="s">
        <v>204</v>
      </c>
      <c r="D37" s="12">
        <v>7.13</v>
      </c>
      <c r="E37" s="10" t="s">
        <v>195</v>
      </c>
      <c r="F37" s="12">
        <v>0.835</v>
      </c>
      <c r="G37" s="14" t="s">
        <v>1136</v>
      </c>
    </row>
    <row r="38" spans="1:7">
      <c r="A38" s="9">
        <v>37</v>
      </c>
      <c r="B38" s="10" t="s">
        <v>207</v>
      </c>
      <c r="C38" s="11" t="s">
        <v>208</v>
      </c>
      <c r="D38" s="12">
        <v>-6.44</v>
      </c>
      <c r="E38" s="10" t="s">
        <v>199</v>
      </c>
      <c r="F38" s="12">
        <v>-0.042</v>
      </c>
      <c r="G38" s="14" t="s">
        <v>1137</v>
      </c>
    </row>
    <row r="39" spans="1:7">
      <c r="A39" s="9">
        <v>38</v>
      </c>
      <c r="B39" s="10" t="s">
        <v>211</v>
      </c>
      <c r="C39" s="11" t="s">
        <v>212</v>
      </c>
      <c r="D39" s="12">
        <v>8.26</v>
      </c>
      <c r="E39" s="10" t="s">
        <v>203</v>
      </c>
      <c r="F39" s="12">
        <v>-0.799</v>
      </c>
      <c r="G39" s="14" t="s">
        <v>1138</v>
      </c>
    </row>
    <row r="40" spans="1:7">
      <c r="A40" s="9">
        <v>39</v>
      </c>
      <c r="B40" s="10" t="s">
        <v>215</v>
      </c>
      <c r="C40" s="11" t="s">
        <v>216</v>
      </c>
      <c r="D40" s="12">
        <v>11.71</v>
      </c>
      <c r="E40" s="10" t="s">
        <v>207</v>
      </c>
      <c r="F40" s="12">
        <v>-1.89</v>
      </c>
      <c r="G40" s="14" t="s">
        <v>1139</v>
      </c>
    </row>
    <row r="41" spans="1:7">
      <c r="A41" s="9">
        <v>40</v>
      </c>
      <c r="B41" s="10" t="s">
        <v>219</v>
      </c>
      <c r="C41" s="11" t="s">
        <v>220</v>
      </c>
      <c r="D41" s="12">
        <v>9.630000000000001</v>
      </c>
      <c r="E41" s="10" t="s">
        <v>211</v>
      </c>
      <c r="F41" s="12">
        <v>-0.618</v>
      </c>
      <c r="G41" s="14" t="s">
        <v>1140</v>
      </c>
    </row>
    <row r="42" spans="1:7">
      <c r="A42" s="9">
        <v>41</v>
      </c>
      <c r="B42" s="10" t="s">
        <v>223</v>
      </c>
      <c r="C42" s="11" t="s">
        <v>224</v>
      </c>
      <c r="D42" s="12">
        <v>5.42</v>
      </c>
      <c r="E42" s="10" t="s">
        <v>215</v>
      </c>
      <c r="F42" s="12">
        <v>-0.042</v>
      </c>
      <c r="G42" s="14" t="s">
        <v>1141</v>
      </c>
    </row>
    <row r="43" spans="1:7">
      <c r="A43" s="9">
        <v>42</v>
      </c>
      <c r="B43" s="10" t="s">
        <v>227</v>
      </c>
      <c r="C43" s="11" t="s">
        <v>228</v>
      </c>
      <c r="D43" s="12">
        <v>22.33</v>
      </c>
      <c r="E43" s="10" t="s">
        <v>219</v>
      </c>
      <c r="F43" s="12">
        <v>-0.6830000000000001</v>
      </c>
      <c r="G43" s="14" t="s">
        <v>1142</v>
      </c>
    </row>
    <row r="44" spans="1:7">
      <c r="A44" s="9">
        <v>43</v>
      </c>
      <c r="B44" s="10" t="s">
        <v>231</v>
      </c>
      <c r="C44" s="11" t="s">
        <v>232</v>
      </c>
      <c r="D44" s="12">
        <v>12.84</v>
      </c>
      <c r="E44" s="10" t="s">
        <v>223</v>
      </c>
      <c r="F44" s="12">
        <v>1.371</v>
      </c>
      <c r="G44" s="14" t="s">
        <v>1143</v>
      </c>
    </row>
    <row r="45" spans="1:7">
      <c r="A45" s="9">
        <v>44</v>
      </c>
      <c r="B45" s="10" t="s">
        <v>235</v>
      </c>
      <c r="C45" s="11" t="s">
        <v>236</v>
      </c>
      <c r="D45" s="12">
        <v>12.26</v>
      </c>
      <c r="E45" s="10" t="s">
        <v>227</v>
      </c>
      <c r="F45" s="12">
        <v>-0.965</v>
      </c>
      <c r="G45" s="14" t="s">
        <v>1144</v>
      </c>
    </row>
    <row r="46" spans="1:7">
      <c r="A46" s="9">
        <v>45</v>
      </c>
      <c r="B46" s="10" t="s">
        <v>239</v>
      </c>
      <c r="C46" s="11" t="s">
        <v>240</v>
      </c>
      <c r="D46" s="12">
        <v>0.75</v>
      </c>
      <c r="E46" s="10" t="s">
        <v>231</v>
      </c>
      <c r="F46" s="12">
        <v>0.421</v>
      </c>
      <c r="G46" s="14" t="s">
        <v>1145</v>
      </c>
    </row>
    <row r="47" spans="1:7">
      <c r="A47" s="9">
        <v>46</v>
      </c>
      <c r="B47" s="10" t="s">
        <v>243</v>
      </c>
      <c r="C47" s="11" t="s">
        <v>244</v>
      </c>
      <c r="D47" s="12">
        <v>-6.56</v>
      </c>
      <c r="E47" s="10" t="s">
        <v>235</v>
      </c>
      <c r="F47" s="12">
        <v>0.375</v>
      </c>
      <c r="G47" s="14" t="s">
        <v>1146</v>
      </c>
    </row>
    <row r="48" spans="1:7">
      <c r="A48" s="9">
        <v>47</v>
      </c>
      <c r="B48" s="10" t="s">
        <v>247</v>
      </c>
      <c r="C48" s="11" t="s">
        <v>248</v>
      </c>
      <c r="D48" s="12">
        <v>5.1</v>
      </c>
      <c r="E48" s="10" t="s">
        <v>239</v>
      </c>
      <c r="F48" s="12">
        <v>0.042</v>
      </c>
      <c r="G48" s="14" t="s">
        <v>1147</v>
      </c>
    </row>
    <row r="49" spans="1:7">
      <c r="A49" s="9">
        <v>48</v>
      </c>
      <c r="B49" s="10" t="s">
        <v>251</v>
      </c>
      <c r="C49" s="11" t="s">
        <v>252</v>
      </c>
      <c r="D49" s="12">
        <v>-5.18</v>
      </c>
      <c r="E49" s="10" t="s">
        <v>243</v>
      </c>
      <c r="F49" s="12">
        <v>0.341</v>
      </c>
      <c r="G49" s="14" t="s">
        <v>1148</v>
      </c>
    </row>
    <row r="50" spans="1:7">
      <c r="A50" s="9">
        <v>49</v>
      </c>
      <c r="B50" s="10" t="s">
        <v>255</v>
      </c>
      <c r="C50" s="11" t="s">
        <v>256</v>
      </c>
      <c r="D50" s="12">
        <v>2.08</v>
      </c>
      <c r="E50" s="10" t="s">
        <v>247</v>
      </c>
      <c r="F50" s="12">
        <v>-1.646</v>
      </c>
      <c r="G50" s="14" t="s">
        <v>1149</v>
      </c>
    </row>
    <row r="51" spans="1:7">
      <c r="A51" s="9">
        <v>50</v>
      </c>
      <c r="B51" s="10" t="s">
        <v>259</v>
      </c>
      <c r="C51" s="11" t="s">
        <v>260</v>
      </c>
      <c r="D51" s="12">
        <v>-0.57</v>
      </c>
      <c r="E51" s="10" t="s">
        <v>251</v>
      </c>
      <c r="F51" s="12">
        <v>1.05</v>
      </c>
      <c r="G51" s="14" t="s">
        <v>1150</v>
      </c>
    </row>
    <row r="52" spans="1:7">
      <c r="A52" s="9">
        <v>51</v>
      </c>
      <c r="B52" s="10" t="s">
        <v>263</v>
      </c>
      <c r="C52" s="11" t="s">
        <v>264</v>
      </c>
      <c r="D52" s="12">
        <v>1.06</v>
      </c>
      <c r="E52" s="10" t="s">
        <v>255</v>
      </c>
      <c r="F52" s="12">
        <v>-0.309</v>
      </c>
      <c r="G52" s="14" t="s">
        <v>1151</v>
      </c>
    </row>
    <row r="53" spans="1:7">
      <c r="A53" s="9">
        <v>52</v>
      </c>
      <c r="B53" s="10" t="s">
        <v>267</v>
      </c>
      <c r="C53" s="11" t="s">
        <v>268</v>
      </c>
      <c r="D53" s="12">
        <v>2.65</v>
      </c>
      <c r="E53" s="10" t="s">
        <v>259</v>
      </c>
      <c r="F53" s="12">
        <v>0.711</v>
      </c>
      <c r="G53" s="14" t="s">
        <v>1152</v>
      </c>
    </row>
    <row r="54" spans="1:7">
      <c r="A54" s="9">
        <v>53</v>
      </c>
      <c r="B54" s="10" t="s">
        <v>271</v>
      </c>
      <c r="C54" s="11" t="s">
        <v>272</v>
      </c>
      <c r="D54" s="12">
        <v>-6.43</v>
      </c>
      <c r="E54" s="10" t="s">
        <v>263</v>
      </c>
      <c r="F54" s="12">
        <v>1.222</v>
      </c>
      <c r="G54" s="14" t="s">
        <v>1153</v>
      </c>
    </row>
    <row r="55" spans="1:7">
      <c r="A55" s="9">
        <v>54</v>
      </c>
      <c r="B55" s="10" t="s">
        <v>275</v>
      </c>
      <c r="C55" s="11" t="s">
        <v>276</v>
      </c>
      <c r="D55" s="12">
        <v>-11.58</v>
      </c>
      <c r="E55" s="10" t="s">
        <v>267</v>
      </c>
      <c r="F55" s="12">
        <v>1.241</v>
      </c>
      <c r="G55" s="14" t="s">
        <v>1154</v>
      </c>
    </row>
    <row r="56" spans="1:7">
      <c r="A56" s="9">
        <v>55</v>
      </c>
      <c r="B56" s="10" t="s">
        <v>279</v>
      </c>
      <c r="C56" s="11" t="s">
        <v>280</v>
      </c>
      <c r="D56" s="12">
        <v>-1.41</v>
      </c>
      <c r="E56" s="10" t="s">
        <v>271</v>
      </c>
      <c r="F56" s="12">
        <v>-0.841</v>
      </c>
      <c r="G56" s="14" t="s">
        <v>1155</v>
      </c>
    </row>
    <row r="57" spans="1:7">
      <c r="A57" s="9">
        <v>56</v>
      </c>
      <c r="B57" s="10" t="s">
        <v>283</v>
      </c>
      <c r="C57" s="11" t="s">
        <v>284</v>
      </c>
      <c r="D57" s="12">
        <v>-11.5</v>
      </c>
      <c r="E57" s="10" t="s">
        <v>275</v>
      </c>
      <c r="F57" s="12">
        <v>1.298</v>
      </c>
      <c r="G57" s="14" t="s">
        <v>1156</v>
      </c>
    </row>
    <row r="58" spans="1:7">
      <c r="A58" s="9">
        <v>57</v>
      </c>
      <c r="B58" s="10" t="s">
        <v>287</v>
      </c>
      <c r="C58" s="11" t="s">
        <v>288</v>
      </c>
      <c r="D58" s="12">
        <v>-1.56</v>
      </c>
      <c r="E58" s="10" t="s">
        <v>279</v>
      </c>
      <c r="F58" s="12">
        <v>-0.188</v>
      </c>
      <c r="G58" s="14" t="s">
        <v>1157</v>
      </c>
    </row>
    <row r="59" spans="1:7">
      <c r="A59" s="9">
        <v>58</v>
      </c>
      <c r="B59" s="10" t="s">
        <v>291</v>
      </c>
      <c r="C59" s="11" t="s">
        <v>292</v>
      </c>
      <c r="D59" s="12">
        <v>19.37</v>
      </c>
      <c r="E59" s="10" t="s">
        <v>283</v>
      </c>
      <c r="F59" s="12">
        <v>-0.631</v>
      </c>
      <c r="G59" s="14" t="s">
        <v>1158</v>
      </c>
    </row>
    <row r="60" spans="1:7">
      <c r="A60" s="9">
        <v>59</v>
      </c>
      <c r="B60" s="10" t="s">
        <v>295</v>
      </c>
      <c r="C60" s="11" t="s">
        <v>296</v>
      </c>
      <c r="D60" s="12">
        <v>6.49</v>
      </c>
      <c r="E60" s="10" t="s">
        <v>287</v>
      </c>
      <c r="F60" s="12">
        <v>1.26</v>
      </c>
      <c r="G60" s="14" t="s">
        <v>1159</v>
      </c>
    </row>
    <row r="61" spans="1:7">
      <c r="A61" s="9">
        <v>60</v>
      </c>
      <c r="B61" s="10" t="s">
        <v>299</v>
      </c>
      <c r="C61" s="11" t="s">
        <v>300</v>
      </c>
      <c r="D61" s="12">
        <v>5.98</v>
      </c>
      <c r="E61" s="10" t="s">
        <v>291</v>
      </c>
      <c r="F61" s="12">
        <v>0.739</v>
      </c>
      <c r="G61" s="14" t="s">
        <v>1160</v>
      </c>
    </row>
    <row r="62" spans="1:7">
      <c r="A62" s="9">
        <v>61</v>
      </c>
      <c r="B62" s="10" t="s">
        <v>303</v>
      </c>
      <c r="C62" s="11" t="s">
        <v>304</v>
      </c>
      <c r="D62" s="12">
        <v>-10.19</v>
      </c>
      <c r="E62" s="10" t="s">
        <v>295</v>
      </c>
      <c r="F62" s="12">
        <v>-0.135</v>
      </c>
      <c r="G62" s="14" t="s">
        <v>1161</v>
      </c>
    </row>
    <row r="63" spans="1:7">
      <c r="A63" s="9">
        <v>62</v>
      </c>
      <c r="B63" s="10" t="s">
        <v>307</v>
      </c>
      <c r="C63" s="11" t="s">
        <v>308</v>
      </c>
      <c r="D63" s="12">
        <v>2.22</v>
      </c>
      <c r="E63" s="10" t="s">
        <v>299</v>
      </c>
      <c r="F63" s="12">
        <v>-1.14</v>
      </c>
      <c r="G63" s="14" t="s">
        <v>1162</v>
      </c>
    </row>
    <row r="64" spans="1:7">
      <c r="A64" s="9">
        <v>63</v>
      </c>
      <c r="B64" s="10" t="s">
        <v>311</v>
      </c>
      <c r="C64" s="11" t="s">
        <v>312</v>
      </c>
      <c r="D64" s="12">
        <v>1.46</v>
      </c>
      <c r="E64" s="10" t="s">
        <v>303</v>
      </c>
      <c r="F64" s="12">
        <v>1.099</v>
      </c>
      <c r="G64" s="14" t="s">
        <v>1163</v>
      </c>
    </row>
    <row r="65" spans="1:7">
      <c r="A65" s="9">
        <v>64</v>
      </c>
      <c r="B65" s="10" t="s">
        <v>315</v>
      </c>
      <c r="C65" s="11" t="s">
        <v>316</v>
      </c>
      <c r="D65" s="12">
        <v>-6.11</v>
      </c>
      <c r="E65" s="10" t="s">
        <v>307</v>
      </c>
      <c r="F65" s="12">
        <v>0.136</v>
      </c>
      <c r="G65" s="14" t="s">
        <v>1164</v>
      </c>
    </row>
    <row r="66" spans="1:7">
      <c r="A66" s="9">
        <v>65</v>
      </c>
      <c r="B66" s="10" t="s">
        <v>319</v>
      </c>
      <c r="C66" s="11" t="s">
        <v>320</v>
      </c>
      <c r="D66" s="12">
        <v>2.12</v>
      </c>
      <c r="E66" s="10" t="s">
        <v>311</v>
      </c>
      <c r="F66" s="12">
        <v>1.508</v>
      </c>
      <c r="G66" s="14" t="s">
        <v>1165</v>
      </c>
    </row>
    <row r="67" spans="1:7">
      <c r="A67" s="9">
        <v>66</v>
      </c>
      <c r="B67" s="10" t="s">
        <v>323</v>
      </c>
      <c r="C67" s="11" t="s">
        <v>324</v>
      </c>
      <c r="D67" s="12">
        <v>1.45</v>
      </c>
      <c r="E67" s="10" t="s">
        <v>315</v>
      </c>
      <c r="F67" s="12">
        <v>1.414</v>
      </c>
      <c r="G67" s="14" t="s">
        <v>1166</v>
      </c>
    </row>
    <row r="68" spans="1:7">
      <c r="A68" s="9">
        <v>67</v>
      </c>
      <c r="B68" s="10" t="s">
        <v>327</v>
      </c>
      <c r="C68" s="11" t="s">
        <v>328</v>
      </c>
      <c r="D68" s="12">
        <v>-0.32</v>
      </c>
      <c r="E68" s="10" t="s">
        <v>319</v>
      </c>
      <c r="F68" s="12">
        <v>0.312</v>
      </c>
      <c r="G68" s="14" t="s">
        <v>1167</v>
      </c>
    </row>
    <row r="69" spans="1:7">
      <c r="A69" s="9">
        <v>68</v>
      </c>
      <c r="B69" s="10" t="s">
        <v>331</v>
      </c>
      <c r="C69" s="11" t="s">
        <v>332</v>
      </c>
      <c r="D69" s="12">
        <v>-13.07</v>
      </c>
      <c r="E69" s="10" t="s">
        <v>323</v>
      </c>
      <c r="F69" s="12">
        <v>-1.588</v>
      </c>
      <c r="G69" s="14" t="s">
        <v>1168</v>
      </c>
    </row>
    <row r="70" spans="1:7">
      <c r="A70" s="9">
        <v>69</v>
      </c>
      <c r="B70" s="10" t="s">
        <v>335</v>
      </c>
      <c r="C70" s="11" t="s">
        <v>336</v>
      </c>
      <c r="D70" s="12">
        <v>-5.11</v>
      </c>
      <c r="E70" s="10" t="s">
        <v>327</v>
      </c>
      <c r="F70" s="12">
        <v>-0.157</v>
      </c>
      <c r="G70" s="14" t="s">
        <v>1169</v>
      </c>
    </row>
    <row r="71" spans="1:7">
      <c r="A71" s="9">
        <v>70</v>
      </c>
      <c r="B71" s="10" t="s">
        <v>339</v>
      </c>
      <c r="C71" s="11" t="s">
        <v>340</v>
      </c>
      <c r="D71" s="12">
        <v>-10.62</v>
      </c>
      <c r="E71" s="10" t="s">
        <v>331</v>
      </c>
      <c r="F71" s="12">
        <v>4.187</v>
      </c>
      <c r="G71" s="14" t="s">
        <v>1170</v>
      </c>
    </row>
    <row r="72" spans="1:7">
      <c r="A72" s="9">
        <v>71</v>
      </c>
      <c r="B72" s="10" t="s">
        <v>343</v>
      </c>
      <c r="C72" s="11" t="s">
        <v>344</v>
      </c>
      <c r="D72" s="12">
        <v>-12.15</v>
      </c>
      <c r="E72" s="10" t="s">
        <v>335</v>
      </c>
      <c r="F72" s="12">
        <v>2.257</v>
      </c>
      <c r="G72" s="14" t="s">
        <v>1171</v>
      </c>
    </row>
    <row r="73" spans="1:7">
      <c r="A73" s="9">
        <v>72</v>
      </c>
      <c r="B73" s="10" t="s">
        <v>347</v>
      </c>
      <c r="C73" s="11" t="s">
        <v>348</v>
      </c>
      <c r="D73" s="12">
        <v>-0.85</v>
      </c>
      <c r="E73" s="10" t="s">
        <v>339</v>
      </c>
      <c r="F73" s="12">
        <v>-1.606</v>
      </c>
      <c r="G73" s="14" t="s">
        <v>1172</v>
      </c>
    </row>
    <row r="74" spans="1:7">
      <c r="A74" s="9">
        <v>73</v>
      </c>
      <c r="B74" s="10" t="s">
        <v>351</v>
      </c>
      <c r="C74" s="11" t="s">
        <v>352</v>
      </c>
      <c r="D74" s="12">
        <v>-7.19</v>
      </c>
      <c r="E74" s="10" t="s">
        <v>343</v>
      </c>
      <c r="F74" s="12">
        <v>-6.89</v>
      </c>
      <c r="G74" s="14" t="s">
        <v>1173</v>
      </c>
    </row>
    <row r="75" spans="1:7">
      <c r="A75" s="9">
        <v>74</v>
      </c>
      <c r="B75" s="10" t="s">
        <v>355</v>
      </c>
      <c r="C75" s="11" t="s">
        <v>356</v>
      </c>
      <c r="D75" s="12">
        <v>2.21</v>
      </c>
      <c r="E75" s="10" t="s">
        <v>347</v>
      </c>
      <c r="F75" s="12">
        <v>-12.932</v>
      </c>
      <c r="G75" s="14" t="s">
        <v>1174</v>
      </c>
    </row>
    <row r="76" spans="1:7">
      <c r="A76" s="9">
        <v>75</v>
      </c>
      <c r="B76" s="10" t="s">
        <v>359</v>
      </c>
      <c r="C76" s="11" t="s">
        <v>360</v>
      </c>
      <c r="D76" s="12">
        <v>-6.08</v>
      </c>
      <c r="E76" s="10" t="s">
        <v>351</v>
      </c>
      <c r="F76" s="12">
        <v>0.5639999999999999</v>
      </c>
      <c r="G76" s="14" t="s">
        <v>1175</v>
      </c>
    </row>
    <row r="77" spans="1:7">
      <c r="A77" s="9">
        <v>76</v>
      </c>
      <c r="B77" s="10" t="s">
        <v>363</v>
      </c>
      <c r="C77" s="11" t="s">
        <v>364</v>
      </c>
      <c r="D77" s="12">
        <v>0.71</v>
      </c>
      <c r="E77" s="10" t="s">
        <v>355</v>
      </c>
      <c r="F77" s="12">
        <v>0.846</v>
      </c>
      <c r="G77" s="14" t="s">
        <v>1176</v>
      </c>
    </row>
    <row r="78" spans="1:7">
      <c r="A78" s="9">
        <v>77</v>
      </c>
      <c r="B78" s="10" t="s">
        <v>367</v>
      </c>
      <c r="C78" s="11" t="s">
        <v>368</v>
      </c>
      <c r="D78" s="12">
        <v>-12.52</v>
      </c>
      <c r="E78" s="10" t="s">
        <v>359</v>
      </c>
      <c r="F78" s="12">
        <v>-0.431</v>
      </c>
      <c r="G78" s="14" t="s">
        <v>1177</v>
      </c>
    </row>
    <row r="79" spans="1:7">
      <c r="A79" s="9">
        <v>78</v>
      </c>
      <c r="B79" s="10" t="s">
        <v>371</v>
      </c>
      <c r="C79" s="11" t="s">
        <v>372</v>
      </c>
      <c r="D79" s="12">
        <v>-8.130000000000001</v>
      </c>
      <c r="E79" s="10" t="s">
        <v>363</v>
      </c>
      <c r="F79" s="12">
        <v>1.189</v>
      </c>
      <c r="G79" s="14" t="s">
        <v>1178</v>
      </c>
    </row>
    <row r="80" spans="1:7">
      <c r="A80" s="9">
        <v>79</v>
      </c>
      <c r="B80" s="10" t="s">
        <v>375</v>
      </c>
      <c r="C80" s="11" t="s">
        <v>376</v>
      </c>
      <c r="D80" s="12">
        <v>-5.35</v>
      </c>
      <c r="E80" s="10" t="s">
        <v>367</v>
      </c>
      <c r="F80" s="12">
        <v>-0.309</v>
      </c>
      <c r="G80" s="14" t="s">
        <v>1179</v>
      </c>
    </row>
    <row r="81" spans="1:7">
      <c r="A81" s="9">
        <v>80</v>
      </c>
      <c r="B81" s="10" t="s">
        <v>379</v>
      </c>
      <c r="C81" s="11" t="s">
        <v>380</v>
      </c>
      <c r="D81" s="12">
        <v>-2.85</v>
      </c>
      <c r="E81" s="10" t="s">
        <v>371</v>
      </c>
      <c r="F81" s="12">
        <v>0.169</v>
      </c>
      <c r="G81" s="14" t="s">
        <v>1180</v>
      </c>
    </row>
    <row r="82" spans="1:7">
      <c r="A82" s="9">
        <v>81</v>
      </c>
      <c r="B82" s="10" t="s">
        <v>383</v>
      </c>
      <c r="C82" s="11" t="s">
        <v>384</v>
      </c>
      <c r="D82" s="12">
        <v>-6.74</v>
      </c>
      <c r="E82" s="10" t="s">
        <v>375</v>
      </c>
      <c r="F82" s="12">
        <v>-1.17</v>
      </c>
      <c r="G82" s="14" t="s">
        <v>1181</v>
      </c>
    </row>
    <row r="83" spans="1:7">
      <c r="A83" s="9">
        <v>82</v>
      </c>
      <c r="B83" s="10" t="s">
        <v>387</v>
      </c>
      <c r="C83" s="11" t="s">
        <v>388</v>
      </c>
      <c r="D83" s="12">
        <v>6.63</v>
      </c>
      <c r="E83" s="10" t="s">
        <v>379</v>
      </c>
      <c r="F83" s="12">
        <v>1.238</v>
      </c>
      <c r="G83" s="14" t="s">
        <v>1182</v>
      </c>
    </row>
    <row r="84" spans="1:7">
      <c r="A84" s="9">
        <v>83</v>
      </c>
      <c r="B84" s="10" t="s">
        <v>391</v>
      </c>
      <c r="C84" s="11" t="s">
        <v>392</v>
      </c>
      <c r="D84" s="12">
        <v>-7.21</v>
      </c>
      <c r="E84" s="10" t="s">
        <v>383</v>
      </c>
      <c r="F84" s="12">
        <v>0.303</v>
      </c>
      <c r="G84" s="14" t="s">
        <v>1183</v>
      </c>
    </row>
    <row r="85" spans="1:7">
      <c r="A85" s="9">
        <v>84</v>
      </c>
      <c r="B85" s="10" t="s">
        <v>395</v>
      </c>
      <c r="C85" s="11" t="s">
        <v>396</v>
      </c>
      <c r="D85" s="12">
        <v>-6.71</v>
      </c>
      <c r="E85" s="10" t="s">
        <v>387</v>
      </c>
      <c r="F85" s="12">
        <v>-2.643</v>
      </c>
      <c r="G85" s="14" t="s">
        <v>1184</v>
      </c>
    </row>
    <row r="86" spans="1:7">
      <c r="A86" s="9">
        <v>85</v>
      </c>
      <c r="B86" s="10" t="s">
        <v>399</v>
      </c>
      <c r="C86" s="11" t="s">
        <v>400</v>
      </c>
      <c r="D86" s="12">
        <v>-4.65</v>
      </c>
      <c r="E86" s="10" t="s">
        <v>391</v>
      </c>
      <c r="F86" s="12">
        <v>-1.373</v>
      </c>
      <c r="G86" s="14" t="s">
        <v>1185</v>
      </c>
    </row>
    <row r="87" spans="1:7">
      <c r="A87" s="9">
        <v>86</v>
      </c>
      <c r="B87" s="10" t="s">
        <v>403</v>
      </c>
      <c r="C87" s="11" t="s">
        <v>404</v>
      </c>
      <c r="D87" s="12">
        <v>-4.52</v>
      </c>
      <c r="E87" s="10" t="s">
        <v>395</v>
      </c>
      <c r="F87" s="12">
        <v>-3.265</v>
      </c>
      <c r="G87" s="14" t="s">
        <v>1186</v>
      </c>
    </row>
    <row r="88" spans="1:7">
      <c r="A88" s="9">
        <v>87</v>
      </c>
      <c r="B88" s="10" t="s">
        <v>407</v>
      </c>
      <c r="C88" s="11" t="s">
        <v>408</v>
      </c>
      <c r="D88" s="12">
        <v>14.72</v>
      </c>
      <c r="E88" s="10" t="s">
        <v>399</v>
      </c>
      <c r="F88" s="12">
        <v>3.435</v>
      </c>
      <c r="G88" s="14" t="s">
        <v>1187</v>
      </c>
    </row>
    <row r="89" spans="1:7">
      <c r="A89" s="9">
        <v>88</v>
      </c>
      <c r="B89" s="10" t="s">
        <v>411</v>
      </c>
      <c r="C89" s="11" t="s">
        <v>412</v>
      </c>
      <c r="D89" s="12">
        <v>13.81</v>
      </c>
      <c r="E89" s="10" t="s">
        <v>403</v>
      </c>
      <c r="F89" s="12">
        <v>0.606</v>
      </c>
      <c r="G89" s="14" t="s">
        <v>1188</v>
      </c>
    </row>
    <row r="90" spans="1:7">
      <c r="A90" s="9">
        <v>89</v>
      </c>
      <c r="B90" s="10" t="s">
        <v>415</v>
      </c>
      <c r="C90" s="11" t="s">
        <v>416</v>
      </c>
      <c r="D90" s="12">
        <v>0.58</v>
      </c>
      <c r="E90" s="10" t="s">
        <v>407</v>
      </c>
      <c r="F90" s="12">
        <v>0.406</v>
      </c>
      <c r="G90" s="14" t="s">
        <v>1189</v>
      </c>
    </row>
    <row r="91" spans="1:7">
      <c r="A91" s="9">
        <v>90</v>
      </c>
      <c r="B91" s="10" t="s">
        <v>419</v>
      </c>
      <c r="C91" s="11" t="s">
        <v>420</v>
      </c>
      <c r="D91" s="12">
        <v>-9.26</v>
      </c>
      <c r="E91" s="10" t="s">
        <v>411</v>
      </c>
      <c r="F91" s="12">
        <v>1.829</v>
      </c>
      <c r="G91" s="14" t="s">
        <v>1190</v>
      </c>
    </row>
    <row r="92" spans="1:7">
      <c r="A92" s="9">
        <v>91</v>
      </c>
      <c r="B92" s="10" t="s">
        <v>423</v>
      </c>
      <c r="C92" s="11" t="s">
        <v>424</v>
      </c>
      <c r="D92" s="12">
        <v>6.7</v>
      </c>
      <c r="E92" s="10" t="s">
        <v>415</v>
      </c>
      <c r="F92" s="12">
        <v>-2.704</v>
      </c>
      <c r="G92" s="14" t="s">
        <v>1191</v>
      </c>
    </row>
    <row r="93" spans="1:7">
      <c r="A93" s="9">
        <v>92</v>
      </c>
      <c r="B93" s="10" t="s">
        <v>427</v>
      </c>
      <c r="C93" s="11" t="s">
        <v>428</v>
      </c>
      <c r="D93" s="12">
        <v>1.86</v>
      </c>
      <c r="E93" s="10" t="s">
        <v>419</v>
      </c>
      <c r="F93" s="12">
        <v>-0.992</v>
      </c>
      <c r="G93" s="14" t="s">
        <v>1192</v>
      </c>
    </row>
    <row r="94" spans="1:7">
      <c r="A94" s="9">
        <v>93</v>
      </c>
      <c r="B94" s="10" t="s">
        <v>431</v>
      </c>
      <c r="C94" s="11" t="s">
        <v>432</v>
      </c>
      <c r="D94" s="12">
        <v>-4.41</v>
      </c>
      <c r="E94" s="10" t="s">
        <v>423</v>
      </c>
      <c r="F94" s="12">
        <v>2.385</v>
      </c>
      <c r="G94" s="14" t="s">
        <v>1193</v>
      </c>
    </row>
    <row r="95" spans="1:7">
      <c r="A95" s="9">
        <v>94</v>
      </c>
      <c r="B95" s="10" t="s">
        <v>435</v>
      </c>
      <c r="C95" s="11" t="s">
        <v>436</v>
      </c>
      <c r="D95" s="12">
        <v>-9</v>
      </c>
      <c r="E95" s="10" t="s">
        <v>427</v>
      </c>
      <c r="F95" s="12">
        <v>-5.481</v>
      </c>
      <c r="G95" s="14" t="s">
        <v>1194</v>
      </c>
    </row>
    <row r="96" spans="1:7">
      <c r="A96" s="9">
        <v>95</v>
      </c>
      <c r="B96" s="10" t="s">
        <v>439</v>
      </c>
      <c r="C96" s="11" t="s">
        <v>440</v>
      </c>
      <c r="D96" s="12">
        <v>-12.76</v>
      </c>
      <c r="E96" s="10" t="s">
        <v>431</v>
      </c>
      <c r="F96" s="12">
        <v>3.647</v>
      </c>
      <c r="G96" s="14" t="s">
        <v>1195</v>
      </c>
    </row>
    <row r="97" spans="1:7">
      <c r="A97" s="9">
        <v>96</v>
      </c>
      <c r="B97" s="10" t="s">
        <v>443</v>
      </c>
      <c r="C97" s="11" t="s">
        <v>444</v>
      </c>
      <c r="D97" s="12">
        <v>-1.19</v>
      </c>
      <c r="E97" s="10" t="s">
        <v>435</v>
      </c>
      <c r="F97" s="12">
        <v>1.536</v>
      </c>
      <c r="G97" s="14" t="s">
        <v>1196</v>
      </c>
    </row>
    <row r="98" spans="1:7">
      <c r="A98" s="9">
        <v>97</v>
      </c>
      <c r="B98" s="10" t="s">
        <v>447</v>
      </c>
      <c r="C98" s="11" t="s">
        <v>448</v>
      </c>
      <c r="D98" s="12">
        <v>-1.85</v>
      </c>
      <c r="E98" s="10" t="s">
        <v>439</v>
      </c>
      <c r="F98" s="12">
        <v>1.187</v>
      </c>
      <c r="G98" s="14" t="s">
        <v>1197</v>
      </c>
    </row>
    <row r="99" spans="1:7">
      <c r="A99" s="9">
        <v>98</v>
      </c>
      <c r="B99" s="10" t="s">
        <v>451</v>
      </c>
      <c r="C99" s="11" t="s">
        <v>452</v>
      </c>
      <c r="D99" s="12">
        <v>-8.84</v>
      </c>
      <c r="E99" s="10" t="s">
        <v>443</v>
      </c>
      <c r="F99" s="12">
        <v>-3.843</v>
      </c>
      <c r="G99" s="14" t="s">
        <v>1198</v>
      </c>
    </row>
    <row r="100" spans="1:7">
      <c r="A100" s="9">
        <v>99</v>
      </c>
      <c r="B100" s="10" t="s">
        <v>455</v>
      </c>
      <c r="C100" s="11" t="s">
        <v>456</v>
      </c>
      <c r="D100" s="12">
        <v>6.21</v>
      </c>
      <c r="E100" s="10" t="s">
        <v>447</v>
      </c>
      <c r="F100" s="12">
        <v>0.641</v>
      </c>
      <c r="G100" s="14" t="s">
        <v>1199</v>
      </c>
    </row>
    <row r="102" spans="1:7">
      <c r="D102" s="17" t="s">
        <v>1097</v>
      </c>
      <c r="E102" s="12">
        <f>CORREL(D2:D100,F2:F100)</f>
        <v>None</v>
      </c>
    </row>
    <row r="103" spans="1:7">
      <c r="D103" s="17" t="s">
        <v>1098</v>
      </c>
      <c r="E103" s="9">
        <f>COUNT(D2:F100)/3</f>
        <v>99</v>
      </c>
    </row>
    <row r="104" spans="1:7">
      <c r="D104" s="17" t="s">
        <v>1099</v>
      </c>
      <c r="E104" s="16">
        <f>T.DIST.2T(ABS(E102*SQRT((E103-2)/(1-E102^2))),E103-2)</f>
        <v>None</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31"/>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9.7109375" customWidth="1"/>
    <col min="2" max="2" width="30.7109375" customWidth="1"/>
    <col min="3" max="3" width="6.7109375" customWidth="1"/>
    <col min="4" max="6" width="10.7109375" customWidth="1"/>
    <col min="7" max="8" width="11.7109375" customWidth="1"/>
    <col min="9" max="9" width="12.7109375" customWidth="1"/>
    <col min="10" max="11" width="11.7109375" customWidth="1"/>
    <col min="12" max="12" width="13.7109375" customWidth="1"/>
    <col min="13" max="14" width="14.7109375" customWidth="1"/>
    <col min="15" max="15" width="26.7109375" customWidth="1"/>
  </cols>
  <sheetData>
    <row r="1" spans="1:15">
      <c r="A1" s="8" t="s">
        <v>1200</v>
      </c>
      <c r="B1" s="8" t="s">
        <v>1201</v>
      </c>
      <c r="C1" s="8" t="s">
        <v>1202</v>
      </c>
      <c r="D1" s="8" t="s">
        <v>1203</v>
      </c>
      <c r="E1" s="8" t="s">
        <v>1204</v>
      </c>
      <c r="F1" s="8" t="s">
        <v>1205</v>
      </c>
      <c r="G1" s="8" t="s">
        <v>1206</v>
      </c>
      <c r="H1" s="8" t="s">
        <v>1207</v>
      </c>
      <c r="I1" s="8" t="s">
        <v>1208</v>
      </c>
      <c r="J1" s="8" t="s">
        <v>1209</v>
      </c>
      <c r="K1" s="8" t="s">
        <v>1210</v>
      </c>
      <c r="L1" s="8" t="s">
        <v>1211</v>
      </c>
      <c r="M1" s="8" t="s">
        <v>1212</v>
      </c>
      <c r="N1" s="8" t="s">
        <v>1213</v>
      </c>
      <c r="O1" s="8" t="s">
        <v>1214</v>
      </c>
    </row>
    <row r="2" spans="1:15">
      <c r="A2" s="18">
        <v>-12</v>
      </c>
      <c r="B2" s="14" t="s">
        <v>1215</v>
      </c>
      <c r="C2" s="9">
        <v>89</v>
      </c>
      <c r="D2" s="12">
        <v>0.1769119390326187</v>
      </c>
      <c r="E2" s="12">
        <v>-0.05128797486293536</v>
      </c>
      <c r="F2" s="12">
        <v>0.3875545212412755</v>
      </c>
      <c r="G2" s="12">
        <v>1.676569779013465</v>
      </c>
      <c r="H2" s="16">
        <v>0.09721662023528665</v>
      </c>
      <c r="I2" s="12">
        <v>2.060123324922779</v>
      </c>
      <c r="J2" s="16">
        <v>0.04237445530780004</v>
      </c>
      <c r="K2" s="9">
        <v>19</v>
      </c>
      <c r="L2" s="16">
        <v>0.6766998531391635</v>
      </c>
      <c r="M2" s="16">
        <v>1</v>
      </c>
      <c r="N2" s="12">
        <v>75.53783192454533</v>
      </c>
      <c r="O2" s="14" t="s">
        <v>1216</v>
      </c>
    </row>
    <row r="3" spans="1:15">
      <c r="A3" s="18">
        <v>-11</v>
      </c>
      <c r="B3" s="14" t="s">
        <v>1217</v>
      </c>
      <c r="C3" s="9">
        <v>90</v>
      </c>
      <c r="D3" s="12">
        <v>0.1019536579194102</v>
      </c>
      <c r="E3" s="12">
        <v>-0.1248641908731353</v>
      </c>
      <c r="F3" s="12">
        <v>0.3186443348069266</v>
      </c>
      <c r="G3" s="12">
        <v>0.9614199032950632</v>
      </c>
      <c r="H3" s="16">
        <v>0.3389754072168802</v>
      </c>
      <c r="I3" s="12">
        <v>1.081122546595885</v>
      </c>
      <c r="J3" s="16">
        <v>0.2825965001296453</v>
      </c>
      <c r="K3" s="9">
        <v>17</v>
      </c>
      <c r="L3" s="16">
        <v>0.8787853858282868</v>
      </c>
      <c r="M3" s="16">
        <v>1</v>
      </c>
      <c r="N3" s="12">
        <v>77.00831649714074</v>
      </c>
      <c r="O3" s="14" t="s">
        <v>1216</v>
      </c>
    </row>
    <row r="4" spans="1:15">
      <c r="A4" s="18">
        <v>-10</v>
      </c>
      <c r="B4" s="14" t="s">
        <v>1218</v>
      </c>
      <c r="C4" s="9">
        <v>91</v>
      </c>
      <c r="D4" s="12">
        <v>-0.07321342330391928</v>
      </c>
      <c r="E4" s="12">
        <v>-0.2901576223898349</v>
      </c>
      <c r="F4" s="12">
        <v>0.1508880495847788</v>
      </c>
      <c r="G4" s="12">
        <v>-0.6925526602747648</v>
      </c>
      <c r="H4" s="16">
        <v>0.490393435141051</v>
      </c>
      <c r="I4" s="12">
        <v>-0.6242365224883502</v>
      </c>
      <c r="J4" s="16">
        <v>0.5340691542260276</v>
      </c>
      <c r="K4" s="9">
        <v>16</v>
      </c>
      <c r="L4" s="16">
        <v>0.8787853858282868</v>
      </c>
      <c r="M4" s="16">
        <v>1</v>
      </c>
      <c r="N4" s="12">
        <v>78.61580859247427</v>
      </c>
      <c r="O4" s="14" t="s">
        <v>1216</v>
      </c>
    </row>
    <row r="5" spans="1:15">
      <c r="A5" s="18">
        <v>-9</v>
      </c>
      <c r="B5" s="14" t="s">
        <v>1219</v>
      </c>
      <c r="C5" s="9">
        <v>92</v>
      </c>
      <c r="D5" s="12">
        <v>0.09055152510980005</v>
      </c>
      <c r="E5" s="12">
        <v>-0.1327852233395135</v>
      </c>
      <c r="F5" s="12">
        <v>0.3051371795271238</v>
      </c>
      <c r="G5" s="12">
        <v>0.8625909150992901</v>
      </c>
      <c r="H5" s="16">
        <v>0.3906551384923573</v>
      </c>
      <c r="I5" s="12">
        <v>1.172356365810155</v>
      </c>
      <c r="J5" s="16">
        <v>0.2441478929090413</v>
      </c>
      <c r="K5" s="9">
        <v>14</v>
      </c>
      <c r="L5" s="16">
        <v>0.8787853858282868</v>
      </c>
      <c r="M5" s="16">
        <v>1</v>
      </c>
      <c r="N5" s="12">
        <v>79.3045012137684</v>
      </c>
      <c r="O5" s="14" t="s">
        <v>1216</v>
      </c>
    </row>
    <row r="6" spans="1:15">
      <c r="A6" s="18">
        <v>-8</v>
      </c>
      <c r="B6" s="14" t="s">
        <v>1220</v>
      </c>
      <c r="C6" s="9">
        <v>93</v>
      </c>
      <c r="D6" s="12">
        <v>0.07002520473164461</v>
      </c>
      <c r="E6" s="12">
        <v>-0.1512000762248979</v>
      </c>
      <c r="F6" s="12">
        <v>0.2845705385495532</v>
      </c>
      <c r="G6" s="12">
        <v>0.6696417002637947</v>
      </c>
      <c r="H6" s="16">
        <v>0.5047818129458617</v>
      </c>
      <c r="I6" s="12">
        <v>1.09453967302186</v>
      </c>
      <c r="J6" s="16">
        <v>0.276607016133291</v>
      </c>
      <c r="K6" s="9">
        <v>13</v>
      </c>
      <c r="L6" s="16">
        <v>0.8787853858282868</v>
      </c>
      <c r="M6" s="16">
        <v>1</v>
      </c>
      <c r="N6" s="12">
        <v>80.58959945839545</v>
      </c>
      <c r="O6" s="14" t="s">
        <v>1216</v>
      </c>
    </row>
    <row r="7" spans="1:15">
      <c r="A7" s="18">
        <v>-7</v>
      </c>
      <c r="B7" s="14" t="s">
        <v>1221</v>
      </c>
      <c r="C7" s="9">
        <v>94</v>
      </c>
      <c r="D7" s="12">
        <v>0.01980114706669839</v>
      </c>
      <c r="E7" s="12">
        <v>-0.1952479772306566</v>
      </c>
      <c r="F7" s="12">
        <v>0.2330335781426484</v>
      </c>
      <c r="G7" s="12">
        <v>0.1899631751477117</v>
      </c>
      <c r="H7" s="16">
        <v>0.8497564989305144</v>
      </c>
      <c r="I7" s="12">
        <v>0.2051715173488144</v>
      </c>
      <c r="J7" s="16">
        <v>0.8378913945039939</v>
      </c>
      <c r="K7" s="9">
        <v>11</v>
      </c>
      <c r="L7" s="16">
        <v>0.9215853296258112</v>
      </c>
      <c r="M7" s="16">
        <v>1</v>
      </c>
      <c r="N7" s="12">
        <v>84.13604639763936</v>
      </c>
      <c r="O7" s="14" t="s">
        <v>1216</v>
      </c>
    </row>
    <row r="8" spans="1:15">
      <c r="A8" s="18">
        <v>-6</v>
      </c>
      <c r="B8" s="14" t="s">
        <v>1222</v>
      </c>
      <c r="C8" s="9">
        <v>95</v>
      </c>
      <c r="D8" s="19">
        <v>0.2309387027561347</v>
      </c>
      <c r="E8" s="12">
        <v>0.02266365995310119</v>
      </c>
      <c r="F8" s="12">
        <v>0.4200017201716452</v>
      </c>
      <c r="G8" s="12">
        <v>2.288966858761162</v>
      </c>
      <c r="H8" s="16">
        <v>0.02434482064609167</v>
      </c>
      <c r="I8" s="12">
        <v>1.890967648804591</v>
      </c>
      <c r="J8" s="16">
        <v>0.06174150444600635</v>
      </c>
      <c r="K8" s="9">
        <v>10</v>
      </c>
      <c r="L8" s="16">
        <v>0.6086205161522917</v>
      </c>
      <c r="M8" s="16">
        <v>0.6086205161522917</v>
      </c>
      <c r="N8" s="12">
        <v>88.05973228676891</v>
      </c>
      <c r="O8" s="14" t="s">
        <v>1223</v>
      </c>
    </row>
    <row r="9" spans="1:15">
      <c r="A9" s="18">
        <v>-5</v>
      </c>
      <c r="B9" s="14" t="s">
        <v>1224</v>
      </c>
      <c r="C9" s="9">
        <v>96</v>
      </c>
      <c r="D9" s="12">
        <v>-0.02221276884596701</v>
      </c>
      <c r="E9" s="12">
        <v>-0.2297868925760773</v>
      </c>
      <c r="F9" s="12">
        <v>0.1872942973089331</v>
      </c>
      <c r="G9" s="12">
        <v>-0.2154139341632832</v>
      </c>
      <c r="H9" s="16">
        <v>0.8299113133750273</v>
      </c>
      <c r="I9" s="12">
        <v>-0.2079016982165706</v>
      </c>
      <c r="J9" s="16">
        <v>0.8357555009632049</v>
      </c>
      <c r="K9" s="9">
        <v>8</v>
      </c>
      <c r="L9" s="16">
        <v>0.9215853296258112</v>
      </c>
      <c r="M9" s="16">
        <v>1</v>
      </c>
      <c r="N9" s="12">
        <v>88.67564145848613</v>
      </c>
      <c r="O9" s="14" t="s">
        <v>1216</v>
      </c>
    </row>
    <row r="10" spans="1:15">
      <c r="A10" s="18">
        <v>-4</v>
      </c>
      <c r="B10" s="14" t="s">
        <v>1225</v>
      </c>
      <c r="C10" s="9">
        <v>97</v>
      </c>
      <c r="D10" s="12">
        <v>-0.02728216193130254</v>
      </c>
      <c r="E10" s="12">
        <v>-0.2335583290843766</v>
      </c>
      <c r="F10" s="12">
        <v>0.1813439073771946</v>
      </c>
      <c r="G10" s="12">
        <v>-0.2660126388341222</v>
      </c>
      <c r="H10" s="16">
        <v>0.7908059441253226</v>
      </c>
      <c r="I10" s="12">
        <v>-0.5349130685699052</v>
      </c>
      <c r="J10" s="16">
        <v>0.5939598135489175</v>
      </c>
      <c r="K10" s="9">
        <v>7</v>
      </c>
      <c r="L10" s="16">
        <v>0.9215853296258112</v>
      </c>
      <c r="M10" s="16">
        <v>1</v>
      </c>
      <c r="N10" s="12">
        <v>89.56222273071236</v>
      </c>
      <c r="O10" s="14" t="s">
        <v>1216</v>
      </c>
    </row>
    <row r="11" spans="1:15">
      <c r="A11" s="18">
        <v>-3</v>
      </c>
      <c r="B11" s="14" t="s">
        <v>1226</v>
      </c>
      <c r="C11" s="9">
        <v>98</v>
      </c>
      <c r="D11" s="12">
        <v>0.04060728588590442</v>
      </c>
      <c r="E11" s="12">
        <v>-0.1665346981931999</v>
      </c>
      <c r="F11" s="12">
        <v>0.2443166182774908</v>
      </c>
      <c r="G11" s="12">
        <v>0.3981969602608217</v>
      </c>
      <c r="H11" s="16">
        <v>0.6913691929237591</v>
      </c>
      <c r="I11" s="12">
        <v>0.5986276242670308</v>
      </c>
      <c r="J11" s="16">
        <v>0.5508311247698581</v>
      </c>
      <c r="K11" s="9">
        <v>5</v>
      </c>
      <c r="L11" s="16">
        <v>0.9215853296258112</v>
      </c>
      <c r="M11" s="16">
        <v>1</v>
      </c>
      <c r="N11" s="12">
        <v>91.1711272941115</v>
      </c>
      <c r="O11" s="14" t="s">
        <v>1216</v>
      </c>
    </row>
    <row r="12" spans="1:15">
      <c r="A12" s="18">
        <v>-2</v>
      </c>
      <c r="B12" s="14" t="s">
        <v>1227</v>
      </c>
      <c r="C12" s="9">
        <v>99</v>
      </c>
      <c r="D12" s="12">
        <v>0.0100202993901363</v>
      </c>
      <c r="E12" s="12">
        <v>-0.1948095513886147</v>
      </c>
      <c r="F12" s="12">
        <v>0.2140126950751201</v>
      </c>
      <c r="G12" s="12">
        <v>0.09869345867669256</v>
      </c>
      <c r="H12" s="16">
        <v>0.9215853296258112</v>
      </c>
      <c r="I12" s="12">
        <v>0.1338308970309368</v>
      </c>
      <c r="J12" s="16">
        <v>0.8938135698786773</v>
      </c>
      <c r="K12" s="9">
        <v>4</v>
      </c>
      <c r="L12" s="16">
        <v>0.9215853296258112</v>
      </c>
      <c r="M12" s="16">
        <v>1</v>
      </c>
      <c r="N12" s="12">
        <v>92.34672515315567</v>
      </c>
      <c r="O12" s="14" t="s">
        <v>1216</v>
      </c>
    </row>
    <row r="13" spans="1:15">
      <c r="A13" s="18">
        <v>-1</v>
      </c>
      <c r="B13" s="14" t="s">
        <v>1228</v>
      </c>
      <c r="C13" s="9">
        <v>100</v>
      </c>
      <c r="D13" s="12">
        <v>0.1615751243756063</v>
      </c>
      <c r="E13" s="12">
        <v>-0.0430256783372966</v>
      </c>
      <c r="F13" s="12">
        <v>0.3531687956404813</v>
      </c>
      <c r="G13" s="12">
        <v>1.62080888130174</v>
      </c>
      <c r="H13" s="16">
        <v>0.1082719765022662</v>
      </c>
      <c r="I13" s="12">
        <v>2.052943325102656</v>
      </c>
      <c r="J13" s="16">
        <v>0.04274288354777522</v>
      </c>
      <c r="K13" s="9">
        <v>2</v>
      </c>
      <c r="L13" s="16">
        <v>0.6766998531391635</v>
      </c>
      <c r="M13" s="16">
        <v>1</v>
      </c>
      <c r="N13" s="12">
        <v>93.47449261630778</v>
      </c>
      <c r="O13" s="14" t="s">
        <v>1216</v>
      </c>
    </row>
    <row r="14" spans="1:15">
      <c r="A14" s="18">
        <v>0</v>
      </c>
      <c r="B14" s="14" t="s">
        <v>1229</v>
      </c>
      <c r="C14" s="9">
        <v>100</v>
      </c>
      <c r="D14" s="12">
        <v>-0.04511964238863347</v>
      </c>
      <c r="E14" s="12">
        <v>-0.2466908450120843</v>
      </c>
      <c r="F14" s="12">
        <v>0.1601937555625295</v>
      </c>
      <c r="G14" s="12">
        <v>-0.4471170196527008</v>
      </c>
      <c r="H14" s="16">
        <v>0.6557771984267251</v>
      </c>
      <c r="I14" s="12">
        <v>-0.5234200001997958</v>
      </c>
      <c r="J14" s="16">
        <v>0.601863593563253</v>
      </c>
      <c r="K14" s="9">
        <v>1</v>
      </c>
      <c r="L14" s="16">
        <v>0.9215853296258112</v>
      </c>
      <c r="M14" s="16">
        <v>1</v>
      </c>
      <c r="N14" s="12">
        <v>92.88031995803462</v>
      </c>
      <c r="O14" s="14" t="s">
        <v>1216</v>
      </c>
    </row>
    <row r="15" spans="1:15">
      <c r="A15" s="18">
        <v>1</v>
      </c>
      <c r="B15" s="14" t="s">
        <v>1230</v>
      </c>
      <c r="C15" s="9">
        <v>99</v>
      </c>
      <c r="D15" s="12">
        <v>0.125445071498259</v>
      </c>
      <c r="E15" s="12">
        <v>-0.08184316804526419</v>
      </c>
      <c r="F15" s="12">
        <v>0.3223302785782973</v>
      </c>
      <c r="G15" s="12">
        <v>1.245328057304912</v>
      </c>
      <c r="H15" s="16">
        <v>0.2160111230958721</v>
      </c>
      <c r="I15" s="12">
        <v>0.975939118377142</v>
      </c>
      <c r="J15" s="16">
        <v>0.3315222786555532</v>
      </c>
      <c r="K15" s="9">
        <v>2</v>
      </c>
      <c r="L15" s="16">
        <v>0.8787853858282868</v>
      </c>
      <c r="M15" s="16">
        <v>1</v>
      </c>
      <c r="N15" s="12">
        <v>91.67510191742392</v>
      </c>
      <c r="O15" s="14" t="s">
        <v>1216</v>
      </c>
    </row>
    <row r="16" spans="1:15">
      <c r="A16" s="18">
        <v>2</v>
      </c>
      <c r="B16" s="14" t="s">
        <v>1231</v>
      </c>
      <c r="C16" s="9">
        <v>98</v>
      </c>
      <c r="D16" s="12">
        <v>0.1036129474067013</v>
      </c>
      <c r="E16" s="12">
        <v>-0.1049736686081615</v>
      </c>
      <c r="F16" s="12">
        <v>0.3034672059296514</v>
      </c>
      <c r="G16" s="12">
        <v>1.020689068511823</v>
      </c>
      <c r="H16" s="16">
        <v>0.3099670984470662</v>
      </c>
      <c r="I16" s="12">
        <v>0.8665601232049756</v>
      </c>
      <c r="J16" s="16">
        <v>0.3883437690002951</v>
      </c>
      <c r="K16" s="9">
        <v>4</v>
      </c>
      <c r="L16" s="16">
        <v>0.8787853858282868</v>
      </c>
      <c r="M16" s="16">
        <v>1</v>
      </c>
      <c r="N16" s="12">
        <v>90.65137050289603</v>
      </c>
      <c r="O16" s="14" t="s">
        <v>1216</v>
      </c>
    </row>
    <row r="17" spans="1:15">
      <c r="A17" s="18">
        <v>3</v>
      </c>
      <c r="B17" s="14" t="s">
        <v>1232</v>
      </c>
      <c r="C17" s="9">
        <v>97</v>
      </c>
      <c r="D17" s="12">
        <v>0.01299616190978106</v>
      </c>
      <c r="E17" s="12">
        <v>-0.1949155677738552</v>
      </c>
      <c r="F17" s="12">
        <v>0.2197901654726343</v>
      </c>
      <c r="G17" s="12">
        <v>0.1266816161349445</v>
      </c>
      <c r="H17" s="16">
        <v>0.8994601372313327</v>
      </c>
      <c r="I17" s="12">
        <v>0.1240293670489084</v>
      </c>
      <c r="J17" s="16">
        <v>0.9015540736933398</v>
      </c>
      <c r="K17" s="9">
        <v>5</v>
      </c>
      <c r="L17" s="16">
        <v>0.9215853296258112</v>
      </c>
      <c r="M17" s="16">
        <v>1</v>
      </c>
      <c r="N17" s="12">
        <v>89.74508625843409</v>
      </c>
      <c r="O17" s="14" t="s">
        <v>1216</v>
      </c>
    </row>
    <row r="18" spans="1:15">
      <c r="A18" s="18">
        <v>4</v>
      </c>
      <c r="B18" s="14" t="s">
        <v>1233</v>
      </c>
      <c r="C18" s="9">
        <v>96</v>
      </c>
      <c r="D18" s="12">
        <v>0.02156651466607854</v>
      </c>
      <c r="E18" s="12">
        <v>-0.187774410218158</v>
      </c>
      <c r="F18" s="12">
        <v>0.2290332452788957</v>
      </c>
      <c r="G18" s="12">
        <v>0.2091437610433683</v>
      </c>
      <c r="H18" s="16">
        <v>0.8347885857247075</v>
      </c>
      <c r="I18" s="12">
        <v>0.1949497602060702</v>
      </c>
      <c r="J18" s="16">
        <v>0.8458530248963427</v>
      </c>
      <c r="K18" s="9">
        <v>7</v>
      </c>
      <c r="L18" s="16">
        <v>0.9215853296258112</v>
      </c>
      <c r="M18" s="16">
        <v>1</v>
      </c>
      <c r="N18" s="12">
        <v>88.79630281511675</v>
      </c>
      <c r="O18" s="14" t="s">
        <v>1216</v>
      </c>
    </row>
    <row r="19" spans="1:15">
      <c r="A19" s="18">
        <v>5</v>
      </c>
      <c r="B19" s="14" t="s">
        <v>1234</v>
      </c>
      <c r="C19" s="9">
        <v>95</v>
      </c>
      <c r="D19" s="12">
        <v>-0.06565915745741252</v>
      </c>
      <c r="E19" s="12">
        <v>-0.2710986714929979</v>
      </c>
      <c r="F19" s="12">
        <v>0.1455017138856665</v>
      </c>
      <c r="G19" s="12">
        <v>-0.6345633020443661</v>
      </c>
      <c r="H19" s="16">
        <v>0.5272712314969721</v>
      </c>
      <c r="I19" s="12">
        <v>-0.9561856025550348</v>
      </c>
      <c r="J19" s="16">
        <v>0.3414574709030911</v>
      </c>
      <c r="K19" s="9">
        <v>8</v>
      </c>
      <c r="L19" s="16">
        <v>0.8787853858282868</v>
      </c>
      <c r="M19" s="16">
        <v>1</v>
      </c>
      <c r="N19" s="12">
        <v>88.23433414758672</v>
      </c>
      <c r="O19" s="14" t="s">
        <v>1216</v>
      </c>
    </row>
    <row r="20" spans="1:15">
      <c r="A20" s="18">
        <v>6</v>
      </c>
      <c r="B20" s="14" t="s">
        <v>1235</v>
      </c>
      <c r="C20" s="9">
        <v>94</v>
      </c>
      <c r="D20" s="12">
        <v>0.07973042621349961</v>
      </c>
      <c r="E20" s="12">
        <v>-0.1327803768276327</v>
      </c>
      <c r="F20" s="12">
        <v>0.2852327868976586</v>
      </c>
      <c r="G20" s="12">
        <v>0.7671897604741184</v>
      </c>
      <c r="H20" s="16">
        <v>0.44493309952086</v>
      </c>
      <c r="I20" s="12">
        <v>0.7435633571334087</v>
      </c>
      <c r="J20" s="16">
        <v>0.4590354181926806</v>
      </c>
      <c r="K20" s="9">
        <v>10</v>
      </c>
      <c r="L20" s="16">
        <v>0.8787853858282868</v>
      </c>
      <c r="M20" s="16">
        <v>1</v>
      </c>
      <c r="N20" s="12">
        <v>87.29972901865243</v>
      </c>
      <c r="O20" s="14" t="s">
        <v>1216</v>
      </c>
    </row>
    <row r="21" spans="1:15">
      <c r="A21" s="18">
        <v>7</v>
      </c>
      <c r="B21" s="14" t="s">
        <v>1236</v>
      </c>
      <c r="C21" s="9">
        <v>93</v>
      </c>
      <c r="D21" s="12">
        <v>-0.02104286466895188</v>
      </c>
      <c r="E21" s="12">
        <v>-0.231541439560881</v>
      </c>
      <c r="F21" s="12">
        <v>0.1913380230363826</v>
      </c>
      <c r="G21" s="12">
        <v>-0.2007805931398227</v>
      </c>
      <c r="H21" s="16">
        <v>0.8413182106366386</v>
      </c>
      <c r="I21" s="12">
        <v>-0.3387733275206208</v>
      </c>
      <c r="J21" s="16">
        <v>0.7355609540723937</v>
      </c>
      <c r="K21" s="9">
        <v>11</v>
      </c>
      <c r="L21" s="16">
        <v>0.9215853296258112</v>
      </c>
      <c r="M21" s="16">
        <v>1</v>
      </c>
      <c r="N21" s="12">
        <v>86.28030465531822</v>
      </c>
      <c r="O21" s="14" t="s">
        <v>1216</v>
      </c>
    </row>
    <row r="22" spans="1:15">
      <c r="A22" s="18">
        <v>8</v>
      </c>
      <c r="B22" s="14" t="s">
        <v>1237</v>
      </c>
      <c r="C22" s="9">
        <v>92</v>
      </c>
      <c r="D22" s="12">
        <v>-0.07133534353004758</v>
      </c>
      <c r="E22" s="12">
        <v>-0.2796819004343127</v>
      </c>
      <c r="F22" s="12">
        <v>0.1434276845750975</v>
      </c>
      <c r="G22" s="12">
        <v>-0.6784749798482008</v>
      </c>
      <c r="H22" s="16">
        <v>0.4992114377139421</v>
      </c>
      <c r="I22" s="12">
        <v>-0.8240695113698233</v>
      </c>
      <c r="J22" s="16">
        <v>0.4120786137485042</v>
      </c>
      <c r="K22" s="9">
        <v>13</v>
      </c>
      <c r="L22" s="16">
        <v>0.8787853858282868</v>
      </c>
      <c r="M22" s="16">
        <v>1</v>
      </c>
      <c r="N22" s="12">
        <v>85.42717980961011</v>
      </c>
      <c r="O22" s="14" t="s">
        <v>1216</v>
      </c>
    </row>
    <row r="23" spans="1:15">
      <c r="A23" s="18">
        <v>9</v>
      </c>
      <c r="B23" s="14" t="s">
        <v>1238</v>
      </c>
      <c r="C23" s="9">
        <v>91</v>
      </c>
      <c r="D23" s="12">
        <v>-0.0373357528199156</v>
      </c>
      <c r="E23" s="12">
        <v>-0.2495398399977118</v>
      </c>
      <c r="F23" s="12">
        <v>0.1782898200624844</v>
      </c>
      <c r="G23" s="12">
        <v>-0.3524705379658921</v>
      </c>
      <c r="H23" s="16">
        <v>0.72531872854978</v>
      </c>
      <c r="I23" s="12">
        <v>-0.6689012254726052</v>
      </c>
      <c r="J23" s="16">
        <v>0.505289858937171</v>
      </c>
      <c r="K23" s="9">
        <v>14</v>
      </c>
      <c r="L23" s="16">
        <v>0.9215853296258112</v>
      </c>
      <c r="M23" s="16">
        <v>1</v>
      </c>
      <c r="N23" s="12">
        <v>84.15260650004804</v>
      </c>
      <c r="O23" s="14" t="s">
        <v>1216</v>
      </c>
    </row>
    <row r="24" spans="1:15">
      <c r="A24" s="18">
        <v>10</v>
      </c>
      <c r="B24" s="14" t="s">
        <v>1239</v>
      </c>
      <c r="C24" s="9">
        <v>90</v>
      </c>
      <c r="D24" s="12">
        <v>0.1222096535723021</v>
      </c>
      <c r="E24" s="12">
        <v>-0.09587693959851024</v>
      </c>
      <c r="F24" s="12">
        <v>0.3291007962331036</v>
      </c>
      <c r="G24" s="12">
        <v>1.155086342170458</v>
      </c>
      <c r="H24" s="16">
        <v>0.2511819119163969</v>
      </c>
      <c r="I24" s="12">
        <v>1.315402058716906</v>
      </c>
      <c r="J24" s="16">
        <v>0.1917918325822401</v>
      </c>
      <c r="K24" s="9">
        <v>16</v>
      </c>
      <c r="L24" s="16">
        <v>0.8787853858282868</v>
      </c>
      <c r="M24" s="16">
        <v>1</v>
      </c>
      <c r="N24" s="12">
        <v>83.09845199440278</v>
      </c>
      <c r="O24" s="14" t="s">
        <v>1216</v>
      </c>
    </row>
    <row r="25" spans="1:15">
      <c r="A25" s="18">
        <v>11</v>
      </c>
      <c r="B25" s="14" t="s">
        <v>1240</v>
      </c>
      <c r="C25" s="9">
        <v>89</v>
      </c>
      <c r="D25" s="12">
        <v>0.2033772770961629</v>
      </c>
      <c r="E25" s="12">
        <v>-0.01387442283075442</v>
      </c>
      <c r="F25" s="12">
        <v>0.4022927615948242</v>
      </c>
      <c r="G25" s="12">
        <v>1.937469196552034</v>
      </c>
      <c r="H25" s="16">
        <v>0.05593218811288159</v>
      </c>
      <c r="I25" s="12">
        <v>1.533150835203728</v>
      </c>
      <c r="J25" s="16">
        <v>0.1288672580937653</v>
      </c>
      <c r="K25" s="9">
        <v>17</v>
      </c>
      <c r="L25" s="16">
        <v>0.6766998531391635</v>
      </c>
      <c r="M25" s="16">
        <v>1</v>
      </c>
      <c r="N25" s="12">
        <v>82.27645153969929</v>
      </c>
      <c r="O25" s="14" t="s">
        <v>1216</v>
      </c>
    </row>
    <row r="26" spans="1:15">
      <c r="A26" s="18">
        <v>12</v>
      </c>
      <c r="B26" s="14" t="s">
        <v>1241</v>
      </c>
      <c r="C26" s="9">
        <v>88</v>
      </c>
      <c r="D26" s="12">
        <v>-0.08152353737141528</v>
      </c>
      <c r="E26" s="12">
        <v>-0.2932326524718777</v>
      </c>
      <c r="F26" s="12">
        <v>0.1378072116172571</v>
      </c>
      <c r="G26" s="12">
        <v>-0.7585430577448258</v>
      </c>
      <c r="H26" s="16">
        <v>0.4501998139722314</v>
      </c>
      <c r="I26" s="12">
        <v>-0.6829229819438373</v>
      </c>
      <c r="J26" s="16">
        <v>0.4964911201768016</v>
      </c>
      <c r="K26" s="9">
        <v>19</v>
      </c>
      <c r="L26" s="16">
        <v>0.8787853858282868</v>
      </c>
      <c r="M26" s="16">
        <v>1</v>
      </c>
      <c r="N26" s="12">
        <v>82.08509349335114</v>
      </c>
      <c r="O26" s="14" t="s">
        <v>1216</v>
      </c>
    </row>
    <row r="28" spans="1:15">
      <c r="A28" s="17" t="s">
        <v>1242</v>
      </c>
      <c r="D28" s="16">
        <f>MIN(H2:H26)</f>
        <v>None</v>
      </c>
    </row>
    <row r="29" spans="1:15">
      <c r="A29" s="17" t="s">
        <v>1243</v>
      </c>
      <c r="D29" s="16">
        <f>MIN(L2:L26)</f>
        <v>None</v>
      </c>
    </row>
    <row r="30" spans="1:15">
      <c r="A30" s="17" t="s">
        <v>1244</v>
      </c>
      <c r="D30" s="14">
        <f>IF(MIN(L2:L26)&lt;0.05,"是","否：无任何 Lag 通过 FDR 校正")</f>
        <v>0</v>
      </c>
    </row>
    <row r="31" spans="1:15">
      <c r="A31" s="17" t="s">
        <v>1245</v>
      </c>
      <c r="D31" s="14">
        <f>INDEX(A2:A26,MATCH(MAX(ABS(D2:D26)),INDEX(ABS(D2:D26),0),0))</f>
        <v>0</v>
      </c>
    </row>
  </sheetData>
  <conditionalFormatting sqref="D2:D26">
    <cfRule type="colorScale" priority="1">
      <colorScale>
        <cfvo type="min" val="0"/>
        <cfvo type="percentile" val="50"/>
        <cfvo type="max" val="0"/>
        <color rgb="FFFF6B81"/>
        <color rgb="FFFFFFFF"/>
        <color rgb="FF4FD1C5"/>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B22"/>
  <sheetViews>
    <sheetView workbookViewId="0"/>
  </sheetViews>
  <sheetFormatPr defaultRowHeight="15"/>
  <cols>
    <col min="1" max="1" width="30.7109375" customWidth="1"/>
    <col min="2" max="2" width="26.7109375" customWidth="1"/>
    <col min="3" max="28" width="8.7109375" customWidth="1"/>
  </cols>
  <sheetData>
    <row r="1" spans="1:28">
      <c r="A1" s="3" t="s">
        <v>1246</v>
      </c>
    </row>
    <row r="2" spans="1:28">
      <c r="A2" s="8" t="s">
        <v>1247</v>
      </c>
      <c r="B2" s="8" t="s">
        <v>1248</v>
      </c>
      <c r="C2" s="8" t="s">
        <v>1249</v>
      </c>
      <c r="D2" s="8" t="s">
        <v>1250</v>
      </c>
      <c r="E2" s="8" t="s">
        <v>1251</v>
      </c>
      <c r="F2" s="8" t="s">
        <v>1252</v>
      </c>
      <c r="G2" s="8" t="s">
        <v>1253</v>
      </c>
      <c r="H2" s="8" t="s">
        <v>1254</v>
      </c>
      <c r="I2" s="8" t="s">
        <v>1255</v>
      </c>
      <c r="J2" s="8" t="s">
        <v>1256</v>
      </c>
      <c r="K2" s="8" t="s">
        <v>1257</v>
      </c>
      <c r="L2" s="8" t="s">
        <v>1258</v>
      </c>
      <c r="M2" s="8" t="s">
        <v>1259</v>
      </c>
      <c r="N2" s="8" t="s">
        <v>1260</v>
      </c>
      <c r="O2" s="8" t="s">
        <v>1261</v>
      </c>
      <c r="P2" s="8" t="s">
        <v>1262</v>
      </c>
      <c r="Q2" s="8" t="s">
        <v>1263</v>
      </c>
      <c r="R2" s="8" t="s">
        <v>1264</v>
      </c>
      <c r="S2" s="8" t="s">
        <v>1265</v>
      </c>
      <c r="T2" s="8" t="s">
        <v>1266</v>
      </c>
      <c r="U2" s="8" t="s">
        <v>1267</v>
      </c>
      <c r="V2" s="8" t="s">
        <v>1268</v>
      </c>
      <c r="W2" s="8" t="s">
        <v>1269</v>
      </c>
      <c r="X2" s="8" t="s">
        <v>1270</v>
      </c>
      <c r="Y2" s="8" t="s">
        <v>1271</v>
      </c>
      <c r="Z2" s="8" t="s">
        <v>1272</v>
      </c>
      <c r="AA2" s="8" t="s">
        <v>1273</v>
      </c>
      <c r="AB2" s="8" t="s">
        <v>1274</v>
      </c>
    </row>
    <row r="3" spans="1:28">
      <c r="A3" s="14" t="s">
        <v>1275</v>
      </c>
      <c r="B3" s="14" t="s">
        <v>1276</v>
      </c>
      <c r="C3" s="9">
        <v>10</v>
      </c>
      <c r="D3" s="12"/>
      <c r="E3" s="12"/>
      <c r="F3" s="12"/>
      <c r="G3" s="12"/>
      <c r="H3" s="12"/>
      <c r="I3" s="12"/>
      <c r="J3" s="12"/>
      <c r="K3" s="12"/>
      <c r="L3" s="12"/>
      <c r="M3" s="12"/>
      <c r="N3" s="12">
        <v>-0.1115997549124081</v>
      </c>
      <c r="O3" s="12">
        <v>-0.05498046374034617</v>
      </c>
      <c r="P3" s="12">
        <v>-0.1500821016514638</v>
      </c>
      <c r="Q3" s="12">
        <v>0.2386032430027496</v>
      </c>
      <c r="R3" s="12"/>
      <c r="S3" s="12"/>
      <c r="T3" s="12"/>
      <c r="U3" s="12"/>
      <c r="V3" s="12"/>
      <c r="W3" s="12"/>
      <c r="X3" s="12"/>
      <c r="Y3" s="12"/>
      <c r="Z3" s="12"/>
      <c r="AA3" s="12"/>
      <c r="AB3" s="12"/>
    </row>
    <row r="4" spans="1:28">
      <c r="A4" s="14" t="s">
        <v>1277</v>
      </c>
      <c r="B4" s="14" t="s">
        <v>1278</v>
      </c>
      <c r="C4" s="9">
        <v>51</v>
      </c>
      <c r="D4" s="12">
        <v>0.3314826781692183</v>
      </c>
      <c r="E4" s="12">
        <v>0.02831163881802351</v>
      </c>
      <c r="F4" s="12">
        <v>0.2173440761834395</v>
      </c>
      <c r="G4" s="12">
        <v>0.3478274652625275</v>
      </c>
      <c r="H4" s="12">
        <v>0.04797488633477594</v>
      </c>
      <c r="I4" s="12">
        <v>0.1227376777572102</v>
      </c>
      <c r="J4" s="12">
        <v>0.180588856621098</v>
      </c>
      <c r="K4" s="12">
        <v>-0.2555928896814474</v>
      </c>
      <c r="L4" s="12">
        <v>0.08094239435594534</v>
      </c>
      <c r="M4" s="12">
        <v>0.06420114389816026</v>
      </c>
      <c r="N4" s="12">
        <v>-0.1589901194933738</v>
      </c>
      <c r="O4" s="12">
        <v>0.2724717138753406</v>
      </c>
      <c r="P4" s="12">
        <v>-0.1047289612714217</v>
      </c>
      <c r="Q4" s="12">
        <v>0.1257698557503847</v>
      </c>
      <c r="R4" s="12">
        <v>0.01740598590905692</v>
      </c>
      <c r="S4" s="12">
        <v>-0.2111210723177308</v>
      </c>
      <c r="T4" s="12">
        <v>-0.06512154578139745</v>
      </c>
      <c r="U4" s="12">
        <v>-0.0909055331593315</v>
      </c>
      <c r="V4" s="12">
        <v>-0.2873248919417826</v>
      </c>
      <c r="W4" s="12">
        <v>-0.1311187357461929</v>
      </c>
      <c r="X4" s="12">
        <v>-0.01186456859458834</v>
      </c>
      <c r="Y4" s="12">
        <v>-0.2096101355054946</v>
      </c>
      <c r="Z4" s="12">
        <v>0.08293631976290411</v>
      </c>
      <c r="AA4" s="12">
        <v>-0.1977497708521798</v>
      </c>
      <c r="AB4" s="12">
        <v>-0.005743386803292938</v>
      </c>
    </row>
    <row r="5" spans="1:28">
      <c r="A5" s="14" t="s">
        <v>1279</v>
      </c>
      <c r="B5" s="14" t="s">
        <v>1280</v>
      </c>
      <c r="C5" s="9">
        <v>40</v>
      </c>
      <c r="D5" s="12">
        <v>0.1491907214885788</v>
      </c>
      <c r="E5" s="12">
        <v>0.1877299075684992</v>
      </c>
      <c r="F5" s="12">
        <v>-0.3148367411675272</v>
      </c>
      <c r="G5" s="12">
        <v>-0.09364687887683161</v>
      </c>
      <c r="H5" s="12">
        <v>0.01113086897425092</v>
      </c>
      <c r="I5" s="12">
        <v>-0.0704376112735827</v>
      </c>
      <c r="J5" s="12">
        <v>0.2979904640528606</v>
      </c>
      <c r="K5" s="12">
        <v>-0.003017873792652683</v>
      </c>
      <c r="L5" s="12">
        <v>-0.132654870172258</v>
      </c>
      <c r="M5" s="12">
        <v>-0.03271440682449324</v>
      </c>
      <c r="N5" s="12">
        <v>0.0340288399575468</v>
      </c>
      <c r="O5" s="12">
        <v>0.1425235099274358</v>
      </c>
      <c r="P5" s="12">
        <v>-0.06573911542763972</v>
      </c>
      <c r="Q5" s="12">
        <v>0.1512071168891472</v>
      </c>
      <c r="R5" s="12">
        <v>0.2025390567828356</v>
      </c>
      <c r="S5" s="12">
        <v>0.07688098482774627</v>
      </c>
      <c r="T5" s="12">
        <v>0.01349601526950277</v>
      </c>
      <c r="U5" s="12">
        <v>-0.1403319038204356</v>
      </c>
      <c r="V5" s="12">
        <v>0.1763884473499151</v>
      </c>
      <c r="W5" s="12">
        <v>0.02650912450365846</v>
      </c>
      <c r="X5" s="12">
        <v>-0.1292151451405523</v>
      </c>
      <c r="Y5" s="12">
        <v>-0.05904951823152647</v>
      </c>
      <c r="Z5" s="12">
        <v>-0.01126385258868211</v>
      </c>
      <c r="AA5" s="12">
        <v>0.4098793541570384</v>
      </c>
      <c r="AB5" s="12">
        <v>-0.1344002988733824</v>
      </c>
    </row>
    <row r="7" spans="1:28">
      <c r="A7" s="3" t="s">
        <v>1281</v>
      </c>
    </row>
    <row r="8" spans="1:28">
      <c r="A8" s="8" t="s">
        <v>1247</v>
      </c>
      <c r="B8" s="8" t="s">
        <v>1248</v>
      </c>
      <c r="C8" s="8" t="s">
        <v>1249</v>
      </c>
      <c r="D8" s="8" t="s">
        <v>1250</v>
      </c>
      <c r="E8" s="8" t="s">
        <v>1251</v>
      </c>
      <c r="F8" s="8" t="s">
        <v>1252</v>
      </c>
      <c r="G8" s="8" t="s">
        <v>1253</v>
      </c>
      <c r="H8" s="8" t="s">
        <v>1254</v>
      </c>
      <c r="I8" s="8" t="s">
        <v>1255</v>
      </c>
      <c r="J8" s="8" t="s">
        <v>1256</v>
      </c>
      <c r="K8" s="8" t="s">
        <v>1257</v>
      </c>
      <c r="L8" s="8" t="s">
        <v>1258</v>
      </c>
      <c r="M8" s="8" t="s">
        <v>1259</v>
      </c>
      <c r="N8" s="8" t="s">
        <v>1260</v>
      </c>
      <c r="O8" s="8" t="s">
        <v>1261</v>
      </c>
      <c r="P8" s="8" t="s">
        <v>1262</v>
      </c>
      <c r="Q8" s="8" t="s">
        <v>1263</v>
      </c>
      <c r="R8" s="8" t="s">
        <v>1264</v>
      </c>
      <c r="S8" s="8" t="s">
        <v>1265</v>
      </c>
      <c r="T8" s="8" t="s">
        <v>1266</v>
      </c>
      <c r="U8" s="8" t="s">
        <v>1267</v>
      </c>
      <c r="V8" s="8" t="s">
        <v>1268</v>
      </c>
      <c r="W8" s="8" t="s">
        <v>1269</v>
      </c>
      <c r="X8" s="8" t="s">
        <v>1270</v>
      </c>
      <c r="Y8" s="8" t="s">
        <v>1271</v>
      </c>
      <c r="Z8" s="8" t="s">
        <v>1272</v>
      </c>
      <c r="AA8" s="8" t="s">
        <v>1273</v>
      </c>
      <c r="AB8" s="8" t="s">
        <v>1274</v>
      </c>
    </row>
    <row r="9" spans="1:28">
      <c r="A9" s="14" t="s">
        <v>1282</v>
      </c>
      <c r="B9" s="14" t="s">
        <v>1283</v>
      </c>
      <c r="C9" s="9">
        <v>22</v>
      </c>
      <c r="D9" s="12">
        <v>-0.225263333222571</v>
      </c>
      <c r="E9" s="12">
        <v>-0.3722503484708998</v>
      </c>
      <c r="F9" s="12">
        <v>-0.02626217880226506</v>
      </c>
      <c r="G9" s="12">
        <v>-0.02620142369710062</v>
      </c>
      <c r="H9" s="12">
        <v>-0.2806701451350114</v>
      </c>
      <c r="I9" s="12">
        <v>-0.1122742977314476</v>
      </c>
      <c r="J9" s="12">
        <v>0.0542127049960491</v>
      </c>
      <c r="K9" s="12">
        <v>0.4303677624871596</v>
      </c>
      <c r="L9" s="12">
        <v>0.004475092137917973</v>
      </c>
      <c r="M9" s="12">
        <v>0.2478515718138037</v>
      </c>
      <c r="N9" s="12">
        <v>0.02034943350490248</v>
      </c>
      <c r="O9" s="12">
        <v>0.1940908029854142</v>
      </c>
      <c r="P9" s="12">
        <v>0.1438696048003906</v>
      </c>
      <c r="Q9" s="12">
        <v>-0.01570469149944391</v>
      </c>
      <c r="R9" s="12">
        <v>-0.3339020570545028</v>
      </c>
      <c r="S9" s="12">
        <v>-0.2886505348270017</v>
      </c>
      <c r="T9" s="12">
        <v>-0.08418552641619738</v>
      </c>
      <c r="U9" s="12">
        <v>-0.2317630372314378</v>
      </c>
      <c r="V9" s="12">
        <v>0.09379951174594418</v>
      </c>
      <c r="W9" s="12">
        <v>-0.3613339603215018</v>
      </c>
      <c r="X9" s="12">
        <v>0.5310848599221523</v>
      </c>
      <c r="Y9" s="12">
        <v>0.1000442938769439</v>
      </c>
      <c r="Z9" s="12">
        <v>0.352868220246304</v>
      </c>
      <c r="AA9" s="12">
        <v>0.2454500025118708</v>
      </c>
      <c r="AB9" s="12">
        <v>0.1318372610959023</v>
      </c>
    </row>
    <row r="10" spans="1:28">
      <c r="A10" s="14" t="s">
        <v>1284</v>
      </c>
      <c r="B10" s="14" t="s">
        <v>1285</v>
      </c>
      <c r="C10" s="9">
        <v>26</v>
      </c>
      <c r="D10" s="12">
        <v>0.5946435139077844</v>
      </c>
      <c r="E10" s="12">
        <v>0.1532481962964278</v>
      </c>
      <c r="F10" s="12">
        <v>0.204919306733064</v>
      </c>
      <c r="G10" s="12">
        <v>0.4074500232923111</v>
      </c>
      <c r="H10" s="12">
        <v>0.0610948618012995</v>
      </c>
      <c r="I10" s="12">
        <v>-0.09343850049221576</v>
      </c>
      <c r="J10" s="12">
        <v>-0.02543989514924119</v>
      </c>
      <c r="K10" s="12">
        <v>-0.4911802609665829</v>
      </c>
      <c r="L10" s="12">
        <v>-0.08239647552226913</v>
      </c>
      <c r="M10" s="12">
        <v>-0.09515580237722558</v>
      </c>
      <c r="N10" s="12">
        <v>-0.2004698709065464</v>
      </c>
      <c r="O10" s="12">
        <v>0.1244422688329459</v>
      </c>
      <c r="P10" s="12">
        <v>-0.3193949091659714</v>
      </c>
      <c r="Q10" s="12">
        <v>0.197271334960708</v>
      </c>
      <c r="R10" s="12">
        <v>0.02877174378217304</v>
      </c>
      <c r="S10" s="12">
        <v>-0.3155310896547056</v>
      </c>
      <c r="T10" s="12">
        <v>-0.0506081098750981</v>
      </c>
      <c r="U10" s="12">
        <v>-0.08513701559366837</v>
      </c>
      <c r="V10" s="12">
        <v>-0.5293402459994599</v>
      </c>
      <c r="W10" s="12">
        <v>-0.1545987760264755</v>
      </c>
      <c r="X10" s="12">
        <v>-0.1525759983287465</v>
      </c>
      <c r="Y10" s="12">
        <v>-0.37017923274729</v>
      </c>
      <c r="Z10" s="12">
        <v>0.04455866969814221</v>
      </c>
      <c r="AA10" s="12">
        <v>-0.4064508414825628</v>
      </c>
      <c r="AB10" s="12">
        <v>-0.2263705306739199</v>
      </c>
    </row>
    <row r="11" spans="1:28">
      <c r="A11" s="14" t="s">
        <v>1286</v>
      </c>
      <c r="B11" s="14" t="s">
        <v>1287</v>
      </c>
      <c r="C11" s="9">
        <v>24</v>
      </c>
      <c r="D11" s="12">
        <v>-0.04056451886063327</v>
      </c>
      <c r="E11" s="12">
        <v>-0.3811041940253076</v>
      </c>
      <c r="F11" s="12">
        <v>0.08361937996868714</v>
      </c>
      <c r="G11" s="12">
        <v>0.1063379158541896</v>
      </c>
      <c r="H11" s="12">
        <v>0.4296201413189737</v>
      </c>
      <c r="I11" s="12">
        <v>0.04050471419286498</v>
      </c>
      <c r="J11" s="12">
        <v>0.005749588371339126</v>
      </c>
      <c r="K11" s="12">
        <v>-0.2865142033101691</v>
      </c>
      <c r="L11" s="12">
        <v>0.02796148439389607</v>
      </c>
      <c r="M11" s="12">
        <v>-0.0719946647125788</v>
      </c>
      <c r="N11" s="12">
        <v>-0.2017040753459461</v>
      </c>
      <c r="O11" s="12">
        <v>0.1483571544818823</v>
      </c>
      <c r="P11" s="12">
        <v>-0.2665471788734401</v>
      </c>
      <c r="Q11" s="12">
        <v>-0.1414508450595384</v>
      </c>
      <c r="R11" s="12">
        <v>0.07759947536970289</v>
      </c>
      <c r="S11" s="12">
        <v>0.1269720044722051</v>
      </c>
      <c r="T11" s="12">
        <v>-0.08590071246161268</v>
      </c>
      <c r="U11" s="12">
        <v>0.2612951727525527</v>
      </c>
      <c r="V11" s="12">
        <v>0.2575489025982629</v>
      </c>
      <c r="W11" s="12">
        <v>-0.3517668589014135</v>
      </c>
      <c r="X11" s="12">
        <v>-0.3249865926132254</v>
      </c>
      <c r="Y11" s="12">
        <v>0.1648274233215977</v>
      </c>
      <c r="Z11" s="12">
        <v>0.4917288275380444</v>
      </c>
      <c r="AA11" s="12">
        <v>0.1551704978365752</v>
      </c>
      <c r="AB11" s="12">
        <v>-0.3214125199680649</v>
      </c>
    </row>
    <row r="12" spans="1:28">
      <c r="A12" s="14" t="s">
        <v>1288</v>
      </c>
      <c r="B12" s="14" t="s">
        <v>1289</v>
      </c>
      <c r="C12" s="9">
        <v>29</v>
      </c>
      <c r="D12" s="12">
        <v>0.2810151200261337</v>
      </c>
      <c r="E12" s="12">
        <v>0.2417453921043771</v>
      </c>
      <c r="F12" s="12">
        <v>-0.2746479775704496</v>
      </c>
      <c r="G12" s="12">
        <v>0.04671917098521651</v>
      </c>
      <c r="H12" s="12">
        <v>0.09083555317034139</v>
      </c>
      <c r="I12" s="12">
        <v>0.00384944506539846</v>
      </c>
      <c r="J12" s="12">
        <v>0.4104585116575917</v>
      </c>
      <c r="K12" s="12">
        <v>0.03162927979924709</v>
      </c>
      <c r="L12" s="12">
        <v>-0.1483043281123688</v>
      </c>
      <c r="M12" s="12">
        <v>0.02050230813746895</v>
      </c>
      <c r="N12" s="12">
        <v>0.09609795773219351</v>
      </c>
      <c r="O12" s="12">
        <v>0.1781570178466588</v>
      </c>
      <c r="P12" s="12">
        <v>-7.336784135117396E-05</v>
      </c>
      <c r="Q12" s="12">
        <v>0.1066350816616193</v>
      </c>
      <c r="R12" s="12">
        <v>0.02715621947421477</v>
      </c>
      <c r="S12" s="12">
        <v>-0.1139562190712074</v>
      </c>
      <c r="T12" s="12">
        <v>-0.1822439378680583</v>
      </c>
      <c r="U12" s="12">
        <v>-0.150004973900791</v>
      </c>
      <c r="V12" s="12">
        <v>0.4884356126452157</v>
      </c>
      <c r="W12" s="12">
        <v>0.1684808147441713</v>
      </c>
      <c r="X12" s="12">
        <v>-0.284458623179786</v>
      </c>
      <c r="Y12" s="12">
        <v>-0.004337754020922532</v>
      </c>
      <c r="Z12" s="12">
        <v>0.05439189130863708</v>
      </c>
      <c r="AA12" s="12">
        <v>0.5970649479758775</v>
      </c>
      <c r="AB12" s="12">
        <v>0.1198507529992407</v>
      </c>
    </row>
    <row r="14" spans="1:28">
      <c r="A14" s="3" t="s">
        <v>1290</v>
      </c>
    </row>
    <row r="15" spans="1:28">
      <c r="A15" s="8" t="s">
        <v>1247</v>
      </c>
      <c r="B15" s="8" t="s">
        <v>1248</v>
      </c>
      <c r="C15" s="8" t="s">
        <v>1249</v>
      </c>
      <c r="D15" s="8" t="s">
        <v>1250</v>
      </c>
      <c r="E15" s="8" t="s">
        <v>1251</v>
      </c>
      <c r="F15" s="8" t="s">
        <v>1252</v>
      </c>
      <c r="G15" s="8" t="s">
        <v>1253</v>
      </c>
      <c r="H15" s="8" t="s">
        <v>1254</v>
      </c>
      <c r="I15" s="8" t="s">
        <v>1255</v>
      </c>
      <c r="J15" s="8" t="s">
        <v>1256</v>
      </c>
      <c r="K15" s="8" t="s">
        <v>1257</v>
      </c>
      <c r="L15" s="8" t="s">
        <v>1258</v>
      </c>
      <c r="M15" s="8" t="s">
        <v>1259</v>
      </c>
      <c r="N15" s="8" t="s">
        <v>1260</v>
      </c>
      <c r="O15" s="8" t="s">
        <v>1261</v>
      </c>
      <c r="P15" s="8" t="s">
        <v>1262</v>
      </c>
      <c r="Q15" s="8" t="s">
        <v>1263</v>
      </c>
      <c r="R15" s="8" t="s">
        <v>1264</v>
      </c>
      <c r="S15" s="8" t="s">
        <v>1265</v>
      </c>
      <c r="T15" s="8" t="s">
        <v>1266</v>
      </c>
      <c r="U15" s="8" t="s">
        <v>1267</v>
      </c>
      <c r="V15" s="8" t="s">
        <v>1268</v>
      </c>
      <c r="W15" s="8" t="s">
        <v>1269</v>
      </c>
      <c r="X15" s="8" t="s">
        <v>1270</v>
      </c>
      <c r="Y15" s="8" t="s">
        <v>1271</v>
      </c>
      <c r="Z15" s="8" t="s">
        <v>1272</v>
      </c>
      <c r="AA15" s="8" t="s">
        <v>1273</v>
      </c>
      <c r="AB15" s="8" t="s">
        <v>1274</v>
      </c>
    </row>
    <row r="16" spans="1:28">
      <c r="A16" s="14" t="s">
        <v>1291</v>
      </c>
      <c r="B16" s="14" t="s">
        <v>1292</v>
      </c>
      <c r="C16" s="9">
        <v>13</v>
      </c>
      <c r="D16" s="12">
        <v>-0.09292823948815832</v>
      </c>
      <c r="E16" s="12">
        <v>-0.5756923075959565</v>
      </c>
      <c r="F16" s="12">
        <v>-0.03992103797381659</v>
      </c>
      <c r="G16" s="12">
        <v>0.3158629088281855</v>
      </c>
      <c r="H16" s="12">
        <v>-0.6541224608848517</v>
      </c>
      <c r="I16" s="12">
        <v>0.1605069119388079</v>
      </c>
      <c r="J16" s="12">
        <v>0.3706585399061414</v>
      </c>
      <c r="K16" s="12">
        <v>0.007122062878667771</v>
      </c>
      <c r="L16" s="12">
        <v>0.3074918104768416</v>
      </c>
      <c r="M16" s="12">
        <v>0.418959990939386</v>
      </c>
      <c r="N16" s="12">
        <v>0.1547333351570461</v>
      </c>
      <c r="O16" s="12">
        <v>0.3932028293937359</v>
      </c>
      <c r="P16" s="12">
        <v>-0.07342287245256925</v>
      </c>
      <c r="Q16" s="12">
        <v>0.3595113786829052</v>
      </c>
      <c r="R16" s="12">
        <v>0.169599368503666</v>
      </c>
      <c r="S16" s="12">
        <v>-0.3072022417172863</v>
      </c>
      <c r="T16" s="12">
        <v>0.2306003300167341</v>
      </c>
      <c r="U16" s="12">
        <v>-0.1203819209881665</v>
      </c>
      <c r="V16" s="12">
        <v>-0.4480053322274486</v>
      </c>
      <c r="W16" s="12">
        <v>-0.07025012845033425</v>
      </c>
      <c r="X16" s="12">
        <v>-0.1477824901773665</v>
      </c>
      <c r="Y16" s="12">
        <v>-0.3810757032341705</v>
      </c>
      <c r="Z16" s="12">
        <v>-0.1871622096650122</v>
      </c>
      <c r="AA16" s="12">
        <v>-0.1765503711157522</v>
      </c>
      <c r="AB16" s="12">
        <v>0.04066588354191803</v>
      </c>
    </row>
    <row r="17" spans="1:28">
      <c r="A17" s="14" t="s">
        <v>1293</v>
      </c>
      <c r="B17" s="14" t="s">
        <v>1294</v>
      </c>
      <c r="C17" s="9">
        <v>14</v>
      </c>
      <c r="D17" s="12">
        <v>-0.1630607226989207</v>
      </c>
      <c r="E17" s="12">
        <v>-0.1773770114501715</v>
      </c>
      <c r="F17" s="12">
        <v>0.1699837745068672</v>
      </c>
      <c r="G17" s="12">
        <v>0.256656794624179</v>
      </c>
      <c r="H17" s="12">
        <v>0.1883697111113709</v>
      </c>
      <c r="I17" s="12">
        <v>0.03556113335318517</v>
      </c>
      <c r="J17" s="12">
        <v>-0.09500228751061415</v>
      </c>
      <c r="K17" s="12">
        <v>-0.5423845098677649</v>
      </c>
      <c r="L17" s="12">
        <v>-0.1431231438441724</v>
      </c>
      <c r="M17" s="12">
        <v>-0.2710127472993617</v>
      </c>
      <c r="N17" s="12">
        <v>-0.4553309808066582</v>
      </c>
      <c r="O17" s="12">
        <v>0.2368093548284506</v>
      </c>
      <c r="P17" s="12">
        <v>-0.09822572685559733</v>
      </c>
      <c r="Q17" s="12">
        <v>-0.04240641265073662</v>
      </c>
      <c r="R17" s="12">
        <v>-0.05606979249960852</v>
      </c>
      <c r="S17" s="12">
        <v>-0.1100033420520951</v>
      </c>
      <c r="T17" s="12">
        <v>-0.3604436899063044</v>
      </c>
      <c r="U17" s="12">
        <v>-0.09838749131751148</v>
      </c>
      <c r="V17" s="12">
        <v>-0.08216479025981994</v>
      </c>
      <c r="W17" s="12">
        <v>-0.0353007498275412</v>
      </c>
      <c r="X17" s="12">
        <v>0.1730380300871436</v>
      </c>
      <c r="Y17" s="12">
        <v>0.02073252726305655</v>
      </c>
      <c r="Z17" s="12">
        <v>0.4626933061939652</v>
      </c>
      <c r="AA17" s="12">
        <v>-0.2377789595387164</v>
      </c>
      <c r="AB17" s="12">
        <v>0.1949384935306488</v>
      </c>
    </row>
    <row r="18" spans="1:28">
      <c r="A18" s="14" t="s">
        <v>1295</v>
      </c>
      <c r="B18" s="14" t="s">
        <v>1296</v>
      </c>
      <c r="C18" s="9">
        <v>12</v>
      </c>
      <c r="D18" s="12">
        <v>0.03195975701455102</v>
      </c>
      <c r="E18" s="12">
        <v>-0.01270338567718515</v>
      </c>
      <c r="F18" s="12">
        <v>-0.5135133956468215</v>
      </c>
      <c r="G18" s="12">
        <v>-0.08521762381081464</v>
      </c>
      <c r="H18" s="12">
        <v>-0.05563952247202175</v>
      </c>
      <c r="I18" s="12">
        <v>0.02039380593808011</v>
      </c>
      <c r="J18" s="12">
        <v>0.303681849233049</v>
      </c>
      <c r="K18" s="12">
        <v>0.1589304289201962</v>
      </c>
      <c r="L18" s="12">
        <v>-0.1150859940542341</v>
      </c>
      <c r="M18" s="12">
        <v>-0.1450354156719959</v>
      </c>
      <c r="N18" s="12">
        <v>-0.1492327875005431</v>
      </c>
      <c r="O18" s="12">
        <v>0.05874302068659928</v>
      </c>
      <c r="P18" s="12">
        <v>-0.09073602190187262</v>
      </c>
      <c r="Q18" s="12">
        <v>0.3486815081536538</v>
      </c>
      <c r="R18" s="12">
        <v>0.3780758487348038</v>
      </c>
      <c r="S18" s="12">
        <v>0.1842246242421362</v>
      </c>
      <c r="T18" s="12">
        <v>0.2725901545772768</v>
      </c>
      <c r="U18" s="12">
        <v>-0.1499959648141272</v>
      </c>
      <c r="V18" s="12">
        <v>-0.2086861292550348</v>
      </c>
      <c r="W18" s="12">
        <v>-0.1964087191747482</v>
      </c>
      <c r="X18" s="12">
        <v>0.02604792191242988</v>
      </c>
      <c r="Y18" s="12">
        <v>-0.1800398951327529</v>
      </c>
      <c r="Z18" s="12">
        <v>-0.1876264358653819</v>
      </c>
      <c r="AA18" s="12">
        <v>0.2014372429502056</v>
      </c>
      <c r="AB18" s="12">
        <v>-0.4109306945346504</v>
      </c>
    </row>
    <row r="19" spans="1:28">
      <c r="A19" s="14" t="s">
        <v>1297</v>
      </c>
      <c r="B19" s="14" t="s">
        <v>1298</v>
      </c>
      <c r="C19" s="9">
        <v>4</v>
      </c>
      <c r="D19" s="12"/>
      <c r="E19" s="12"/>
      <c r="F19" s="12"/>
      <c r="G19" s="12"/>
      <c r="H19" s="12">
        <v>0.008786596217677727</v>
      </c>
      <c r="I19" s="12">
        <v>-0.6556150750455342</v>
      </c>
      <c r="J19" s="12">
        <v>0.742731798471526</v>
      </c>
      <c r="K19" s="12">
        <v>-0.05893850069664322</v>
      </c>
      <c r="L19" s="12">
        <v>-0.22461151232062</v>
      </c>
      <c r="M19" s="12">
        <v>0.04606867634302596</v>
      </c>
      <c r="N19" s="12">
        <v>0.2022086733512999</v>
      </c>
      <c r="O19" s="12">
        <v>0.1598460564165416</v>
      </c>
      <c r="P19" s="12">
        <v>-0.1146815783826464</v>
      </c>
      <c r="Q19" s="12">
        <v>-0.1732172926891118</v>
      </c>
      <c r="R19" s="12">
        <v>0.0924434546440086</v>
      </c>
      <c r="S19" s="12">
        <v>-0.2398982229692377</v>
      </c>
      <c r="T19" s="12">
        <v>-0.3526981904363626</v>
      </c>
      <c r="U19" s="12">
        <v>-0.3014030049666575</v>
      </c>
      <c r="V19" s="12">
        <v>0.5065937727391021</v>
      </c>
      <c r="W19" s="12">
        <v>0.238217225827065</v>
      </c>
      <c r="X19" s="12">
        <v>-0.3539511795755231</v>
      </c>
      <c r="Y19" s="12"/>
      <c r="Z19" s="12"/>
      <c r="AA19" s="12"/>
      <c r="AB19" s="12"/>
    </row>
    <row r="22" spans="1:28" ht="30" customHeight="1">
      <c r="A22" t="s">
        <v>1299</v>
      </c>
    </row>
  </sheetData>
  <mergeCells count="1">
    <mergeCell ref="A22:J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7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8.7109375" customWidth="1"/>
    <col min="2" max="6" width="15.7109375" customWidth="1"/>
    <col min="7" max="8" width="12.7109375" customWidth="1"/>
  </cols>
  <sheetData>
    <row r="1" spans="1:8">
      <c r="A1" s="8" t="s">
        <v>1300</v>
      </c>
      <c r="B1" s="8" t="s">
        <v>1301</v>
      </c>
      <c r="C1" s="8" t="s">
        <v>1302</v>
      </c>
      <c r="D1" s="8" t="s">
        <v>1303</v>
      </c>
      <c r="E1" s="8" t="s">
        <v>1304</v>
      </c>
      <c r="F1" s="8" t="s">
        <v>1305</v>
      </c>
      <c r="G1" s="8" t="s">
        <v>1306</v>
      </c>
      <c r="H1" s="8" t="s">
        <v>1307</v>
      </c>
    </row>
    <row r="2" spans="1:8">
      <c r="A2" s="10" t="s">
        <v>155</v>
      </c>
      <c r="B2" s="12">
        <v>-0.3021627481655025</v>
      </c>
      <c r="C2" s="12">
        <v>0.1580987506761373</v>
      </c>
      <c r="D2" s="12">
        <v>-0.03899052738593249</v>
      </c>
      <c r="E2" s="12">
        <v>0.1483745854943675</v>
      </c>
      <c r="F2" s="12"/>
      <c r="G2" s="9">
        <v>25</v>
      </c>
      <c r="H2" s="9">
        <v>25</v>
      </c>
    </row>
    <row r="3" spans="1:8">
      <c r="A3" s="10" t="s">
        <v>159</v>
      </c>
      <c r="B3" s="12">
        <v>-0.07185124000856234</v>
      </c>
      <c r="C3" s="12">
        <v>0.2127880715425049</v>
      </c>
      <c r="D3" s="12">
        <v>-0.1009362689128232</v>
      </c>
      <c r="E3" s="12">
        <v>0.252475696182448</v>
      </c>
      <c r="F3" s="12"/>
      <c r="G3" s="9">
        <v>26</v>
      </c>
      <c r="H3" s="9">
        <v>26</v>
      </c>
    </row>
    <row r="4" spans="1:8">
      <c r="A4" s="10" t="s">
        <v>163</v>
      </c>
      <c r="B4" s="12">
        <v>-0.0861357767656734</v>
      </c>
      <c r="C4" s="12">
        <v>0.3037576938393147</v>
      </c>
      <c r="D4" s="12">
        <v>-0.04983877062198688</v>
      </c>
      <c r="E4" s="12">
        <v>0.2120518888095713</v>
      </c>
      <c r="F4" s="12"/>
      <c r="G4" s="9">
        <v>26</v>
      </c>
      <c r="H4" s="9">
        <v>26</v>
      </c>
    </row>
    <row r="5" spans="1:8">
      <c r="A5" s="10" t="s">
        <v>167</v>
      </c>
      <c r="B5" s="12">
        <v>-0.09320804951957054</v>
      </c>
      <c r="C5" s="12">
        <v>0.274162447742591</v>
      </c>
      <c r="D5" s="12">
        <v>-0.1097413511744872</v>
      </c>
      <c r="E5" s="12">
        <v>0.1780072797276865</v>
      </c>
      <c r="F5" s="12"/>
      <c r="G5" s="9">
        <v>26</v>
      </c>
      <c r="H5" s="9">
        <v>26</v>
      </c>
    </row>
    <row r="6" spans="1:8">
      <c r="A6" s="10" t="s">
        <v>171</v>
      </c>
      <c r="B6" s="12">
        <v>-0.01076185102502488</v>
      </c>
      <c r="C6" s="12">
        <v>0.2611976409736883</v>
      </c>
      <c r="D6" s="12">
        <v>-0.1204714198614437</v>
      </c>
      <c r="E6" s="12">
        <v>0.2408868723258538</v>
      </c>
      <c r="F6" s="12"/>
      <c r="G6" s="9">
        <v>26</v>
      </c>
      <c r="H6" s="9">
        <v>26</v>
      </c>
    </row>
    <row r="7" spans="1:8">
      <c r="A7" s="10" t="s">
        <v>175</v>
      </c>
      <c r="B7" s="12">
        <v>0.02035196370755477</v>
      </c>
      <c r="C7" s="12">
        <v>0.3426985195254851</v>
      </c>
      <c r="D7" s="12">
        <v>-0.1351847248266817</v>
      </c>
      <c r="E7" s="12">
        <v>0.2450910246792723</v>
      </c>
      <c r="F7" s="12"/>
      <c r="G7" s="9">
        <v>26</v>
      </c>
      <c r="H7" s="9">
        <v>26</v>
      </c>
    </row>
    <row r="8" spans="1:8">
      <c r="A8" s="10" t="s">
        <v>179</v>
      </c>
      <c r="B8" s="12">
        <v>0.1314230848947557</v>
      </c>
      <c r="C8" s="12">
        <v>0.3131609768512467</v>
      </c>
      <c r="D8" s="12">
        <v>-0.08963614230477694</v>
      </c>
      <c r="E8" s="12">
        <v>0.2557011005251445</v>
      </c>
      <c r="F8" s="12"/>
      <c r="G8" s="9">
        <v>26</v>
      </c>
      <c r="H8" s="9">
        <v>26</v>
      </c>
    </row>
    <row r="9" spans="1:8">
      <c r="A9" s="10" t="s">
        <v>183</v>
      </c>
      <c r="B9" s="12">
        <v>0.1584391240448206</v>
      </c>
      <c r="C9" s="12">
        <v>0.3683011201251264</v>
      </c>
      <c r="D9" s="12">
        <v>-0.04960791112483885</v>
      </c>
      <c r="E9" s="12">
        <v>0.3715453194090321</v>
      </c>
      <c r="F9" s="12"/>
      <c r="G9" s="9">
        <v>26</v>
      </c>
      <c r="H9" s="9">
        <v>26</v>
      </c>
    </row>
    <row r="10" spans="1:8">
      <c r="A10" s="10" t="s">
        <v>187</v>
      </c>
      <c r="B10" s="12">
        <v>0.1286668113034832</v>
      </c>
      <c r="C10" s="12">
        <v>0.3496929310580563</v>
      </c>
      <c r="D10" s="12">
        <v>-0.06640350911743623</v>
      </c>
      <c r="E10" s="12">
        <v>0.3304991874586125</v>
      </c>
      <c r="F10" s="12"/>
      <c r="G10" s="9">
        <v>26</v>
      </c>
      <c r="H10" s="9">
        <v>26</v>
      </c>
    </row>
    <row r="11" spans="1:8">
      <c r="A11" s="10" t="s">
        <v>191</v>
      </c>
      <c r="B11" s="12">
        <v>0.107224954042024</v>
      </c>
      <c r="C11" s="12">
        <v>0.3618575427833345</v>
      </c>
      <c r="D11" s="12">
        <v>-0.0507916883768885</v>
      </c>
      <c r="E11" s="12">
        <v>0.4031708940431294</v>
      </c>
      <c r="F11" s="12"/>
      <c r="G11" s="9">
        <v>26</v>
      </c>
      <c r="H11" s="9">
        <v>26</v>
      </c>
    </row>
    <row r="12" spans="1:8">
      <c r="A12" s="10" t="s">
        <v>195</v>
      </c>
      <c r="B12" s="12">
        <v>0.1203475297727112</v>
      </c>
      <c r="C12" s="12">
        <v>0.3658710691926608</v>
      </c>
      <c r="D12" s="12">
        <v>-0.06915714205561094</v>
      </c>
      <c r="E12" s="12">
        <v>0.3957432029485922</v>
      </c>
      <c r="F12" s="12"/>
      <c r="G12" s="9">
        <v>26</v>
      </c>
      <c r="H12" s="9">
        <v>26</v>
      </c>
    </row>
    <row r="13" spans="1:8">
      <c r="A13" s="10" t="s">
        <v>199</v>
      </c>
      <c r="B13" s="12">
        <v>0.06450203116945416</v>
      </c>
      <c r="C13" s="12">
        <v>0.3316614015613991</v>
      </c>
      <c r="D13" s="12">
        <v>-0.07831159763112973</v>
      </c>
      <c r="E13" s="12">
        <v>0.4021173841493537</v>
      </c>
      <c r="F13" s="12"/>
      <c r="G13" s="9">
        <v>26</v>
      </c>
      <c r="H13" s="9">
        <v>26</v>
      </c>
    </row>
    <row r="14" spans="1:8">
      <c r="A14" s="10" t="s">
        <v>203</v>
      </c>
      <c r="B14" s="12">
        <v>0.006166684389612596</v>
      </c>
      <c r="C14" s="12">
        <v>0.261134532808064</v>
      </c>
      <c r="D14" s="12">
        <v>-0.1013194647470334</v>
      </c>
      <c r="E14" s="12">
        <v>0.3843494198632824</v>
      </c>
      <c r="F14" s="12"/>
      <c r="G14" s="9">
        <v>26</v>
      </c>
      <c r="H14" s="9">
        <v>26</v>
      </c>
    </row>
    <row r="15" spans="1:8">
      <c r="A15" s="10" t="s">
        <v>207</v>
      </c>
      <c r="B15" s="12">
        <v>-0.004188654220839862</v>
      </c>
      <c r="C15" s="12">
        <v>0.3131128961554466</v>
      </c>
      <c r="D15" s="12">
        <v>-0.0561849294251054</v>
      </c>
      <c r="E15" s="12">
        <v>0.3987246755007056</v>
      </c>
      <c r="F15" s="12"/>
      <c r="G15" s="9">
        <v>26</v>
      </c>
      <c r="H15" s="9">
        <v>26</v>
      </c>
    </row>
    <row r="16" spans="1:8">
      <c r="A16" s="10" t="s">
        <v>211</v>
      </c>
      <c r="B16" s="12">
        <v>-0.02687797480086886</v>
      </c>
      <c r="C16" s="12">
        <v>0.2933812521969908</v>
      </c>
      <c r="D16" s="12">
        <v>-0.07634265631052121</v>
      </c>
      <c r="E16" s="12">
        <v>0.2803586679064004</v>
      </c>
      <c r="F16" s="12"/>
      <c r="G16" s="9">
        <v>26</v>
      </c>
      <c r="H16" s="9">
        <v>26</v>
      </c>
    </row>
    <row r="17" spans="1:8">
      <c r="A17" s="10" t="s">
        <v>215</v>
      </c>
      <c r="B17" s="12">
        <v>0.04254436967440811</v>
      </c>
      <c r="C17" s="12">
        <v>0.2503076495422752</v>
      </c>
      <c r="D17" s="12">
        <v>-0.08685012215841269</v>
      </c>
      <c r="E17" s="12">
        <v>0.2389487720069782</v>
      </c>
      <c r="F17" s="12"/>
      <c r="G17" s="9">
        <v>26</v>
      </c>
      <c r="H17" s="9">
        <v>26</v>
      </c>
    </row>
    <row r="18" spans="1:8">
      <c r="A18" s="10" t="s">
        <v>219</v>
      </c>
      <c r="B18" s="12">
        <v>-0.005064026101175905</v>
      </c>
      <c r="C18" s="12">
        <v>0.2895584324654875</v>
      </c>
      <c r="D18" s="12">
        <v>-0.1106926492128678</v>
      </c>
      <c r="E18" s="12">
        <v>0.2227447174973755</v>
      </c>
      <c r="F18" s="12"/>
      <c r="G18" s="9">
        <v>26</v>
      </c>
      <c r="H18" s="9">
        <v>26</v>
      </c>
    </row>
    <row r="19" spans="1:8">
      <c r="A19" s="10" t="s">
        <v>223</v>
      </c>
      <c r="B19" s="12">
        <v>0.009550189089028166</v>
      </c>
      <c r="C19" s="12">
        <v>0.2557774827883235</v>
      </c>
      <c r="D19" s="12">
        <v>-0.0765037867561619</v>
      </c>
      <c r="E19" s="12">
        <v>0.2167810912555115</v>
      </c>
      <c r="F19" s="12"/>
      <c r="G19" s="9">
        <v>26</v>
      </c>
      <c r="H19" s="9">
        <v>26</v>
      </c>
    </row>
    <row r="20" spans="1:8">
      <c r="A20" s="10" t="s">
        <v>227</v>
      </c>
      <c r="B20" s="12">
        <v>0.08689838437547662</v>
      </c>
      <c r="C20" s="12">
        <v>0.2641976540739476</v>
      </c>
      <c r="D20" s="12">
        <v>-0.1618945059881658</v>
      </c>
      <c r="E20" s="12">
        <v>0.2943016531112065</v>
      </c>
      <c r="F20" s="12"/>
      <c r="G20" s="9">
        <v>26</v>
      </c>
      <c r="H20" s="9">
        <v>26</v>
      </c>
    </row>
    <row r="21" spans="1:8">
      <c r="A21" s="10" t="s">
        <v>231</v>
      </c>
      <c r="B21" s="12">
        <v>0.072455135418282</v>
      </c>
      <c r="C21" s="12">
        <v>0.2140719832152072</v>
      </c>
      <c r="D21" s="12">
        <v>-0.1690285098536452</v>
      </c>
      <c r="E21" s="12">
        <v>0.251016002026021</v>
      </c>
      <c r="F21" s="12"/>
      <c r="G21" s="9">
        <v>26</v>
      </c>
      <c r="H21" s="9">
        <v>26</v>
      </c>
    </row>
    <row r="22" spans="1:8">
      <c r="A22" s="10" t="s">
        <v>235</v>
      </c>
      <c r="B22" s="12">
        <v>0.06830906360220455</v>
      </c>
      <c r="C22" s="12">
        <v>0.2026946757088679</v>
      </c>
      <c r="D22" s="12">
        <v>-0.30093463876959</v>
      </c>
      <c r="E22" s="12">
        <v>0.2330968877430491</v>
      </c>
      <c r="F22" s="12"/>
      <c r="G22" s="9">
        <v>26</v>
      </c>
      <c r="H22" s="9">
        <v>26</v>
      </c>
    </row>
    <row r="23" spans="1:8">
      <c r="A23" s="10" t="s">
        <v>239</v>
      </c>
      <c r="B23" s="12">
        <v>0.06483862836799456</v>
      </c>
      <c r="C23" s="12">
        <v>0.2035721091221843</v>
      </c>
      <c r="D23" s="12">
        <v>-0.3185328398470542</v>
      </c>
      <c r="E23" s="12">
        <v>0.1186845677343384</v>
      </c>
      <c r="F23" s="12"/>
      <c r="G23" s="9">
        <v>26</v>
      </c>
      <c r="H23" s="9">
        <v>26</v>
      </c>
    </row>
    <row r="24" spans="1:8">
      <c r="A24" s="10" t="s">
        <v>243</v>
      </c>
      <c r="B24" s="12">
        <v>0.01628859638081653</v>
      </c>
      <c r="C24" s="12">
        <v>0.2514595025853743</v>
      </c>
      <c r="D24" s="12">
        <v>-0.3193949091659713</v>
      </c>
      <c r="E24" s="12">
        <v>0.1237566461745611</v>
      </c>
      <c r="F24" s="12"/>
      <c r="G24" s="9">
        <v>26</v>
      </c>
      <c r="H24" s="9">
        <v>26</v>
      </c>
    </row>
    <row r="25" spans="1:8">
      <c r="A25" s="10" t="s">
        <v>247</v>
      </c>
      <c r="B25" s="12">
        <v>-0.06380040558121046</v>
      </c>
      <c r="C25" s="12">
        <v>0.2123787233166715</v>
      </c>
      <c r="D25" s="12">
        <v>-0.3803621215339932</v>
      </c>
      <c r="E25" s="12">
        <v>0.12474315987156</v>
      </c>
      <c r="F25" s="12"/>
      <c r="G25" s="9">
        <v>26</v>
      </c>
      <c r="H25" s="9">
        <v>26</v>
      </c>
    </row>
    <row r="26" spans="1:8">
      <c r="A26" s="10" t="s">
        <v>251</v>
      </c>
      <c r="B26" s="12">
        <v>-0.02919424717952413</v>
      </c>
      <c r="C26" s="12">
        <v>0.2024920309599813</v>
      </c>
      <c r="D26" s="12">
        <v>-0.4417814665543349</v>
      </c>
      <c r="E26" s="12">
        <v>0.1765943002156538</v>
      </c>
      <c r="F26" s="12"/>
      <c r="G26" s="9">
        <v>26</v>
      </c>
      <c r="H26" s="9">
        <v>26</v>
      </c>
    </row>
    <row r="27" spans="1:8">
      <c r="A27" s="10" t="s">
        <v>255</v>
      </c>
      <c r="B27" s="12">
        <v>-0.04901787758383602</v>
      </c>
      <c r="C27" s="12">
        <v>0.218199692019097</v>
      </c>
      <c r="D27" s="12">
        <v>-0.4495454463461468</v>
      </c>
      <c r="E27" s="12">
        <v>0.1645691074024715</v>
      </c>
      <c r="F27" s="12"/>
      <c r="G27" s="9">
        <v>26</v>
      </c>
      <c r="H27" s="9">
        <v>26</v>
      </c>
    </row>
    <row r="28" spans="1:8">
      <c r="A28" s="10" t="s">
        <v>259</v>
      </c>
      <c r="B28" s="12">
        <v>-0.03015482773611497</v>
      </c>
      <c r="C28" s="12">
        <v>0.1066835518938662</v>
      </c>
      <c r="D28" s="12">
        <v>-0.400371275552127</v>
      </c>
      <c r="E28" s="12">
        <v>0.1219522235286066</v>
      </c>
      <c r="F28" s="12"/>
      <c r="G28" s="9">
        <v>26</v>
      </c>
      <c r="H28" s="9">
        <v>26</v>
      </c>
    </row>
    <row r="29" spans="1:8">
      <c r="A29" s="10" t="s">
        <v>263</v>
      </c>
      <c r="B29" s="12">
        <v>-0.07183345354123724</v>
      </c>
      <c r="C29" s="12">
        <v>0.08497272039488737</v>
      </c>
      <c r="D29" s="12">
        <v>-0.3962933206551874</v>
      </c>
      <c r="E29" s="12">
        <v>0.09506829998924024</v>
      </c>
      <c r="F29" s="12"/>
      <c r="G29" s="9">
        <v>26</v>
      </c>
      <c r="H29" s="9">
        <v>26</v>
      </c>
    </row>
    <row r="30" spans="1:8">
      <c r="A30" s="10" t="s">
        <v>267</v>
      </c>
      <c r="B30" s="12">
        <v>-0.07419884438378686</v>
      </c>
      <c r="C30" s="12">
        <v>0.1230800827419428</v>
      </c>
      <c r="D30" s="12">
        <v>-0.3948682457061526</v>
      </c>
      <c r="E30" s="12">
        <v>0.08245110838742266</v>
      </c>
      <c r="F30" s="12"/>
      <c r="G30" s="9">
        <v>26</v>
      </c>
      <c r="H30" s="9">
        <v>26</v>
      </c>
    </row>
    <row r="31" spans="1:8">
      <c r="A31" s="10" t="s">
        <v>271</v>
      </c>
      <c r="B31" s="12">
        <v>-0.07206747644358778</v>
      </c>
      <c r="C31" s="12">
        <v>0.08775708091228507</v>
      </c>
      <c r="D31" s="12">
        <v>-0.2014536399310145</v>
      </c>
      <c r="E31" s="12">
        <v>0.0692402209616801</v>
      </c>
      <c r="F31" s="12"/>
      <c r="G31" s="9">
        <v>26</v>
      </c>
      <c r="H31" s="9">
        <v>26</v>
      </c>
    </row>
    <row r="32" spans="1:8">
      <c r="A32" s="10" t="s">
        <v>275</v>
      </c>
      <c r="B32" s="12">
        <v>0.02269221316784287</v>
      </c>
      <c r="C32" s="12">
        <v>0.1079371130092838</v>
      </c>
      <c r="D32" s="12">
        <v>-0.2570659783355921</v>
      </c>
      <c r="E32" s="12">
        <v>0.2014115417780063</v>
      </c>
      <c r="F32" s="12"/>
      <c r="G32" s="9">
        <v>26</v>
      </c>
      <c r="H32" s="9">
        <v>26</v>
      </c>
    </row>
    <row r="33" spans="1:8">
      <c r="A33" s="10" t="s">
        <v>279</v>
      </c>
      <c r="B33" s="12">
        <v>-0.004121094845303253</v>
      </c>
      <c r="C33" s="12">
        <v>0.132394729814171</v>
      </c>
      <c r="D33" s="12">
        <v>-0.2450257884745553</v>
      </c>
      <c r="E33" s="12">
        <v>0.1716611333589434</v>
      </c>
      <c r="F33" s="12"/>
      <c r="G33" s="9">
        <v>26</v>
      </c>
      <c r="H33" s="9">
        <v>26</v>
      </c>
    </row>
    <row r="34" spans="1:8">
      <c r="A34" s="10" t="s">
        <v>283</v>
      </c>
      <c r="B34" s="12">
        <v>-0.08683535364966223</v>
      </c>
      <c r="C34" s="12">
        <v>0.04469219363762431</v>
      </c>
      <c r="D34" s="12">
        <v>-0.2111448132185761</v>
      </c>
      <c r="E34" s="12">
        <v>0.1937982025573923</v>
      </c>
      <c r="F34" s="12"/>
      <c r="G34" s="9">
        <v>26</v>
      </c>
      <c r="H34" s="9">
        <v>26</v>
      </c>
    </row>
    <row r="35" spans="1:8">
      <c r="A35" s="10" t="s">
        <v>287</v>
      </c>
      <c r="B35" s="12">
        <v>-0.09285520047463709</v>
      </c>
      <c r="C35" s="12">
        <v>-0.02180206865555702</v>
      </c>
      <c r="D35" s="12">
        <v>-0.2297279289476147</v>
      </c>
      <c r="E35" s="12">
        <v>0.1775622510605716</v>
      </c>
      <c r="F35" s="12"/>
      <c r="G35" s="9">
        <v>26</v>
      </c>
      <c r="H35" s="9">
        <v>26</v>
      </c>
    </row>
    <row r="36" spans="1:8">
      <c r="A36" s="10" t="s">
        <v>291</v>
      </c>
      <c r="B36" s="12">
        <v>-0.1477473112789787</v>
      </c>
      <c r="C36" s="12">
        <v>-0.02084875692370959</v>
      </c>
      <c r="D36" s="12">
        <v>-0.08285076790913988</v>
      </c>
      <c r="E36" s="12">
        <v>0.2518463228543197</v>
      </c>
      <c r="F36" s="12"/>
      <c r="G36" s="9">
        <v>26</v>
      </c>
      <c r="H36" s="9">
        <v>26</v>
      </c>
    </row>
    <row r="37" spans="1:8">
      <c r="A37" s="10" t="s">
        <v>295</v>
      </c>
      <c r="B37" s="12">
        <v>-0.1255649871860125</v>
      </c>
      <c r="C37" s="12">
        <v>-0.06096737273142126</v>
      </c>
      <c r="D37" s="12">
        <v>-0.09822572685559726</v>
      </c>
      <c r="E37" s="12">
        <v>0.2295878594853214</v>
      </c>
      <c r="F37" s="12"/>
      <c r="G37" s="9">
        <v>26</v>
      </c>
      <c r="H37" s="9">
        <v>26</v>
      </c>
    </row>
    <row r="38" spans="1:8">
      <c r="A38" s="10" t="s">
        <v>299</v>
      </c>
      <c r="B38" s="12">
        <v>-0.1390620338514097</v>
      </c>
      <c r="C38" s="12">
        <v>-0.04607669200758104</v>
      </c>
      <c r="D38" s="12">
        <v>-0.1013956348755734</v>
      </c>
      <c r="E38" s="12">
        <v>0.2330366665671884</v>
      </c>
      <c r="F38" s="12"/>
      <c r="G38" s="9">
        <v>26</v>
      </c>
      <c r="H38" s="9">
        <v>26</v>
      </c>
    </row>
    <row r="39" spans="1:8">
      <c r="A39" s="10" t="s">
        <v>303</v>
      </c>
      <c r="B39" s="12">
        <v>-0.2146079933608447</v>
      </c>
      <c r="C39" s="12">
        <v>-0.04301329207797443</v>
      </c>
      <c r="D39" s="12">
        <v>-0.1596420031437008</v>
      </c>
      <c r="E39" s="12">
        <v>0.2876267888119582</v>
      </c>
      <c r="F39" s="12"/>
      <c r="G39" s="9">
        <v>26</v>
      </c>
      <c r="H39" s="9">
        <v>26</v>
      </c>
    </row>
    <row r="40" spans="1:8">
      <c r="A40" s="10" t="s">
        <v>307</v>
      </c>
      <c r="B40" s="12">
        <v>-0.195925569894892</v>
      </c>
      <c r="C40" s="12">
        <v>-0.003106664839506682</v>
      </c>
      <c r="D40" s="12">
        <v>-0.1449093200183252</v>
      </c>
      <c r="E40" s="12">
        <v>0.2810786227868262</v>
      </c>
      <c r="F40" s="12"/>
      <c r="G40" s="9">
        <v>26</v>
      </c>
      <c r="H40" s="9">
        <v>26</v>
      </c>
    </row>
    <row r="41" spans="1:8">
      <c r="A41" s="10" t="s">
        <v>311</v>
      </c>
      <c r="B41" s="12">
        <v>-0.2165563042450989</v>
      </c>
      <c r="C41" s="12">
        <v>-0.05066634845187852</v>
      </c>
      <c r="D41" s="12">
        <v>-0.2603187151475436</v>
      </c>
      <c r="E41" s="12">
        <v>0.2530549462771721</v>
      </c>
      <c r="F41" s="12"/>
      <c r="G41" s="9">
        <v>26</v>
      </c>
      <c r="H41" s="9">
        <v>26</v>
      </c>
    </row>
    <row r="42" spans="1:8">
      <c r="A42" s="10" t="s">
        <v>315</v>
      </c>
      <c r="B42" s="12">
        <v>-0.09908818628748506</v>
      </c>
      <c r="C42" s="12">
        <v>-0.0410395059411366</v>
      </c>
      <c r="D42" s="12">
        <v>-0.2793144887226647</v>
      </c>
      <c r="E42" s="12">
        <v>0.2630049896801673</v>
      </c>
      <c r="F42" s="12"/>
      <c r="G42" s="9">
        <v>26</v>
      </c>
      <c r="H42" s="9">
        <v>26</v>
      </c>
    </row>
    <row r="43" spans="1:8">
      <c r="A43" s="10" t="s">
        <v>319</v>
      </c>
      <c r="B43" s="12">
        <v>-0.1572500910179446</v>
      </c>
      <c r="C43" s="12">
        <v>0.005379946248020446</v>
      </c>
      <c r="D43" s="12">
        <v>-0.2701626624529133</v>
      </c>
      <c r="E43" s="12">
        <v>0.3080880319947964</v>
      </c>
      <c r="F43" s="12"/>
      <c r="G43" s="9">
        <v>26</v>
      </c>
      <c r="H43" s="9">
        <v>26</v>
      </c>
    </row>
    <row r="44" spans="1:8">
      <c r="A44" s="10" t="s">
        <v>323</v>
      </c>
      <c r="B44" s="12">
        <v>-0.0917312499492068</v>
      </c>
      <c r="C44" s="12">
        <v>-0.03803105561394243</v>
      </c>
      <c r="D44" s="12">
        <v>-0.2184612211100916</v>
      </c>
      <c r="E44" s="12">
        <v>0.3281007274124626</v>
      </c>
      <c r="F44" s="12"/>
      <c r="G44" s="9">
        <v>26</v>
      </c>
      <c r="H44" s="9">
        <v>26</v>
      </c>
    </row>
    <row r="45" spans="1:8">
      <c r="A45" s="10" t="s">
        <v>327</v>
      </c>
      <c r="B45" s="12">
        <v>-0.100328915703306</v>
      </c>
      <c r="C45" s="12">
        <v>-0.03868902100289573</v>
      </c>
      <c r="D45" s="12">
        <v>-0.2430232773865625</v>
      </c>
      <c r="E45" s="12">
        <v>0.3459312230327096</v>
      </c>
      <c r="F45" s="12"/>
      <c r="G45" s="9">
        <v>26</v>
      </c>
      <c r="H45" s="9">
        <v>26</v>
      </c>
    </row>
    <row r="46" spans="1:8">
      <c r="A46" s="10" t="s">
        <v>331</v>
      </c>
      <c r="B46" s="12">
        <v>0.0133732103844579</v>
      </c>
      <c r="C46" s="12">
        <v>-0.1410113513679762</v>
      </c>
      <c r="D46" s="12">
        <v>-0.3201049858007406</v>
      </c>
      <c r="E46" s="12">
        <v>0.2824733368108026</v>
      </c>
      <c r="F46" s="12"/>
      <c r="G46" s="9">
        <v>26</v>
      </c>
      <c r="H46" s="9">
        <v>26</v>
      </c>
    </row>
    <row r="47" spans="1:8">
      <c r="A47" s="10" t="s">
        <v>335</v>
      </c>
      <c r="B47" s="12">
        <v>0.1141959731982708</v>
      </c>
      <c r="C47" s="12">
        <v>-0.09643898287138856</v>
      </c>
      <c r="D47" s="12">
        <v>-0.3589399788291622</v>
      </c>
      <c r="E47" s="12">
        <v>0.2261846795392091</v>
      </c>
      <c r="F47" s="12"/>
      <c r="G47" s="9">
        <v>26</v>
      </c>
      <c r="H47" s="9">
        <v>26</v>
      </c>
    </row>
    <row r="48" spans="1:8">
      <c r="A48" s="10" t="s">
        <v>339</v>
      </c>
      <c r="B48" s="12">
        <v>0.2734665209464514</v>
      </c>
      <c r="C48" s="12">
        <v>0.1385943832060091</v>
      </c>
      <c r="D48" s="12">
        <v>-0.264764517189527</v>
      </c>
      <c r="E48" s="12">
        <v>0.1476202662572588</v>
      </c>
      <c r="F48" s="12"/>
      <c r="G48" s="9">
        <v>26</v>
      </c>
      <c r="H48" s="9">
        <v>26</v>
      </c>
    </row>
    <row r="49" spans="1:8">
      <c r="A49" s="10" t="s">
        <v>343</v>
      </c>
      <c r="B49" s="12">
        <v>0.2537291770171062</v>
      </c>
      <c r="C49" s="12">
        <v>0.3015249272441484</v>
      </c>
      <c r="D49" s="12">
        <v>0.03592979283448888</v>
      </c>
      <c r="E49" s="12">
        <v>0.2231811966569354</v>
      </c>
      <c r="F49" s="12"/>
      <c r="G49" s="9">
        <v>26</v>
      </c>
      <c r="H49" s="9">
        <v>26</v>
      </c>
    </row>
    <row r="50" spans="1:8">
      <c r="A50" s="10" t="s">
        <v>347</v>
      </c>
      <c r="B50" s="12">
        <v>0.2684660260326678</v>
      </c>
      <c r="C50" s="12">
        <v>0.2955693004691799</v>
      </c>
      <c r="D50" s="12">
        <v>0.002628528372513082</v>
      </c>
      <c r="E50" s="12">
        <v>0.1276354432997343</v>
      </c>
      <c r="F50" s="12"/>
      <c r="G50" s="9">
        <v>26</v>
      </c>
      <c r="H50" s="9">
        <v>26</v>
      </c>
    </row>
    <row r="51" spans="1:8">
      <c r="A51" s="10" t="s">
        <v>351</v>
      </c>
      <c r="B51" s="12">
        <v>0.2722441493357319</v>
      </c>
      <c r="C51" s="12">
        <v>0.2722241032150703</v>
      </c>
      <c r="D51" s="12">
        <v>0.01084003386411957</v>
      </c>
      <c r="E51" s="12">
        <v>0.1848101490399385</v>
      </c>
      <c r="F51" s="12"/>
      <c r="G51" s="9">
        <v>26</v>
      </c>
      <c r="H51" s="9">
        <v>26</v>
      </c>
    </row>
    <row r="52" spans="1:8">
      <c r="A52" s="10" t="s">
        <v>355</v>
      </c>
      <c r="B52" s="12">
        <v>0.2867237887423378</v>
      </c>
      <c r="C52" s="12">
        <v>0.2701818366536946</v>
      </c>
      <c r="D52" s="12">
        <v>0.02614822230786609</v>
      </c>
      <c r="E52" s="12">
        <v>0.1842263899574208</v>
      </c>
      <c r="F52" s="12"/>
      <c r="G52" s="9">
        <v>26</v>
      </c>
      <c r="H52" s="9">
        <v>26</v>
      </c>
    </row>
    <row r="53" spans="1:8">
      <c r="A53" s="10" t="s">
        <v>359</v>
      </c>
      <c r="B53" s="12">
        <v>0.277256595332235</v>
      </c>
      <c r="C53" s="12">
        <v>0.252727586741155</v>
      </c>
      <c r="D53" s="12">
        <v>0.02717889007921141</v>
      </c>
      <c r="E53" s="12">
        <v>0.1673222000988132</v>
      </c>
      <c r="F53" s="12"/>
      <c r="G53" s="9">
        <v>26</v>
      </c>
      <c r="H53" s="9">
        <v>26</v>
      </c>
    </row>
    <row r="54" spans="1:8">
      <c r="A54" s="10" t="s">
        <v>363</v>
      </c>
      <c r="B54" s="12">
        <v>0.2759142027440557</v>
      </c>
      <c r="C54" s="12">
        <v>0.2488783142412739</v>
      </c>
      <c r="D54" s="12">
        <v>0.03164232135571647</v>
      </c>
      <c r="E54" s="12">
        <v>0.1662946677078666</v>
      </c>
      <c r="F54" s="12"/>
      <c r="G54" s="9">
        <v>26</v>
      </c>
      <c r="H54" s="9">
        <v>26</v>
      </c>
    </row>
    <row r="55" spans="1:8">
      <c r="A55" s="10" t="s">
        <v>367</v>
      </c>
      <c r="B55" s="12">
        <v>0.2828567561892474</v>
      </c>
      <c r="C55" s="12">
        <v>0.2240429526039379</v>
      </c>
      <c r="D55" s="12">
        <v>0.02179261446600095</v>
      </c>
      <c r="E55" s="12">
        <v>0.1306121717605553</v>
      </c>
      <c r="F55" s="12"/>
      <c r="G55" s="9">
        <v>26</v>
      </c>
      <c r="H55" s="9">
        <v>26</v>
      </c>
    </row>
    <row r="56" spans="1:8">
      <c r="A56" s="10" t="s">
        <v>371</v>
      </c>
      <c r="B56" s="12">
        <v>0.2537225760342623</v>
      </c>
      <c r="C56" s="12">
        <v>0.2352152638485213</v>
      </c>
      <c r="D56" s="12">
        <v>0.00246226612281032</v>
      </c>
      <c r="E56" s="12">
        <v>0.117205111374272</v>
      </c>
      <c r="F56" s="12"/>
      <c r="G56" s="9">
        <v>26</v>
      </c>
      <c r="H56" s="9">
        <v>26</v>
      </c>
    </row>
    <row r="57" spans="1:8">
      <c r="A57" s="10" t="s">
        <v>375</v>
      </c>
      <c r="B57" s="12">
        <v>0.2525985399778353</v>
      </c>
      <c r="C57" s="12">
        <v>0.2390484176453742</v>
      </c>
      <c r="D57" s="12">
        <v>0.002844159240710057</v>
      </c>
      <c r="E57" s="12">
        <v>0.1247509570783024</v>
      </c>
      <c r="F57" s="12"/>
      <c r="G57" s="9">
        <v>26</v>
      </c>
      <c r="H57" s="9">
        <v>26</v>
      </c>
    </row>
    <row r="58" spans="1:8">
      <c r="A58" s="10" t="s">
        <v>379</v>
      </c>
      <c r="B58" s="12">
        <v>0.2533207982463304</v>
      </c>
      <c r="C58" s="12">
        <v>0.2483431856094005</v>
      </c>
      <c r="D58" s="12">
        <v>0.02813109315356946</v>
      </c>
      <c r="E58" s="12">
        <v>0.1211651342655273</v>
      </c>
      <c r="F58" s="12"/>
      <c r="G58" s="9">
        <v>26</v>
      </c>
      <c r="H58" s="9">
        <v>26</v>
      </c>
    </row>
    <row r="59" spans="1:8">
      <c r="A59" s="10" t="s">
        <v>383</v>
      </c>
      <c r="B59" s="12">
        <v>0.2544759187801035</v>
      </c>
      <c r="C59" s="12">
        <v>0.2597594869830454</v>
      </c>
      <c r="D59" s="12">
        <v>0.02299619315795613</v>
      </c>
      <c r="E59" s="12">
        <v>0.1057204355006765</v>
      </c>
      <c r="F59" s="12"/>
      <c r="G59" s="9">
        <v>26</v>
      </c>
      <c r="H59" s="9">
        <v>26</v>
      </c>
    </row>
    <row r="60" spans="1:8">
      <c r="A60" s="10" t="s">
        <v>387</v>
      </c>
      <c r="B60" s="12">
        <v>0.2305973061219647</v>
      </c>
      <c r="C60" s="12">
        <v>0.2728067996906029</v>
      </c>
      <c r="D60" s="12">
        <v>-0.0152524844102368</v>
      </c>
      <c r="E60" s="12">
        <v>0.1191012464798594</v>
      </c>
      <c r="F60" s="12"/>
      <c r="G60" s="9">
        <v>26</v>
      </c>
      <c r="H60" s="9">
        <v>26</v>
      </c>
    </row>
    <row r="61" spans="1:8">
      <c r="A61" s="10" t="s">
        <v>391</v>
      </c>
      <c r="B61" s="12">
        <v>0.1899082632548853</v>
      </c>
      <c r="C61" s="12">
        <v>0.2869118540192079</v>
      </c>
      <c r="D61" s="12">
        <v>-0.01079055167123535</v>
      </c>
      <c r="E61" s="12">
        <v>0.1350847696913817</v>
      </c>
      <c r="F61" s="12"/>
      <c r="G61" s="9">
        <v>26</v>
      </c>
      <c r="H61" s="9">
        <v>26</v>
      </c>
    </row>
    <row r="62" spans="1:8">
      <c r="A62" s="10" t="s">
        <v>395</v>
      </c>
      <c r="B62" s="12">
        <v>0.2537188457083483</v>
      </c>
      <c r="C62" s="12">
        <v>0.292964395628745</v>
      </c>
      <c r="D62" s="12">
        <v>-0.05645301448079037</v>
      </c>
      <c r="E62" s="12">
        <v>0.09301364606818745</v>
      </c>
      <c r="F62" s="12"/>
      <c r="G62" s="9">
        <v>26</v>
      </c>
      <c r="H62" s="9">
        <v>26</v>
      </c>
    </row>
    <row r="63" spans="1:8">
      <c r="A63" s="10" t="s">
        <v>399</v>
      </c>
      <c r="B63" s="12">
        <v>0.2336707284369132</v>
      </c>
      <c r="C63" s="12">
        <v>0.3217438013920093</v>
      </c>
      <c r="D63" s="12">
        <v>-0.07692149724495487</v>
      </c>
      <c r="E63" s="12">
        <v>0.07243339663634206</v>
      </c>
      <c r="F63" s="12"/>
      <c r="G63" s="9">
        <v>26</v>
      </c>
      <c r="H63" s="9">
        <v>26</v>
      </c>
    </row>
    <row r="64" spans="1:8">
      <c r="A64" s="10" t="s">
        <v>403</v>
      </c>
      <c r="B64" s="12">
        <v>0.2316987080814681</v>
      </c>
      <c r="C64" s="12">
        <v>0.3076965119675077</v>
      </c>
      <c r="D64" s="12">
        <v>-0.06930790813284982</v>
      </c>
      <c r="E64" s="12">
        <v>0.06038098051943217</v>
      </c>
      <c r="F64" s="12"/>
      <c r="G64" s="9">
        <v>26</v>
      </c>
      <c r="H64" s="9">
        <v>26</v>
      </c>
    </row>
    <row r="65" spans="1:8">
      <c r="A65" s="10" t="s">
        <v>407</v>
      </c>
      <c r="B65" s="12">
        <v>0.1419722255195997</v>
      </c>
      <c r="C65" s="12">
        <v>0.343028603706873</v>
      </c>
      <c r="D65" s="12">
        <v>-0.006153999432623541</v>
      </c>
      <c r="E65" s="12">
        <v>0.08326568398880123</v>
      </c>
      <c r="F65" s="12"/>
      <c r="G65" s="9">
        <v>26</v>
      </c>
      <c r="H65" s="9">
        <v>26</v>
      </c>
    </row>
    <row r="66" spans="1:8">
      <c r="A66" s="10" t="s">
        <v>411</v>
      </c>
      <c r="B66" s="12">
        <v>0.09938304875011163</v>
      </c>
      <c r="C66" s="12">
        <v>0.2256569805544733</v>
      </c>
      <c r="D66" s="12">
        <v>0.05501199868591856</v>
      </c>
      <c r="E66" s="12">
        <v>0.08619786060913844</v>
      </c>
      <c r="F66" s="12"/>
      <c r="G66" s="9">
        <v>26</v>
      </c>
      <c r="H66" s="9">
        <v>26</v>
      </c>
    </row>
    <row r="67" spans="1:8">
      <c r="A67" s="10" t="s">
        <v>415</v>
      </c>
      <c r="B67" s="12">
        <v>0.1090253433935436</v>
      </c>
      <c r="C67" s="12">
        <v>0.2104258387646021</v>
      </c>
      <c r="D67" s="12">
        <v>0.0269360872020631</v>
      </c>
      <c r="E67" s="12">
        <v>0.09484849288237078</v>
      </c>
      <c r="F67" s="12"/>
      <c r="G67" s="9">
        <v>26</v>
      </c>
      <c r="H67" s="9">
        <v>26</v>
      </c>
    </row>
    <row r="68" spans="1:8">
      <c r="A68" s="10" t="s">
        <v>419</v>
      </c>
      <c r="B68" s="12">
        <v>0.146537085176934</v>
      </c>
      <c r="C68" s="12">
        <v>0.1786550435312301</v>
      </c>
      <c r="D68" s="12">
        <v>0.04077592396618494</v>
      </c>
      <c r="E68" s="12">
        <v>0.1262750829861928</v>
      </c>
      <c r="F68" s="12"/>
      <c r="G68" s="9">
        <v>26</v>
      </c>
      <c r="H68" s="9">
        <v>26</v>
      </c>
    </row>
    <row r="69" spans="1:8">
      <c r="A69" s="10" t="s">
        <v>423</v>
      </c>
      <c r="B69" s="12">
        <v>0.1980731529156888</v>
      </c>
      <c r="C69" s="12">
        <v>0.1030606273704593</v>
      </c>
      <c r="D69" s="12">
        <v>0.07879442543559149</v>
      </c>
      <c r="E69" s="12">
        <v>0.1014400297454884</v>
      </c>
      <c r="F69" s="12"/>
      <c r="G69" s="9">
        <v>26</v>
      </c>
      <c r="H69" s="9">
        <v>26</v>
      </c>
    </row>
    <row r="70" spans="1:8">
      <c r="A70" s="10" t="s">
        <v>427</v>
      </c>
      <c r="B70" s="12">
        <v>0.1872146786412518</v>
      </c>
      <c r="C70" s="12">
        <v>0.127615632813955</v>
      </c>
      <c r="D70" s="12">
        <v>0.04646703930911049</v>
      </c>
      <c r="E70" s="12">
        <v>0.1163764641367858</v>
      </c>
      <c r="F70" s="12"/>
      <c r="G70" s="9">
        <v>26</v>
      </c>
      <c r="H70" s="9">
        <v>26</v>
      </c>
    </row>
    <row r="71" spans="1:8">
      <c r="A71" s="10" t="s">
        <v>431</v>
      </c>
      <c r="B71" s="12">
        <v>0.172264637074217</v>
      </c>
      <c r="C71" s="12">
        <v>0.1065794105745246</v>
      </c>
      <c r="D71" s="12">
        <v>0.03374312206651312</v>
      </c>
      <c r="E71" s="12">
        <v>0.1263556504245374</v>
      </c>
      <c r="F71" s="12"/>
      <c r="G71" s="9">
        <v>26</v>
      </c>
      <c r="H71" s="9">
        <v>26</v>
      </c>
    </row>
    <row r="72" spans="1:8">
      <c r="A72" s="10" t="s">
        <v>435</v>
      </c>
      <c r="B72" s="12">
        <v>0.1903389155995276</v>
      </c>
      <c r="C72" s="12">
        <v>0.1401577412942943</v>
      </c>
      <c r="D72" s="12">
        <v>0.09233599238230054</v>
      </c>
      <c r="E72" s="12">
        <v>0.09417378555174868</v>
      </c>
      <c r="F72" s="12"/>
      <c r="G72" s="9">
        <v>26</v>
      </c>
      <c r="H72" s="9">
        <v>26</v>
      </c>
    </row>
    <row r="73" spans="1:8">
      <c r="A73" s="10" t="s">
        <v>439</v>
      </c>
      <c r="B73" s="12">
        <v>0.1538648954965104</v>
      </c>
      <c r="C73" s="12">
        <v>0.1757819547722094</v>
      </c>
      <c r="D73" s="12">
        <v>0.07032668602485784</v>
      </c>
      <c r="E73" s="12">
        <v>0.07590326716785585</v>
      </c>
      <c r="F73" s="12"/>
      <c r="G73" s="9">
        <v>26</v>
      </c>
      <c r="H73" s="9">
        <v>26</v>
      </c>
    </row>
    <row r="74" spans="1:8">
      <c r="A74" s="10" t="s">
        <v>443</v>
      </c>
      <c r="B74" s="12">
        <v>0.02590368641408597</v>
      </c>
      <c r="C74" s="12">
        <v>0.1176043027708358</v>
      </c>
      <c r="D74" s="12">
        <v>0.0529316639910565</v>
      </c>
      <c r="E74" s="12">
        <v>0.1199794539471461</v>
      </c>
      <c r="F74" s="12"/>
      <c r="G74" s="9">
        <v>26</v>
      </c>
      <c r="H74" s="9">
        <v>26</v>
      </c>
    </row>
    <row r="75" spans="1:8">
      <c r="A75" s="10" t="s">
        <v>447</v>
      </c>
      <c r="B75" s="12">
        <v>0.03535508046003691</v>
      </c>
      <c r="C75" s="12">
        <v>-0.09507424260171325</v>
      </c>
      <c r="D75" s="12">
        <v>-0.04002372934721231</v>
      </c>
      <c r="E75" s="12">
        <v>0.1067379707111602</v>
      </c>
      <c r="F75" s="12"/>
      <c r="G75" s="9">
        <v>26</v>
      </c>
      <c r="H75" s="9">
        <v>26</v>
      </c>
    </row>
    <row r="76" spans="1:8">
      <c r="A76" s="10" t="s">
        <v>451</v>
      </c>
      <c r="B76" s="12">
        <v>0.03310498275546382</v>
      </c>
      <c r="C76" s="12">
        <v>-0.1034029673654277</v>
      </c>
      <c r="D76" s="12">
        <v>-0.1030952752223002</v>
      </c>
      <c r="E76" s="12">
        <v>0.1159125724616053</v>
      </c>
      <c r="F76" s="12"/>
      <c r="G76" s="9">
        <v>26</v>
      </c>
      <c r="H76" s="9">
        <v>26</v>
      </c>
    </row>
    <row r="77" spans="1:8">
      <c r="A77" s="10" t="s">
        <v>455</v>
      </c>
      <c r="B77" s="12">
        <v>0.02687577121501961</v>
      </c>
      <c r="C77" s="12">
        <v>-0.0980253964784227</v>
      </c>
      <c r="D77" s="12">
        <v>-0.0858452046192562</v>
      </c>
      <c r="E77" s="12">
        <v>0.1580008669668733</v>
      </c>
      <c r="F77" s="12"/>
      <c r="G77" s="9">
        <v>26</v>
      </c>
      <c r="H77" s="9">
        <v>26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M39"/>
  <sheetViews>
    <sheetView workbookViewId="0"/>
  </sheetViews>
  <sheetFormatPr defaultRowHeight="15"/>
  <cols>
    <col min="1" max="1" width="34.7109375" customWidth="1"/>
    <col min="2" max="2" width="14.7109375" customWidth="1"/>
    <col min="3" max="3" width="60.7109375" customWidth="1"/>
    <col min="4" max="5" width="9.7109375" customWidth="1"/>
    <col min="6" max="6" width="12.7109375" customWidth="1"/>
    <col min="7" max="7" width="8.7109375" customWidth="1"/>
    <col min="8" max="8" width="13.7109375" customWidth="1"/>
    <col min="9" max="9" width="8.7109375" customWidth="1"/>
    <col min="10" max="10" width="12.7109375" customWidth="1"/>
    <col min="11" max="11" width="8.7109375" customWidth="1"/>
    <col min="12" max="12" width="11.7109375" customWidth="1"/>
    <col min="13" max="13" width="8.7109375" customWidth="1"/>
  </cols>
  <sheetData>
    <row r="1" spans="1:6">
      <c r="A1" s="3" t="s">
        <v>1308</v>
      </c>
    </row>
    <row r="2" spans="1:6">
      <c r="A2" s="8" t="s">
        <v>1309</v>
      </c>
      <c r="B2" s="8" t="s">
        <v>1310</v>
      </c>
      <c r="C2" s="8" t="s">
        <v>1203</v>
      </c>
      <c r="D2" s="8" t="s">
        <v>1311</v>
      </c>
      <c r="E2" s="8" t="s">
        <v>1211</v>
      </c>
      <c r="F2" s="8" t="s">
        <v>1202</v>
      </c>
    </row>
    <row r="3" spans="1:6">
      <c r="A3" s="14" t="s">
        <v>1312</v>
      </c>
      <c r="B3" s="9">
        <v>-6</v>
      </c>
      <c r="C3" s="12">
        <v>0.2309387027561347</v>
      </c>
      <c r="D3" s="16">
        <v>0.02434482064609167</v>
      </c>
      <c r="E3" s="16">
        <v>0.6086205161522917</v>
      </c>
      <c r="F3" s="9">
        <v>95</v>
      </c>
    </row>
    <row r="4" spans="1:6">
      <c r="A4" s="14" t="s">
        <v>1313</v>
      </c>
      <c r="B4" s="9">
        <v>-6</v>
      </c>
      <c r="C4" s="12">
        <v>0.2985357447458713</v>
      </c>
      <c r="D4" s="16">
        <v>0.00329731875285133</v>
      </c>
      <c r="E4" s="16">
        <v>0.08243296882128326</v>
      </c>
      <c r="F4" s="9">
        <v>95</v>
      </c>
    </row>
    <row r="5" spans="1:6">
      <c r="A5" s="14" t="s">
        <v>1314</v>
      </c>
      <c r="B5" s="9">
        <v>8</v>
      </c>
      <c r="C5" s="12">
        <v>-0.2096050006121042</v>
      </c>
      <c r="D5" s="16">
        <v>0.04493022989105366</v>
      </c>
      <c r="E5" s="16">
        <v>0.8328018114972217</v>
      </c>
      <c r="F5" s="9">
        <v>92</v>
      </c>
    </row>
    <row r="6" spans="1:6">
      <c r="A6" s="14" t="s">
        <v>1315</v>
      </c>
      <c r="B6" s="9">
        <v>-11</v>
      </c>
      <c r="C6" s="12">
        <v>-0.6159933987363531</v>
      </c>
      <c r="D6" s="16">
        <v>1.03172359544601E-10</v>
      </c>
      <c r="E6" s="16">
        <v>8.977078339948245E-10</v>
      </c>
      <c r="F6" s="9">
        <v>90</v>
      </c>
    </row>
    <row r="7" spans="1:6">
      <c r="A7" s="14" t="s">
        <v>1316</v>
      </c>
      <c r="B7" s="9">
        <v>-12</v>
      </c>
      <c r="C7" s="12">
        <v>0.1657003756545449</v>
      </c>
      <c r="D7" s="16">
        <v>0.1206946243912217</v>
      </c>
      <c r="E7" s="16">
        <v>0.6114498470575311</v>
      </c>
      <c r="F7" s="9">
        <v>89</v>
      </c>
    </row>
    <row r="8" spans="1:6">
      <c r="A8" s="14" t="s">
        <v>1317</v>
      </c>
      <c r="B8" s="9">
        <v>-12</v>
      </c>
      <c r="C8" s="12">
        <v>0.2021158993331721</v>
      </c>
      <c r="D8" s="16">
        <v>0.05750454289208062</v>
      </c>
      <c r="E8" s="16">
        <v>0.7906997863109753</v>
      </c>
      <c r="F8" s="9">
        <v>89</v>
      </c>
    </row>
    <row r="10" spans="1:6">
      <c r="A10" s="3" t="s">
        <v>1318</v>
      </c>
    </row>
    <row r="11" spans="1:6">
      <c r="A11" s="8" t="s">
        <v>1319</v>
      </c>
      <c r="B11" s="8" t="s">
        <v>1310</v>
      </c>
      <c r="C11" s="8" t="s">
        <v>1203</v>
      </c>
      <c r="D11" s="8" t="s">
        <v>1311</v>
      </c>
      <c r="E11" s="8" t="s">
        <v>1320</v>
      </c>
    </row>
    <row r="12" spans="1:6">
      <c r="A12" s="14" t="s">
        <v>1321</v>
      </c>
      <c r="B12" s="9">
        <v>9</v>
      </c>
      <c r="C12" s="12">
        <v>0.2033772770961629</v>
      </c>
      <c r="D12" s="16">
        <v>0.05593218811288159</v>
      </c>
      <c r="E12" s="14" t="s">
        <v>1322</v>
      </c>
    </row>
    <row r="13" spans="1:6">
      <c r="A13" s="14" t="s">
        <v>1323</v>
      </c>
      <c r="B13" s="9">
        <v>-7</v>
      </c>
      <c r="C13" s="12">
        <v>0.2182585819732813</v>
      </c>
      <c r="D13" s="16">
        <v>0.03457235743727938</v>
      </c>
      <c r="E13" s="14" t="s">
        <v>1322</v>
      </c>
    </row>
    <row r="14" spans="1:6">
      <c r="A14" s="14" t="s">
        <v>1324</v>
      </c>
      <c r="B14" s="9">
        <v>-6</v>
      </c>
      <c r="C14" s="12">
        <v>0.2309387027561347</v>
      </c>
      <c r="D14" s="16">
        <v>0.02434482064609167</v>
      </c>
      <c r="E14" s="14" t="s">
        <v>1325</v>
      </c>
    </row>
    <row r="15" spans="1:6">
      <c r="A15" s="14" t="s">
        <v>1326</v>
      </c>
      <c r="B15" s="9">
        <v>-5</v>
      </c>
      <c r="C15" s="12">
        <v>0.2309387027561347</v>
      </c>
      <c r="D15" s="16">
        <v>0.02434482064609167</v>
      </c>
      <c r="E15" s="14" t="s">
        <v>1322</v>
      </c>
    </row>
    <row r="16" spans="1:6">
      <c r="A16" s="14" t="s">
        <v>1327</v>
      </c>
      <c r="B16" s="9">
        <v>-4</v>
      </c>
      <c r="C16" s="12">
        <v>0.2309387027561347</v>
      </c>
      <c r="D16" s="16">
        <v>0.02434482064609167</v>
      </c>
      <c r="E16" s="14" t="s">
        <v>1322</v>
      </c>
    </row>
    <row r="18" spans="1:13">
      <c r="A18" s="3" t="s">
        <v>1328</v>
      </c>
    </row>
    <row r="19" spans="1:13">
      <c r="A19" s="8" t="s">
        <v>1329</v>
      </c>
      <c r="B19" s="8" t="s">
        <v>1330</v>
      </c>
      <c r="C19" s="8" t="s">
        <v>1202</v>
      </c>
      <c r="D19" s="8" t="s">
        <v>1331</v>
      </c>
      <c r="E19" s="8" t="s">
        <v>1332</v>
      </c>
      <c r="F19" s="8" t="s">
        <v>1333</v>
      </c>
      <c r="G19" s="8" t="s">
        <v>1334</v>
      </c>
      <c r="H19" s="8" t="s">
        <v>1335</v>
      </c>
      <c r="I19" s="8" t="s">
        <v>1334</v>
      </c>
      <c r="J19" s="8" t="s">
        <v>1336</v>
      </c>
      <c r="K19" s="8" t="s">
        <v>1334</v>
      </c>
      <c r="L19" s="8" t="s">
        <v>1337</v>
      </c>
      <c r="M19" s="8" t="s">
        <v>1334</v>
      </c>
    </row>
    <row r="20" spans="1:13">
      <c r="A20" s="14" t="s">
        <v>1334</v>
      </c>
      <c r="B20" s="14" t="s">
        <v>1338</v>
      </c>
      <c r="C20" s="9">
        <v>100</v>
      </c>
      <c r="D20" s="16">
        <v>0.004821623033246514</v>
      </c>
      <c r="E20" s="16">
        <v>-0.01569751875988246</v>
      </c>
      <c r="F20" s="16">
        <v>-0.0001041491270046877</v>
      </c>
      <c r="G20" s="12">
        <v>-0.4515135935709823</v>
      </c>
      <c r="H20" s="16">
        <v>-3.193648953988034E-05</v>
      </c>
      <c r="I20" s="12">
        <v>-0.640083294419725</v>
      </c>
      <c r="J20" s="16"/>
      <c r="K20" s="12"/>
      <c r="L20" s="16"/>
      <c r="M20" s="12"/>
    </row>
    <row r="21" spans="1:13">
      <c r="A21" s="14" t="s">
        <v>1334</v>
      </c>
      <c r="B21" s="14" t="s">
        <v>1339</v>
      </c>
      <c r="C21" s="9">
        <v>99</v>
      </c>
      <c r="D21" s="16">
        <v>0.1264586792541538</v>
      </c>
      <c r="E21" s="16">
        <v>0.08928670815858586</v>
      </c>
      <c r="F21" s="16">
        <v>-0.0002747661548145289</v>
      </c>
      <c r="G21" s="12">
        <v>-1.315572003175112</v>
      </c>
      <c r="H21" s="16">
        <v>-4.150028927124906E-05</v>
      </c>
      <c r="I21" s="12">
        <v>-0.6606481340289517</v>
      </c>
      <c r="J21" s="16">
        <v>8.378269962121875E-05</v>
      </c>
      <c r="K21" s="12">
        <v>0.7024797053394585</v>
      </c>
      <c r="L21" s="16">
        <v>-0.001116878748592223</v>
      </c>
      <c r="M21" s="12">
        <v>-1.97629204959301</v>
      </c>
    </row>
    <row r="22" spans="1:13">
      <c r="A22" s="14" t="s">
        <v>1340</v>
      </c>
      <c r="B22" s="14" t="s">
        <v>1338</v>
      </c>
      <c r="C22" s="9">
        <v>99</v>
      </c>
      <c r="D22" s="16">
        <v>0.0211612849899675</v>
      </c>
      <c r="E22" s="16">
        <v>0.0007688117605918476</v>
      </c>
      <c r="F22" s="16">
        <v>0.0003988104273476511</v>
      </c>
      <c r="G22" s="12">
        <v>0.9920175462356997</v>
      </c>
      <c r="H22" s="16">
        <v>-4.528428354623033E-05</v>
      </c>
      <c r="I22" s="12">
        <v>-0.7741365723736305</v>
      </c>
      <c r="J22" s="16"/>
      <c r="K22" s="12"/>
      <c r="L22" s="16"/>
      <c r="M22" s="12"/>
    </row>
    <row r="23" spans="1:13">
      <c r="A23" s="14" t="s">
        <v>1340</v>
      </c>
      <c r="B23" s="14" t="s">
        <v>1339</v>
      </c>
      <c r="C23" s="9">
        <v>98</v>
      </c>
      <c r="D23" s="16">
        <v>0.03622705777447921</v>
      </c>
      <c r="E23" s="16">
        <v>-0.005225541891134444</v>
      </c>
      <c r="F23" s="16">
        <v>0.0004241823071094754</v>
      </c>
      <c r="G23" s="12">
        <v>1.111835156286147</v>
      </c>
      <c r="H23" s="16">
        <v>-7.336387328478053E-05</v>
      </c>
      <c r="I23" s="12">
        <v>-0.975323591221451</v>
      </c>
      <c r="J23" s="16">
        <v>0.0001303054155654547</v>
      </c>
      <c r="K23" s="12">
        <v>0.9097582764995096</v>
      </c>
      <c r="L23" s="16">
        <v>3.352082177985924E-05</v>
      </c>
      <c r="M23" s="12">
        <v>0.1261823665511935</v>
      </c>
    </row>
    <row r="24" spans="1:13">
      <c r="A24" s="14" t="s">
        <v>1341</v>
      </c>
      <c r="B24" s="14" t="s">
        <v>1338</v>
      </c>
      <c r="C24" s="9">
        <v>98</v>
      </c>
      <c r="D24" s="16">
        <v>0.01964997228416565</v>
      </c>
      <c r="E24" s="16">
        <v>-0.0009889756677465833</v>
      </c>
      <c r="F24" s="16">
        <v>0.0003443032326430367</v>
      </c>
      <c r="G24" s="12">
        <v>0.9352636337513458</v>
      </c>
      <c r="H24" s="16">
        <v>-5.88212618704442E-05</v>
      </c>
      <c r="I24" s="12">
        <v>-0.8724539690557859</v>
      </c>
      <c r="J24" s="16"/>
      <c r="K24" s="12"/>
      <c r="L24" s="16"/>
      <c r="M24" s="12"/>
    </row>
    <row r="25" spans="1:13">
      <c r="A25" s="14" t="s">
        <v>1341</v>
      </c>
      <c r="B25" s="14" t="s">
        <v>1339</v>
      </c>
      <c r="C25" s="9">
        <v>97</v>
      </c>
      <c r="D25" s="16">
        <v>0.05059433177906347</v>
      </c>
      <c r="E25" s="16">
        <v>0.009315824465109701</v>
      </c>
      <c r="F25" s="16">
        <v>0.0004144934443482109</v>
      </c>
      <c r="G25" s="12">
        <v>1.17440951179286</v>
      </c>
      <c r="H25" s="16">
        <v>-8.523509500248912E-05</v>
      </c>
      <c r="I25" s="12">
        <v>-0.9779410575662296</v>
      </c>
      <c r="J25" s="16">
        <v>0.0001087796373472555</v>
      </c>
      <c r="K25" s="12">
        <v>0.694504416486557</v>
      </c>
      <c r="L25" s="16">
        <v>0.0004042628410064993</v>
      </c>
      <c r="M25" s="12">
        <v>1.980858111486911</v>
      </c>
    </row>
    <row r="27" spans="1:13">
      <c r="A27" s="3" t="s">
        <v>1342</v>
      </c>
    </row>
    <row r="28" spans="1:13">
      <c r="A28" s="8" t="s">
        <v>1343</v>
      </c>
      <c r="B28" s="8" t="s">
        <v>1344</v>
      </c>
      <c r="C28" s="8" t="s">
        <v>1201</v>
      </c>
    </row>
    <row r="29" spans="1:13">
      <c r="A29" s="14" t="s">
        <v>1345</v>
      </c>
      <c r="B29" s="12">
        <v>-4.179386201728487</v>
      </c>
      <c r="C29" s="14" t="s">
        <v>1346</v>
      </c>
    </row>
    <row r="30" spans="1:13">
      <c r="A30" s="14" t="s">
        <v>1347</v>
      </c>
      <c r="B30" s="12">
        <v>-1.396765061875459</v>
      </c>
      <c r="C30" s="14" t="s">
        <v>1348</v>
      </c>
    </row>
    <row r="31" spans="1:13">
      <c r="A31" s="14" t="s">
        <v>1349</v>
      </c>
      <c r="B31" s="12">
        <v>-1.17391740144171</v>
      </c>
      <c r="C31" s="14" t="s">
        <v>1350</v>
      </c>
    </row>
    <row r="32" spans="1:13">
      <c r="A32" s="14" t="s">
        <v>1351</v>
      </c>
      <c r="B32" s="12">
        <v>0.2512090154068504</v>
      </c>
      <c r="C32" s="14" t="s">
        <v>1352</v>
      </c>
    </row>
    <row r="33" spans="1:3">
      <c r="A33" s="14" t="s">
        <v>1353</v>
      </c>
      <c r="B33" s="12">
        <v>0.1469721422496883</v>
      </c>
      <c r="C33" s="14" t="s">
        <v>1354</v>
      </c>
    </row>
    <row r="34" spans="1:3">
      <c r="A34" s="14" t="s">
        <v>1355</v>
      </c>
      <c r="B34" s="12">
        <v>15.92883984909161</v>
      </c>
      <c r="C34" s="14" t="s">
        <v>1356</v>
      </c>
    </row>
    <row r="35" spans="1:3">
      <c r="A35" s="14" t="s">
        <v>1357</v>
      </c>
      <c r="B35" s="12">
        <v>93.80756311606277</v>
      </c>
      <c r="C35" s="14" t="s">
        <v>1358</v>
      </c>
    </row>
    <row r="36" spans="1:3">
      <c r="A36" s="14" t="s">
        <v>1359</v>
      </c>
      <c r="B36" s="12">
        <v>-0.004595444807361223</v>
      </c>
      <c r="C36" s="14" t="s">
        <v>1360</v>
      </c>
    </row>
    <row r="37" spans="1:3">
      <c r="A37" s="14" t="s">
        <v>1361</v>
      </c>
      <c r="B37" s="12">
        <v>2.200685887105896</v>
      </c>
      <c r="C37" s="14" t="s">
        <v>1362</v>
      </c>
    </row>
    <row r="38" spans="1:3">
      <c r="A38" s="14" t="s">
        <v>1363</v>
      </c>
      <c r="B38" s="12">
        <v>-0.7414999999999999</v>
      </c>
      <c r="C38" s="14" t="s">
        <v>1364</v>
      </c>
    </row>
    <row r="39" spans="1:3">
      <c r="A39" s="14" t="s">
        <v>1365</v>
      </c>
      <c r="B39" s="12">
        <v>7.735660618332489</v>
      </c>
      <c r="C39" s="14" t="s">
        <v>1366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21"/>
  <sheetViews>
    <sheetView workbookViewId="0"/>
  </sheetViews>
  <sheetFormatPr defaultRowHeight="15"/>
  <cols>
    <col min="1" max="1" width="6.7109375" customWidth="1"/>
    <col min="2" max="2" width="26.7109375" customWidth="1"/>
    <col min="3" max="3" width="92.7109375" customWidth="1"/>
    <col min="4" max="4" width="34.7109375" customWidth="1"/>
  </cols>
  <sheetData>
    <row r="1" spans="1:4">
      <c r="A1" s="1" t="s">
        <v>1367</v>
      </c>
    </row>
    <row r="3" spans="1:4">
      <c r="A3" s="8" t="s">
        <v>1368</v>
      </c>
      <c r="B3" s="8" t="s">
        <v>1369</v>
      </c>
      <c r="C3" s="8" t="s">
        <v>1370</v>
      </c>
      <c r="D3" s="8" t="s">
        <v>1371</v>
      </c>
    </row>
    <row r="4" spans="1:4" ht="34" customHeight="1">
      <c r="A4" s="9">
        <v>1</v>
      </c>
      <c r="B4" s="20" t="s">
        <v>1372</v>
      </c>
      <c r="C4" s="21" t="s">
        <v>1373</v>
      </c>
      <c r="D4" s="5" t="s">
        <v>1374</v>
      </c>
    </row>
    <row r="5" spans="1:4" ht="34" customHeight="1">
      <c r="A5" s="9">
        <v>2</v>
      </c>
      <c r="B5" s="20" t="s">
        <v>1375</v>
      </c>
      <c r="C5" s="21" t="s">
        <v>1376</v>
      </c>
      <c r="D5" s="5" t="s">
        <v>1377</v>
      </c>
    </row>
    <row r="6" spans="1:4" ht="34" customHeight="1">
      <c r="A6" s="9">
        <v>3</v>
      </c>
      <c r="B6" s="20" t="s">
        <v>1378</v>
      </c>
      <c r="C6" s="21" t="s">
        <v>1379</v>
      </c>
      <c r="D6" s="5" t="s">
        <v>1380</v>
      </c>
    </row>
    <row r="7" spans="1:4" ht="34" customHeight="1">
      <c r="A7" s="9">
        <v>4</v>
      </c>
      <c r="B7" s="20" t="s">
        <v>1381</v>
      </c>
      <c r="C7" s="21" t="s">
        <v>1382</v>
      </c>
      <c r="D7" s="5" t="s">
        <v>1383</v>
      </c>
    </row>
    <row r="8" spans="1:4" ht="34" customHeight="1">
      <c r="A8" s="9">
        <v>5</v>
      </c>
      <c r="B8" s="20" t="s">
        <v>1384</v>
      </c>
      <c r="C8" s="21" t="s">
        <v>1385</v>
      </c>
      <c r="D8" s="5" t="s">
        <v>1386</v>
      </c>
    </row>
    <row r="9" spans="1:4" ht="34" customHeight="1">
      <c r="A9" s="9">
        <v>6</v>
      </c>
      <c r="B9" s="20" t="s">
        <v>1387</v>
      </c>
      <c r="C9" s="21" t="s">
        <v>1388</v>
      </c>
      <c r="D9" s="5" t="s">
        <v>1389</v>
      </c>
    </row>
    <row r="10" spans="1:4" ht="34" customHeight="1">
      <c r="A10" s="9">
        <v>7</v>
      </c>
      <c r="B10" s="20" t="s">
        <v>1390</v>
      </c>
      <c r="C10" s="21" t="s">
        <v>1391</v>
      </c>
      <c r="D10" s="5" t="s">
        <v>1392</v>
      </c>
    </row>
    <row r="11" spans="1:4" ht="34" customHeight="1">
      <c r="A11" s="9">
        <v>8</v>
      </c>
      <c r="B11" s="20" t="s">
        <v>1393</v>
      </c>
      <c r="C11" s="21" t="s">
        <v>1394</v>
      </c>
      <c r="D11" s="5" t="s">
        <v>1395</v>
      </c>
    </row>
    <row r="12" spans="1:4" ht="34" customHeight="1">
      <c r="A12" s="9">
        <v>9</v>
      </c>
      <c r="B12" s="20" t="s">
        <v>1396</v>
      </c>
      <c r="C12" s="21" t="s">
        <v>1397</v>
      </c>
      <c r="D12" s="5" t="s">
        <v>1398</v>
      </c>
    </row>
    <row r="13" spans="1:4" ht="34" customHeight="1">
      <c r="A13" s="9">
        <v>10</v>
      </c>
      <c r="B13" s="20" t="s">
        <v>1399</v>
      </c>
      <c r="C13" s="21" t="s">
        <v>1400</v>
      </c>
      <c r="D13" s="5" t="s">
        <v>1401</v>
      </c>
    </row>
    <row r="14" spans="1:4" ht="34" customHeight="1">
      <c r="A14" s="9">
        <v>11</v>
      </c>
      <c r="B14" s="20" t="s">
        <v>1402</v>
      </c>
      <c r="C14" s="21" t="s">
        <v>1403</v>
      </c>
      <c r="D14" s="5" t="s">
        <v>1404</v>
      </c>
    </row>
    <row r="15" spans="1:4" ht="34" customHeight="1">
      <c r="A15" s="9">
        <v>12</v>
      </c>
      <c r="B15" s="20" t="s">
        <v>1405</v>
      </c>
      <c r="C15" s="21" t="s">
        <v>1406</v>
      </c>
      <c r="D15" s="5" t="s">
        <v>1407</v>
      </c>
    </row>
    <row r="16" spans="1:4" ht="34" customHeight="1">
      <c r="A16" s="9">
        <v>13</v>
      </c>
      <c r="B16" s="20" t="s">
        <v>1408</v>
      </c>
      <c r="C16" s="21" t="s">
        <v>1409</v>
      </c>
      <c r="D16" s="5" t="s">
        <v>1410</v>
      </c>
    </row>
    <row r="17" spans="1:4" ht="34" customHeight="1">
      <c r="A17" s="9">
        <v>14</v>
      </c>
      <c r="B17" s="20" t="s">
        <v>1411</v>
      </c>
      <c r="C17" s="21" t="s">
        <v>1412</v>
      </c>
      <c r="D17" s="5" t="s">
        <v>1413</v>
      </c>
    </row>
    <row r="18" spans="1:4" ht="34" customHeight="1">
      <c r="A18" s="9">
        <v>15</v>
      </c>
      <c r="B18" s="20" t="s">
        <v>1414</v>
      </c>
      <c r="C18" s="21" t="s">
        <v>1415</v>
      </c>
      <c r="D18" s="5" t="s">
        <v>1416</v>
      </c>
    </row>
    <row r="19" spans="1:4" ht="34" customHeight="1">
      <c r="A19" s="9">
        <v>16</v>
      </c>
      <c r="B19" s="20" t="s">
        <v>1417</v>
      </c>
      <c r="C19" s="21" t="s">
        <v>1418</v>
      </c>
      <c r="D19" s="5" t="s">
        <v>1419</v>
      </c>
    </row>
    <row r="21" spans="1:4" ht="44" customHeight="1">
      <c r="B21" s="5" t="s">
        <v>1420</v>
      </c>
      <c r="C21" s="5"/>
      <c r="D21" s="5"/>
    </row>
  </sheetData>
  <mergeCells count="1">
    <mergeCell ref="B21:D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00_说明</vt:lpstr>
      <vt:lpstr>01_指标A_库存原始</vt:lpstr>
      <vt:lpstr>02_指标B_期货原始</vt:lpstr>
      <vt:lpstr>03_发布日期与可得时点</vt:lpstr>
      <vt:lpstr>04_研究样本</vt:lpstr>
      <vt:lpstr>05_Lag+2</vt:lpstr>
      <vt:lpstr>05_Lag0</vt:lpstr>
      <vt:lpstr>05_Lag-2</vt:lpstr>
      <vt:lpstr>06_Lag扫描结果</vt:lpstr>
      <vt:lpstr>07_分段与逐年</vt:lpstr>
      <vt:lpstr>08_滚动相关</vt:lpstr>
      <vt:lpstr>09_回归与稳健性</vt:lpstr>
      <vt:lpstr>10_公式与口径</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甲醇港口库存 × 期货收益 领先滞后研究数据工作簿</dc:title>
  <dc:subject>期现与量化 · 查谁领先谁</dc:subject>
  <dc:creator>DSH 量化研究</dc:creator>
  <cp:lastModifiedBy>DSH 量化研究</cp:lastModifiedBy>
  <dcterms:created xsi:type="dcterms:W3CDTF">2026-10-20T05:50:16Z</dcterms:created>
  <dcterms:modified xsi:type="dcterms:W3CDTF">2026-10-20T05:50:16Z</dcterms:modified>
</cp:coreProperties>
</file>
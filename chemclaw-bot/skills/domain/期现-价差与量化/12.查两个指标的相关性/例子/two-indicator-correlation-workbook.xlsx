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drawings/drawing1.xml" ContentType="application/vnd.openxmlformats-officedocument.drawing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 说明与使用指南" sheetId="1" state="visible" r:id="rId1"/>
    <sheet xmlns:r="http://schemas.openxmlformats.org/officeDocument/2006/relationships" name="01 口径与来源" sheetId="2" state="visible" r:id="rId2"/>
    <sheet xmlns:r="http://schemas.openxmlformats.org/officeDocument/2006/relationships" name="02 原始数据" sheetId="3" state="visible" r:id="rId3"/>
    <sheet xmlns:r="http://schemas.openxmlformats.org/officeDocument/2006/relationships" name="03 频率对齐" sheetId="4" state="visible" r:id="rId4"/>
    <sheet xmlns:r="http://schemas.openxmlformats.org/officeDocument/2006/relationships" name="04 变换后数据" sheetId="5" state="visible" r:id="rId5"/>
    <sheet xmlns:r="http://schemas.openxmlformats.org/officeDocument/2006/relationships" name="05 总体相关" sheetId="6" state="visible" r:id="rId6"/>
    <sheet xmlns:r="http://schemas.openxmlformats.org/officeDocument/2006/relationships" name="06 滚动相关" sheetId="7" state="visible" r:id="rId7"/>
    <sheet xmlns:r="http://schemas.openxmlformats.org/officeDocument/2006/relationships" name="07 分阶段结果" sheetId="8" state="visible" r:id="rId8"/>
    <sheet xmlns:r="http://schemas.openxmlformats.org/officeDocument/2006/relationships" name="08 形态组合矩阵" sheetId="9" state="visible" r:id="rId9"/>
    <sheet xmlns:r="http://schemas.openxmlformats.org/officeDocument/2006/relationships" name="09 稳健性与伪相关诊断" sheetId="10" state="visible" r:id="rId10"/>
    <sheet xmlns:r="http://schemas.openxmlformats.org/officeDocument/2006/relationships" name="09b 辅助计算(残差)" sheetId="11" state="visible" r:id="rId11"/>
    <sheet xmlns:r="http://schemas.openxmlformats.org/officeDocument/2006/relationships" name="10 滞后相关" sheetId="12" state="visible" r:id="rId12"/>
    <sheet xmlns:r="http://schemas.openxmlformats.org/officeDocument/2006/relationships" name="11 事件与口径提示" sheetId="13" state="visible" r:id="rId13"/>
    <sheet xmlns:r="http://schemas.openxmlformats.org/officeDocument/2006/relationships" name="12 公式说明" sheetId="14" state="visible" r:id="rId14"/>
  </sheets>
  <definedNames/>
  <calcPr calcId="124519" fullCalcOnLoad="1"/>
</workbook>
</file>

<file path=xl/styles.xml><?xml version="1.0" encoding="utf-8"?>
<styleSheet xmlns="http://schemas.openxmlformats.org/spreadsheetml/2006/main">
  <numFmts count="5">
    <numFmt numFmtId="164" formatCode="0.0"/>
    <numFmt numFmtId="165" formatCode="0.0000"/>
    <numFmt numFmtId="166" formatCode="0.0000E+00"/>
    <numFmt numFmtId="167" formatCode="0.000"/>
    <numFmt numFmtId="168" formatCode="0.000E+00"/>
  </numFmts>
  <fonts count="10">
    <font>
      <name val="Calibri"/>
      <family val="2"/>
      <color theme="1"/>
      <sz val="11"/>
      <scheme val="minor"/>
    </font>
    <font>
      <name val="微软雅黑"/>
      <b val="1"/>
      <color rgb="001F3B57"/>
      <sz val="14"/>
    </font>
    <font>
      <name val="微软雅黑"/>
      <color rgb="006B7B8C"/>
      <sz val="9"/>
    </font>
    <font>
      <name val="微软雅黑"/>
      <b val="1"/>
      <color rgb="001F3B57"/>
      <sz val="10"/>
    </font>
    <font>
      <name val="微软雅黑"/>
      <sz val="10"/>
    </font>
    <font>
      <name val="微软雅黑"/>
      <b val="1"/>
      <color rgb="00C0392B"/>
      <sz val="10"/>
    </font>
    <font>
      <name val="微软雅黑"/>
      <b val="1"/>
      <color rgb="00FFFFFF"/>
      <sz val="10"/>
    </font>
    <font>
      <name val="微软雅黑"/>
      <b val="1"/>
      <sz val="10"/>
    </font>
    <font>
      <name val="微软雅黑"/>
      <b val="1"/>
      <color rgb="002E6DA4"/>
      <sz val="10"/>
    </font>
    <font>
      <name val="微软雅黑"/>
      <b val="1"/>
      <sz val="11"/>
    </font>
  </fonts>
  <fills count="8">
    <fill>
      <patternFill/>
    </fill>
    <fill>
      <patternFill patternType="gray125"/>
    </fill>
    <fill>
      <patternFill patternType="solid">
        <fgColor rgb="00EAF1F8"/>
      </patternFill>
    </fill>
    <fill>
      <patternFill patternType="solid">
        <fgColor rgb="00FFF3CD"/>
      </patternFill>
    </fill>
    <fill>
      <patternFill patternType="solid">
        <fgColor rgb="002E6DA4"/>
      </patternFill>
    </fill>
    <fill>
      <patternFill patternType="solid">
        <fgColor rgb="00FCE8D5"/>
      </patternFill>
    </fill>
    <fill>
      <patternFill patternType="solid">
        <fgColor rgb="00F5F8FB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9D6E3"/>
      </left>
      <right style="thin">
        <color rgb="00C9D6E3"/>
      </right>
      <top style="thin">
        <color rgb="00C9D6E3"/>
      </top>
      <bottom style="thin">
        <color rgb="00C9D6E3"/>
      </bottom>
    </border>
  </borders>
  <cellStyleXfs count="1">
    <xf numFmtId="0" fontId="0" fillId="0" borderId="0"/>
  </cellStyleXfs>
  <cellXfs count="40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left" vertical="center" wrapText="1"/>
    </xf>
    <xf numFmtId="0" fontId="3" fillId="2" borderId="1" applyAlignment="1" pivotButton="0" quotePrefix="0" xfId="0">
      <alignment vertical="top" wrapText="1"/>
    </xf>
    <xf numFmtId="0" fontId="4" fillId="0" borderId="1" applyAlignment="1" pivotButton="0" quotePrefix="0" xfId="0">
      <alignment vertical="top" wrapText="1"/>
    </xf>
    <xf numFmtId="0" fontId="5" fillId="0" borderId="0" pivotButton="0" quotePrefix="0" xfId="0"/>
    <xf numFmtId="0" fontId="4" fillId="3" borderId="1" applyAlignment="1" pivotButton="0" quotePrefix="0" xfId="0">
      <alignment vertical="top" wrapText="1"/>
    </xf>
    <xf numFmtId="0" fontId="6" fillId="4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left" vertical="top" wrapText="1"/>
    </xf>
    <xf numFmtId="0" fontId="7" fillId="0" borderId="0" pivotButton="0" quotePrefix="0" xfId="0"/>
    <xf numFmtId="0" fontId="4" fillId="5" borderId="0" applyAlignment="1" pivotButton="0" quotePrefix="0" xfId="0">
      <alignment vertical="top" wrapText="1"/>
    </xf>
    <xf numFmtId="0" fontId="4" fillId="6" borderId="1" applyAlignment="1" pivotButton="0" quotePrefix="0" xfId="0">
      <alignment horizontal="center" vertical="center"/>
    </xf>
    <xf numFmtId="2" fontId="4" fillId="5" borderId="1" applyAlignment="1" pivotButton="0" quotePrefix="0" xfId="0">
      <alignment horizontal="center" vertical="center"/>
    </xf>
    <xf numFmtId="2" fontId="4" fillId="6" borderId="1" applyAlignment="1" pivotButton="0" quotePrefix="0" xfId="0">
      <alignment horizontal="center" vertical="center"/>
    </xf>
    <xf numFmtId="3" fontId="4" fillId="5" borderId="1" applyAlignment="1" pivotButton="0" quotePrefix="0" xfId="0">
      <alignment horizontal="center" vertical="center"/>
    </xf>
    <xf numFmtId="3" fontId="4" fillId="6" borderId="1" applyAlignment="1" pivotButton="0" quotePrefix="0" xfId="0">
      <alignment horizontal="center" vertical="center"/>
    </xf>
    <xf numFmtId="164" fontId="4" fillId="6" borderId="1" applyAlignment="1" pivotButton="0" quotePrefix="0" xfId="0">
      <alignment horizontal="center" vertical="center"/>
    </xf>
    <xf numFmtId="0" fontId="4" fillId="7" borderId="1" applyAlignment="1" pivotButton="0" quotePrefix="0" xfId="0">
      <alignment horizontal="center" vertical="center"/>
    </xf>
    <xf numFmtId="2" fontId="4" fillId="7" borderId="1" applyAlignment="1" pivotButton="0" quotePrefix="0" xfId="0">
      <alignment horizontal="center" vertical="center"/>
    </xf>
    <xf numFmtId="3" fontId="4" fillId="7" borderId="1" applyAlignment="1" pivotButton="0" quotePrefix="0" xfId="0">
      <alignment horizontal="center" vertical="center"/>
    </xf>
    <xf numFmtId="164" fontId="4" fillId="7" borderId="1" applyAlignment="1" pivotButton="0" quotePrefix="0" xfId="0">
      <alignment horizontal="center" vertical="center"/>
    </xf>
    <xf numFmtId="0" fontId="3" fillId="0" borderId="0" pivotButton="0" quotePrefix="0" xfId="0"/>
    <xf numFmtId="2" fontId="4" fillId="0" borderId="1" applyAlignment="1" pivotButton="0" quotePrefix="0" xfId="0">
      <alignment horizontal="center" vertical="center"/>
    </xf>
    <xf numFmtId="10" fontId="4" fillId="0" borderId="1" applyAlignment="1" pivotButton="0" quotePrefix="0" xfId="0">
      <alignment horizontal="center" vertical="center"/>
    </xf>
    <xf numFmtId="3" fontId="4" fillId="0" borderId="1" applyAlignment="1" pivotButton="0" quotePrefix="0" xfId="0">
      <alignment horizontal="center" vertical="center"/>
    </xf>
    <xf numFmtId="165" fontId="4" fillId="0" borderId="1" applyAlignment="1" pivotButton="0" quotePrefix="0" xfId="0">
      <alignment horizontal="center" vertical="center"/>
    </xf>
    <xf numFmtId="166" fontId="4" fillId="0" borderId="1" applyAlignment="1" pivotButton="0" quotePrefix="0" xfId="0">
      <alignment horizontal="center" vertical="center"/>
    </xf>
    <xf numFmtId="0" fontId="4" fillId="0" borderId="0" applyAlignment="1" pivotButton="0" quotePrefix="0" xfId="0">
      <alignment vertical="top" wrapText="1"/>
    </xf>
    <xf numFmtId="0" fontId="2" fillId="0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167" fontId="4" fillId="0" borderId="1" applyAlignment="1" pivotButton="0" quotePrefix="0" xfId="0">
      <alignment horizontal="center" vertical="center"/>
    </xf>
    <xf numFmtId="0" fontId="8" fillId="2" borderId="1" applyAlignment="1" pivotButton="0" quotePrefix="0" xfId="0">
      <alignment horizontal="center"/>
    </xf>
    <xf numFmtId="0" fontId="2" fillId="0" borderId="0" pivotButton="0" quotePrefix="0" xfId="0"/>
    <xf numFmtId="168" fontId="4" fillId="0" borderId="1" applyAlignment="1" pivotButton="0" quotePrefix="0" xfId="0">
      <alignment horizontal="center" vertical="center"/>
    </xf>
    <xf numFmtId="0" fontId="2" fillId="0" borderId="0" applyAlignment="1" pivotButton="0" quotePrefix="0" xfId="0">
      <alignment vertical="top" wrapText="1"/>
    </xf>
    <xf numFmtId="0" fontId="7" fillId="2" borderId="1" applyAlignment="1" pivotButton="0" quotePrefix="0" xfId="0">
      <alignment horizontal="center"/>
    </xf>
    <xf numFmtId="167" fontId="9" fillId="0" borderId="1" applyAlignment="1" pivotButton="0" quotePrefix="0" xfId="0">
      <alignment horizontal="center"/>
    </xf>
    <xf numFmtId="0" fontId="0" fillId="0" borderId="0" applyAlignment="1" pivotButton="0" quotePrefix="0" xfId="0">
      <alignment vertical="top" wrapText="1"/>
    </xf>
    <xf numFmtId="165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styles" Target="styles.xml" Id="rId15"/><Relationship Type="http://schemas.openxmlformats.org/officeDocument/2006/relationships/theme" Target="theme/theme1.xml" Id="rId16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26 周滚动相关（库存差分 × 价格环比%）</a:t>
            </a:r>
          </a:p>
        </rich>
      </tx>
    </title>
    <plotArea>
      <lineChart>
        <grouping val="standard"/>
        <ser>
          <idx val="0"/>
          <order val="0"/>
          <tx>
            <strRef>
              <f>'06 滚动相关'!E4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'06 滚动相关'!$B$5:$B$160</f>
            </numRef>
          </cat>
          <val>
            <numRef>
              <f>'06 滚动相关'!$E$5:$E$160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窗口末端日期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r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10</col>
      <colOff>0</colOff>
      <row>3</row>
      <rowOff>0</rowOff>
    </from>
    <ext cx="7920000" cy="306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7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4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26" customWidth="1" min="2" max="2"/>
    <col width="118" customWidth="1" min="3" max="3"/>
  </cols>
  <sheetData>
    <row r="1" ht="26" customHeight="1">
      <c r="A1" s="1" t="inlineStr">
        <is>
          <t>两指标相关性研究工作簿｜甲醇港口库存 × 太仓现货价</t>
        </is>
      </c>
    </row>
    <row r="2" ht="34" customHeight="1">
      <c r="A2" s="2" t="inlineStr">
        <is>
          <t>示例数据为按真实行业口径拟真的 DEMO 数据（见“01 口径与来源”）。把真实历史数据贴进“02 原始数据”，本工作簿所有公式自动重算。</t>
        </is>
      </c>
    </row>
    <row r="4" ht="34" customHeight="1">
      <c r="B4" s="3" t="inlineStr">
        <is>
          <t>这份工作簿解决什么</t>
        </is>
      </c>
      <c r="C4" s="4" t="inlineStr">
        <is>
          <t>回答“两个指标到底相不相关、在什么条件下相关、这个相关是否可信”。不回答“买还是卖”，也不给因果结论。</t>
        </is>
      </c>
    </row>
    <row r="5" ht="34" customHeight="1">
      <c r="B5" s="3" t="inlineStr">
        <is>
          <t>第 1 步 输入数据</t>
        </is>
      </c>
      <c r="C5" s="4" t="inlineStr">
        <is>
          <t>在“02 原始数据”替换 B/C/D/G 列（观测日、价格锚日、库存、价格）。缺失就留空或用 =NA()，绝不插值补数。</t>
        </is>
      </c>
    </row>
    <row r="6" ht="34" customHeight="1">
      <c r="B6" s="3" t="inlineStr">
        <is>
          <t>第 2 步 核对口径</t>
        </is>
      </c>
      <c r="C6" s="4" t="inlineStr">
        <is>
          <t>“01 口径与来源”逐项填全：单位、频率、区域、样本口径、发布时点、来源。任一项缺失，结论不可对外引用。</t>
        </is>
      </c>
    </row>
    <row r="7" ht="34" customHeight="1">
      <c r="B7" s="3" t="inlineStr">
        <is>
          <t>第 3 步 频率对齐</t>
        </is>
      </c>
      <c r="C7" s="4" t="inlineStr">
        <is>
          <t>“03 频率对齐”标出每期配对状态（成功/缺失-剔除），并给出有效配对 N 与缺失期数。</t>
        </is>
      </c>
    </row>
    <row r="8" ht="34" customHeight="1">
      <c r="B8" s="3" t="inlineStr">
        <is>
          <t>第 4 步 变换</t>
        </is>
      </c>
      <c r="C8" s="4" t="inlineStr">
        <is>
          <t>“04 变换后数据”把库存/价格分别做成 水平、差分、环比%。库存常看变化，价格常看变化率。</t>
        </is>
      </c>
    </row>
    <row r="9" ht="34" customHeight="1">
      <c r="B9" s="3" t="inlineStr">
        <is>
          <t>第 5 步 读结果</t>
        </is>
      </c>
      <c r="C9" s="4" t="inlineStr">
        <is>
          <t>“05 总体相关”给 5 种形态组合的 r/N/R²/t/p/判定；“06 滚动相关”看强度随时间变化；“07 分阶段”按业务阶段重算。</t>
        </is>
      </c>
    </row>
    <row r="10" ht="34" customHeight="1">
      <c r="B10" s="3" t="inlineStr">
        <is>
          <t>第 6 步 查伪相关</t>
        </is>
      </c>
      <c r="C10" s="4" t="inlineStr">
        <is>
          <t>“09 稳健性与伪相关诊断”+“09b 辅助计算(残差)”：去趋势、差分、剔极值、分段、偏相关；自相关强时用有效样本量修正。</t>
        </is>
      </c>
    </row>
    <row r="11" ht="34" customHeight="1">
      <c r="B11" s="3" t="inlineStr">
        <is>
          <t>第 7 步 写结论</t>
        </is>
      </c>
      <c r="C11" s="4" t="inlineStr">
        <is>
          <t>结论必须带口径、形态、时间段、N、显著性、稳健性；禁止把相关性写成因果，禁止输出交易建议。</t>
        </is>
      </c>
    </row>
    <row r="12" ht="34" customHeight="1">
      <c r="B12" s="3" t="inlineStr">
        <is>
          <t>公式透明</t>
        </is>
      </c>
      <c r="C12" s="4" t="inlineStr">
        <is>
          <t>“12 公式说明”逐条给出公式定义与 Excel 写法，全部可在表内复核（无宏、无加载项）。</t>
        </is>
      </c>
    </row>
    <row r="14" ht="32" customHeight="1">
      <c r="B14" s="5" t="inlineStr">
        <is>
          <t>⚠ 重要声明</t>
        </is>
      </c>
      <c r="C14" s="6" t="inlineStr">
        <is>
          <t>相关性不等于因果关系；滚动相关只描述历史窗口内的共变强度，不外推未来；本工作簿不提供任何交易建议或价格预测。</t>
        </is>
      </c>
    </row>
  </sheetData>
  <mergeCells count="2">
    <mergeCell ref="A1:C1"/>
    <mergeCell ref="A2:C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0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16" customWidth="1" min="2" max="2"/>
    <col width="30" customWidth="1" min="3" max="3"/>
    <col width="12" customWidth="1" min="4" max="4"/>
    <col width="14" customWidth="1" min="5" max="5"/>
    <col width="22" customWidth="1" min="6" max="6"/>
    <col width="24" customWidth="1" min="7" max="7"/>
    <col width="38" customWidth="1" min="8" max="8"/>
    <col width="34" customWidth="1" min="9" max="9"/>
  </cols>
  <sheetData>
    <row r="1" ht="26" customHeight="1">
      <c r="A1" s="1" t="inlineStr">
        <is>
          <t>口径与来源（数据可否引用的前提）</t>
        </is>
      </c>
    </row>
    <row r="2" ht="34" customHeight="1">
      <c r="A2" s="2" t="inlineStr">
        <is>
          <t>每列都要有值。任一项写“待确认”，对应结论只能当探索性提示。</t>
        </is>
      </c>
    </row>
    <row r="4" ht="24" customHeight="1">
      <c r="A4" s="7" t="inlineStr"/>
      <c r="B4" s="7" t="inlineStr">
        <is>
          <t>指标</t>
        </is>
      </c>
      <c r="C4" s="7" t="inlineStr">
        <is>
          <t>指标全称</t>
        </is>
      </c>
      <c r="D4" s="7" t="inlineStr">
        <is>
          <t>单位</t>
        </is>
      </c>
      <c r="E4" s="7" t="inlineStr">
        <is>
          <t>频率</t>
        </is>
      </c>
      <c r="F4" s="7" t="inlineStr">
        <is>
          <t>统计区域/样本</t>
        </is>
      </c>
      <c r="G4" s="7" t="inlineStr">
        <is>
          <t>发布时点（口径）</t>
        </is>
      </c>
      <c r="H4" s="7" t="inlineStr">
        <is>
          <t>来源与链接</t>
        </is>
      </c>
      <c r="I4" s="7" t="inlineStr">
        <is>
          <t>备注（口径风险）</t>
        </is>
      </c>
    </row>
    <row r="5" ht="34" customHeight="1">
      <c r="A5" s="8" t="inlineStr"/>
      <c r="B5" s="8" t="inlineStr">
        <is>
          <t>指标 X（库存）</t>
        </is>
      </c>
      <c r="C5" s="9" t="inlineStr">
        <is>
          <t>中国甲醇样本港口库存（总）</t>
        </is>
      </c>
      <c r="D5" s="8" t="inlineStr">
        <is>
          <t>万吨</t>
        </is>
      </c>
      <c r="E5" s="8" t="inlineStr">
        <is>
          <t>周度</t>
        </is>
      </c>
      <c r="F5" s="9" t="inlineStr">
        <is>
          <t>华东（江苏/浙江各港口）+ 华南</t>
        </is>
      </c>
      <c r="G5" s="9" t="inlineStr">
        <is>
          <t>调查日=每周三，机构当日或次日发布</t>
        </is>
      </c>
      <c r="H5" s="9" t="inlineStr">
        <is>
          <t>DEMO：按隆众资讯周度口径拟真，非真实市场数据</t>
        </is>
      </c>
      <c r="I5" s="9" t="inlineStr">
        <is>
          <t>示例为拟真数据；真实使用请替换为可获得的历史序列</t>
        </is>
      </c>
    </row>
    <row r="6" ht="34" customHeight="1">
      <c r="A6" s="8" t="inlineStr"/>
      <c r="B6" s="8" t="inlineStr">
        <is>
          <t>指标 Y（价格）</t>
        </is>
      </c>
      <c r="C6" s="9" t="inlineStr">
        <is>
          <t>江苏太仓甲醇出罐现货价（现汇）</t>
        </is>
      </c>
      <c r="D6" s="8" t="inlineStr">
        <is>
          <t>元/吨</t>
        </is>
      </c>
      <c r="E6" s="8" t="inlineStr">
        <is>
          <t>周度（由日报汇总）</t>
        </is>
      </c>
      <c r="F6" s="9" t="inlineStr">
        <is>
          <t>江苏太仓</t>
        </is>
      </c>
      <c r="G6" s="9" t="inlineStr">
        <is>
          <t>日报午评口径（如 12:00），取当周锚日</t>
        </is>
      </c>
      <c r="H6" s="9" t="inlineStr">
        <is>
          <t>DEMO：按隆众/我的钢铁日报口径拟真，非真实市场数据</t>
        </is>
      </c>
      <c r="I6" s="9" t="inlineStr">
        <is>
          <t>现货报价的税基/现汇/库提口径需与成交口径核对</t>
        </is>
      </c>
    </row>
    <row r="7" ht="34" customHeight="1">
      <c r="A7" s="8" t="inlineStr"/>
      <c r="B7" s="8" t="inlineStr">
        <is>
          <t>控制变量（可选）</t>
        </is>
      </c>
      <c r="C7" s="9" t="inlineStr">
        <is>
          <t>动力煤 5500 现货价</t>
        </is>
      </c>
      <c r="D7" s="8" t="inlineStr">
        <is>
          <t>元/吨</t>
        </is>
      </c>
      <c r="E7" s="8" t="inlineStr">
        <is>
          <t>周度</t>
        </is>
      </c>
      <c r="F7" s="9" t="inlineStr">
        <is>
          <t>环渤海/秦皇岛</t>
        </is>
      </c>
      <c r="G7" s="9" t="inlineStr">
        <is>
          <t>周度发布</t>
        </is>
      </c>
      <c r="H7" s="9" t="inlineStr">
        <is>
          <t>DEMO：成本参照</t>
        </is>
      </c>
      <c r="I7" s="9" t="inlineStr">
        <is>
          <t>仅用于偏相关诊断“共同外部因素”</t>
        </is>
      </c>
    </row>
    <row r="8" ht="34" customHeight="1">
      <c r="A8" s="8" t="inlineStr"/>
      <c r="B8" s="8" t="inlineStr">
        <is>
          <t>分析频率</t>
        </is>
      </c>
      <c r="C8" s="9" t="inlineStr">
        <is>
          <t>周度（周三对齐）</t>
        </is>
      </c>
      <c r="D8" s="8" t="inlineStr">
        <is>
          <t>—</t>
        </is>
      </c>
      <c r="E8" s="8" t="inlineStr">
        <is>
          <t>周度</t>
        </is>
      </c>
      <c r="F8" s="9" t="inlineStr">
        <is>
          <t>—</t>
        </is>
      </c>
      <c r="G8" s="9" t="inlineStr">
        <is>
          <t>—</t>
        </is>
      </c>
      <c r="H8" s="9" t="inlineStr">
        <is>
          <t>对齐规则见“03 频率对齐”</t>
        </is>
      </c>
      <c r="I8" s="9" t="inlineStr">
        <is>
          <t>若原始为日度，须按同一时点汇总，禁止使用未来信息</t>
        </is>
      </c>
    </row>
    <row r="10" ht="46" customHeight="1">
      <c r="B10" s="10" t="inlineStr">
        <is>
          <t>数据状态</t>
        </is>
      </c>
      <c r="C10" s="11" t="inlineStr">
        <is>
          <t>本文件所有数值为教学/演示用拟真数据（机制见 scripts/make_data.py），不得作为真实行情或研究结论引用。</t>
        </is>
      </c>
    </row>
  </sheetData>
  <mergeCells count="3">
    <mergeCell ref="A1:I1"/>
    <mergeCell ref="C10:I10"/>
    <mergeCell ref="A2:I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160"/>
  <sheetViews>
    <sheetView showGridLines="0"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20" customWidth="1" min="2" max="2"/>
    <col width="13" customWidth="1" min="3" max="3"/>
    <col width="15" customWidth="1" min="4" max="4"/>
    <col width="15" customWidth="1" min="5" max="5"/>
    <col width="15" customWidth="1" min="6" max="6"/>
    <col width="13" customWidth="1" min="7" max="7"/>
    <col width="13" customWidth="1" min="8" max="8"/>
    <col width="13" customWidth="1" min="9" max="9"/>
    <col width="11" customWidth="1" min="10" max="10"/>
    <col width="11" customWidth="1" min="11" max="11"/>
  </cols>
  <sheetData>
    <row r="1" ht="26" customHeight="1">
      <c r="A1" s="1" t="inlineStr">
        <is>
          <t>原始数据（唯一数据入口，其余表全部由本表驱动）</t>
        </is>
      </c>
    </row>
    <row r="2" ht="34" customHeight="1">
      <c r="A2" s="2" t="inlineStr">
        <is>
          <t>橙底两列为需替换的核心输入列（库存、价格）。留空=缺失，全表按缺失处理，不插补。</t>
        </is>
      </c>
    </row>
    <row r="4" ht="24" customHeight="1">
      <c r="A4" s="7" t="inlineStr">
        <is>
          <t>序号</t>
        </is>
      </c>
      <c r="B4" s="7" t="inlineStr">
        <is>
          <t>观测日(库存调查日)</t>
        </is>
      </c>
      <c r="C4" s="7" t="inlineStr">
        <is>
          <t>价格锚日</t>
        </is>
      </c>
      <c r="D4" s="7" t="inlineStr">
        <is>
          <t>港口库存-总计</t>
        </is>
      </c>
      <c r="E4" s="7" t="inlineStr">
        <is>
          <t>港口库存-华东</t>
        </is>
      </c>
      <c r="F4" s="7" t="inlineStr">
        <is>
          <t>港口库存-华南</t>
        </is>
      </c>
      <c r="G4" s="7" t="inlineStr">
        <is>
          <t>太仓现货价</t>
        </is>
      </c>
      <c r="H4" s="7" t="inlineStr">
        <is>
          <t>动力煤5500</t>
        </is>
      </c>
      <c r="I4" s="7" t="inlineStr">
        <is>
          <t>下游开工率%</t>
        </is>
      </c>
      <c r="J4" s="7" t="inlineStr">
        <is>
          <t>周度到港</t>
        </is>
      </c>
      <c r="K4" s="7" t="inlineStr">
        <is>
          <t>周度提货</t>
        </is>
      </c>
    </row>
    <row r="5">
      <c r="A5" s="12" t="n">
        <v>1</v>
      </c>
      <c r="B5" s="12" t="inlineStr">
        <is>
          <t>2023-10-11</t>
        </is>
      </c>
      <c r="C5" s="12" t="inlineStr">
        <is>
          <t>2023-10-11</t>
        </is>
      </c>
      <c r="D5" s="13" t="n">
        <v>57.54</v>
      </c>
      <c r="E5" s="14" t="n">
        <v>38.52</v>
      </c>
      <c r="F5" s="14" t="n">
        <v>19.02</v>
      </c>
      <c r="G5" s="15" t="n">
        <v>2640</v>
      </c>
      <c r="H5" s="16" t="n">
        <v>799</v>
      </c>
      <c r="I5" s="17" t="n">
        <v>70</v>
      </c>
      <c r="J5" s="14" t="n">
        <v>7.03</v>
      </c>
      <c r="K5" s="14" t="n">
        <v>13.19</v>
      </c>
    </row>
    <row r="6">
      <c r="A6" s="18" t="n">
        <v>2</v>
      </c>
      <c r="B6" s="18" t="inlineStr">
        <is>
          <t>2023-10-18</t>
        </is>
      </c>
      <c r="C6" s="18" t="inlineStr">
        <is>
          <t>2023-10-18</t>
        </is>
      </c>
      <c r="D6" s="13" t="n">
        <v>60.29</v>
      </c>
      <c r="E6" s="19" t="n">
        <v>37.3</v>
      </c>
      <c r="F6" s="19" t="n">
        <v>22.99</v>
      </c>
      <c r="G6" s="15" t="n">
        <v>2444</v>
      </c>
      <c r="H6" s="20" t="n">
        <v>815</v>
      </c>
      <c r="I6" s="21" t="n">
        <v>70.3</v>
      </c>
      <c r="J6" s="19" t="n">
        <v>10.42</v>
      </c>
      <c r="K6" s="19" t="n">
        <v>11.88</v>
      </c>
    </row>
    <row r="7">
      <c r="A7" s="12" t="n">
        <v>3</v>
      </c>
      <c r="B7" s="12" t="inlineStr">
        <is>
          <t>2023-10-25</t>
        </is>
      </c>
      <c r="C7" s="12" t="inlineStr">
        <is>
          <t>2023-10-25</t>
        </is>
      </c>
      <c r="D7" s="13" t="n">
        <v>55.24</v>
      </c>
      <c r="E7" s="14" t="n">
        <v>37.12</v>
      </c>
      <c r="F7" s="14" t="n">
        <v>18.12</v>
      </c>
      <c r="G7" s="15" t="n">
        <v>2938</v>
      </c>
      <c r="H7" s="16" t="n">
        <v>811</v>
      </c>
      <c r="I7" s="17" t="n">
        <v>68.7</v>
      </c>
      <c r="J7" s="14" t="n">
        <v>8.140000000000001</v>
      </c>
      <c r="K7" s="14" t="n">
        <v>11.28</v>
      </c>
    </row>
    <row r="8">
      <c r="A8" s="18" t="n">
        <v>4</v>
      </c>
      <c r="B8" s="18" t="inlineStr">
        <is>
          <t>2023-11-01</t>
        </is>
      </c>
      <c r="C8" s="18" t="inlineStr">
        <is>
          <t>2023-11-01</t>
        </is>
      </c>
      <c r="D8" s="13" t="n">
        <v>57.64</v>
      </c>
      <c r="E8" s="19" t="n">
        <v>38.53</v>
      </c>
      <c r="F8" s="19" t="n">
        <v>19.11</v>
      </c>
      <c r="G8" s="15" t="n">
        <v>2726</v>
      </c>
      <c r="H8" s="20" t="n">
        <v>808</v>
      </c>
      <c r="I8" s="21" t="n">
        <v>71.40000000000001</v>
      </c>
      <c r="J8" s="19" t="n">
        <v>13.42</v>
      </c>
      <c r="K8" s="19" t="n">
        <v>11.99</v>
      </c>
    </row>
    <row r="9">
      <c r="A9" s="12" t="n">
        <v>5</v>
      </c>
      <c r="B9" s="12" t="inlineStr">
        <is>
          <t>2023-11-08</t>
        </is>
      </c>
      <c r="C9" s="12" t="inlineStr">
        <is>
          <t>2023-11-08</t>
        </is>
      </c>
      <c r="D9" s="13" t="n">
        <v>67.02</v>
      </c>
      <c r="E9" s="14" t="n">
        <v>43.43</v>
      </c>
      <c r="F9" s="14" t="n">
        <v>23.59</v>
      </c>
      <c r="G9" s="15" t="n">
        <v>2069</v>
      </c>
      <c r="H9" s="16" t="n">
        <v>808</v>
      </c>
      <c r="I9" s="17" t="n">
        <v>71.40000000000001</v>
      </c>
      <c r="J9" s="14" t="n">
        <v>16.04</v>
      </c>
      <c r="K9" s="14" t="n">
        <v>11.28</v>
      </c>
    </row>
    <row r="10">
      <c r="A10" s="18" t="n">
        <v>6</v>
      </c>
      <c r="B10" s="18" t="inlineStr">
        <is>
          <t>2023-11-15</t>
        </is>
      </c>
      <c r="C10" s="18" t="inlineStr">
        <is>
          <t>2023-11-15</t>
        </is>
      </c>
      <c r="D10" s="13" t="n">
        <v>67.23</v>
      </c>
      <c r="E10" s="19" t="n">
        <v>45.81</v>
      </c>
      <c r="F10" s="19" t="n">
        <v>21.42</v>
      </c>
      <c r="G10" s="15" t="n">
        <v>2050</v>
      </c>
      <c r="H10" s="20" t="n">
        <v>818</v>
      </c>
      <c r="I10" s="21" t="n">
        <v>72.8</v>
      </c>
      <c r="J10" s="19" t="n">
        <v>12.18</v>
      </c>
      <c r="K10" s="19" t="n">
        <v>12.52</v>
      </c>
    </row>
    <row r="11">
      <c r="A11" s="12" t="n">
        <v>7</v>
      </c>
      <c r="B11" s="12" t="inlineStr">
        <is>
          <t>2023-11-22</t>
        </is>
      </c>
      <c r="C11" s="12" t="inlineStr">
        <is>
          <t>2023-11-22</t>
        </is>
      </c>
      <c r="D11" s="13" t="n">
        <v>64.20999999999999</v>
      </c>
      <c r="E11" s="14" t="n">
        <v>42.73</v>
      </c>
      <c r="F11" s="14" t="n">
        <v>21.48</v>
      </c>
      <c r="G11" s="15" t="n">
        <v>2155</v>
      </c>
      <c r="H11" s="16" t="n">
        <v>821</v>
      </c>
      <c r="I11" s="17" t="n">
        <v>70.8</v>
      </c>
      <c r="J11" s="14" t="n">
        <v>9.359999999999999</v>
      </c>
      <c r="K11" s="14" t="n">
        <v>13.79</v>
      </c>
    </row>
    <row r="12">
      <c r="A12" s="18" t="n">
        <v>8</v>
      </c>
      <c r="B12" s="18" t="inlineStr">
        <is>
          <t>2023-11-29</t>
        </is>
      </c>
      <c r="C12" s="18" t="inlineStr">
        <is>
          <t>2023-11-29</t>
        </is>
      </c>
      <c r="D12" s="13" t="n">
        <v>67.39</v>
      </c>
      <c r="E12" s="19" t="n">
        <v>43.85</v>
      </c>
      <c r="F12" s="19" t="n">
        <v>23.54</v>
      </c>
      <c r="G12" s="15" t="n">
        <v>2087</v>
      </c>
      <c r="H12" s="20" t="n">
        <v>812</v>
      </c>
      <c r="I12" s="21" t="n">
        <v>71.7</v>
      </c>
      <c r="J12" s="19" t="n">
        <v>15.03</v>
      </c>
      <c r="K12" s="19" t="n">
        <v>11.68</v>
      </c>
    </row>
    <row r="13">
      <c r="A13" s="12" t="n">
        <v>9</v>
      </c>
      <c r="B13" s="12" t="inlineStr">
        <is>
          <t>2023-12-06</t>
        </is>
      </c>
      <c r="C13" s="12" t="inlineStr">
        <is>
          <t>2023-12-06</t>
        </is>
      </c>
      <c r="D13" s="13" t="n">
        <v>65.95</v>
      </c>
      <c r="E13" s="14" t="n">
        <v>43.43</v>
      </c>
      <c r="F13" s="14" t="n">
        <v>22.52</v>
      </c>
      <c r="G13" s="15" t="n">
        <v>2181</v>
      </c>
      <c r="H13" s="16" t="n">
        <v>814</v>
      </c>
      <c r="I13" s="17" t="n">
        <v>72.40000000000001</v>
      </c>
      <c r="J13" s="14" t="n">
        <v>11.34</v>
      </c>
      <c r="K13" s="14" t="n">
        <v>12.44</v>
      </c>
    </row>
    <row r="14">
      <c r="A14" s="18" t="n">
        <v>10</v>
      </c>
      <c r="B14" s="18" t="inlineStr">
        <is>
          <t>2023-12-13</t>
        </is>
      </c>
      <c r="C14" s="18" t="inlineStr">
        <is>
          <t>2023-12-13</t>
        </is>
      </c>
      <c r="D14" s="13" t="n">
        <v>58.84</v>
      </c>
      <c r="E14" s="19" t="n">
        <v>38.1</v>
      </c>
      <c r="F14" s="19" t="n">
        <v>20.74</v>
      </c>
      <c r="G14" s="15" t="n">
        <v>2675</v>
      </c>
      <c r="H14" s="20" t="n">
        <v>822</v>
      </c>
      <c r="I14" s="21" t="n">
        <v>72.7</v>
      </c>
      <c r="J14" s="19" t="n">
        <v>8.49</v>
      </c>
      <c r="K14" s="19" t="n">
        <v>12.2</v>
      </c>
    </row>
    <row r="15">
      <c r="A15" s="12" t="n">
        <v>11</v>
      </c>
      <c r="B15" s="12" t="inlineStr">
        <is>
          <t>2023-12-20</t>
        </is>
      </c>
      <c r="C15" s="12" t="inlineStr">
        <is>
          <t>2023-12-20</t>
        </is>
      </c>
      <c r="D15" s="13" t="n">
        <v>54.79</v>
      </c>
      <c r="E15" s="14" t="n">
        <v>35.39</v>
      </c>
      <c r="F15" s="14" t="n">
        <v>19.4</v>
      </c>
      <c r="G15" s="15" t="n">
        <v>2940</v>
      </c>
      <c r="H15" s="16" t="n">
        <v>818</v>
      </c>
      <c r="I15" s="17" t="n">
        <v>73.59999999999999</v>
      </c>
      <c r="J15" s="14" t="n">
        <v>9.220000000000001</v>
      </c>
      <c r="K15" s="14" t="n">
        <v>13.38</v>
      </c>
    </row>
    <row r="16">
      <c r="A16" s="18" t="n">
        <v>12</v>
      </c>
      <c r="B16" s="18" t="inlineStr">
        <is>
          <t>2023-12-27</t>
        </is>
      </c>
      <c r="C16" s="18" t="inlineStr">
        <is>
          <t>2023-12-27</t>
        </is>
      </c>
      <c r="D16" s="13" t="n">
        <v>52.11</v>
      </c>
      <c r="E16" s="19" t="n">
        <v>33.63</v>
      </c>
      <c r="F16" s="19" t="n">
        <v>18.48</v>
      </c>
      <c r="G16" s="15" t="n">
        <v>3228</v>
      </c>
      <c r="H16" s="20" t="n">
        <v>810</v>
      </c>
      <c r="I16" s="21" t="n">
        <v>74.90000000000001</v>
      </c>
      <c r="J16" s="19" t="n">
        <v>9.710000000000001</v>
      </c>
      <c r="K16" s="19" t="n">
        <v>11.82</v>
      </c>
    </row>
    <row r="17">
      <c r="A17" s="12" t="n">
        <v>13</v>
      </c>
      <c r="B17" s="12" t="inlineStr">
        <is>
          <t>2024-01-03</t>
        </is>
      </c>
      <c r="C17" s="12" t="inlineStr">
        <is>
          <t>2024-01-03</t>
        </is>
      </c>
      <c r="D17" s="13" t="n">
        <v>50.68</v>
      </c>
      <c r="E17" s="14" t="n">
        <v>33.78</v>
      </c>
      <c r="F17" s="14" t="n">
        <v>16.9</v>
      </c>
      <c r="G17" s="15" t="n">
        <v>2983</v>
      </c>
      <c r="H17" s="16" t="n">
        <v>807</v>
      </c>
      <c r="I17" s="17" t="n">
        <v>74.09999999999999</v>
      </c>
      <c r="J17" s="14" t="n">
        <v>6.56</v>
      </c>
      <c r="K17" s="14" t="n">
        <v>12.02</v>
      </c>
    </row>
    <row r="18">
      <c r="A18" s="18" t="n">
        <v>14</v>
      </c>
      <c r="B18" s="18" t="inlineStr">
        <is>
          <t>2024-01-10</t>
        </is>
      </c>
      <c r="C18" s="18" t="inlineStr">
        <is>
          <t>2024-01-10</t>
        </is>
      </c>
      <c r="D18" s="13" t="n">
        <v>50.17</v>
      </c>
      <c r="E18" s="19" t="n">
        <v>31.9</v>
      </c>
      <c r="F18" s="19" t="n">
        <v>18.27</v>
      </c>
      <c r="G18" s="15" t="n">
        <v>3225</v>
      </c>
      <c r="H18" s="20" t="n">
        <v>805</v>
      </c>
      <c r="I18" s="21" t="n">
        <v>74.2</v>
      </c>
      <c r="J18" s="19" t="n">
        <v>3.68</v>
      </c>
      <c r="K18" s="19" t="n">
        <v>10.18</v>
      </c>
    </row>
    <row r="19">
      <c r="A19" s="12" t="n">
        <v>15</v>
      </c>
      <c r="B19" s="12" t="inlineStr">
        <is>
          <t>2024-01-17</t>
        </is>
      </c>
      <c r="C19" s="12" t="inlineStr">
        <is>
          <t>2024-01-17</t>
        </is>
      </c>
      <c r="D19" s="13" t="n">
        <v>52.38</v>
      </c>
      <c r="E19" s="14" t="n">
        <v>35.91</v>
      </c>
      <c r="F19" s="14" t="n">
        <v>16.47</v>
      </c>
      <c r="G19" s="15" t="n">
        <v>3208</v>
      </c>
      <c r="H19" s="16" t="n">
        <v>803</v>
      </c>
      <c r="I19" s="17" t="n">
        <v>73.40000000000001</v>
      </c>
      <c r="J19" s="14" t="n">
        <v>7.52</v>
      </c>
      <c r="K19" s="14" t="n">
        <v>10.59</v>
      </c>
    </row>
    <row r="20">
      <c r="A20" s="18" t="n">
        <v>16</v>
      </c>
      <c r="B20" s="18" t="inlineStr">
        <is>
          <t>2024-01-24</t>
        </is>
      </c>
      <c r="C20" s="18" t="inlineStr">
        <is>
          <t>2024-01-24</t>
        </is>
      </c>
      <c r="D20" s="13" t="n">
        <v>61.48</v>
      </c>
      <c r="E20" s="19" t="n">
        <v>40.43</v>
      </c>
      <c r="F20" s="19" t="n">
        <v>21.05</v>
      </c>
      <c r="G20" s="15" t="n">
        <v>2313</v>
      </c>
      <c r="H20" s="20" t="n">
        <v>791</v>
      </c>
      <c r="I20" s="21" t="n">
        <v>73.5</v>
      </c>
      <c r="J20" s="19" t="n">
        <v>16.95</v>
      </c>
      <c r="K20" s="19" t="n">
        <v>12.55</v>
      </c>
    </row>
    <row r="21">
      <c r="A21" s="12" t="n">
        <v>17</v>
      </c>
      <c r="B21" s="12" t="inlineStr">
        <is>
          <t>2024-01-31</t>
        </is>
      </c>
      <c r="C21" s="12" t="inlineStr">
        <is>
          <t>2024-01-31</t>
        </is>
      </c>
      <c r="D21" s="13" t="n">
        <v>60.35</v>
      </c>
      <c r="E21" s="14" t="n">
        <v>37.44</v>
      </c>
      <c r="F21" s="14" t="n">
        <v>22.91</v>
      </c>
      <c r="G21" s="15" t="n">
        <v>2505</v>
      </c>
      <c r="H21" s="16" t="n">
        <v>797</v>
      </c>
      <c r="I21" s="17" t="n">
        <v>74.7</v>
      </c>
      <c r="J21" s="14" t="n">
        <v>9.77</v>
      </c>
      <c r="K21" s="14" t="n">
        <v>12.25</v>
      </c>
    </row>
    <row r="22">
      <c r="A22" s="18" t="n">
        <v>18</v>
      </c>
      <c r="B22" s="18" t="inlineStr">
        <is>
          <t>2024-02-07</t>
        </is>
      </c>
      <c r="C22" s="18" t="inlineStr">
        <is>
          <t>2024-02-07</t>
        </is>
      </c>
      <c r="D22" s="13" t="n">
        <v>61.99</v>
      </c>
      <c r="E22" s="19" t="n">
        <v>40.94</v>
      </c>
      <c r="F22" s="19" t="n">
        <v>21.05</v>
      </c>
      <c r="G22" s="15" t="n">
        <v>2505</v>
      </c>
      <c r="H22" s="20" t="n">
        <v>782</v>
      </c>
      <c r="I22" s="21" t="n">
        <v>73.7</v>
      </c>
      <c r="J22" s="19" t="n">
        <v>12.6</v>
      </c>
      <c r="K22" s="19" t="n">
        <v>11.52</v>
      </c>
    </row>
    <row r="23">
      <c r="A23" s="12" t="n">
        <v>19</v>
      </c>
      <c r="B23" s="12" t="inlineStr">
        <is>
          <t>2024-02-14</t>
        </is>
      </c>
      <c r="C23" s="12" t="inlineStr">
        <is>
          <t>2024-02-19</t>
        </is>
      </c>
      <c r="D23" s="13" t="n">
        <v>64.95</v>
      </c>
      <c r="E23" s="14" t="n">
        <v>40.92</v>
      </c>
      <c r="F23" s="14" t="n">
        <v>24.03</v>
      </c>
      <c r="G23" s="15" t="n">
        <v>2245</v>
      </c>
      <c r="H23" s="16" t="n">
        <v>781</v>
      </c>
      <c r="I23" s="17" t="n">
        <v>73.59999999999999</v>
      </c>
      <c r="J23" s="14" t="n">
        <v>12.92</v>
      </c>
      <c r="K23" s="14" t="n">
        <v>12.06</v>
      </c>
    </row>
    <row r="24">
      <c r="A24" s="18" t="n">
        <v>20</v>
      </c>
      <c r="B24" s="18" t="inlineStr">
        <is>
          <t>2024-02-21</t>
        </is>
      </c>
      <c r="C24" s="18" t="inlineStr">
        <is>
          <t>2024-02-21</t>
        </is>
      </c>
      <c r="D24" s="13" t="n">
        <v>67.47</v>
      </c>
      <c r="E24" s="19" t="n">
        <v>44.99</v>
      </c>
      <c r="F24" s="19" t="n">
        <v>22.48</v>
      </c>
      <c r="G24" s="15" t="n">
        <v>2193</v>
      </c>
      <c r="H24" s="20" t="n">
        <v>784</v>
      </c>
      <c r="I24" s="21" t="n">
        <v>73.40000000000001</v>
      </c>
      <c r="J24" s="19" t="n">
        <v>13.69</v>
      </c>
      <c r="K24" s="19" t="n">
        <v>10.58</v>
      </c>
    </row>
    <row r="25">
      <c r="A25" s="12" t="n">
        <v>21</v>
      </c>
      <c r="B25" s="12" t="inlineStr">
        <is>
          <t>2024-02-28</t>
        </is>
      </c>
      <c r="C25" s="12" t="inlineStr">
        <is>
          <t>2024-02-28</t>
        </is>
      </c>
      <c r="D25" s="13" t="n">
        <v>69.29000000000001</v>
      </c>
      <c r="E25" s="14" t="n">
        <v>45.21</v>
      </c>
      <c r="F25" s="14" t="n">
        <v>24.08</v>
      </c>
      <c r="G25" s="15" t="n">
        <v>1902</v>
      </c>
      <c r="H25" s="16" t="n">
        <v>780</v>
      </c>
      <c r="I25" s="17" t="n">
        <v>73.5</v>
      </c>
      <c r="J25" s="14" t="n">
        <v>13.25</v>
      </c>
      <c r="K25" s="14" t="n">
        <v>10.39</v>
      </c>
    </row>
    <row r="26">
      <c r="A26" s="18" t="n">
        <v>22</v>
      </c>
      <c r="B26" s="18" t="inlineStr">
        <is>
          <t>2024-03-06</t>
        </is>
      </c>
      <c r="C26" s="18" t="inlineStr">
        <is>
          <t>2024-03-06</t>
        </is>
      </c>
      <c r="D26" s="13" t="n">
        <v>67.23</v>
      </c>
      <c r="E26" s="19" t="n">
        <v>44.52</v>
      </c>
      <c r="F26" s="19" t="n">
        <v>22.71</v>
      </c>
      <c r="G26" s="15" t="n">
        <v>1998</v>
      </c>
      <c r="H26" s="20" t="n">
        <v>762</v>
      </c>
      <c r="I26" s="21" t="n">
        <v>73.59999999999999</v>
      </c>
      <c r="J26" s="19" t="n">
        <v>10.8</v>
      </c>
      <c r="K26" s="19" t="n">
        <v>11.16</v>
      </c>
    </row>
    <row r="27">
      <c r="A27" s="12" t="n">
        <v>23</v>
      </c>
      <c r="B27" s="12" t="inlineStr">
        <is>
          <t>2024-03-13</t>
        </is>
      </c>
      <c r="C27" s="12" t="inlineStr">
        <is>
          <t>2024-03-13</t>
        </is>
      </c>
      <c r="D27" s="13" t="n">
        <v>70.42</v>
      </c>
      <c r="E27" s="14" t="n">
        <v>47.26</v>
      </c>
      <c r="F27" s="14" t="n">
        <v>23.16</v>
      </c>
      <c r="G27" s="15" t="n">
        <v>1749</v>
      </c>
      <c r="H27" s="16" t="n">
        <v>765</v>
      </c>
      <c r="I27" s="17" t="n">
        <v>72.5</v>
      </c>
      <c r="J27" s="14" t="n">
        <v>14.34</v>
      </c>
      <c r="K27" s="14" t="n">
        <v>11.44</v>
      </c>
    </row>
    <row r="28">
      <c r="A28" s="18" t="n">
        <v>24</v>
      </c>
      <c r="B28" s="18" t="inlineStr">
        <is>
          <t>2024-03-20</t>
        </is>
      </c>
      <c r="C28" s="18" t="inlineStr">
        <is>
          <t>2024-03-20</t>
        </is>
      </c>
      <c r="D28" s="13" t="n">
        <v>69.94</v>
      </c>
      <c r="E28" s="19" t="n">
        <v>47.81</v>
      </c>
      <c r="F28" s="19" t="n">
        <v>22.13</v>
      </c>
      <c r="G28" s="15" t="n">
        <v>1943</v>
      </c>
      <c r="H28" s="20" t="n">
        <v>757</v>
      </c>
      <c r="I28" s="21" t="n">
        <v>73.59999999999999</v>
      </c>
      <c r="J28" s="19" t="n">
        <v>13.04</v>
      </c>
      <c r="K28" s="19" t="n">
        <v>12.23</v>
      </c>
    </row>
    <row r="29">
      <c r="A29" s="12" t="n">
        <v>25</v>
      </c>
      <c r="B29" s="12" t="inlineStr">
        <is>
          <t>2024-03-27</t>
        </is>
      </c>
      <c r="C29" s="12" t="inlineStr">
        <is>
          <t>2024-03-27</t>
        </is>
      </c>
      <c r="D29" s="13" t="n">
        <v>65.79000000000001</v>
      </c>
      <c r="E29" s="14" t="n">
        <v>43.54</v>
      </c>
      <c r="F29" s="14" t="n">
        <v>22.25</v>
      </c>
      <c r="G29" s="15" t="n">
        <v>1992</v>
      </c>
      <c r="H29" s="16" t="n">
        <v>759</v>
      </c>
      <c r="I29" s="17" t="n">
        <v>74.09999999999999</v>
      </c>
      <c r="J29" s="14" t="n">
        <v>11.06</v>
      </c>
      <c r="K29" s="14" t="n">
        <v>11.77</v>
      </c>
    </row>
    <row r="30">
      <c r="A30" s="18" t="n">
        <v>26</v>
      </c>
      <c r="B30" s="18" t="inlineStr">
        <is>
          <t>2024-04-03</t>
        </is>
      </c>
      <c r="C30" s="18" t="inlineStr">
        <is>
          <t>2024-04-03</t>
        </is>
      </c>
      <c r="D30" s="13" t="n">
        <v>63.81</v>
      </c>
      <c r="E30" s="19" t="n">
        <v>41.19</v>
      </c>
      <c r="F30" s="19" t="n">
        <v>22.62</v>
      </c>
      <c r="G30" s="15" t="n">
        <v>2173</v>
      </c>
      <c r="H30" s="20" t="n">
        <v>755</v>
      </c>
      <c r="I30" s="21" t="n">
        <v>73.8</v>
      </c>
      <c r="J30" s="19" t="n">
        <v>10.12</v>
      </c>
      <c r="K30" s="19" t="n">
        <v>12.85</v>
      </c>
    </row>
    <row r="31">
      <c r="A31" s="12" t="n">
        <v>27</v>
      </c>
      <c r="B31" s="12" t="inlineStr">
        <is>
          <t>2024-04-10</t>
        </is>
      </c>
      <c r="C31" s="12" t="inlineStr">
        <is>
          <t>2024-04-10</t>
        </is>
      </c>
      <c r="D31" s="13" t="n">
        <v>61.93</v>
      </c>
      <c r="E31" s="14" t="n">
        <v>40.93</v>
      </c>
      <c r="F31" s="14" t="n">
        <v>21</v>
      </c>
      <c r="G31" s="15" t="n">
        <v>2356</v>
      </c>
      <c r="H31" s="16" t="n">
        <v>752</v>
      </c>
      <c r="I31" s="17" t="n">
        <v>74.2</v>
      </c>
      <c r="J31" s="14" t="n">
        <v>11.16</v>
      </c>
      <c r="K31" s="14" t="n">
        <v>13.11</v>
      </c>
    </row>
    <row r="32">
      <c r="A32" s="18" t="n">
        <v>28</v>
      </c>
      <c r="B32" s="18" t="inlineStr">
        <is>
          <t>2024-04-17</t>
        </is>
      </c>
      <c r="C32" s="18" t="inlineStr">
        <is>
          <t>2024-04-17</t>
        </is>
      </c>
      <c r="D32" s="13" t="n">
        <v>60.27</v>
      </c>
      <c r="E32" s="19" t="n">
        <v>39.8</v>
      </c>
      <c r="F32" s="19" t="n">
        <v>20.47</v>
      </c>
      <c r="G32" s="15" t="n">
        <v>2420</v>
      </c>
      <c r="H32" s="20" t="n">
        <v>738</v>
      </c>
      <c r="I32" s="21" t="n">
        <v>71.8</v>
      </c>
      <c r="J32" s="19" t="n">
        <v>10.01</v>
      </c>
      <c r="K32" s="19" t="n">
        <v>11.42</v>
      </c>
    </row>
    <row r="33">
      <c r="A33" s="12" t="n">
        <v>29</v>
      </c>
      <c r="B33" s="12" t="inlineStr">
        <is>
          <t>2024-04-24</t>
        </is>
      </c>
      <c r="C33" s="12" t="inlineStr">
        <is>
          <t>2024-04-24</t>
        </is>
      </c>
      <c r="D33" s="13" t="n">
        <v>61.24</v>
      </c>
      <c r="E33" s="14" t="n">
        <v>41.64</v>
      </c>
      <c r="F33" s="14" t="n">
        <v>19.6</v>
      </c>
      <c r="G33" s="15" t="n">
        <v>2324</v>
      </c>
      <c r="H33" s="16" t="n">
        <v>741</v>
      </c>
      <c r="I33" s="17" t="n">
        <v>72.2</v>
      </c>
      <c r="J33" s="14" t="n">
        <v>14.38</v>
      </c>
      <c r="K33" s="14" t="n">
        <v>12.04</v>
      </c>
    </row>
    <row r="34">
      <c r="A34" s="18" t="n">
        <v>30</v>
      </c>
      <c r="B34" s="18" t="inlineStr">
        <is>
          <t>2024-05-01</t>
        </is>
      </c>
      <c r="C34" s="18" t="inlineStr">
        <is>
          <t>2024-05-06</t>
        </is>
      </c>
      <c r="D34" s="13" t="n">
        <v>63.36</v>
      </c>
      <c r="E34" s="19" t="n">
        <v>40.96</v>
      </c>
      <c r="F34" s="19" t="n">
        <v>22.4</v>
      </c>
      <c r="G34" s="15" t="n">
        <v>2094</v>
      </c>
      <c r="H34" s="20" t="n">
        <v>737</v>
      </c>
      <c r="I34" s="21" t="n">
        <v>73.90000000000001</v>
      </c>
      <c r="J34" s="19" t="n">
        <v>16.57</v>
      </c>
      <c r="K34" s="19" t="n">
        <v>12.77</v>
      </c>
    </row>
    <row r="35">
      <c r="A35" s="12" t="n">
        <v>31</v>
      </c>
      <c r="B35" s="12" t="inlineStr">
        <is>
          <t>2024-05-08</t>
        </is>
      </c>
      <c r="C35" s="12" t="inlineStr">
        <is>
          <t>2024-05-08</t>
        </is>
      </c>
      <c r="D35" s="13" t="n">
        <v>66.08</v>
      </c>
      <c r="E35" s="14" t="n">
        <v>43.38</v>
      </c>
      <c r="F35" s="14" t="n">
        <v>22.7</v>
      </c>
      <c r="G35" s="15" t="n">
        <v>2067</v>
      </c>
      <c r="H35" s="16" t="n">
        <v>739</v>
      </c>
      <c r="I35" s="17" t="n">
        <v>73.40000000000001</v>
      </c>
      <c r="J35" s="14" t="n">
        <v>18.82</v>
      </c>
      <c r="K35" s="14" t="n">
        <v>13.23</v>
      </c>
    </row>
    <row r="36">
      <c r="A36" s="18" t="n">
        <v>32</v>
      </c>
      <c r="B36" s="18" t="inlineStr">
        <is>
          <t>2024-05-15</t>
        </is>
      </c>
      <c r="C36" s="18" t="inlineStr">
        <is>
          <t>2024-05-15</t>
        </is>
      </c>
      <c r="D36" s="13" t="n">
        <v>63.93</v>
      </c>
      <c r="E36" s="19" t="n">
        <v>43.84</v>
      </c>
      <c r="F36" s="19" t="n">
        <v>20.09</v>
      </c>
      <c r="G36" s="15" t="n">
        <v>2156</v>
      </c>
      <c r="H36" s="20" t="n">
        <v>743</v>
      </c>
      <c r="I36" s="21" t="n">
        <v>70.09999999999999</v>
      </c>
      <c r="J36" s="19" t="n">
        <v>14.01</v>
      </c>
      <c r="K36" s="19" t="n">
        <v>13.4</v>
      </c>
    </row>
    <row r="37">
      <c r="A37" s="12" t="n">
        <v>33</v>
      </c>
      <c r="B37" s="12" t="inlineStr">
        <is>
          <t>2024-05-22</t>
        </is>
      </c>
      <c r="C37" s="12" t="inlineStr">
        <is>
          <t>2024-05-22</t>
        </is>
      </c>
      <c r="D37" s="13" t="n">
        <v>58.95</v>
      </c>
      <c r="E37" s="14" t="n">
        <v>39.13</v>
      </c>
      <c r="F37" s="14" t="n">
        <v>19.82</v>
      </c>
      <c r="G37" s="15" t="n">
        <v>2548</v>
      </c>
      <c r="H37" s="16" t="n">
        <v>753</v>
      </c>
      <c r="I37" s="17" t="n">
        <v>69.2</v>
      </c>
      <c r="J37" s="14" t="n">
        <v>9.359999999999999</v>
      </c>
      <c r="K37" s="14" t="n">
        <v>12.93</v>
      </c>
    </row>
    <row r="38">
      <c r="A38" s="18" t="n">
        <v>34</v>
      </c>
      <c r="B38" s="18" t="inlineStr">
        <is>
          <t>2024-05-29</t>
        </is>
      </c>
      <c r="C38" s="18" t="inlineStr">
        <is>
          <t>2024-05-29</t>
        </is>
      </c>
      <c r="D38" s="13" t="n">
        <v>54.13</v>
      </c>
      <c r="E38" s="19" t="n">
        <v>35.41</v>
      </c>
      <c r="F38" s="19" t="n">
        <v>18.72</v>
      </c>
      <c r="G38" s="15" t="n">
        <v>2800</v>
      </c>
      <c r="H38" s="20" t="n">
        <v>745</v>
      </c>
      <c r="I38" s="21" t="n">
        <v>69.40000000000001</v>
      </c>
      <c r="J38" s="19" t="n">
        <v>8.09</v>
      </c>
      <c r="K38" s="19" t="n">
        <v>12.72</v>
      </c>
    </row>
    <row r="39">
      <c r="A39" s="12" t="n">
        <v>35</v>
      </c>
      <c r="B39" s="12" t="inlineStr">
        <is>
          <t>2024-06-05</t>
        </is>
      </c>
      <c r="C39" s="12" t="inlineStr">
        <is>
          <t>2024-06-05</t>
        </is>
      </c>
      <c r="D39" s="13" t="n">
        <v>51.55</v>
      </c>
      <c r="E39" s="14" t="n">
        <v>34</v>
      </c>
      <c r="F39" s="14" t="n">
        <v>17.55</v>
      </c>
      <c r="G39" s="15" t="n">
        <v>2877</v>
      </c>
      <c r="H39" s="16" t="n">
        <v>743</v>
      </c>
      <c r="I39" s="17" t="n">
        <v>69.40000000000001</v>
      </c>
      <c r="J39" s="14" t="n">
        <v>12.46</v>
      </c>
      <c r="K39" s="14" t="n">
        <v>12.92</v>
      </c>
    </row>
    <row r="40">
      <c r="A40" s="18" t="n">
        <v>36</v>
      </c>
      <c r="B40" s="18" t="inlineStr">
        <is>
          <t>2024-06-12</t>
        </is>
      </c>
      <c r="C40" s="18" t="inlineStr">
        <is>
          <t>2024-06-12</t>
        </is>
      </c>
      <c r="D40" s="13" t="n">
        <v>54.38</v>
      </c>
      <c r="E40" s="19" t="n">
        <v>38.09</v>
      </c>
      <c r="F40" s="19" t="n">
        <v>16.29</v>
      </c>
      <c r="G40" s="15" t="n">
        <v>2684</v>
      </c>
      <c r="H40" s="20" t="n">
        <v>750</v>
      </c>
      <c r="I40" s="21" t="n">
        <v>67.90000000000001</v>
      </c>
      <c r="J40" s="19" t="n">
        <v>12.41</v>
      </c>
      <c r="K40" s="19" t="n">
        <v>11.61</v>
      </c>
    </row>
    <row r="41">
      <c r="A41" s="12" t="n">
        <v>37</v>
      </c>
      <c r="B41" s="12" t="inlineStr">
        <is>
          <t>2024-06-19</t>
        </is>
      </c>
      <c r="C41" s="12" t="inlineStr">
        <is>
          <t>2024-06-19</t>
        </is>
      </c>
      <c r="D41" s="13" t="n">
        <v>54.54</v>
      </c>
      <c r="E41" s="14" t="n">
        <v>35.37</v>
      </c>
      <c r="F41" s="14" t="n">
        <v>19.17</v>
      </c>
      <c r="G41" s="15" t="n">
        <v>2837</v>
      </c>
      <c r="H41" s="16" t="n">
        <v>751</v>
      </c>
      <c r="I41" s="17" t="n">
        <v>70.90000000000001</v>
      </c>
      <c r="J41" s="14" t="n">
        <v>11.74</v>
      </c>
      <c r="K41" s="14" t="n">
        <v>11.86</v>
      </c>
    </row>
    <row r="42">
      <c r="A42" s="18" t="n">
        <v>38</v>
      </c>
      <c r="B42" s="18" t="inlineStr">
        <is>
          <t>2024-06-26</t>
        </is>
      </c>
      <c r="C42" s="18" t="inlineStr">
        <is>
          <t>2024-06-26</t>
        </is>
      </c>
      <c r="D42" s="13" t="n">
        <v>53.3</v>
      </c>
      <c r="E42" s="19" t="n">
        <v>35.25</v>
      </c>
      <c r="F42" s="19" t="n">
        <v>18.05</v>
      </c>
      <c r="G42" s="15" t="n">
        <v>2814</v>
      </c>
      <c r="H42" s="20" t="n">
        <v>762</v>
      </c>
      <c r="I42" s="21" t="n">
        <v>69</v>
      </c>
      <c r="J42" s="19" t="n">
        <v>10.8</v>
      </c>
      <c r="K42" s="19" t="n">
        <v>12.67</v>
      </c>
    </row>
    <row r="43">
      <c r="A43" s="12" t="n">
        <v>39</v>
      </c>
      <c r="B43" s="12" t="inlineStr">
        <is>
          <t>2024-07-03</t>
        </is>
      </c>
      <c r="C43" s="12" t="inlineStr">
        <is>
          <t>2024-07-03</t>
        </is>
      </c>
      <c r="D43" s="13" t="n">
        <v>57.87</v>
      </c>
      <c r="E43" s="14" t="n">
        <v>36.92</v>
      </c>
      <c r="F43" s="14" t="n">
        <v>20.95</v>
      </c>
      <c r="G43" s="15" t="n">
        <v>2597</v>
      </c>
      <c r="H43" s="16" t="n">
        <v>763</v>
      </c>
      <c r="I43" s="17" t="n">
        <v>68.2</v>
      </c>
      <c r="J43" s="14" t="n">
        <v>12.87</v>
      </c>
      <c r="K43" s="14" t="n">
        <v>11.29</v>
      </c>
    </row>
    <row r="44">
      <c r="A44" s="18" t="n">
        <v>40</v>
      </c>
      <c r="B44" s="18" t="inlineStr">
        <is>
          <t>2024-07-10</t>
        </is>
      </c>
      <c r="C44" s="18" t="inlineStr">
        <is>
          <t>2024-07-10</t>
        </is>
      </c>
      <c r="D44" s="13" t="n">
        <v>65</v>
      </c>
      <c r="E44" s="19" t="n">
        <v>42.79</v>
      </c>
      <c r="F44" s="19" t="n">
        <v>22.21</v>
      </c>
      <c r="G44" s="15" t="n">
        <v>2055</v>
      </c>
      <c r="H44" s="20" t="n">
        <v>773</v>
      </c>
      <c r="I44" s="21" t="n">
        <v>67.7</v>
      </c>
      <c r="J44" s="19" t="n">
        <v>15.6</v>
      </c>
      <c r="K44" s="19" t="n">
        <v>11.48</v>
      </c>
    </row>
    <row r="45">
      <c r="A45" s="12" t="n">
        <v>41</v>
      </c>
      <c r="B45" s="12" t="inlineStr">
        <is>
          <t>2024-07-17</t>
        </is>
      </c>
      <c r="C45" s="12" t="inlineStr">
        <is>
          <t>2024-07-17</t>
        </is>
      </c>
      <c r="D45" s="13" t="n">
        <v>69.7</v>
      </c>
      <c r="E45" s="14" t="n">
        <v>45.64</v>
      </c>
      <c r="F45" s="14" t="n">
        <v>24.06</v>
      </c>
      <c r="G45" s="15" t="n">
        <v>2039</v>
      </c>
      <c r="H45" s="16" t="n">
        <v>773</v>
      </c>
      <c r="I45" s="17" t="n">
        <v>68</v>
      </c>
      <c r="J45" s="14" t="n">
        <v>14.76</v>
      </c>
      <c r="K45" s="14" t="n">
        <v>10.64</v>
      </c>
    </row>
    <row r="46">
      <c r="A46" s="18" t="n">
        <v>42</v>
      </c>
      <c r="B46" s="18" t="inlineStr">
        <is>
          <t>2024-07-24</t>
        </is>
      </c>
      <c r="C46" s="18" t="inlineStr">
        <is>
          <t>2024-07-24</t>
        </is>
      </c>
      <c r="D46" s="13" t="n">
        <v>71.14</v>
      </c>
      <c r="E46" s="19" t="n">
        <v>47.46</v>
      </c>
      <c r="F46" s="19" t="n">
        <v>23.68</v>
      </c>
      <c r="G46" s="15" t="n">
        <v>2107</v>
      </c>
      <c r="H46" s="20" t="n">
        <v>771</v>
      </c>
      <c r="I46" s="21" t="n">
        <v>67.5</v>
      </c>
      <c r="J46" s="19" t="n">
        <v>16.67</v>
      </c>
      <c r="K46" s="19" t="n">
        <v>10.34</v>
      </c>
    </row>
    <row r="47">
      <c r="A47" s="12" t="n">
        <v>43</v>
      </c>
      <c r="B47" s="12" t="inlineStr">
        <is>
          <t>2024-07-31</t>
        </is>
      </c>
      <c r="C47" s="12" t="inlineStr">
        <is>
          <t>2024-07-31</t>
        </is>
      </c>
      <c r="D47" s="13" t="n">
        <v>70.87</v>
      </c>
      <c r="E47" s="14" t="n">
        <v>46.34</v>
      </c>
      <c r="F47" s="14" t="n">
        <v>24.53</v>
      </c>
      <c r="G47" s="15" t="n">
        <v>2124</v>
      </c>
      <c r="H47" s="16" t="n">
        <v>785</v>
      </c>
      <c r="I47" s="17" t="n">
        <v>66.5</v>
      </c>
      <c r="J47" s="14" t="n">
        <v>14.45</v>
      </c>
      <c r="K47" s="14" t="n">
        <v>11.29</v>
      </c>
    </row>
    <row r="48">
      <c r="A48" s="18" t="n">
        <v>44</v>
      </c>
      <c r="B48" s="18" t="inlineStr">
        <is>
          <t>2024-08-07</t>
        </is>
      </c>
      <c r="C48" s="18" t="inlineStr">
        <is>
          <t>2024-08-07</t>
        </is>
      </c>
      <c r="D48" s="13" t="n">
        <v>71.69</v>
      </c>
      <c r="E48" s="19" t="n">
        <v>46.55</v>
      </c>
      <c r="F48" s="19" t="n">
        <v>25.14</v>
      </c>
      <c r="G48" s="15" t="n">
        <v>1963</v>
      </c>
      <c r="H48" s="20" t="n">
        <v>789</v>
      </c>
      <c r="I48" s="21" t="n">
        <v>68.2</v>
      </c>
      <c r="J48" s="19" t="n">
        <v>14.17</v>
      </c>
      <c r="K48" s="19" t="n">
        <v>11.51</v>
      </c>
    </row>
    <row r="49">
      <c r="A49" s="12" t="n">
        <v>45</v>
      </c>
      <c r="B49" s="12" t="inlineStr">
        <is>
          <t>2024-08-14</t>
        </is>
      </c>
      <c r="C49" s="12" t="inlineStr">
        <is>
          <t>2024-08-14</t>
        </is>
      </c>
      <c r="D49" s="13" t="n">
        <v>73.92</v>
      </c>
      <c r="E49" s="14" t="n">
        <v>50.05</v>
      </c>
      <c r="F49" s="14" t="n">
        <v>23.87</v>
      </c>
      <c r="G49" s="15" t="n">
        <v>1994</v>
      </c>
      <c r="H49" s="16" t="n">
        <v>793</v>
      </c>
      <c r="I49" s="17" t="n">
        <v>64.40000000000001</v>
      </c>
      <c r="J49" s="14" t="n">
        <v>12.83</v>
      </c>
      <c r="K49" s="14" t="n">
        <v>10.85</v>
      </c>
    </row>
    <row r="50">
      <c r="A50" s="18" t="n">
        <v>46</v>
      </c>
      <c r="B50" s="18" t="inlineStr">
        <is>
          <t>2024-08-21</t>
        </is>
      </c>
      <c r="C50" s="18" t="inlineStr">
        <is>
          <t>2024-08-21</t>
        </is>
      </c>
      <c r="D50" s="13" t="n">
        <v>76.15000000000001</v>
      </c>
      <c r="E50" s="19" t="n">
        <v>49.25</v>
      </c>
      <c r="F50" s="19" t="n">
        <v>26.9</v>
      </c>
      <c r="G50" s="15" t="n">
        <v>2195</v>
      </c>
      <c r="H50" s="20" t="n">
        <v>798</v>
      </c>
      <c r="I50" s="21" t="n">
        <v>66.59999999999999</v>
      </c>
      <c r="J50" s="19" t="n">
        <v>15.47</v>
      </c>
      <c r="K50" s="19" t="n">
        <v>11.81</v>
      </c>
    </row>
    <row r="51">
      <c r="A51" s="12" t="n">
        <v>47</v>
      </c>
      <c r="B51" s="12" t="inlineStr">
        <is>
          <t>2024-08-28</t>
        </is>
      </c>
      <c r="C51" s="12" t="inlineStr">
        <is>
          <t>2024-08-28</t>
        </is>
      </c>
      <c r="D51" s="13" t="n">
        <v>75.2</v>
      </c>
      <c r="E51" s="14" t="n">
        <v>51.5</v>
      </c>
      <c r="F51" s="14" t="n">
        <v>23.7</v>
      </c>
      <c r="G51" s="15" t="n">
        <v>1844</v>
      </c>
      <c r="H51" s="16" t="n">
        <v>807</v>
      </c>
      <c r="I51" s="17" t="n">
        <v>66.5</v>
      </c>
      <c r="J51" s="14" t="n">
        <v>12.7</v>
      </c>
      <c r="K51" s="14" t="n">
        <v>10.07</v>
      </c>
    </row>
    <row r="52">
      <c r="A52" s="18" t="n">
        <v>48</v>
      </c>
      <c r="B52" s="18" t="inlineStr">
        <is>
          <t>2024-09-04</t>
        </is>
      </c>
      <c r="C52" s="18" t="inlineStr">
        <is>
          <t>2024-09-04</t>
        </is>
      </c>
      <c r="D52" s="13" t="n">
        <v>74.76000000000001</v>
      </c>
      <c r="E52" s="19" t="n">
        <v>49.8</v>
      </c>
      <c r="F52" s="19" t="n">
        <v>24.96</v>
      </c>
      <c r="G52" s="15" t="n">
        <v>2191</v>
      </c>
      <c r="H52" s="20" t="n">
        <v>812</v>
      </c>
      <c r="I52" s="21" t="n">
        <v>65.3</v>
      </c>
      <c r="J52" s="19" t="n">
        <v>12.97</v>
      </c>
      <c r="K52" s="19" t="n">
        <v>11.46</v>
      </c>
    </row>
    <row r="53">
      <c r="A53" s="12" t="n">
        <v>49</v>
      </c>
      <c r="B53" s="12" t="inlineStr">
        <is>
          <t>2024-09-11</t>
        </is>
      </c>
      <c r="C53" s="12" t="inlineStr">
        <is>
          <t>2024-09-11</t>
        </is>
      </c>
      <c r="D53" s="13" t="n">
        <v>75.56</v>
      </c>
      <c r="E53" s="14" t="n">
        <v>51.03</v>
      </c>
      <c r="F53" s="14" t="n">
        <v>24.53</v>
      </c>
      <c r="G53" s="15" t="n">
        <v>2143</v>
      </c>
      <c r="H53" s="16" t="n">
        <v>808</v>
      </c>
      <c r="I53" s="17" t="n">
        <v>66.09999999999999</v>
      </c>
      <c r="J53" s="14" t="n">
        <v>17.56</v>
      </c>
      <c r="K53" s="14" t="n">
        <v>11.32</v>
      </c>
    </row>
    <row r="54">
      <c r="A54" s="18" t="n">
        <v>50</v>
      </c>
      <c r="B54" s="18" t="inlineStr">
        <is>
          <t>2024-09-18</t>
        </is>
      </c>
      <c r="C54" s="18" t="inlineStr">
        <is>
          <t>2024-09-18</t>
        </is>
      </c>
      <c r="D54" s="13" t="n">
        <v>70.56999999999999</v>
      </c>
      <c r="E54" s="19" t="n">
        <v>45.78</v>
      </c>
      <c r="F54" s="19" t="n">
        <v>24.79</v>
      </c>
      <c r="G54" s="15" t="n">
        <v>2365</v>
      </c>
      <c r="H54" s="20" t="n">
        <v>819</v>
      </c>
      <c r="I54" s="21" t="n">
        <v>64.90000000000001</v>
      </c>
      <c r="J54" s="19" t="n">
        <v>8.539999999999999</v>
      </c>
      <c r="K54" s="19" t="n">
        <v>11.58</v>
      </c>
    </row>
    <row r="55">
      <c r="A55" s="12" t="n">
        <v>51</v>
      </c>
      <c r="B55" s="12" t="inlineStr">
        <is>
          <t>2024-09-25</t>
        </is>
      </c>
      <c r="C55" s="12" t="inlineStr">
        <is>
          <t>2024-09-25</t>
        </is>
      </c>
      <c r="D55" s="13" t="n">
        <v>68.54000000000001</v>
      </c>
      <c r="E55" s="14" t="n">
        <v>45.62</v>
      </c>
      <c r="F55" s="14" t="n">
        <v>22.92</v>
      </c>
      <c r="G55" s="15" t="n">
        <v>2329</v>
      </c>
      <c r="H55" s="16" t="n">
        <v>815</v>
      </c>
      <c r="I55" s="17" t="n">
        <v>67.5</v>
      </c>
      <c r="J55" s="14" t="n">
        <v>12.72</v>
      </c>
      <c r="K55" s="14" t="n">
        <v>11.98</v>
      </c>
    </row>
    <row r="56">
      <c r="A56" s="18" t="n">
        <v>52</v>
      </c>
      <c r="B56" s="18" t="inlineStr">
        <is>
          <t>2024-10-02</t>
        </is>
      </c>
      <c r="C56" s="18" t="inlineStr">
        <is>
          <t>2024-10-02</t>
        </is>
      </c>
      <c r="D56" s="13" t="n">
        <v>71.98</v>
      </c>
      <c r="E56" s="19" t="n">
        <v>47.7</v>
      </c>
      <c r="F56" s="19" t="n">
        <v>24.28</v>
      </c>
      <c r="G56" s="15" t="n">
        <v>2373</v>
      </c>
      <c r="H56" s="20" t="n">
        <v>822</v>
      </c>
      <c r="I56" s="21" t="n">
        <v>66.90000000000001</v>
      </c>
      <c r="J56" s="19" t="n">
        <v>15.21</v>
      </c>
      <c r="K56" s="19" t="n">
        <v>9.75</v>
      </c>
    </row>
    <row r="57">
      <c r="A57" s="12" t="n">
        <v>53</v>
      </c>
      <c r="B57" s="12" t="inlineStr">
        <is>
          <t>2024-10-09</t>
        </is>
      </c>
      <c r="C57" s="12" t="inlineStr">
        <is>
          <t>2024-10-09</t>
        </is>
      </c>
      <c r="D57" s="13" t="n">
        <v>76.67</v>
      </c>
      <c r="E57" s="14" t="n">
        <v>51.36</v>
      </c>
      <c r="F57" s="14" t="n">
        <v>25.31</v>
      </c>
      <c r="G57" s="15" t="n">
        <v>2067</v>
      </c>
      <c r="H57" s="16" t="n">
        <v>808</v>
      </c>
      <c r="I57" s="17" t="n">
        <v>65.3</v>
      </c>
      <c r="J57" s="14" t="n">
        <v>18.43</v>
      </c>
      <c r="K57" s="14" t="n">
        <v>10.34</v>
      </c>
    </row>
    <row r="58">
      <c r="A58" s="18" t="n">
        <v>54</v>
      </c>
      <c r="B58" s="18" t="inlineStr">
        <is>
          <t>2024-10-16</t>
        </is>
      </c>
      <c r="C58" s="18" t="inlineStr">
        <is>
          <t>2024-10-16</t>
        </is>
      </c>
      <c r="D58" s="13" t="n">
        <v>78.86</v>
      </c>
      <c r="E58" s="19" t="n">
        <v>51.02</v>
      </c>
      <c r="F58" s="19" t="n">
        <v>27.84</v>
      </c>
      <c r="G58" s="15" t="n">
        <v>2007</v>
      </c>
      <c r="H58" s="20" t="n">
        <v>818</v>
      </c>
      <c r="I58" s="21" t="n">
        <v>65.90000000000001</v>
      </c>
      <c r="J58" s="19" t="n">
        <v>20.61</v>
      </c>
      <c r="K58" s="19" t="n">
        <v>10.97</v>
      </c>
    </row>
    <row r="59">
      <c r="A59" s="12" t="n">
        <v>55</v>
      </c>
      <c r="B59" s="12" t="inlineStr">
        <is>
          <t>2024-10-23</t>
        </is>
      </c>
      <c r="C59" s="12" t="inlineStr">
        <is>
          <t>2024-10-23</t>
        </is>
      </c>
      <c r="D59" s="13" t="n">
        <v>75.79000000000001</v>
      </c>
      <c r="E59" s="14" t="n">
        <v>49.06</v>
      </c>
      <c r="F59" s="14" t="n">
        <v>26.73</v>
      </c>
      <c r="G59" s="15" t="n">
        <v>2078</v>
      </c>
      <c r="H59" s="16" t="n">
        <v>821</v>
      </c>
      <c r="I59" s="17" t="n">
        <v>64.40000000000001</v>
      </c>
      <c r="J59" s="14" t="n">
        <v>15.9</v>
      </c>
      <c r="K59" s="14" t="n">
        <v>10.89</v>
      </c>
    </row>
    <row r="60">
      <c r="A60" s="18" t="n">
        <v>56</v>
      </c>
      <c r="B60" s="18" t="inlineStr">
        <is>
          <t>2024-10-30</t>
        </is>
      </c>
      <c r="C60" s="18" t="inlineStr">
        <is>
          <t>2024-10-30</t>
        </is>
      </c>
      <c r="D60" s="13" t="n">
        <v>76.31999999999999</v>
      </c>
      <c r="E60" s="19" t="n">
        <v>49.7</v>
      </c>
      <c r="F60" s="19" t="n">
        <v>26.62</v>
      </c>
      <c r="G60" s="15" t="n">
        <v>1990</v>
      </c>
      <c r="H60" s="20" t="n">
        <v>820</v>
      </c>
      <c r="I60" s="21" t="n">
        <v>65.59999999999999</v>
      </c>
      <c r="J60" s="19" t="n">
        <v>13.52</v>
      </c>
      <c r="K60" s="19" t="n">
        <v>10.49</v>
      </c>
    </row>
    <row r="61">
      <c r="A61" s="12" t="n">
        <v>57</v>
      </c>
      <c r="B61" s="12" t="inlineStr">
        <is>
          <t>2024-11-06</t>
        </is>
      </c>
      <c r="C61" s="12" t="inlineStr">
        <is>
          <t>2024-11-06</t>
        </is>
      </c>
      <c r="D61" s="13" t="n">
        <v>74.34999999999999</v>
      </c>
      <c r="E61" s="14" t="n">
        <v>49.3</v>
      </c>
      <c r="F61" s="14" t="n">
        <v>25.05</v>
      </c>
      <c r="G61" s="15" t="n">
        <v>2247</v>
      </c>
      <c r="H61" s="16" t="n">
        <v>806</v>
      </c>
      <c r="I61" s="17" t="n">
        <v>68</v>
      </c>
      <c r="J61" s="14" t="n">
        <v>12.1</v>
      </c>
      <c r="K61" s="14" t="n">
        <v>12.42</v>
      </c>
    </row>
    <row r="62">
      <c r="A62" s="18" t="n">
        <v>58</v>
      </c>
      <c r="B62" s="18" t="inlineStr">
        <is>
          <t>2024-11-13</t>
        </is>
      </c>
      <c r="C62" s="18" t="inlineStr">
        <is>
          <t>2024-11-13</t>
        </is>
      </c>
      <c r="D62" s="13" t="n">
        <v>72.48999999999999</v>
      </c>
      <c r="E62" s="19" t="n">
        <v>48.66</v>
      </c>
      <c r="F62" s="19" t="n">
        <v>23.83</v>
      </c>
      <c r="G62" s="15" t="n">
        <v>2000</v>
      </c>
      <c r="H62" s="20" t="n">
        <v>803</v>
      </c>
      <c r="I62" s="21" t="n">
        <v>66.2</v>
      </c>
      <c r="J62" s="19" t="n">
        <v>16.83</v>
      </c>
      <c r="K62" s="19" t="n">
        <v>12.15</v>
      </c>
    </row>
    <row r="63">
      <c r="A63" s="12" t="n">
        <v>59</v>
      </c>
      <c r="B63" s="12" t="inlineStr">
        <is>
          <t>2024-11-20</t>
        </is>
      </c>
      <c r="C63" s="12" t="inlineStr">
        <is>
          <t>2024-11-20</t>
        </is>
      </c>
      <c r="D63" s="13" t="n">
        <v>72.62</v>
      </c>
      <c r="E63" s="14" t="n">
        <v>47.42</v>
      </c>
      <c r="F63" s="14" t="n">
        <v>25.2</v>
      </c>
      <c r="G63" s="15" t="n">
        <v>2016</v>
      </c>
      <c r="H63" s="16" t="n">
        <v>800</v>
      </c>
      <c r="I63" s="17" t="n">
        <v>67.2</v>
      </c>
      <c r="J63" s="14" t="n">
        <v>16.15</v>
      </c>
      <c r="K63" s="14" t="n">
        <v>12</v>
      </c>
    </row>
    <row r="64">
      <c r="A64" s="18" t="n">
        <v>60</v>
      </c>
      <c r="B64" s="18" t="inlineStr">
        <is>
          <t>2024-11-27</t>
        </is>
      </c>
      <c r="C64" s="18" t="inlineStr">
        <is>
          <t>2024-11-27</t>
        </is>
      </c>
      <c r="D64" s="13" t="n">
        <v>74.72</v>
      </c>
      <c r="E64" s="19" t="n">
        <v>48.7</v>
      </c>
      <c r="F64" s="19" t="n">
        <v>26.02</v>
      </c>
      <c r="G64" s="15" t="n">
        <v>2036</v>
      </c>
      <c r="H64" s="20" t="n">
        <v>809</v>
      </c>
      <c r="I64" s="21" t="n">
        <v>68.2</v>
      </c>
      <c r="J64" s="19" t="n">
        <v>16.76</v>
      </c>
      <c r="K64" s="19" t="n">
        <v>12.18</v>
      </c>
    </row>
    <row r="65">
      <c r="A65" s="12" t="n">
        <v>61</v>
      </c>
      <c r="B65" s="12" t="inlineStr">
        <is>
          <t>2024-12-04</t>
        </is>
      </c>
      <c r="C65" s="12" t="inlineStr">
        <is>
          <t>2024-12-04</t>
        </is>
      </c>
      <c r="D65" s="13" t="n">
        <v>73.45999999999999</v>
      </c>
      <c r="E65" s="14" t="n">
        <v>48.12</v>
      </c>
      <c r="F65" s="14" t="n">
        <v>25.34</v>
      </c>
      <c r="G65" s="15" t="n">
        <v>2221</v>
      </c>
      <c r="H65" s="16" t="n">
        <v>804</v>
      </c>
      <c r="I65" s="17" t="n">
        <v>68</v>
      </c>
      <c r="J65" s="14" t="n">
        <v>15.21</v>
      </c>
      <c r="K65" s="14" t="n">
        <v>10.21</v>
      </c>
    </row>
    <row r="66">
      <c r="A66" s="18" t="n">
        <v>62</v>
      </c>
      <c r="B66" s="18" t="inlineStr">
        <is>
          <t>2024-12-11</t>
        </is>
      </c>
      <c r="C66" s="18" t="inlineStr">
        <is>
          <t>2024-12-11</t>
        </is>
      </c>
      <c r="D66" s="13" t="n">
        <v>69.95999999999999</v>
      </c>
      <c r="E66" s="19" t="n">
        <v>47.07</v>
      </c>
      <c r="F66" s="19" t="n">
        <v>22.89</v>
      </c>
      <c r="G66" s="15" t="n">
        <v>2245</v>
      </c>
      <c r="H66" s="20" t="n">
        <v>797</v>
      </c>
      <c r="I66" s="21" t="n">
        <v>66.59999999999999</v>
      </c>
      <c r="J66" s="19" t="n">
        <v>13.69</v>
      </c>
      <c r="K66" s="19" t="n">
        <v>12.2</v>
      </c>
    </row>
    <row r="67">
      <c r="A67" s="12" t="n">
        <v>63</v>
      </c>
      <c r="B67" s="12" t="inlineStr">
        <is>
          <t>2024-12-18</t>
        </is>
      </c>
      <c r="C67" s="12" t="inlineStr">
        <is>
          <t>2024-12-18</t>
        </is>
      </c>
      <c r="D67" s="13" t="n">
        <v>66.58</v>
      </c>
      <c r="E67" s="14" t="n">
        <v>44.52</v>
      </c>
      <c r="F67" s="14" t="n">
        <v>22.06</v>
      </c>
      <c r="G67" s="15" t="n">
        <v>2323</v>
      </c>
      <c r="H67" s="16" t="n">
        <v>796</v>
      </c>
      <c r="I67" s="17" t="n">
        <v>67.09999999999999</v>
      </c>
      <c r="J67" s="14" t="n">
        <v>10.11</v>
      </c>
      <c r="K67" s="14" t="n">
        <v>13.05</v>
      </c>
    </row>
    <row r="68">
      <c r="A68" s="18" t="n">
        <v>64</v>
      </c>
      <c r="B68" s="18" t="inlineStr">
        <is>
          <t>2024-12-25</t>
        </is>
      </c>
      <c r="C68" s="18" t="inlineStr">
        <is>
          <t>2024-12-25</t>
        </is>
      </c>
      <c r="D68" s="13" t="n">
        <v>58.6</v>
      </c>
      <c r="E68" s="19" t="n">
        <v>37.2</v>
      </c>
      <c r="F68" s="19" t="n">
        <v>21.4</v>
      </c>
      <c r="G68" s="15" t="n">
        <v>2373</v>
      </c>
      <c r="H68" s="20" t="n">
        <v>787</v>
      </c>
      <c r="I68" s="21" t="n">
        <v>69</v>
      </c>
      <c r="J68" s="19" t="n">
        <v>3.87</v>
      </c>
      <c r="K68" s="19" t="n">
        <v>13.09</v>
      </c>
    </row>
    <row r="69">
      <c r="A69" s="12" t="n">
        <v>65</v>
      </c>
      <c r="B69" s="12" t="inlineStr">
        <is>
          <t>2025-01-01</t>
        </is>
      </c>
      <c r="C69" s="12" t="inlineStr">
        <is>
          <t>2025-01-02</t>
        </is>
      </c>
      <c r="D69" s="13" t="n">
        <v>55.28</v>
      </c>
      <c r="E69" s="14" t="n">
        <v>37.47</v>
      </c>
      <c r="F69" s="14" t="n">
        <v>17.81</v>
      </c>
      <c r="G69" s="15" t="n">
        <v>2384</v>
      </c>
      <c r="H69" s="16" t="n">
        <v>790</v>
      </c>
      <c r="I69" s="17" t="n">
        <v>67.3</v>
      </c>
      <c r="J69" s="14" t="n">
        <v>8.44</v>
      </c>
      <c r="K69" s="14" t="n">
        <v>11.16</v>
      </c>
    </row>
    <row r="70">
      <c r="A70" s="18" t="n">
        <v>66</v>
      </c>
      <c r="B70" s="18" t="inlineStr">
        <is>
          <t>2025-01-08</t>
        </is>
      </c>
      <c r="C70" s="18" t="inlineStr">
        <is>
          <t>2025-01-08</t>
        </is>
      </c>
      <c r="D70" s="13" t="n">
        <v>53.23</v>
      </c>
      <c r="E70" s="19" t="n">
        <v>35.84</v>
      </c>
      <c r="F70" s="19" t="n">
        <v>17.39</v>
      </c>
      <c r="G70" s="15" t="n">
        <v>2546</v>
      </c>
      <c r="H70" s="20" t="n">
        <v>773</v>
      </c>
      <c r="I70" s="21" t="n">
        <v>69.40000000000001</v>
      </c>
      <c r="J70" s="19" t="n">
        <v>7.8</v>
      </c>
      <c r="K70" s="19" t="n">
        <v>12</v>
      </c>
    </row>
    <row r="71">
      <c r="A71" s="12" t="n">
        <v>67</v>
      </c>
      <c r="B71" s="12" t="inlineStr">
        <is>
          <t>2025-01-15</t>
        </is>
      </c>
      <c r="C71" s="12" t="inlineStr">
        <is>
          <t>2025-01-15</t>
        </is>
      </c>
      <c r="D71" s="13" t="n">
        <v>53.11</v>
      </c>
      <c r="E71" s="14" t="n">
        <v>34.13</v>
      </c>
      <c r="F71" s="14" t="n">
        <v>18.98</v>
      </c>
      <c r="G71" s="15" t="n">
        <v>2462</v>
      </c>
      <c r="H71" s="16" t="n">
        <v>766</v>
      </c>
      <c r="I71" s="17" t="n">
        <v>69.59999999999999</v>
      </c>
      <c r="J71" s="14" t="n">
        <v>11.97</v>
      </c>
      <c r="K71" s="14" t="n">
        <v>12.29</v>
      </c>
    </row>
    <row r="72">
      <c r="A72" s="18" t="n">
        <v>68</v>
      </c>
      <c r="B72" s="18" t="inlineStr">
        <is>
          <t>2025-01-22</t>
        </is>
      </c>
      <c r="C72" s="18" t="inlineStr">
        <is>
          <t>2025-01-22</t>
        </is>
      </c>
      <c r="D72" s="13" t="n">
        <v>53.56</v>
      </c>
      <c r="E72" s="19" t="n">
        <v>35.51</v>
      </c>
      <c r="F72" s="19" t="n">
        <v>18.05</v>
      </c>
      <c r="G72" s="15" t="n">
        <v>2483</v>
      </c>
      <c r="H72" s="20" t="n">
        <v>763</v>
      </c>
      <c r="I72" s="21" t="n">
        <v>67.59999999999999</v>
      </c>
      <c r="J72" s="19" t="n">
        <v>11.24</v>
      </c>
      <c r="K72" s="19" t="n">
        <v>11.12</v>
      </c>
    </row>
    <row r="73">
      <c r="A73" s="12" t="n">
        <v>69</v>
      </c>
      <c r="B73" s="12" t="inlineStr">
        <is>
          <t>2025-01-29</t>
        </is>
      </c>
      <c r="C73" s="12" t="inlineStr">
        <is>
          <t>2025-01-29</t>
        </is>
      </c>
      <c r="D73" s="13" t="n">
        <v>55.1</v>
      </c>
      <c r="E73" s="14" t="n">
        <v>36.5</v>
      </c>
      <c r="F73" s="14" t="n">
        <v>18.6</v>
      </c>
      <c r="G73" s="15" t="n">
        <v>2382</v>
      </c>
      <c r="H73" s="16" t="n">
        <v>765</v>
      </c>
      <c r="I73" s="17" t="n">
        <v>69.7</v>
      </c>
      <c r="J73" s="14" t="n">
        <v>12.49</v>
      </c>
      <c r="K73" s="14" t="n">
        <v>13.24</v>
      </c>
    </row>
    <row r="74">
      <c r="A74" s="18" t="n">
        <v>70</v>
      </c>
      <c r="B74" s="18" t="inlineStr">
        <is>
          <t>2025-02-05</t>
        </is>
      </c>
      <c r="C74" s="18" t="inlineStr">
        <is>
          <t>2025-02-05</t>
        </is>
      </c>
      <c r="D74" s="13" t="n">
        <v>58.99</v>
      </c>
      <c r="E74" s="19" t="n">
        <v>40.68</v>
      </c>
      <c r="F74" s="19" t="n">
        <v>18.31</v>
      </c>
      <c r="G74" s="15" t="n">
        <v>2336</v>
      </c>
      <c r="H74" s="20" t="n">
        <v>759</v>
      </c>
      <c r="I74" s="21" t="n">
        <v>71.8</v>
      </c>
      <c r="J74" s="19" t="n">
        <v>9.890000000000001</v>
      </c>
      <c r="K74" s="19" t="n">
        <v>11.63</v>
      </c>
    </row>
    <row r="75">
      <c r="A75" s="12" t="n">
        <v>71</v>
      </c>
      <c r="B75" s="12" t="inlineStr">
        <is>
          <t>2025-02-12</t>
        </is>
      </c>
      <c r="C75" s="12" t="inlineStr">
        <is>
          <t>2025-02-12</t>
        </is>
      </c>
      <c r="D75" s="13" t="n">
        <v>57.89</v>
      </c>
      <c r="E75" s="14" t="n">
        <v>37.8</v>
      </c>
      <c r="F75" s="14" t="n">
        <v>20.09</v>
      </c>
      <c r="G75" s="15" t="n">
        <v>2394</v>
      </c>
      <c r="H75" s="16" t="n">
        <v>751</v>
      </c>
      <c r="I75" s="17" t="n">
        <v>67.40000000000001</v>
      </c>
      <c r="J75" s="14" t="n">
        <v>9.960000000000001</v>
      </c>
      <c r="K75" s="14" t="n">
        <v>12.43</v>
      </c>
    </row>
    <row r="76">
      <c r="A76" s="18" t="n">
        <v>72</v>
      </c>
      <c r="B76" s="18" t="inlineStr">
        <is>
          <t>2025-02-19</t>
        </is>
      </c>
      <c r="C76" s="18" t="inlineStr">
        <is>
          <t>2025-02-19</t>
        </is>
      </c>
      <c r="D76" s="13" t="n">
        <v>55.17</v>
      </c>
      <c r="E76" s="19" t="n">
        <v>35.93</v>
      </c>
      <c r="F76" s="19" t="n">
        <v>19.24</v>
      </c>
      <c r="G76" s="15" t="n">
        <v>2602</v>
      </c>
      <c r="H76" s="20" t="n">
        <v>752</v>
      </c>
      <c r="I76" s="21" t="n">
        <v>71.5</v>
      </c>
      <c r="J76" s="19" t="n">
        <v>7.01</v>
      </c>
      <c r="K76" s="19" t="n">
        <v>10.86</v>
      </c>
    </row>
    <row r="77">
      <c r="A77" s="12" t="n">
        <v>73</v>
      </c>
      <c r="B77" s="12" t="inlineStr">
        <is>
          <t>2025-02-26</t>
        </is>
      </c>
      <c r="C77" s="12" t="inlineStr">
        <is>
          <t>2025-02-26</t>
        </is>
      </c>
      <c r="D77" s="13" t="n">
        <v>51.9</v>
      </c>
      <c r="E77" s="14" t="n">
        <v>33.34</v>
      </c>
      <c r="F77" s="14" t="n">
        <v>18.56</v>
      </c>
      <c r="G77" s="15" t="n">
        <v>2511</v>
      </c>
      <c r="H77" s="16" t="n">
        <v>744</v>
      </c>
      <c r="I77" s="17" t="n">
        <v>71.40000000000001</v>
      </c>
      <c r="J77" s="14" t="n">
        <v>7.65</v>
      </c>
      <c r="K77" s="14" t="n">
        <v>11.29</v>
      </c>
    </row>
    <row r="78">
      <c r="A78" s="18" t="n">
        <v>74</v>
      </c>
      <c r="B78" s="18" t="inlineStr">
        <is>
          <t>2025-03-05</t>
        </is>
      </c>
      <c r="C78" s="18" t="inlineStr">
        <is>
          <t>2025-03-05</t>
        </is>
      </c>
      <c r="D78" s="13" t="n">
        <v>47.88</v>
      </c>
      <c r="E78" s="19" t="n">
        <v>31.01</v>
      </c>
      <c r="F78" s="19" t="n">
        <v>16.87</v>
      </c>
      <c r="G78" s="15" t="n">
        <v>2397</v>
      </c>
      <c r="H78" s="20" t="n">
        <v>749</v>
      </c>
      <c r="I78" s="21" t="n">
        <v>72.40000000000001</v>
      </c>
      <c r="J78" s="19" t="n">
        <v>9.6</v>
      </c>
      <c r="K78" s="19" t="n">
        <v>13.72</v>
      </c>
    </row>
    <row r="79">
      <c r="A79" s="12" t="n">
        <v>75</v>
      </c>
      <c r="B79" s="12" t="inlineStr">
        <is>
          <t>2025-03-12</t>
        </is>
      </c>
      <c r="C79" s="12" t="inlineStr">
        <is>
          <t>2025-03-12</t>
        </is>
      </c>
      <c r="D79" s="13" t="n">
        <v>52.46</v>
      </c>
      <c r="E79" s="14" t="n">
        <v>34.54</v>
      </c>
      <c r="F79" s="14" t="n">
        <v>17.92</v>
      </c>
      <c r="G79" s="15" t="n">
        <v>2446</v>
      </c>
      <c r="H79" s="16" t="n">
        <v>734</v>
      </c>
      <c r="I79" s="17" t="n">
        <v>70.09999999999999</v>
      </c>
      <c r="J79" s="14" t="n">
        <v>11.74</v>
      </c>
      <c r="K79" s="14" t="n">
        <v>11.23</v>
      </c>
    </row>
    <row r="80">
      <c r="A80" s="18" t="n">
        <v>76</v>
      </c>
      <c r="B80" s="18" t="inlineStr">
        <is>
          <t>2025-03-19</t>
        </is>
      </c>
      <c r="C80" s="18" t="inlineStr">
        <is>
          <t>2025-03-19</t>
        </is>
      </c>
      <c r="D80" s="13" t="n">
        <v>48.89</v>
      </c>
      <c r="E80" s="19" t="n">
        <v>31.56</v>
      </c>
      <c r="F80" s="19" t="n">
        <v>17.33</v>
      </c>
      <c r="G80" s="15" t="n">
        <v>2597</v>
      </c>
      <c r="H80" s="20" t="n">
        <v>746</v>
      </c>
      <c r="I80" s="21" t="n">
        <v>74</v>
      </c>
      <c r="J80" s="19" t="n">
        <v>8.24</v>
      </c>
      <c r="K80" s="19" t="n">
        <v>13.7</v>
      </c>
    </row>
    <row r="81">
      <c r="A81" s="12" t="n">
        <v>77</v>
      </c>
      <c r="B81" s="12" t="inlineStr">
        <is>
          <t>2025-03-26</t>
        </is>
      </c>
      <c r="C81" s="12" t="inlineStr">
        <is>
          <t>2025-03-26</t>
        </is>
      </c>
      <c r="D81" s="13" t="n">
        <v>44.29</v>
      </c>
      <c r="E81" s="14" t="n">
        <v>28.67</v>
      </c>
      <c r="F81" s="14" t="n">
        <v>15.62</v>
      </c>
      <c r="G81" s="15" t="n">
        <v>2509</v>
      </c>
      <c r="H81" s="16" t="n">
        <v>738</v>
      </c>
      <c r="I81" s="17" t="n">
        <v>74.7</v>
      </c>
      <c r="J81" s="14" t="n">
        <v>5.84</v>
      </c>
      <c r="K81" s="14" t="n">
        <v>11.71</v>
      </c>
    </row>
    <row r="82">
      <c r="A82" s="18" t="n">
        <v>78</v>
      </c>
      <c r="B82" s="18" t="inlineStr">
        <is>
          <t>2025-04-02</t>
        </is>
      </c>
      <c r="C82" s="18" t="inlineStr">
        <is>
          <t>2025-04-02</t>
        </is>
      </c>
      <c r="D82" s="13" t="n">
        <v>41.31</v>
      </c>
      <c r="E82" s="19" t="n">
        <v>28.61</v>
      </c>
      <c r="F82" s="19" t="n">
        <v>12.7</v>
      </c>
      <c r="G82" s="15" t="n">
        <v>2548</v>
      </c>
      <c r="H82" s="20" t="n">
        <v>739</v>
      </c>
      <c r="I82" s="21" t="n">
        <v>72.2</v>
      </c>
      <c r="J82" s="19" t="n">
        <v>5.7</v>
      </c>
      <c r="K82" s="19" t="n">
        <v>13.29</v>
      </c>
    </row>
    <row r="83">
      <c r="A83" s="12" t="n">
        <v>79</v>
      </c>
      <c r="B83" s="12" t="inlineStr">
        <is>
          <t>2025-04-09</t>
        </is>
      </c>
      <c r="C83" s="12" t="inlineStr">
        <is>
          <t>2025-04-09</t>
        </is>
      </c>
      <c r="D83" s="13" t="n">
        <v>46.21</v>
      </c>
      <c r="E83" s="14" t="n">
        <v>30.51</v>
      </c>
      <c r="F83" s="14" t="n">
        <v>15.7</v>
      </c>
      <c r="G83" s="15" t="n">
        <v>2752</v>
      </c>
      <c r="H83" s="16" t="n">
        <v>746</v>
      </c>
      <c r="I83" s="17" t="n">
        <v>74.59999999999999</v>
      </c>
      <c r="J83" s="14" t="n">
        <v>11.14</v>
      </c>
      <c r="K83" s="14" t="n">
        <v>11.98</v>
      </c>
    </row>
    <row r="84">
      <c r="A84" s="18" t="n">
        <v>80</v>
      </c>
      <c r="B84" s="18" t="inlineStr">
        <is>
          <t>2025-04-16</t>
        </is>
      </c>
      <c r="C84" s="18" t="inlineStr">
        <is>
          <t>2025-04-16</t>
        </is>
      </c>
      <c r="D84" s="13" t="n">
        <v>48.7</v>
      </c>
      <c r="E84" s="19" t="n">
        <v>33.08</v>
      </c>
      <c r="F84" s="19" t="n">
        <v>15.62</v>
      </c>
      <c r="G84" s="15" t="n">
        <v>2580</v>
      </c>
      <c r="H84" s="20" t="n">
        <v>739</v>
      </c>
      <c r="I84" s="21" t="n">
        <v>74.5</v>
      </c>
      <c r="J84" s="19" t="n">
        <v>11.57</v>
      </c>
      <c r="K84" s="19" t="n">
        <v>14.36</v>
      </c>
    </row>
    <row r="85">
      <c r="A85" s="12" t="n">
        <v>81</v>
      </c>
      <c r="B85" s="12" t="inlineStr">
        <is>
          <t>2025-04-23</t>
        </is>
      </c>
      <c r="C85" s="12" t="inlineStr">
        <is>
          <t>2025-04-23</t>
        </is>
      </c>
      <c r="D85" s="13" t="n">
        <v>50.68</v>
      </c>
      <c r="E85" s="14" t="n">
        <v>33.02</v>
      </c>
      <c r="F85" s="14" t="n">
        <v>17.66</v>
      </c>
      <c r="G85" s="15" t="n">
        <v>2446</v>
      </c>
      <c r="H85" s="16" t="n">
        <v>745</v>
      </c>
      <c r="I85" s="17" t="n">
        <v>73.40000000000001</v>
      </c>
      <c r="J85" s="14" t="n">
        <v>9.210000000000001</v>
      </c>
      <c r="K85" s="14" t="n">
        <v>12.24</v>
      </c>
    </row>
    <row r="86">
      <c r="A86" s="18" t="n">
        <v>82</v>
      </c>
      <c r="B86" s="18" t="inlineStr">
        <is>
          <t>2025-04-30</t>
        </is>
      </c>
      <c r="C86" s="18" t="inlineStr">
        <is>
          <t>2025-04-30</t>
        </is>
      </c>
      <c r="D86" s="13" t="n">
        <v>55.09</v>
      </c>
      <c r="E86" s="19" t="n">
        <v>37.24</v>
      </c>
      <c r="F86" s="19" t="n">
        <v>17.85</v>
      </c>
      <c r="G86" s="15" t="n">
        <v>2453</v>
      </c>
      <c r="H86" s="20" t="n">
        <v>757</v>
      </c>
      <c r="I86" s="21" t="n">
        <v>74.40000000000001</v>
      </c>
      <c r="J86" s="19" t="n">
        <v>14.97</v>
      </c>
      <c r="K86" s="19" t="n">
        <v>13.47</v>
      </c>
    </row>
    <row r="87">
      <c r="A87" s="12" t="n">
        <v>83</v>
      </c>
      <c r="B87" s="12" t="inlineStr">
        <is>
          <t>2025-05-07</t>
        </is>
      </c>
      <c r="C87" s="12" t="inlineStr">
        <is>
          <t>2025-05-07</t>
        </is>
      </c>
      <c r="D87" s="13" t="n">
        <v>51.01</v>
      </c>
      <c r="E87" s="14" t="n">
        <v>34.91</v>
      </c>
      <c r="F87" s="14" t="n">
        <v>16.1</v>
      </c>
      <c r="G87" s="15" t="n">
        <v>2557</v>
      </c>
      <c r="H87" s="16" t="n">
        <v>748</v>
      </c>
      <c r="I87" s="17" t="n">
        <v>72.90000000000001</v>
      </c>
      <c r="J87" s="14" t="n">
        <v>7.52</v>
      </c>
      <c r="K87" s="14" t="n">
        <v>13.22</v>
      </c>
    </row>
    <row r="88">
      <c r="A88" s="18" t="n">
        <v>84</v>
      </c>
      <c r="B88" s="18" t="inlineStr">
        <is>
          <t>2025-05-14</t>
        </is>
      </c>
      <c r="C88" s="18" t="inlineStr">
        <is>
          <t>2025-05-14</t>
        </is>
      </c>
      <c r="D88" s="13" t="n">
        <v>53.81</v>
      </c>
      <c r="E88" s="19" t="n">
        <v>35.2</v>
      </c>
      <c r="F88" s="19" t="n">
        <v>18.61</v>
      </c>
      <c r="G88" s="15" t="n">
        <v>2521</v>
      </c>
      <c r="H88" s="20" t="n">
        <v>757</v>
      </c>
      <c r="I88" s="21" t="n">
        <v>75.59999999999999</v>
      </c>
      <c r="J88" s="19" t="n">
        <v>14.59</v>
      </c>
      <c r="K88" s="19" t="n">
        <v>15.65</v>
      </c>
    </row>
    <row r="89">
      <c r="A89" s="12" t="n">
        <v>85</v>
      </c>
      <c r="B89" s="12" t="inlineStr">
        <is>
          <t>2025-05-21</t>
        </is>
      </c>
      <c r="C89" s="12" t="inlineStr">
        <is>
          <t>2025-05-21</t>
        </is>
      </c>
      <c r="D89" s="13" t="n">
        <v>58.82</v>
      </c>
      <c r="E89" s="14" t="n">
        <v>38.81</v>
      </c>
      <c r="F89" s="14" t="n">
        <v>20.01</v>
      </c>
      <c r="G89" s="15" t="n">
        <v>2328</v>
      </c>
      <c r="H89" s="16" t="n">
        <v>763</v>
      </c>
      <c r="I89" s="17" t="n">
        <v>74.3</v>
      </c>
      <c r="J89" s="14" t="n">
        <v>14.55</v>
      </c>
      <c r="K89" s="14" t="n">
        <v>13.11</v>
      </c>
    </row>
    <row r="90">
      <c r="A90" s="18" t="n">
        <v>86</v>
      </c>
      <c r="B90" s="18" t="inlineStr">
        <is>
          <t>2025-05-28</t>
        </is>
      </c>
      <c r="C90" s="18" t="inlineStr">
        <is>
          <t>2025-05-28</t>
        </is>
      </c>
      <c r="D90" s="13" t="n">
        <v>63.34</v>
      </c>
      <c r="E90" s="19" t="n">
        <v>41.57</v>
      </c>
      <c r="F90" s="19" t="n">
        <v>21.77</v>
      </c>
      <c r="G90" s="15" t="n">
        <v>2499</v>
      </c>
      <c r="H90" s="20" t="n">
        <v>774</v>
      </c>
      <c r="I90" s="21" t="n">
        <v>76.2</v>
      </c>
      <c r="J90" s="19" t="n">
        <v>15.92</v>
      </c>
      <c r="K90" s="19" t="n">
        <v>11.86</v>
      </c>
    </row>
    <row r="91">
      <c r="A91" s="12" t="n">
        <v>87</v>
      </c>
      <c r="B91" s="12" t="inlineStr">
        <is>
          <t>2025-06-04</t>
        </is>
      </c>
      <c r="C91" s="12" t="inlineStr">
        <is>
          <t>2025-06-04</t>
        </is>
      </c>
      <c r="D91" s="13" t="n">
        <v>63.35</v>
      </c>
      <c r="E91" s="14" t="n">
        <v>43.43</v>
      </c>
      <c r="F91" s="14" t="n">
        <v>19.92</v>
      </c>
      <c r="G91" s="15" t="n">
        <v>2475</v>
      </c>
      <c r="H91" s="16" t="n">
        <v>778</v>
      </c>
      <c r="I91" s="17" t="n">
        <v>75.90000000000001</v>
      </c>
      <c r="J91" s="14" t="n">
        <v>12.2</v>
      </c>
      <c r="K91" s="14" t="n">
        <v>11.46</v>
      </c>
    </row>
    <row r="92">
      <c r="A92" s="18" t="n">
        <v>88</v>
      </c>
      <c r="B92" s="18" t="inlineStr">
        <is>
          <t>2025-06-11</t>
        </is>
      </c>
      <c r="C92" s="18" t="inlineStr">
        <is>
          <t>2025-06-11</t>
        </is>
      </c>
      <c r="D92" s="13" t="n">
        <v>67.15000000000001</v>
      </c>
      <c r="E92" s="19" t="n">
        <v>44.22</v>
      </c>
      <c r="F92" s="19" t="n">
        <v>22.93</v>
      </c>
      <c r="G92" s="15" t="n">
        <v>2341</v>
      </c>
      <c r="H92" s="20" t="n">
        <v>781</v>
      </c>
      <c r="I92" s="21" t="n">
        <v>72.8</v>
      </c>
      <c r="J92" s="19" t="n">
        <v>15.62</v>
      </c>
      <c r="K92" s="19" t="n">
        <v>12.71</v>
      </c>
    </row>
    <row r="93">
      <c r="A93" s="12" t="n">
        <v>89</v>
      </c>
      <c r="B93" s="12" t="inlineStr">
        <is>
          <t>2025-06-18</t>
        </is>
      </c>
      <c r="C93" s="12" t="inlineStr">
        <is>
          <t>2025-06-18</t>
        </is>
      </c>
      <c r="D93" s="13" t="n">
        <v>63.96</v>
      </c>
      <c r="E93" s="14" t="n">
        <v>41.36</v>
      </c>
      <c r="F93" s="14" t="n">
        <v>22.6</v>
      </c>
      <c r="G93" s="15" t="n">
        <v>2339</v>
      </c>
      <c r="H93" s="16" t="n">
        <v>781</v>
      </c>
      <c r="I93" s="17" t="n">
        <v>73.40000000000001</v>
      </c>
      <c r="J93" s="14" t="n">
        <v>12.2</v>
      </c>
      <c r="K93" s="14" t="n">
        <v>13.64</v>
      </c>
    </row>
    <row r="94">
      <c r="A94" s="18" t="n">
        <v>90</v>
      </c>
      <c r="B94" s="18" t="inlineStr">
        <is>
          <t>2025-06-25</t>
        </is>
      </c>
      <c r="C94" s="18" t="inlineStr">
        <is>
          <t>2025-06-25</t>
        </is>
      </c>
      <c r="D94" s="13" t="n">
        <v>59.12</v>
      </c>
      <c r="E94" s="19" t="n">
        <v>39.98</v>
      </c>
      <c r="F94" s="19" t="n">
        <v>19.14</v>
      </c>
      <c r="G94" s="15" t="n">
        <v>2378</v>
      </c>
      <c r="H94" s="20" t="n">
        <v>778</v>
      </c>
      <c r="I94" s="21" t="n">
        <v>73.2</v>
      </c>
      <c r="J94" s="19" t="n">
        <v>7.89</v>
      </c>
      <c r="K94" s="19" t="n">
        <v>13.29</v>
      </c>
    </row>
    <row r="95">
      <c r="A95" s="12" t="n">
        <v>91</v>
      </c>
      <c r="B95" s="12" t="inlineStr">
        <is>
          <t>2025-07-02</t>
        </is>
      </c>
      <c r="C95" s="12" t="inlineStr">
        <is>
          <t>2025-07-02</t>
        </is>
      </c>
      <c r="D95" s="13" t="n">
        <v>55.85</v>
      </c>
      <c r="E95" s="14" t="n">
        <v>37.8</v>
      </c>
      <c r="F95" s="14" t="n">
        <v>18.05</v>
      </c>
      <c r="G95" s="15" t="n">
        <v>2585</v>
      </c>
      <c r="H95" s="16" t="n">
        <v>791</v>
      </c>
      <c r="I95" s="17" t="n">
        <v>75.40000000000001</v>
      </c>
      <c r="J95" s="14" t="n">
        <v>8.710000000000001</v>
      </c>
      <c r="K95" s="14" t="n">
        <v>10.74</v>
      </c>
    </row>
    <row r="96">
      <c r="A96" s="18" t="n">
        <v>92</v>
      </c>
      <c r="B96" s="18" t="inlineStr">
        <is>
          <t>2025-07-09</t>
        </is>
      </c>
      <c r="C96" s="18" t="inlineStr">
        <is>
          <t>2025-07-09</t>
        </is>
      </c>
      <c r="D96" s="13" t="n">
        <v>53.34</v>
      </c>
      <c r="E96" s="19" t="n">
        <v>36.06</v>
      </c>
      <c r="F96" s="19" t="n">
        <v>17.28</v>
      </c>
      <c r="G96" s="15" t="n">
        <v>2444</v>
      </c>
      <c r="H96" s="20" t="n">
        <v>792</v>
      </c>
      <c r="I96" s="21" t="n">
        <v>75.59999999999999</v>
      </c>
      <c r="J96" s="19" t="n">
        <v>9.359999999999999</v>
      </c>
      <c r="K96" s="19" t="n">
        <v>11.62</v>
      </c>
    </row>
    <row r="97">
      <c r="A97" s="12" t="n">
        <v>93</v>
      </c>
      <c r="B97" s="12" t="inlineStr">
        <is>
          <t>2025-07-16</t>
        </is>
      </c>
      <c r="C97" s="12" t="inlineStr">
        <is>
          <t>2025-07-16</t>
        </is>
      </c>
      <c r="D97" s="13" t="n">
        <v>57.39</v>
      </c>
      <c r="E97" s="14" t="n">
        <v>37.68</v>
      </c>
      <c r="F97" s="14" t="n">
        <v>19.71</v>
      </c>
      <c r="G97" s="15" t="n">
        <v>2403</v>
      </c>
      <c r="H97" s="16" t="n">
        <v>799</v>
      </c>
      <c r="I97" s="17" t="n">
        <v>75</v>
      </c>
      <c r="J97" s="14" t="n">
        <v>10.14</v>
      </c>
      <c r="K97" s="14" t="n">
        <v>12.34</v>
      </c>
    </row>
    <row r="98">
      <c r="A98" s="18" t="n">
        <v>94</v>
      </c>
      <c r="B98" s="18" t="inlineStr">
        <is>
          <t>2025-07-23</t>
        </is>
      </c>
      <c r="C98" s="18" t="inlineStr">
        <is>
          <t>2025-07-23</t>
        </is>
      </c>
      <c r="D98" s="13" t="n">
        <v>59.1</v>
      </c>
      <c r="E98" s="19" t="n">
        <v>39.17</v>
      </c>
      <c r="F98" s="19" t="n">
        <v>19.93</v>
      </c>
      <c r="G98" s="15" t="n">
        <v>2330</v>
      </c>
      <c r="H98" s="20" t="n">
        <v>810</v>
      </c>
      <c r="I98" s="21" t="n">
        <v>73.3</v>
      </c>
      <c r="J98" s="19" t="n">
        <v>9.880000000000001</v>
      </c>
      <c r="K98" s="19" t="n">
        <v>10.75</v>
      </c>
    </row>
    <row r="99">
      <c r="A99" s="12" t="n">
        <v>95</v>
      </c>
      <c r="B99" s="12" t="inlineStr">
        <is>
          <t>2025-07-30</t>
        </is>
      </c>
      <c r="C99" s="12" t="inlineStr">
        <is>
          <t>2025-07-30</t>
        </is>
      </c>
      <c r="D99" s="13" t="n">
        <v>63.23</v>
      </c>
      <c r="E99" s="14" t="n">
        <v>41.47</v>
      </c>
      <c r="F99" s="14" t="n">
        <v>21.76</v>
      </c>
      <c r="G99" s="15" t="n">
        <v>2399</v>
      </c>
      <c r="H99" s="16" t="n">
        <v>819</v>
      </c>
      <c r="I99" s="17" t="n">
        <v>72.09999999999999</v>
      </c>
      <c r="J99" s="14" t="n">
        <v>11.1</v>
      </c>
      <c r="K99" s="14" t="n">
        <v>11.34</v>
      </c>
    </row>
    <row r="100">
      <c r="A100" s="18" t="n">
        <v>96</v>
      </c>
      <c r="B100" s="18" t="inlineStr">
        <is>
          <t>2025-08-06</t>
        </is>
      </c>
      <c r="C100" s="18" t="inlineStr">
        <is>
          <t>2025-08-06</t>
        </is>
      </c>
      <c r="D100" s="13" t="n">
        <v>67.28</v>
      </c>
      <c r="E100" s="19" t="n">
        <v>44.18</v>
      </c>
      <c r="F100" s="19" t="n">
        <v>23.1</v>
      </c>
      <c r="G100" s="15" t="n">
        <v>2574</v>
      </c>
      <c r="H100" s="20" t="n">
        <v>808</v>
      </c>
      <c r="I100" s="21" t="n">
        <v>72.90000000000001</v>
      </c>
      <c r="J100" s="19" t="n">
        <v>14.11</v>
      </c>
      <c r="K100" s="19" t="n">
        <v>9.73</v>
      </c>
    </row>
    <row r="101">
      <c r="A101" s="12" t="n">
        <v>97</v>
      </c>
      <c r="B101" s="12" t="inlineStr">
        <is>
          <t>2025-08-13</t>
        </is>
      </c>
      <c r="C101" s="12" t="inlineStr">
        <is>
          <t>2025-08-13</t>
        </is>
      </c>
      <c r="D101" s="13" t="n">
        <v>69.61</v>
      </c>
      <c r="E101" s="14" t="n">
        <v>46.03</v>
      </c>
      <c r="F101" s="14" t="n">
        <v>23.58</v>
      </c>
      <c r="G101" s="15" t="n">
        <v>2288</v>
      </c>
      <c r="H101" s="16" t="n">
        <v>815</v>
      </c>
      <c r="I101" s="17" t="n">
        <v>71.09999999999999</v>
      </c>
      <c r="J101" s="14" t="n">
        <v>14.19</v>
      </c>
      <c r="K101" s="14" t="n">
        <v>10.93</v>
      </c>
    </row>
    <row r="102">
      <c r="A102" s="18" t="n">
        <v>98</v>
      </c>
      <c r="B102" s="18" t="inlineStr">
        <is>
          <t>2025-08-20</t>
        </is>
      </c>
      <c r="C102" s="18" t="inlineStr">
        <is>
          <t>2025-08-20</t>
        </is>
      </c>
      <c r="D102" s="13" t="n">
        <v>76.12</v>
      </c>
      <c r="E102" s="19" t="n">
        <v>48.9</v>
      </c>
      <c r="F102" s="19" t="n">
        <v>27.22</v>
      </c>
      <c r="G102" s="15" t="n">
        <v>2166</v>
      </c>
      <c r="H102" s="20" t="n">
        <v>815</v>
      </c>
      <c r="I102" s="21" t="n">
        <v>72.7</v>
      </c>
      <c r="J102" s="19" t="n">
        <v>17.76</v>
      </c>
      <c r="K102" s="19" t="n">
        <v>10.44</v>
      </c>
    </row>
    <row r="103">
      <c r="A103" s="12" t="n">
        <v>99</v>
      </c>
      <c r="B103" s="12" t="inlineStr">
        <is>
          <t>2025-08-27</t>
        </is>
      </c>
      <c r="C103" s="12" t="inlineStr">
        <is>
          <t>2025-08-27</t>
        </is>
      </c>
      <c r="D103" s="13" t="n">
        <v>70.36</v>
      </c>
      <c r="E103" s="14" t="n">
        <v>46.96</v>
      </c>
      <c r="F103" s="14" t="n">
        <v>23.4</v>
      </c>
      <c r="G103" s="15" t="n">
        <v>2492</v>
      </c>
      <c r="H103" s="16" t="n">
        <v>813</v>
      </c>
      <c r="I103" s="17" t="n">
        <v>73</v>
      </c>
      <c r="J103" s="14" t="n">
        <v>11.25</v>
      </c>
      <c r="K103" s="14" t="n">
        <v>11.07</v>
      </c>
    </row>
    <row r="104">
      <c r="A104" s="18" t="n">
        <v>100</v>
      </c>
      <c r="B104" s="18" t="inlineStr">
        <is>
          <t>2025-09-03</t>
        </is>
      </c>
      <c r="C104" s="18" t="inlineStr">
        <is>
          <t>2025-09-03</t>
        </is>
      </c>
      <c r="D104" s="13" t="n">
        <v>72.39</v>
      </c>
      <c r="E104" s="19" t="n">
        <v>49.41</v>
      </c>
      <c r="F104" s="19" t="n">
        <v>22.98</v>
      </c>
      <c r="G104" s="15" t="n">
        <v>2564</v>
      </c>
      <c r="H104" s="20" t="n">
        <v>815</v>
      </c>
      <c r="I104" s="21" t="n">
        <v>70.7</v>
      </c>
      <c r="J104" s="19" t="n">
        <v>12.81</v>
      </c>
      <c r="K104" s="19" t="n">
        <v>10.8</v>
      </c>
    </row>
    <row r="105">
      <c r="A105" s="12" t="n">
        <v>101</v>
      </c>
      <c r="B105" s="12" t="inlineStr">
        <is>
          <t>2025-09-10</t>
        </is>
      </c>
      <c r="C105" s="12" t="inlineStr">
        <is>
          <t>2025-09-10</t>
        </is>
      </c>
      <c r="D105" s="13" t="n">
        <v>71.86</v>
      </c>
      <c r="E105" s="14" t="n">
        <v>46.81</v>
      </c>
      <c r="F105" s="14" t="n">
        <v>25.05</v>
      </c>
      <c r="G105" s="15" t="n">
        <v>2488</v>
      </c>
      <c r="H105" s="16" t="n">
        <v>820</v>
      </c>
      <c r="I105" s="17" t="n">
        <v>70.8</v>
      </c>
      <c r="J105" s="14" t="n">
        <v>13.13</v>
      </c>
      <c r="K105" s="14" t="n">
        <v>10.59</v>
      </c>
    </row>
    <row r="106">
      <c r="A106" s="18" t="n">
        <v>102</v>
      </c>
      <c r="B106" s="18" t="inlineStr">
        <is>
          <t>2025-09-17</t>
        </is>
      </c>
      <c r="C106" s="18" t="inlineStr">
        <is>
          <t>2025-09-17</t>
        </is>
      </c>
      <c r="D106" s="13" t="n">
        <v>74.59</v>
      </c>
      <c r="E106" s="19" t="n">
        <v>48.07</v>
      </c>
      <c r="F106" s="19" t="n">
        <v>26.52</v>
      </c>
      <c r="G106" s="15" t="n">
        <v>2393</v>
      </c>
      <c r="H106" s="20" t="n">
        <v>820</v>
      </c>
      <c r="I106" s="21" t="n">
        <v>73.5</v>
      </c>
      <c r="J106" s="19" t="n">
        <v>13.36</v>
      </c>
      <c r="K106" s="19" t="n">
        <v>9.949999999999999</v>
      </c>
    </row>
    <row r="107">
      <c r="A107" s="12" t="n">
        <v>103</v>
      </c>
      <c r="B107" s="12" t="inlineStr">
        <is>
          <t>2025-09-24</t>
        </is>
      </c>
      <c r="C107" s="12" t="inlineStr">
        <is>
          <t>2025-09-24</t>
        </is>
      </c>
      <c r="D107" s="13" t="n">
        <v>82.91</v>
      </c>
      <c r="E107" s="14" t="n">
        <v>53.91</v>
      </c>
      <c r="F107" s="14" t="n">
        <v>29</v>
      </c>
      <c r="G107" s="15" t="n">
        <v>2477</v>
      </c>
      <c r="H107" s="16" t="n">
        <v>809</v>
      </c>
      <c r="I107" s="17" t="n">
        <v>70.8</v>
      </c>
      <c r="J107" s="14" t="n">
        <v>18.52</v>
      </c>
      <c r="K107" s="14" t="n">
        <v>9.449999999999999</v>
      </c>
    </row>
    <row r="108">
      <c r="A108" s="18" t="n">
        <v>104</v>
      </c>
      <c r="B108" s="18" t="inlineStr">
        <is>
          <t>2025-10-01</t>
        </is>
      </c>
      <c r="C108" s="18" t="inlineStr">
        <is>
          <t>2025-10-01</t>
        </is>
      </c>
      <c r="D108" s="13" t="n">
        <v>83.25</v>
      </c>
      <c r="E108" s="19" t="n">
        <v>54.8</v>
      </c>
      <c r="F108" s="19" t="n">
        <v>28.45</v>
      </c>
      <c r="G108" s="15" t="n">
        <v>2380</v>
      </c>
      <c r="H108" s="20" t="n">
        <v>816</v>
      </c>
      <c r="I108" s="21" t="n">
        <v>70.59999999999999</v>
      </c>
      <c r="J108" s="19" t="n">
        <v>14.63</v>
      </c>
      <c r="K108" s="19" t="n">
        <v>9.51</v>
      </c>
    </row>
    <row r="109">
      <c r="A109" s="12" t="n">
        <v>105</v>
      </c>
      <c r="B109" s="12" t="inlineStr">
        <is>
          <t>2025-10-08</t>
        </is>
      </c>
      <c r="C109" s="12" t="inlineStr">
        <is>
          <t>2025-10-09</t>
        </is>
      </c>
      <c r="D109" s="13" t="n">
        <v>78.45</v>
      </c>
      <c r="E109" s="14" t="n">
        <v>51.25</v>
      </c>
      <c r="F109" s="14" t="n">
        <v>27.2</v>
      </c>
      <c r="G109" s="15" t="n">
        <v>2386</v>
      </c>
      <c r="H109" s="16" t="n">
        <v>803</v>
      </c>
      <c r="I109" s="17" t="n">
        <v>68.59999999999999</v>
      </c>
      <c r="J109" s="14" t="n">
        <v>13</v>
      </c>
      <c r="K109" s="14" t="n">
        <v>10.5</v>
      </c>
    </row>
    <row r="110">
      <c r="A110" s="18" t="n">
        <v>106</v>
      </c>
      <c r="B110" s="18" t="inlineStr">
        <is>
          <t>2025-10-15</t>
        </is>
      </c>
      <c r="C110" s="18" t="inlineStr">
        <is>
          <t>2025-10-15</t>
        </is>
      </c>
      <c r="D110" s="13" t="n">
        <v>77.97</v>
      </c>
      <c r="E110" s="19" t="n">
        <v>52.68</v>
      </c>
      <c r="F110" s="19" t="n">
        <v>25.29</v>
      </c>
      <c r="G110" s="15" t="n">
        <v>2395</v>
      </c>
      <c r="H110" s="20" t="n">
        <v>799</v>
      </c>
      <c r="I110" s="21" t="n">
        <v>69.40000000000001</v>
      </c>
      <c r="J110" s="19" t="n">
        <v>12.22</v>
      </c>
      <c r="K110" s="19" t="n">
        <v>12.36</v>
      </c>
    </row>
    <row r="111">
      <c r="A111" s="12" t="n">
        <v>107</v>
      </c>
      <c r="B111" s="12" t="inlineStr">
        <is>
          <t>2025-10-22</t>
        </is>
      </c>
      <c r="C111" s="12" t="inlineStr">
        <is>
          <t>2025-10-22</t>
        </is>
      </c>
      <c r="D111" s="13" t="n">
        <v>72.90000000000001</v>
      </c>
      <c r="E111" s="14" t="n">
        <v>49</v>
      </c>
      <c r="F111" s="14" t="n">
        <v>23.9</v>
      </c>
      <c r="G111" s="15" t="n">
        <v>2392</v>
      </c>
      <c r="H111" s="16" t="n">
        <v>799</v>
      </c>
      <c r="I111" s="17" t="n">
        <v>69.40000000000001</v>
      </c>
      <c r="J111" s="14" t="n">
        <v>9.82</v>
      </c>
      <c r="K111" s="14" t="n">
        <v>9.869999999999999</v>
      </c>
    </row>
    <row r="112">
      <c r="A112" s="18" t="n">
        <v>108</v>
      </c>
      <c r="B112" s="18" t="inlineStr">
        <is>
          <t>2025-10-29</t>
        </is>
      </c>
      <c r="C112" s="18" t="inlineStr">
        <is>
          <t>2025-10-29</t>
        </is>
      </c>
      <c r="D112" s="13" t="n">
        <v>63.57</v>
      </c>
      <c r="E112" s="19" t="n">
        <v>43.1</v>
      </c>
      <c r="F112" s="19" t="n">
        <v>20.47</v>
      </c>
      <c r="G112" s="15" t="n">
        <v>2398</v>
      </c>
      <c r="H112" s="20" t="n">
        <v>796</v>
      </c>
      <c r="I112" s="21" t="n">
        <v>69.7</v>
      </c>
      <c r="J112" s="19" t="n">
        <v>4.69</v>
      </c>
      <c r="K112" s="19" t="n">
        <v>10.69</v>
      </c>
    </row>
    <row r="113">
      <c r="A113" s="12" t="n">
        <v>109</v>
      </c>
      <c r="B113" s="12" t="inlineStr">
        <is>
          <t>2025-11-05</t>
        </is>
      </c>
      <c r="C113" s="12" t="inlineStr">
        <is>
          <t>2025-11-05</t>
        </is>
      </c>
      <c r="D113" s="13" t="n">
        <v>54.31</v>
      </c>
      <c r="E113" s="14" t="n">
        <v>35.79</v>
      </c>
      <c r="F113" s="14" t="n">
        <v>18.52</v>
      </c>
      <c r="G113" s="15" t="n">
        <v>2586</v>
      </c>
      <c r="H113" s="16" t="n">
        <v>791</v>
      </c>
      <c r="I113" s="17" t="n">
        <v>68.8</v>
      </c>
      <c r="J113" s="14" t="n">
        <v>1.69</v>
      </c>
      <c r="K113" s="14" t="n">
        <v>11.45</v>
      </c>
    </row>
    <row r="114">
      <c r="A114" s="18" t="n">
        <v>110</v>
      </c>
      <c r="B114" s="18" t="inlineStr">
        <is>
          <t>2025-11-12</t>
        </is>
      </c>
      <c r="C114" s="18" t="inlineStr">
        <is>
          <t>2025-11-12</t>
        </is>
      </c>
      <c r="D114" s="13" t="n">
        <v>55.56</v>
      </c>
      <c r="E114" s="19" t="n">
        <v>36.27</v>
      </c>
      <c r="F114" s="19" t="n">
        <v>19.29</v>
      </c>
      <c r="G114" s="15" t="n">
        <v>2466</v>
      </c>
      <c r="H114" s="20" t="n">
        <v>779</v>
      </c>
      <c r="I114" s="21" t="n">
        <v>68.40000000000001</v>
      </c>
      <c r="J114" s="19" t="n">
        <v>8.49</v>
      </c>
      <c r="K114" s="19" t="n">
        <v>10.71</v>
      </c>
    </row>
    <row r="115">
      <c r="A115" s="12" t="n">
        <v>111</v>
      </c>
      <c r="B115" s="12" t="inlineStr">
        <is>
          <t>2025-11-19</t>
        </is>
      </c>
      <c r="C115" s="12" t="inlineStr">
        <is>
          <t>2025-11-19</t>
        </is>
      </c>
      <c r="D115" s="13" t="n">
        <v>50.39</v>
      </c>
      <c r="E115" s="14" t="n">
        <v>34</v>
      </c>
      <c r="F115" s="14" t="n">
        <v>16.39</v>
      </c>
      <c r="G115" s="15" t="n">
        <v>2340</v>
      </c>
      <c r="H115" s="16" t="n">
        <v>784</v>
      </c>
      <c r="I115" s="17" t="n">
        <v>69.09999999999999</v>
      </c>
      <c r="J115" s="14" t="n">
        <v>5.72</v>
      </c>
      <c r="K115" s="14" t="n">
        <v>12.56</v>
      </c>
    </row>
    <row r="116">
      <c r="A116" s="18" t="n">
        <v>112</v>
      </c>
      <c r="B116" s="18" t="inlineStr">
        <is>
          <t>2025-11-26</t>
        </is>
      </c>
      <c r="C116" s="18" t="inlineStr">
        <is>
          <t>2025-11-26</t>
        </is>
      </c>
      <c r="D116" s="13" t="n">
        <v>56.41</v>
      </c>
      <c r="E116" s="19" t="n">
        <v>37.39</v>
      </c>
      <c r="F116" s="19" t="n">
        <v>19.02</v>
      </c>
      <c r="G116" s="15" t="n">
        <v>2568</v>
      </c>
      <c r="H116" s="20" t="n">
        <v>776</v>
      </c>
      <c r="I116" s="21" t="n">
        <v>70</v>
      </c>
      <c r="J116" s="19" t="n">
        <v>13.45</v>
      </c>
      <c r="K116" s="19" t="n">
        <v>11.73</v>
      </c>
    </row>
    <row r="117">
      <c r="A117" s="12" t="n">
        <v>113</v>
      </c>
      <c r="B117" s="12" t="inlineStr">
        <is>
          <t>2025-12-03</t>
        </is>
      </c>
      <c r="C117" s="12" t="inlineStr">
        <is>
          <t>2025-12-03</t>
        </is>
      </c>
      <c r="D117" s="13" t="n">
        <v>57.14</v>
      </c>
      <c r="E117" s="14" t="n">
        <v>38.51</v>
      </c>
      <c r="F117" s="14" t="n">
        <v>18.63</v>
      </c>
      <c r="G117" s="15" t="n">
        <v>2280</v>
      </c>
      <c r="H117" s="16" t="n">
        <v>781</v>
      </c>
      <c r="I117" s="17" t="n">
        <v>64.7</v>
      </c>
      <c r="J117" s="14" t="n">
        <v>8.69</v>
      </c>
      <c r="K117" s="14" t="n">
        <v>10.75</v>
      </c>
    </row>
    <row r="118">
      <c r="A118" s="18" t="n">
        <v>114</v>
      </c>
      <c r="B118" s="18" t="inlineStr">
        <is>
          <t>2025-12-10</t>
        </is>
      </c>
      <c r="C118" s="18" t="inlineStr">
        <is>
          <t>2025-12-10</t>
        </is>
      </c>
      <c r="D118" s="13" t="n">
        <v>61.64</v>
      </c>
      <c r="E118" s="19" t="n">
        <v>39.44</v>
      </c>
      <c r="F118" s="19" t="n">
        <v>22.2</v>
      </c>
      <c r="G118" s="15" t="n">
        <v>2271</v>
      </c>
      <c r="H118" s="20" t="n">
        <v>763</v>
      </c>
      <c r="I118" s="21" t="n">
        <v>67.59999999999999</v>
      </c>
      <c r="J118" s="19" t="n">
        <v>11.73</v>
      </c>
      <c r="K118" s="19" t="n">
        <v>10</v>
      </c>
    </row>
    <row r="119">
      <c r="A119" s="12" t="n">
        <v>115</v>
      </c>
      <c r="B119" s="12" t="inlineStr">
        <is>
          <t>2025-12-17</t>
        </is>
      </c>
      <c r="C119" s="12" t="inlineStr">
        <is>
          <t>2025-12-17</t>
        </is>
      </c>
      <c r="D119" s="13" t="n">
        <v>60.75</v>
      </c>
      <c r="E119" s="14" t="n">
        <v>39.35</v>
      </c>
      <c r="F119" s="14" t="n">
        <v>21.4</v>
      </c>
      <c r="G119" s="15" t="n">
        <v>2356</v>
      </c>
      <c r="H119" s="16" t="n">
        <v>759</v>
      </c>
      <c r="I119" s="17" t="n">
        <v>65</v>
      </c>
      <c r="J119" s="14" t="n">
        <v>8.66</v>
      </c>
      <c r="K119" s="14" t="n">
        <v>10.55</v>
      </c>
    </row>
    <row r="120">
      <c r="A120" s="18" t="n">
        <v>116</v>
      </c>
      <c r="B120" s="18" t="inlineStr">
        <is>
          <t>2025-12-24</t>
        </is>
      </c>
      <c r="C120" s="18" t="inlineStr">
        <is>
          <t>2025-12-24</t>
        </is>
      </c>
      <c r="D120" s="13" t="n">
        <v>64.09</v>
      </c>
      <c r="E120" s="19" t="n">
        <v>42.22</v>
      </c>
      <c r="F120" s="19" t="n">
        <v>21.87</v>
      </c>
      <c r="G120" s="15" t="n">
        <v>2277</v>
      </c>
      <c r="H120" s="20" t="n">
        <v>760</v>
      </c>
      <c r="I120" s="21" t="n">
        <v>65.59999999999999</v>
      </c>
      <c r="J120" s="19" t="n">
        <v>11.13</v>
      </c>
      <c r="K120" s="19" t="n">
        <v>11.08</v>
      </c>
    </row>
    <row r="121">
      <c r="A121" s="12" t="n">
        <v>117</v>
      </c>
      <c r="B121" s="12" t="inlineStr">
        <is>
          <t>2025-12-31</t>
        </is>
      </c>
      <c r="C121" s="12" t="inlineStr">
        <is>
          <t>2025-12-31</t>
        </is>
      </c>
      <c r="D121" s="13" t="n">
        <v>69.27</v>
      </c>
      <c r="E121" s="14" t="n">
        <v>46.7</v>
      </c>
      <c r="F121" s="14" t="n">
        <v>22.57</v>
      </c>
      <c r="G121" s="15" t="n">
        <v>2412</v>
      </c>
      <c r="H121" s="16" t="n">
        <v>762</v>
      </c>
      <c r="I121" s="17" t="n">
        <v>65.40000000000001</v>
      </c>
      <c r="J121" s="14" t="n">
        <v>11.91</v>
      </c>
      <c r="K121" s="14" t="n">
        <v>12.26</v>
      </c>
    </row>
    <row r="122">
      <c r="A122" s="18" t="n">
        <v>118</v>
      </c>
      <c r="B122" s="18" t="inlineStr">
        <is>
          <t>2026-01-07</t>
        </is>
      </c>
      <c r="C122" s="18" t="inlineStr">
        <is>
          <t>2026-01-07</t>
        </is>
      </c>
      <c r="D122" s="13" t="n">
        <v>67.38</v>
      </c>
      <c r="E122" s="19" t="n">
        <v>44.81</v>
      </c>
      <c r="F122" s="19" t="n">
        <v>22.57</v>
      </c>
      <c r="G122" s="15" t="n">
        <v>2277</v>
      </c>
      <c r="H122" s="20" t="n">
        <v>749</v>
      </c>
      <c r="I122" s="21" t="n">
        <v>65.59999999999999</v>
      </c>
      <c r="J122" s="19" t="n">
        <v>7.1</v>
      </c>
      <c r="K122" s="19" t="n">
        <v>10.89</v>
      </c>
    </row>
    <row r="123">
      <c r="A123" s="12" t="n">
        <v>119</v>
      </c>
      <c r="B123" s="12" t="inlineStr">
        <is>
          <t>2026-01-14</t>
        </is>
      </c>
      <c r="C123" s="12" t="inlineStr">
        <is>
          <t>2026-01-14</t>
        </is>
      </c>
      <c r="D123" s="13" t="n">
        <v>68.06999999999999</v>
      </c>
      <c r="E123" s="14" t="n">
        <v>45.67</v>
      </c>
      <c r="F123" s="14" t="n">
        <v>22.4</v>
      </c>
      <c r="G123" s="15" t="n">
        <v>2379</v>
      </c>
      <c r="H123" s="16" t="n">
        <v>729</v>
      </c>
      <c r="I123" s="17" t="n">
        <v>64.5</v>
      </c>
      <c r="J123" s="14" t="n">
        <v>9.34</v>
      </c>
      <c r="K123" s="14" t="n">
        <v>10.65</v>
      </c>
    </row>
    <row r="124">
      <c r="A124" s="18" t="n">
        <v>120</v>
      </c>
      <c r="B124" s="18" t="inlineStr">
        <is>
          <t>2026-01-21</t>
        </is>
      </c>
      <c r="C124" s="18" t="inlineStr">
        <is>
          <t>2026-01-21</t>
        </is>
      </c>
      <c r="D124" s="13" t="n">
        <v>67.02</v>
      </c>
      <c r="E124" s="19" t="n">
        <v>44.29</v>
      </c>
      <c r="F124" s="19" t="n">
        <v>22.73</v>
      </c>
      <c r="G124" s="15" t="n">
        <v>2229</v>
      </c>
      <c r="H124" s="20" t="n">
        <v>741</v>
      </c>
      <c r="I124" s="21" t="n">
        <v>65.5</v>
      </c>
      <c r="J124" s="19" t="n">
        <v>7.21</v>
      </c>
      <c r="K124" s="19" t="n">
        <v>10.66</v>
      </c>
    </row>
    <row r="125">
      <c r="A125" s="12" t="n">
        <v>121</v>
      </c>
      <c r="B125" s="12" t="inlineStr">
        <is>
          <t>2026-01-28</t>
        </is>
      </c>
      <c r="C125" s="12" t="inlineStr">
        <is>
          <t>2026-01-28</t>
        </is>
      </c>
      <c r="D125" s="13" t="n">
        <v>68.23999999999999</v>
      </c>
      <c r="E125" s="14" t="n">
        <v>45.19</v>
      </c>
      <c r="F125" s="14" t="n">
        <v>23.05</v>
      </c>
      <c r="G125" s="15" t="n">
        <v>2011</v>
      </c>
      <c r="H125" s="16" t="n">
        <v>745</v>
      </c>
      <c r="I125" s="17" t="n">
        <v>65.3</v>
      </c>
      <c r="J125" s="14" t="n">
        <v>11.19</v>
      </c>
      <c r="K125" s="14" t="n">
        <v>12.71</v>
      </c>
    </row>
    <row r="126">
      <c r="A126" s="18" t="n">
        <v>122</v>
      </c>
      <c r="B126" s="18" t="inlineStr">
        <is>
          <t>2026-02-04</t>
        </is>
      </c>
      <c r="C126" s="18" t="inlineStr">
        <is>
          <t>2026-02-04</t>
        </is>
      </c>
      <c r="D126" s="13" t="n">
        <v>70.40000000000001</v>
      </c>
      <c r="E126" s="19" t="n">
        <v>46.5</v>
      </c>
      <c r="F126" s="19" t="n">
        <v>23.9</v>
      </c>
      <c r="G126" s="15" t="n">
        <v>1986</v>
      </c>
      <c r="H126" s="20" t="n">
        <v>746</v>
      </c>
      <c r="I126" s="21" t="n">
        <v>68.59999999999999</v>
      </c>
      <c r="J126" s="19" t="n">
        <v>11.97</v>
      </c>
      <c r="K126" s="19" t="n">
        <v>12.32</v>
      </c>
    </row>
    <row r="127">
      <c r="A127" s="12" t="n">
        <v>123</v>
      </c>
      <c r="B127" s="12" t="inlineStr">
        <is>
          <t>2026-02-11</t>
        </is>
      </c>
      <c r="C127" s="12" t="inlineStr">
        <is>
          <t>2026-02-11</t>
        </is>
      </c>
      <c r="D127" s="13" t="n">
        <v>71.52</v>
      </c>
      <c r="E127" s="14" t="n">
        <v>47.39</v>
      </c>
      <c r="F127" s="14" t="n">
        <v>24.13</v>
      </c>
      <c r="G127" s="15" t="n">
        <v>1999</v>
      </c>
      <c r="H127" s="16" t="n">
        <v>739</v>
      </c>
      <c r="I127" s="17" t="n">
        <v>67.2</v>
      </c>
      <c r="J127" s="14" t="n">
        <v>12.78</v>
      </c>
      <c r="K127" s="14" t="n">
        <v>11.59</v>
      </c>
    </row>
    <row r="128">
      <c r="A128" s="18" t="n">
        <v>124</v>
      </c>
      <c r="B128" s="18" t="inlineStr">
        <is>
          <t>2026-02-18</t>
        </is>
      </c>
      <c r="C128" s="18" t="inlineStr">
        <is>
          <t>2026-02-18</t>
        </is>
      </c>
      <c r="D128" s="13" t="n">
        <v>77.66</v>
      </c>
      <c r="E128" s="19" t="n">
        <v>51.49</v>
      </c>
      <c r="F128" s="19" t="n">
        <v>26.17</v>
      </c>
      <c r="G128" s="15" t="n">
        <v>1687</v>
      </c>
      <c r="H128" s="20" t="n">
        <v>740</v>
      </c>
      <c r="I128" s="21" t="n">
        <v>67</v>
      </c>
      <c r="J128" s="19" t="n">
        <v>12.68</v>
      </c>
      <c r="K128" s="19" t="n">
        <v>9.630000000000001</v>
      </c>
    </row>
    <row r="129">
      <c r="A129" s="12" t="n">
        <v>125</v>
      </c>
      <c r="B129" s="12" t="inlineStr">
        <is>
          <t>2026-02-25</t>
        </is>
      </c>
      <c r="C129" s="12" t="inlineStr">
        <is>
          <t>2026-02-25</t>
        </is>
      </c>
      <c r="D129" s="13" t="n">
        <v>74.65000000000001</v>
      </c>
      <c r="E129" s="14" t="n">
        <v>49.36</v>
      </c>
      <c r="F129" s="14" t="n">
        <v>25.29</v>
      </c>
      <c r="G129" s="15" t="n">
        <v>1743</v>
      </c>
      <c r="H129" s="16" t="n">
        <v>742</v>
      </c>
      <c r="I129" s="17" t="n">
        <v>65.5</v>
      </c>
      <c r="J129" s="14" t="n">
        <v>8.67</v>
      </c>
      <c r="K129" s="14" t="n">
        <v>11.26</v>
      </c>
    </row>
    <row r="130">
      <c r="A130" s="18" t="n">
        <v>126</v>
      </c>
      <c r="B130" s="18" t="inlineStr">
        <is>
          <t>2026-03-04</t>
        </is>
      </c>
      <c r="C130" s="18" t="inlineStr">
        <is>
          <t>2026-03-04</t>
        </is>
      </c>
      <c r="D130" s="13" t="n">
        <v>68.86</v>
      </c>
      <c r="E130" s="19" t="n">
        <v>45.01</v>
      </c>
      <c r="F130" s="19" t="n">
        <v>23.85</v>
      </c>
      <c r="G130" s="15" t="n">
        <v>2043</v>
      </c>
      <c r="H130" s="20" t="n">
        <v>741</v>
      </c>
      <c r="I130" s="21" t="n">
        <v>66</v>
      </c>
      <c r="J130" s="19" t="n">
        <v>10.51</v>
      </c>
      <c r="K130" s="19" t="n">
        <v>11.08</v>
      </c>
    </row>
    <row r="131">
      <c r="A131" s="12" t="n">
        <v>127</v>
      </c>
      <c r="B131" s="12" t="inlineStr">
        <is>
          <t>2026-03-11</t>
        </is>
      </c>
      <c r="C131" s="12" t="inlineStr">
        <is>
          <t>2026-03-11</t>
        </is>
      </c>
      <c r="D131" s="13" t="n">
        <v>66.69</v>
      </c>
      <c r="E131" s="14" t="n">
        <v>45.62</v>
      </c>
      <c r="F131" s="14" t="n">
        <v>21.07</v>
      </c>
      <c r="G131" s="15" t="n">
        <v>2212</v>
      </c>
      <c r="H131" s="16" t="n">
        <v>748</v>
      </c>
      <c r="I131" s="17" t="n">
        <v>66.90000000000001</v>
      </c>
      <c r="J131" s="14" t="n">
        <v>10.05</v>
      </c>
      <c r="K131" s="14" t="n">
        <v>11.59</v>
      </c>
    </row>
    <row r="132">
      <c r="A132" s="18" t="n">
        <v>128</v>
      </c>
      <c r="B132" s="18" t="inlineStr">
        <is>
          <t>2026-03-18</t>
        </is>
      </c>
      <c r="C132" s="18" t="inlineStr">
        <is>
          <t>2026-03-18</t>
        </is>
      </c>
      <c r="D132" s="13" t="n">
        <v>56.86</v>
      </c>
      <c r="E132" s="19" t="n">
        <v>36.73</v>
      </c>
      <c r="F132" s="19" t="n">
        <v>20.13</v>
      </c>
      <c r="G132" s="15" t="n">
        <v>2614</v>
      </c>
      <c r="H132" s="20" t="n">
        <v>753</v>
      </c>
      <c r="I132" s="21" t="n">
        <v>67.3</v>
      </c>
      <c r="J132" s="19" t="n">
        <v>4.94</v>
      </c>
      <c r="K132" s="19" t="n">
        <v>13.79</v>
      </c>
    </row>
    <row r="133">
      <c r="A133" s="12" t="n">
        <v>129</v>
      </c>
      <c r="B133" s="12" t="inlineStr">
        <is>
          <t>2026-03-25</t>
        </is>
      </c>
      <c r="C133" s="12" t="inlineStr">
        <is>
          <t>2026-03-25</t>
        </is>
      </c>
      <c r="D133" s="13" t="n">
        <v>50.51</v>
      </c>
      <c r="E133" s="14" t="n">
        <v>33.82</v>
      </c>
      <c r="F133" s="14" t="n">
        <v>16.69</v>
      </c>
      <c r="G133" s="15" t="n">
        <v>2868</v>
      </c>
      <c r="H133" s="16" t="n">
        <v>753</v>
      </c>
      <c r="I133" s="17" t="n">
        <v>66</v>
      </c>
      <c r="J133" s="14" t="n">
        <v>5.73</v>
      </c>
      <c r="K133" s="14" t="n">
        <v>11.54</v>
      </c>
    </row>
    <row r="134">
      <c r="A134" s="18" t="n">
        <v>130</v>
      </c>
      <c r="B134" s="18" t="inlineStr">
        <is>
          <t>2026-04-01</t>
        </is>
      </c>
      <c r="C134" s="18" t="inlineStr">
        <is>
          <t>2026-04-01</t>
        </is>
      </c>
      <c r="D134" s="13" t="n">
        <v>48.62</v>
      </c>
      <c r="E134" s="19" t="n">
        <v>31.26</v>
      </c>
      <c r="F134" s="19" t="n">
        <v>17.36</v>
      </c>
      <c r="G134" s="15" t="n">
        <v>2705</v>
      </c>
      <c r="H134" s="20" t="n">
        <v>760</v>
      </c>
      <c r="I134" s="21" t="n">
        <v>66.59999999999999</v>
      </c>
      <c r="J134" s="19" t="n">
        <v>8.49</v>
      </c>
      <c r="K134" s="19" t="n">
        <v>12.71</v>
      </c>
    </row>
    <row r="135">
      <c r="A135" s="12" t="n">
        <v>131</v>
      </c>
      <c r="B135" s="12" t="inlineStr">
        <is>
          <t>2026-04-08</t>
        </is>
      </c>
      <c r="C135" s="12" t="inlineStr">
        <is>
          <t>2026-04-08</t>
        </is>
      </c>
      <c r="D135" s="13" t="n">
        <v>48.04</v>
      </c>
      <c r="E135" s="14" t="n">
        <v>32.72</v>
      </c>
      <c r="F135" s="14" t="n">
        <v>15.32</v>
      </c>
      <c r="G135" s="15" t="n">
        <v>2916</v>
      </c>
      <c r="H135" s="16" t="n">
        <v>766</v>
      </c>
      <c r="I135" s="17" t="n">
        <v>67.90000000000001</v>
      </c>
      <c r="J135" s="14" t="n">
        <v>8.93</v>
      </c>
      <c r="K135" s="14" t="n">
        <v>11.86</v>
      </c>
    </row>
    <row r="136">
      <c r="A136" s="18" t="n">
        <v>132</v>
      </c>
      <c r="B136" s="18" t="inlineStr">
        <is>
          <t>2026-04-15</t>
        </is>
      </c>
      <c r="C136" s="18" t="inlineStr">
        <is>
          <t>2026-04-15</t>
        </is>
      </c>
      <c r="D136" s="13" t="n">
        <v>51.67</v>
      </c>
      <c r="E136" s="19" t="n">
        <v>35.35</v>
      </c>
      <c r="F136" s="19" t="n">
        <v>16.32</v>
      </c>
      <c r="G136" s="15" t="n">
        <v>2765</v>
      </c>
      <c r="H136" s="20" t="n">
        <v>769</v>
      </c>
      <c r="I136" s="21" t="n">
        <v>68.2</v>
      </c>
      <c r="J136" s="19" t="n">
        <v>11.46</v>
      </c>
      <c r="K136" s="19" t="n">
        <v>12.37</v>
      </c>
    </row>
    <row r="137">
      <c r="A137" s="12" t="n">
        <v>133</v>
      </c>
      <c r="B137" s="12" t="inlineStr">
        <is>
          <t>2026-04-22</t>
        </is>
      </c>
      <c r="C137" s="12" t="inlineStr">
        <is>
          <t>2026-04-22</t>
        </is>
      </c>
      <c r="D137" s="13" t="n">
        <v>56.36</v>
      </c>
      <c r="E137" s="14" t="n">
        <v>37.02</v>
      </c>
      <c r="F137" s="14" t="n">
        <v>19.34</v>
      </c>
      <c r="G137" s="15" t="n">
        <v>2526</v>
      </c>
      <c r="H137" s="16" t="n">
        <v>776</v>
      </c>
      <c r="I137" s="17" t="n">
        <v>68.09999999999999</v>
      </c>
      <c r="J137" s="14" t="n">
        <v>12.18</v>
      </c>
      <c r="K137" s="14" t="n">
        <v>14.07</v>
      </c>
    </row>
    <row r="138">
      <c r="A138" s="18" t="n">
        <v>134</v>
      </c>
      <c r="B138" s="18" t="inlineStr">
        <is>
          <t>2026-04-29</t>
        </is>
      </c>
      <c r="C138" s="18" t="inlineStr">
        <is>
          <t>2026-04-29</t>
        </is>
      </c>
      <c r="D138" s="13" t="n">
        <v>60.94</v>
      </c>
      <c r="E138" s="19" t="n">
        <v>40.53</v>
      </c>
      <c r="F138" s="19" t="n">
        <v>20.41</v>
      </c>
      <c r="G138" s="15" t="n">
        <v>2377</v>
      </c>
      <c r="H138" s="20" t="n">
        <v>771</v>
      </c>
      <c r="I138" s="21" t="n">
        <v>68.5</v>
      </c>
      <c r="J138" s="19" t="n">
        <v>14.99</v>
      </c>
      <c r="K138" s="19" t="n">
        <v>11.49</v>
      </c>
    </row>
    <row r="139">
      <c r="A139" s="12" t="n">
        <v>135</v>
      </c>
      <c r="B139" s="12" t="inlineStr">
        <is>
          <t>2026-05-06</t>
        </is>
      </c>
      <c r="C139" s="12" t="inlineStr">
        <is>
          <t>2026-05-06</t>
        </is>
      </c>
      <c r="D139" s="13" t="n">
        <v>60.89</v>
      </c>
      <c r="E139" s="14" t="n">
        <v>40</v>
      </c>
      <c r="F139" s="14" t="n">
        <v>20.89</v>
      </c>
      <c r="G139" s="15" t="n">
        <v>2535</v>
      </c>
      <c r="H139" s="16" t="n">
        <v>790</v>
      </c>
      <c r="I139" s="17" t="n">
        <v>69.3</v>
      </c>
      <c r="J139" s="14" t="n">
        <v>14.5</v>
      </c>
      <c r="K139" s="14" t="n">
        <v>14.31</v>
      </c>
    </row>
    <row r="140">
      <c r="A140" s="18" t="n">
        <v>136</v>
      </c>
      <c r="B140" s="18" t="inlineStr">
        <is>
          <t>2026-05-13</t>
        </is>
      </c>
      <c r="C140" s="18" t="inlineStr">
        <is>
          <t>2026-05-13</t>
        </is>
      </c>
      <c r="D140" s="13" t="n">
        <v>54.86</v>
      </c>
      <c r="E140" s="19" t="n">
        <v>36.81</v>
      </c>
      <c r="F140" s="19" t="n">
        <v>18.05</v>
      </c>
      <c r="G140" s="15" t="n">
        <v>2879</v>
      </c>
      <c r="H140" s="20" t="n">
        <v>787</v>
      </c>
      <c r="I140" s="21" t="n">
        <v>68.2</v>
      </c>
      <c r="J140" s="19" t="n">
        <v>11.37</v>
      </c>
      <c r="K140" s="19" t="n">
        <v>14.35</v>
      </c>
    </row>
    <row r="141">
      <c r="A141" s="12" t="n">
        <v>137</v>
      </c>
      <c r="B141" s="12" t="inlineStr">
        <is>
          <t>2026-05-20</t>
        </is>
      </c>
      <c r="C141" s="12" t="inlineStr">
        <is>
          <t>2026-05-20</t>
        </is>
      </c>
      <c r="D141" s="13" t="n">
        <v>56.67</v>
      </c>
      <c r="E141" s="14" t="n">
        <v>38.21</v>
      </c>
      <c r="F141" s="14" t="n">
        <v>18.46</v>
      </c>
      <c r="G141" s="15" t="n">
        <v>2575</v>
      </c>
      <c r="H141" s="16" t="n">
        <v>793</v>
      </c>
      <c r="I141" s="17" t="n">
        <v>69.5</v>
      </c>
      <c r="J141" s="14" t="n">
        <v>15.47</v>
      </c>
      <c r="K141" s="14" t="n">
        <v>11.91</v>
      </c>
    </row>
    <row r="142">
      <c r="A142" s="18" t="n">
        <v>138</v>
      </c>
      <c r="B142" s="18" t="inlineStr">
        <is>
          <t>2026-05-27</t>
        </is>
      </c>
      <c r="C142" s="18" t="inlineStr">
        <is>
          <t>2026-05-27</t>
        </is>
      </c>
      <c r="D142" s="13" t="n">
        <v>59.69</v>
      </c>
      <c r="E142" s="19" t="n">
        <v>38.86</v>
      </c>
      <c r="F142" s="19" t="n">
        <v>20.83</v>
      </c>
      <c r="G142" s="15" t="n">
        <v>2246</v>
      </c>
      <c r="H142" s="20" t="n">
        <v>808</v>
      </c>
      <c r="I142" s="21" t="n">
        <v>68.5</v>
      </c>
      <c r="J142" s="19" t="n">
        <v>15.42</v>
      </c>
      <c r="K142" s="19" t="n">
        <v>12.53</v>
      </c>
    </row>
    <row r="143">
      <c r="A143" s="12" t="n">
        <v>139</v>
      </c>
      <c r="B143" s="12" t="inlineStr">
        <is>
          <t>2026-06-03</t>
        </is>
      </c>
      <c r="C143" s="12" t="inlineStr">
        <is>
          <t>2026-06-03</t>
        </is>
      </c>
      <c r="D143" s="13" t="n">
        <v>58.9</v>
      </c>
      <c r="E143" s="14" t="n">
        <v>39.89</v>
      </c>
      <c r="F143" s="14" t="n">
        <v>19.01</v>
      </c>
      <c r="G143" s="15" t="n">
        <v>2341</v>
      </c>
      <c r="H143" s="16" t="n">
        <v>806</v>
      </c>
      <c r="I143" s="17" t="n">
        <v>70</v>
      </c>
      <c r="J143" s="14" t="n">
        <v>14.75</v>
      </c>
      <c r="K143" s="14" t="n">
        <v>12.46</v>
      </c>
    </row>
    <row r="144">
      <c r="A144" s="18" t="n">
        <v>140</v>
      </c>
      <c r="B144" s="18" t="inlineStr">
        <is>
          <t>2026-06-10</t>
        </is>
      </c>
      <c r="C144" s="18" t="inlineStr">
        <is>
          <t>2026-06-10</t>
        </is>
      </c>
      <c r="D144" s="13" t="n">
        <v>56.81</v>
      </c>
      <c r="E144" s="19" t="n">
        <v>35.39</v>
      </c>
      <c r="F144" s="19" t="n">
        <v>21.42</v>
      </c>
      <c r="G144" s="15" t="n">
        <v>2797</v>
      </c>
      <c r="H144" s="20" t="n">
        <v>813</v>
      </c>
      <c r="I144" s="21" t="n">
        <v>71.09999999999999</v>
      </c>
      <c r="J144" s="19" t="n">
        <v>11.67</v>
      </c>
      <c r="K144" s="19" t="n">
        <v>11.14</v>
      </c>
    </row>
    <row r="145">
      <c r="A145" s="12" t="n">
        <v>141</v>
      </c>
      <c r="B145" s="12" t="inlineStr">
        <is>
          <t>2026-06-17</t>
        </is>
      </c>
      <c r="C145" s="12" t="inlineStr">
        <is>
          <t>2026-06-17</t>
        </is>
      </c>
      <c r="D145" s="13" t="n">
        <v>63.12</v>
      </c>
      <c r="E145" s="14" t="n">
        <v>41.79</v>
      </c>
      <c r="F145" s="14" t="n">
        <v>21.33</v>
      </c>
      <c r="G145" s="15" t="n">
        <v>2305</v>
      </c>
      <c r="H145" s="16" t="n">
        <v>810</v>
      </c>
      <c r="I145" s="17" t="n">
        <v>72.2</v>
      </c>
      <c r="J145" s="14" t="n">
        <v>16.97</v>
      </c>
      <c r="K145" s="14" t="n">
        <v>12.08</v>
      </c>
    </row>
    <row r="146">
      <c r="A146" s="18" t="n">
        <v>142</v>
      </c>
      <c r="B146" s="18" t="inlineStr">
        <is>
          <t>2026-06-24</t>
        </is>
      </c>
      <c r="C146" s="18" t="inlineStr">
        <is>
          <t>2026-06-24</t>
        </is>
      </c>
      <c r="D146" s="13" t="n">
        <v>60.56</v>
      </c>
      <c r="E146" s="19" t="n">
        <v>40.17</v>
      </c>
      <c r="F146" s="19" t="n">
        <v>20.39</v>
      </c>
      <c r="G146" s="15" t="n">
        <v>2443</v>
      </c>
      <c r="H146" s="20" t="n">
        <v>809</v>
      </c>
      <c r="I146" s="21" t="n">
        <v>73.59999999999999</v>
      </c>
      <c r="J146" s="19" t="n">
        <v>13.43</v>
      </c>
      <c r="K146" s="19" t="n">
        <v>13.94</v>
      </c>
    </row>
    <row r="147">
      <c r="A147" s="12" t="n">
        <v>143</v>
      </c>
      <c r="B147" s="12" t="inlineStr">
        <is>
          <t>2026-07-01</t>
        </is>
      </c>
      <c r="C147" s="12" t="inlineStr">
        <is>
          <t>2026-07-01</t>
        </is>
      </c>
      <c r="D147" s="13" t="n">
        <v>63.77</v>
      </c>
      <c r="E147" s="14" t="n">
        <v>41.96</v>
      </c>
      <c r="F147" s="14" t="n">
        <v>21.81</v>
      </c>
      <c r="G147" s="15" t="n">
        <v>2250</v>
      </c>
      <c r="H147" s="16" t="n">
        <v>815</v>
      </c>
      <c r="I147" s="17" t="n">
        <v>69.8</v>
      </c>
      <c r="J147" s="14" t="n">
        <v>18.82</v>
      </c>
      <c r="K147" s="14" t="n">
        <v>11.25</v>
      </c>
    </row>
    <row r="148">
      <c r="A148" s="18" t="n">
        <v>144</v>
      </c>
      <c r="B148" s="18" t="inlineStr">
        <is>
          <t>2026-07-08</t>
        </is>
      </c>
      <c r="C148" s="18" t="inlineStr">
        <is>
          <t>2026-07-08</t>
        </is>
      </c>
      <c r="D148" s="13" t="n">
        <v>68.73</v>
      </c>
      <c r="E148" s="19" t="n">
        <v>46.02</v>
      </c>
      <c r="F148" s="19" t="n">
        <v>22.71</v>
      </c>
      <c r="G148" s="15" t="n">
        <v>2103</v>
      </c>
      <c r="H148" s="20" t="n">
        <v>827</v>
      </c>
      <c r="I148" s="21" t="n">
        <v>70.7</v>
      </c>
      <c r="J148" s="19" t="n">
        <v>19</v>
      </c>
      <c r="K148" s="19" t="n">
        <v>11.18</v>
      </c>
    </row>
    <row r="149">
      <c r="A149" s="12" t="n">
        <v>145</v>
      </c>
      <c r="B149" s="12" t="inlineStr">
        <is>
          <t>2026-07-15</t>
        </is>
      </c>
      <c r="C149" s="12" t="inlineStr">
        <is>
          <t>2026-07-15</t>
        </is>
      </c>
      <c r="D149" s="13" t="n">
        <v>74.03</v>
      </c>
      <c r="E149" s="14" t="n">
        <v>50.68</v>
      </c>
      <c r="F149" s="14" t="n">
        <v>23.35</v>
      </c>
      <c r="G149" s="15" t="n">
        <v>1841</v>
      </c>
      <c r="H149" s="16" t="n">
        <v>812</v>
      </c>
      <c r="I149" s="17" t="n">
        <v>71.5</v>
      </c>
      <c r="J149" s="14" t="n">
        <v>17.94</v>
      </c>
      <c r="K149" s="14" t="n">
        <v>11.17</v>
      </c>
    </row>
    <row r="150">
      <c r="A150" s="18" t="n">
        <v>146</v>
      </c>
      <c r="B150" s="18" t="inlineStr">
        <is>
          <t>2026-07-22</t>
        </is>
      </c>
      <c r="C150" s="18" t="inlineStr">
        <is>
          <t>2026-07-22</t>
        </is>
      </c>
      <c r="D150" s="13" t="n">
        <v>71.75</v>
      </c>
      <c r="E150" s="19" t="n">
        <v>48.08</v>
      </c>
      <c r="F150" s="19" t="n">
        <v>23.67</v>
      </c>
      <c r="G150" s="15" t="n">
        <v>1863</v>
      </c>
      <c r="H150" s="20" t="n">
        <v>819</v>
      </c>
      <c r="I150" s="21" t="n">
        <v>73.59999999999999</v>
      </c>
      <c r="J150" s="19" t="n">
        <v>15.75</v>
      </c>
      <c r="K150" s="19" t="n">
        <v>11.92</v>
      </c>
    </row>
    <row r="151">
      <c r="A151" s="12" t="n">
        <v>147</v>
      </c>
      <c r="B151" s="12" t="inlineStr">
        <is>
          <t>2026-07-29</t>
        </is>
      </c>
      <c r="C151" s="12" t="inlineStr">
        <is>
          <t>2026-07-29</t>
        </is>
      </c>
      <c r="D151" s="13" t="n">
        <v>71.64</v>
      </c>
      <c r="E151" s="14" t="n">
        <v>46.08</v>
      </c>
      <c r="F151" s="14" t="n">
        <v>25.56</v>
      </c>
      <c r="G151" s="15" t="n">
        <v>1916</v>
      </c>
      <c r="H151" s="16" t="n">
        <v>818</v>
      </c>
      <c r="I151" s="17" t="n">
        <v>73.7</v>
      </c>
      <c r="J151" s="14" t="n">
        <v>14.07</v>
      </c>
      <c r="K151" s="14" t="n">
        <v>7.86</v>
      </c>
    </row>
    <row r="152">
      <c r="A152" s="18" t="n">
        <v>148</v>
      </c>
      <c r="B152" s="18" t="inlineStr">
        <is>
          <t>2026-08-05</t>
        </is>
      </c>
      <c r="C152" s="18" t="inlineStr">
        <is>
          <t>2026-08-05</t>
        </is>
      </c>
      <c r="D152" s="13" t="n">
        <v>64.59999999999999</v>
      </c>
      <c r="E152" s="19" t="n">
        <v>41.79</v>
      </c>
      <c r="F152" s="19" t="n">
        <v>22.81</v>
      </c>
      <c r="G152" s="15" t="n">
        <v>2012</v>
      </c>
      <c r="H152" s="20" t="n">
        <v>814</v>
      </c>
      <c r="I152" s="21" t="n">
        <v>71.59999999999999</v>
      </c>
      <c r="J152" s="19" t="n">
        <v>10.25</v>
      </c>
      <c r="K152" s="19" t="n">
        <v>11.05</v>
      </c>
    </row>
    <row r="153">
      <c r="A153" s="12" t="n">
        <v>149</v>
      </c>
      <c r="B153" s="12" t="inlineStr">
        <is>
          <t>2026-08-12</t>
        </is>
      </c>
      <c r="C153" s="12" t="inlineStr">
        <is>
          <t>2026-08-12</t>
        </is>
      </c>
      <c r="D153" s="13" t="n">
        <v>60.54</v>
      </c>
      <c r="E153" s="14" t="n">
        <v>39.27</v>
      </c>
      <c r="F153" s="14" t="n">
        <v>21.27</v>
      </c>
      <c r="G153" s="15" t="n">
        <v>2397</v>
      </c>
      <c r="H153" s="16" t="n">
        <v>811</v>
      </c>
      <c r="I153" s="17" t="n">
        <v>72.09999999999999</v>
      </c>
      <c r="J153" s="14" t="n">
        <v>9.67</v>
      </c>
      <c r="K153" s="14" t="n">
        <v>11.42</v>
      </c>
    </row>
    <row r="154">
      <c r="A154" s="18" t="n">
        <v>150</v>
      </c>
      <c r="B154" s="18" t="inlineStr">
        <is>
          <t>2026-08-19</t>
        </is>
      </c>
      <c r="C154" s="18" t="inlineStr">
        <is>
          <t>2026-08-19</t>
        </is>
      </c>
      <c r="D154" s="13" t="n">
        <v>55.36</v>
      </c>
      <c r="E154" s="19" t="n">
        <v>36.18</v>
      </c>
      <c r="F154" s="19" t="n">
        <v>19.18</v>
      </c>
      <c r="G154" s="15" t="n">
        <v>2623</v>
      </c>
      <c r="H154" s="20" t="n">
        <v>812</v>
      </c>
      <c r="I154" s="21" t="n">
        <v>73.7</v>
      </c>
      <c r="J154" s="19" t="n">
        <v>7.22</v>
      </c>
      <c r="K154" s="19" t="n">
        <v>12.17</v>
      </c>
    </row>
    <row r="155">
      <c r="A155" s="12" t="n">
        <v>151</v>
      </c>
      <c r="B155" s="12" t="inlineStr">
        <is>
          <t>2026-08-26</t>
        </is>
      </c>
      <c r="C155" s="12" t="inlineStr">
        <is>
          <t>2026-08-26</t>
        </is>
      </c>
      <c r="D155" s="13" t="n">
        <v>54.57</v>
      </c>
      <c r="E155" s="14" t="n">
        <v>37.3</v>
      </c>
      <c r="F155" s="14" t="n">
        <v>17.27</v>
      </c>
      <c r="G155" s="15" t="n">
        <v>2667</v>
      </c>
      <c r="H155" s="16" t="n">
        <v>809</v>
      </c>
      <c r="I155" s="17" t="n">
        <v>72.7</v>
      </c>
      <c r="J155" s="14" t="n">
        <v>7.13</v>
      </c>
      <c r="K155" s="14" t="n">
        <v>10.68</v>
      </c>
    </row>
    <row r="156">
      <c r="A156" s="18" t="n">
        <v>152</v>
      </c>
      <c r="B156" s="18" t="inlineStr">
        <is>
          <t>2026-09-02</t>
        </is>
      </c>
      <c r="C156" s="18" t="inlineStr">
        <is>
          <t>2026-09-02</t>
        </is>
      </c>
      <c r="D156" s="13" t="n">
        <v>56</v>
      </c>
      <c r="E156" s="19" t="n">
        <v>36.7</v>
      </c>
      <c r="F156" s="19" t="n">
        <v>19.3</v>
      </c>
      <c r="G156" s="15" t="n">
        <v>2692</v>
      </c>
      <c r="H156" s="20" t="n">
        <v>799</v>
      </c>
      <c r="I156" s="21" t="n">
        <v>73.40000000000001</v>
      </c>
      <c r="J156" s="19" t="n">
        <v>13.47</v>
      </c>
      <c r="K156" s="19" t="n">
        <v>9.85</v>
      </c>
    </row>
    <row r="157">
      <c r="A157" s="12" t="n">
        <v>153</v>
      </c>
      <c r="B157" s="12" t="inlineStr">
        <is>
          <t>2026-09-09</t>
        </is>
      </c>
      <c r="C157" s="12" t="inlineStr">
        <is>
          <t>2026-09-09</t>
        </is>
      </c>
      <c r="D157" s="13" t="n">
        <v>56.97</v>
      </c>
      <c r="E157" s="14" t="n">
        <v>36.32</v>
      </c>
      <c r="F157" s="14" t="n">
        <v>20.65</v>
      </c>
      <c r="G157" s="15" t="n">
        <v>2500</v>
      </c>
      <c r="H157" s="16" t="n">
        <v>803</v>
      </c>
      <c r="I157" s="17" t="n">
        <v>73.59999999999999</v>
      </c>
      <c r="J157" s="14" t="n">
        <v>11.94</v>
      </c>
      <c r="K157" s="14" t="n">
        <v>10.39</v>
      </c>
    </row>
    <row r="158">
      <c r="A158" s="18" t="n">
        <v>154</v>
      </c>
      <c r="B158" s="18" t="inlineStr">
        <is>
          <t>2026-09-16</t>
        </is>
      </c>
      <c r="C158" s="18" t="inlineStr">
        <is>
          <t>2026-09-16</t>
        </is>
      </c>
      <c r="D158" s="13" t="n">
        <v>65.47</v>
      </c>
      <c r="E158" s="19" t="n">
        <v>43.34</v>
      </c>
      <c r="F158" s="19" t="n">
        <v>22.13</v>
      </c>
      <c r="G158" s="15" t="n">
        <v>2210</v>
      </c>
      <c r="H158" s="20" t="n">
        <v>800</v>
      </c>
      <c r="I158" s="21" t="n">
        <v>75.3</v>
      </c>
      <c r="J158" s="19" t="n">
        <v>17.87</v>
      </c>
      <c r="K158" s="19" t="n">
        <v>11.05</v>
      </c>
    </row>
    <row r="159">
      <c r="A159" s="12" t="n">
        <v>155</v>
      </c>
      <c r="B159" s="12" t="inlineStr">
        <is>
          <t>2026-09-23</t>
        </is>
      </c>
      <c r="C159" s="12" t="inlineStr">
        <is>
          <t>2026-09-23</t>
        </is>
      </c>
      <c r="D159" s="13" t="n">
        <v>70.79000000000001</v>
      </c>
      <c r="E159" s="14" t="n">
        <v>45.55</v>
      </c>
      <c r="F159" s="14" t="n">
        <v>25.24</v>
      </c>
      <c r="G159" s="15" t="n">
        <v>2056</v>
      </c>
      <c r="H159" s="16" t="n">
        <v>788</v>
      </c>
      <c r="I159" s="17" t="n">
        <v>75.7</v>
      </c>
      <c r="J159" s="14" t="n">
        <v>19.91</v>
      </c>
      <c r="K159" s="14" t="n">
        <v>9.140000000000001</v>
      </c>
    </row>
    <row r="160">
      <c r="A160" s="18" t="n">
        <v>156</v>
      </c>
      <c r="B160" s="18" t="inlineStr">
        <is>
          <t>2026-09-30</t>
        </is>
      </c>
      <c r="C160" s="18" t="inlineStr">
        <is>
          <t>2026-09-30</t>
        </is>
      </c>
      <c r="D160" s="13" t="n">
        <v>78.39</v>
      </c>
      <c r="E160" s="19" t="n">
        <v>49.73</v>
      </c>
      <c r="F160" s="19" t="n">
        <v>28.66</v>
      </c>
      <c r="G160" s="15" t="n">
        <v>1668</v>
      </c>
      <c r="H160" s="20" t="n">
        <v>777</v>
      </c>
      <c r="I160" s="21" t="n">
        <v>74.90000000000001</v>
      </c>
      <c r="J160" s="19" t="n">
        <v>22.5</v>
      </c>
      <c r="K160" s="19" t="n">
        <v>11.52</v>
      </c>
    </row>
  </sheetData>
  <mergeCells count="2">
    <mergeCell ref="A2:K2"/>
    <mergeCell ref="A1:K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163"/>
  <sheetViews>
    <sheetView showGridLines="0"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15" customWidth="1" min="2" max="2"/>
    <col width="13" customWidth="1" min="3" max="3"/>
    <col width="12" customWidth="1" min="4" max="4"/>
    <col width="11" customWidth="1" min="5" max="5"/>
    <col width="10" customWidth="1" min="6" max="6"/>
    <col width="11" customWidth="1" min="7" max="7"/>
    <col width="11" customWidth="1" min="8" max="8"/>
    <col width="24" customWidth="1" min="9" max="9"/>
  </cols>
  <sheetData>
    <row r="1" ht="26" customHeight="1">
      <c r="A1" s="1" t="inlineStr">
        <is>
          <t>频率对齐与配对规则</t>
        </is>
      </c>
    </row>
    <row r="2" ht="34" customHeight="1">
      <c r="A2" s="2" t="inlineStr">
        <is>
          <t>库存为周三调查值，价格为同一交易日午评报价；两序列均按周度处理，直接按观测日一一配对。任一期缺失则不参与配对，也不补数。</t>
        </is>
      </c>
    </row>
    <row r="4" ht="24" customHeight="1">
      <c r="A4" s="7" t="inlineStr">
        <is>
          <t>序号</t>
        </is>
      </c>
      <c r="B4" s="7" t="inlineStr">
        <is>
          <t>观测日</t>
        </is>
      </c>
      <c r="C4" s="7" t="inlineStr">
        <is>
          <t>价格锚日</t>
        </is>
      </c>
      <c r="D4" s="7" t="inlineStr">
        <is>
          <t>配对状态</t>
        </is>
      </c>
      <c r="E4" s="7" t="inlineStr">
        <is>
          <t>库存</t>
        </is>
      </c>
      <c r="F4" s="7" t="inlineStr">
        <is>
          <t>价格</t>
        </is>
      </c>
      <c r="G4" s="7" t="inlineStr">
        <is>
          <t>库存形态</t>
        </is>
      </c>
      <c r="H4" s="7" t="inlineStr">
        <is>
          <t>价格形态</t>
        </is>
      </c>
      <c r="I4" s="7" t="inlineStr">
        <is>
          <t>时点一致性</t>
        </is>
      </c>
    </row>
    <row r="5">
      <c r="A5" s="8" t="n">
        <v>1</v>
      </c>
      <c r="B5" s="8">
        <f>'02 原始数据'!B5</f>
        <v/>
      </c>
      <c r="C5" s="8">
        <f>'02 原始数据'!C5</f>
        <v/>
      </c>
      <c r="D5" s="8">
        <f>IF(OR(E5="",F5=""),"缺失-剔除","配对成功")</f>
        <v/>
      </c>
      <c r="E5" s="8">
        <f>'02 原始数据'!D5</f>
        <v/>
      </c>
      <c r="F5" s="8">
        <f>'02 原始数据'!G5</f>
        <v/>
      </c>
      <c r="G5" s="8">
        <f>IF(D5="配对成功","水平可用","")</f>
        <v/>
      </c>
      <c r="H5" s="8">
        <f>""</f>
        <v/>
      </c>
      <c r="I5" s="8">
        <f>IF(B5=C5,"同日","不同日，需注明时点差")</f>
        <v/>
      </c>
    </row>
    <row r="6">
      <c r="A6" s="8" t="n">
        <v>2</v>
      </c>
      <c r="B6" s="8">
        <f>'02 原始数据'!B6</f>
        <v/>
      </c>
      <c r="C6" s="8">
        <f>'02 原始数据'!C6</f>
        <v/>
      </c>
      <c r="D6" s="8">
        <f>IF(OR(E6="",F6=""),"缺失-剔除","配对成功")</f>
        <v/>
      </c>
      <c r="E6" s="8">
        <f>'02 原始数据'!D6</f>
        <v/>
      </c>
      <c r="F6" s="8">
        <f>'02 原始数据'!G6</f>
        <v/>
      </c>
      <c r="G6" s="8">
        <f>IF(D6="配对成功","水平可用","")</f>
        <v/>
      </c>
      <c r="H6" s="8">
        <f>IF(AND(D6="配对成功",A6&gt;1,E5&lt;&gt;""),"变化可用","")</f>
        <v/>
      </c>
      <c r="I6" s="8">
        <f>IF(B6=C6,"同日","不同日，需注明时点差")</f>
        <v/>
      </c>
    </row>
    <row r="7">
      <c r="A7" s="8" t="n">
        <v>3</v>
      </c>
      <c r="B7" s="8">
        <f>'02 原始数据'!B7</f>
        <v/>
      </c>
      <c r="C7" s="8">
        <f>'02 原始数据'!C7</f>
        <v/>
      </c>
      <c r="D7" s="8">
        <f>IF(OR(E7="",F7=""),"缺失-剔除","配对成功")</f>
        <v/>
      </c>
      <c r="E7" s="8">
        <f>'02 原始数据'!D7</f>
        <v/>
      </c>
      <c r="F7" s="8">
        <f>'02 原始数据'!G7</f>
        <v/>
      </c>
      <c r="G7" s="8">
        <f>IF(D7="配对成功","水平可用","")</f>
        <v/>
      </c>
      <c r="H7" s="8">
        <f>IF(AND(D7="配对成功",A7&gt;1,E6&lt;&gt;""),"变化可用","")</f>
        <v/>
      </c>
      <c r="I7" s="8">
        <f>IF(B7=C7,"同日","不同日，需注明时点差")</f>
        <v/>
      </c>
    </row>
    <row r="8">
      <c r="A8" s="8" t="n">
        <v>4</v>
      </c>
      <c r="B8" s="8">
        <f>'02 原始数据'!B8</f>
        <v/>
      </c>
      <c r="C8" s="8">
        <f>'02 原始数据'!C8</f>
        <v/>
      </c>
      <c r="D8" s="8">
        <f>IF(OR(E8="",F8=""),"缺失-剔除","配对成功")</f>
        <v/>
      </c>
      <c r="E8" s="8">
        <f>'02 原始数据'!D8</f>
        <v/>
      </c>
      <c r="F8" s="8">
        <f>'02 原始数据'!G8</f>
        <v/>
      </c>
      <c r="G8" s="8">
        <f>IF(D8="配对成功","水平可用","")</f>
        <v/>
      </c>
      <c r="H8" s="8">
        <f>IF(AND(D8="配对成功",A8&gt;1,E7&lt;&gt;""),"变化可用","")</f>
        <v/>
      </c>
      <c r="I8" s="8">
        <f>IF(B8=C8,"同日","不同日，需注明时点差")</f>
        <v/>
      </c>
    </row>
    <row r="9">
      <c r="A9" s="8" t="n">
        <v>5</v>
      </c>
      <c r="B9" s="8">
        <f>'02 原始数据'!B9</f>
        <v/>
      </c>
      <c r="C9" s="8">
        <f>'02 原始数据'!C9</f>
        <v/>
      </c>
      <c r="D9" s="8">
        <f>IF(OR(E9="",F9=""),"缺失-剔除","配对成功")</f>
        <v/>
      </c>
      <c r="E9" s="8">
        <f>'02 原始数据'!D9</f>
        <v/>
      </c>
      <c r="F9" s="8">
        <f>'02 原始数据'!G9</f>
        <v/>
      </c>
      <c r="G9" s="8">
        <f>IF(D9="配对成功","水平可用","")</f>
        <v/>
      </c>
      <c r="H9" s="8">
        <f>IF(AND(D9="配对成功",A9&gt;1,E8&lt;&gt;""),"变化可用","")</f>
        <v/>
      </c>
      <c r="I9" s="8">
        <f>IF(B9=C9,"同日","不同日，需注明时点差")</f>
        <v/>
      </c>
    </row>
    <row r="10">
      <c r="A10" s="8" t="n">
        <v>6</v>
      </c>
      <c r="B10" s="8">
        <f>'02 原始数据'!B10</f>
        <v/>
      </c>
      <c r="C10" s="8">
        <f>'02 原始数据'!C10</f>
        <v/>
      </c>
      <c r="D10" s="8">
        <f>IF(OR(E10="",F10=""),"缺失-剔除","配对成功")</f>
        <v/>
      </c>
      <c r="E10" s="8">
        <f>'02 原始数据'!D10</f>
        <v/>
      </c>
      <c r="F10" s="8">
        <f>'02 原始数据'!G10</f>
        <v/>
      </c>
      <c r="G10" s="8">
        <f>IF(D10="配对成功","水平可用","")</f>
        <v/>
      </c>
      <c r="H10" s="8">
        <f>IF(AND(D10="配对成功",A10&gt;1,E9&lt;&gt;""),"变化可用","")</f>
        <v/>
      </c>
      <c r="I10" s="8">
        <f>IF(B10=C10,"同日","不同日，需注明时点差")</f>
        <v/>
      </c>
    </row>
    <row r="11">
      <c r="A11" s="8" t="n">
        <v>7</v>
      </c>
      <c r="B11" s="8">
        <f>'02 原始数据'!B11</f>
        <v/>
      </c>
      <c r="C11" s="8">
        <f>'02 原始数据'!C11</f>
        <v/>
      </c>
      <c r="D11" s="8">
        <f>IF(OR(E11="",F11=""),"缺失-剔除","配对成功")</f>
        <v/>
      </c>
      <c r="E11" s="8">
        <f>'02 原始数据'!D11</f>
        <v/>
      </c>
      <c r="F11" s="8">
        <f>'02 原始数据'!G11</f>
        <v/>
      </c>
      <c r="G11" s="8">
        <f>IF(D11="配对成功","水平可用","")</f>
        <v/>
      </c>
      <c r="H11" s="8">
        <f>IF(AND(D11="配对成功",A11&gt;1,E10&lt;&gt;""),"变化可用","")</f>
        <v/>
      </c>
      <c r="I11" s="8">
        <f>IF(B11=C11,"同日","不同日，需注明时点差")</f>
        <v/>
      </c>
    </row>
    <row r="12">
      <c r="A12" s="8" t="n">
        <v>8</v>
      </c>
      <c r="B12" s="8">
        <f>'02 原始数据'!B12</f>
        <v/>
      </c>
      <c r="C12" s="8">
        <f>'02 原始数据'!C12</f>
        <v/>
      </c>
      <c r="D12" s="8">
        <f>IF(OR(E12="",F12=""),"缺失-剔除","配对成功")</f>
        <v/>
      </c>
      <c r="E12" s="8">
        <f>'02 原始数据'!D12</f>
        <v/>
      </c>
      <c r="F12" s="8">
        <f>'02 原始数据'!G12</f>
        <v/>
      </c>
      <c r="G12" s="8">
        <f>IF(D12="配对成功","水平可用","")</f>
        <v/>
      </c>
      <c r="H12" s="8">
        <f>IF(AND(D12="配对成功",A12&gt;1,E11&lt;&gt;""),"变化可用","")</f>
        <v/>
      </c>
      <c r="I12" s="8">
        <f>IF(B12=C12,"同日","不同日，需注明时点差")</f>
        <v/>
      </c>
    </row>
    <row r="13">
      <c r="A13" s="8" t="n">
        <v>9</v>
      </c>
      <c r="B13" s="8">
        <f>'02 原始数据'!B13</f>
        <v/>
      </c>
      <c r="C13" s="8">
        <f>'02 原始数据'!C13</f>
        <v/>
      </c>
      <c r="D13" s="8">
        <f>IF(OR(E13="",F13=""),"缺失-剔除","配对成功")</f>
        <v/>
      </c>
      <c r="E13" s="8">
        <f>'02 原始数据'!D13</f>
        <v/>
      </c>
      <c r="F13" s="8">
        <f>'02 原始数据'!G13</f>
        <v/>
      </c>
      <c r="G13" s="8">
        <f>IF(D13="配对成功","水平可用","")</f>
        <v/>
      </c>
      <c r="H13" s="8">
        <f>IF(AND(D13="配对成功",A13&gt;1,E12&lt;&gt;""),"变化可用","")</f>
        <v/>
      </c>
      <c r="I13" s="8">
        <f>IF(B13=C13,"同日","不同日，需注明时点差")</f>
        <v/>
      </c>
    </row>
    <row r="14">
      <c r="A14" s="8" t="n">
        <v>10</v>
      </c>
      <c r="B14" s="8">
        <f>'02 原始数据'!B14</f>
        <v/>
      </c>
      <c r="C14" s="8">
        <f>'02 原始数据'!C14</f>
        <v/>
      </c>
      <c r="D14" s="8">
        <f>IF(OR(E14="",F14=""),"缺失-剔除","配对成功")</f>
        <v/>
      </c>
      <c r="E14" s="8">
        <f>'02 原始数据'!D14</f>
        <v/>
      </c>
      <c r="F14" s="8">
        <f>'02 原始数据'!G14</f>
        <v/>
      </c>
      <c r="G14" s="8">
        <f>IF(D14="配对成功","水平可用","")</f>
        <v/>
      </c>
      <c r="H14" s="8">
        <f>IF(AND(D14="配对成功",A14&gt;1,E13&lt;&gt;""),"变化可用","")</f>
        <v/>
      </c>
      <c r="I14" s="8">
        <f>IF(B14=C14,"同日","不同日，需注明时点差")</f>
        <v/>
      </c>
    </row>
    <row r="15">
      <c r="A15" s="8" t="n">
        <v>11</v>
      </c>
      <c r="B15" s="8">
        <f>'02 原始数据'!B15</f>
        <v/>
      </c>
      <c r="C15" s="8">
        <f>'02 原始数据'!C15</f>
        <v/>
      </c>
      <c r="D15" s="8">
        <f>IF(OR(E15="",F15=""),"缺失-剔除","配对成功")</f>
        <v/>
      </c>
      <c r="E15" s="8">
        <f>'02 原始数据'!D15</f>
        <v/>
      </c>
      <c r="F15" s="8">
        <f>'02 原始数据'!G15</f>
        <v/>
      </c>
      <c r="G15" s="8">
        <f>IF(D15="配对成功","水平可用","")</f>
        <v/>
      </c>
      <c r="H15" s="8">
        <f>IF(AND(D15="配对成功",A15&gt;1,E14&lt;&gt;""),"变化可用","")</f>
        <v/>
      </c>
      <c r="I15" s="8">
        <f>IF(B15=C15,"同日","不同日，需注明时点差")</f>
        <v/>
      </c>
    </row>
    <row r="16">
      <c r="A16" s="8" t="n">
        <v>12</v>
      </c>
      <c r="B16" s="8">
        <f>'02 原始数据'!B16</f>
        <v/>
      </c>
      <c r="C16" s="8">
        <f>'02 原始数据'!C16</f>
        <v/>
      </c>
      <c r="D16" s="8">
        <f>IF(OR(E16="",F16=""),"缺失-剔除","配对成功")</f>
        <v/>
      </c>
      <c r="E16" s="8">
        <f>'02 原始数据'!D16</f>
        <v/>
      </c>
      <c r="F16" s="8">
        <f>'02 原始数据'!G16</f>
        <v/>
      </c>
      <c r="G16" s="8">
        <f>IF(D16="配对成功","水平可用","")</f>
        <v/>
      </c>
      <c r="H16" s="8">
        <f>IF(AND(D16="配对成功",A16&gt;1,E15&lt;&gt;""),"变化可用","")</f>
        <v/>
      </c>
      <c r="I16" s="8">
        <f>IF(B16=C16,"同日","不同日，需注明时点差")</f>
        <v/>
      </c>
    </row>
    <row r="17">
      <c r="A17" s="8" t="n">
        <v>13</v>
      </c>
      <c r="B17" s="8">
        <f>'02 原始数据'!B17</f>
        <v/>
      </c>
      <c r="C17" s="8">
        <f>'02 原始数据'!C17</f>
        <v/>
      </c>
      <c r="D17" s="8">
        <f>IF(OR(E17="",F17=""),"缺失-剔除","配对成功")</f>
        <v/>
      </c>
      <c r="E17" s="8">
        <f>'02 原始数据'!D17</f>
        <v/>
      </c>
      <c r="F17" s="8">
        <f>'02 原始数据'!G17</f>
        <v/>
      </c>
      <c r="G17" s="8">
        <f>IF(D17="配对成功","水平可用","")</f>
        <v/>
      </c>
      <c r="H17" s="8">
        <f>IF(AND(D17="配对成功",A17&gt;1,E16&lt;&gt;""),"变化可用","")</f>
        <v/>
      </c>
      <c r="I17" s="8">
        <f>IF(B17=C17,"同日","不同日，需注明时点差")</f>
        <v/>
      </c>
    </row>
    <row r="18">
      <c r="A18" s="8" t="n">
        <v>14</v>
      </c>
      <c r="B18" s="8">
        <f>'02 原始数据'!B18</f>
        <v/>
      </c>
      <c r="C18" s="8">
        <f>'02 原始数据'!C18</f>
        <v/>
      </c>
      <c r="D18" s="8">
        <f>IF(OR(E18="",F18=""),"缺失-剔除","配对成功")</f>
        <v/>
      </c>
      <c r="E18" s="8">
        <f>'02 原始数据'!D18</f>
        <v/>
      </c>
      <c r="F18" s="8">
        <f>'02 原始数据'!G18</f>
        <v/>
      </c>
      <c r="G18" s="8">
        <f>IF(D18="配对成功","水平可用","")</f>
        <v/>
      </c>
      <c r="H18" s="8">
        <f>IF(AND(D18="配对成功",A18&gt;1,E17&lt;&gt;""),"变化可用","")</f>
        <v/>
      </c>
      <c r="I18" s="8">
        <f>IF(B18=C18,"同日","不同日，需注明时点差")</f>
        <v/>
      </c>
    </row>
    <row r="19">
      <c r="A19" s="8" t="n">
        <v>15</v>
      </c>
      <c r="B19" s="8">
        <f>'02 原始数据'!B19</f>
        <v/>
      </c>
      <c r="C19" s="8">
        <f>'02 原始数据'!C19</f>
        <v/>
      </c>
      <c r="D19" s="8">
        <f>IF(OR(E19="",F19=""),"缺失-剔除","配对成功")</f>
        <v/>
      </c>
      <c r="E19" s="8">
        <f>'02 原始数据'!D19</f>
        <v/>
      </c>
      <c r="F19" s="8">
        <f>'02 原始数据'!G19</f>
        <v/>
      </c>
      <c r="G19" s="8">
        <f>IF(D19="配对成功","水平可用","")</f>
        <v/>
      </c>
      <c r="H19" s="8">
        <f>IF(AND(D19="配对成功",A19&gt;1,E18&lt;&gt;""),"变化可用","")</f>
        <v/>
      </c>
      <c r="I19" s="8">
        <f>IF(B19=C19,"同日","不同日，需注明时点差")</f>
        <v/>
      </c>
    </row>
    <row r="20">
      <c r="A20" s="8" t="n">
        <v>16</v>
      </c>
      <c r="B20" s="8">
        <f>'02 原始数据'!B20</f>
        <v/>
      </c>
      <c r="C20" s="8">
        <f>'02 原始数据'!C20</f>
        <v/>
      </c>
      <c r="D20" s="8">
        <f>IF(OR(E20="",F20=""),"缺失-剔除","配对成功")</f>
        <v/>
      </c>
      <c r="E20" s="8">
        <f>'02 原始数据'!D20</f>
        <v/>
      </c>
      <c r="F20" s="8">
        <f>'02 原始数据'!G20</f>
        <v/>
      </c>
      <c r="G20" s="8">
        <f>IF(D20="配对成功","水平可用","")</f>
        <v/>
      </c>
      <c r="H20" s="8">
        <f>IF(AND(D20="配对成功",A20&gt;1,E19&lt;&gt;""),"变化可用","")</f>
        <v/>
      </c>
      <c r="I20" s="8">
        <f>IF(B20=C20,"同日","不同日，需注明时点差")</f>
        <v/>
      </c>
    </row>
    <row r="21">
      <c r="A21" s="8" t="n">
        <v>17</v>
      </c>
      <c r="B21" s="8">
        <f>'02 原始数据'!B21</f>
        <v/>
      </c>
      <c r="C21" s="8">
        <f>'02 原始数据'!C21</f>
        <v/>
      </c>
      <c r="D21" s="8">
        <f>IF(OR(E21="",F21=""),"缺失-剔除","配对成功")</f>
        <v/>
      </c>
      <c r="E21" s="8">
        <f>'02 原始数据'!D21</f>
        <v/>
      </c>
      <c r="F21" s="8">
        <f>'02 原始数据'!G21</f>
        <v/>
      </c>
      <c r="G21" s="8">
        <f>IF(D21="配对成功","水平可用","")</f>
        <v/>
      </c>
      <c r="H21" s="8">
        <f>IF(AND(D21="配对成功",A21&gt;1,E20&lt;&gt;""),"变化可用","")</f>
        <v/>
      </c>
      <c r="I21" s="8">
        <f>IF(B21=C21,"同日","不同日，需注明时点差")</f>
        <v/>
      </c>
    </row>
    <row r="22">
      <c r="A22" s="8" t="n">
        <v>18</v>
      </c>
      <c r="B22" s="8">
        <f>'02 原始数据'!B22</f>
        <v/>
      </c>
      <c r="C22" s="8">
        <f>'02 原始数据'!C22</f>
        <v/>
      </c>
      <c r="D22" s="8">
        <f>IF(OR(E22="",F22=""),"缺失-剔除","配对成功")</f>
        <v/>
      </c>
      <c r="E22" s="8">
        <f>'02 原始数据'!D22</f>
        <v/>
      </c>
      <c r="F22" s="8">
        <f>'02 原始数据'!G22</f>
        <v/>
      </c>
      <c r="G22" s="8">
        <f>IF(D22="配对成功","水平可用","")</f>
        <v/>
      </c>
      <c r="H22" s="8">
        <f>IF(AND(D22="配对成功",A22&gt;1,E21&lt;&gt;""),"变化可用","")</f>
        <v/>
      </c>
      <c r="I22" s="8">
        <f>IF(B22=C22,"同日","不同日，需注明时点差")</f>
        <v/>
      </c>
    </row>
    <row r="23">
      <c r="A23" s="8" t="n">
        <v>19</v>
      </c>
      <c r="B23" s="8">
        <f>'02 原始数据'!B23</f>
        <v/>
      </c>
      <c r="C23" s="8">
        <f>'02 原始数据'!C23</f>
        <v/>
      </c>
      <c r="D23" s="8">
        <f>IF(OR(E23="",F23=""),"缺失-剔除","配对成功")</f>
        <v/>
      </c>
      <c r="E23" s="8">
        <f>'02 原始数据'!D23</f>
        <v/>
      </c>
      <c r="F23" s="8">
        <f>'02 原始数据'!G23</f>
        <v/>
      </c>
      <c r="G23" s="8">
        <f>IF(D23="配对成功","水平可用","")</f>
        <v/>
      </c>
      <c r="H23" s="8">
        <f>IF(AND(D23="配对成功",A23&gt;1,E22&lt;&gt;""),"变化可用","")</f>
        <v/>
      </c>
      <c r="I23" s="8">
        <f>IF(B23=C23,"同日","不同日，需注明时点差")</f>
        <v/>
      </c>
    </row>
    <row r="24">
      <c r="A24" s="8" t="n">
        <v>20</v>
      </c>
      <c r="B24" s="8">
        <f>'02 原始数据'!B24</f>
        <v/>
      </c>
      <c r="C24" s="8">
        <f>'02 原始数据'!C24</f>
        <v/>
      </c>
      <c r="D24" s="8">
        <f>IF(OR(E24="",F24=""),"缺失-剔除","配对成功")</f>
        <v/>
      </c>
      <c r="E24" s="8">
        <f>'02 原始数据'!D24</f>
        <v/>
      </c>
      <c r="F24" s="8">
        <f>'02 原始数据'!G24</f>
        <v/>
      </c>
      <c r="G24" s="8">
        <f>IF(D24="配对成功","水平可用","")</f>
        <v/>
      </c>
      <c r="H24" s="8">
        <f>IF(AND(D24="配对成功",A24&gt;1,E23&lt;&gt;""),"变化可用","")</f>
        <v/>
      </c>
      <c r="I24" s="8">
        <f>IF(B24=C24,"同日","不同日，需注明时点差")</f>
        <v/>
      </c>
    </row>
    <row r="25">
      <c r="A25" s="8" t="n">
        <v>21</v>
      </c>
      <c r="B25" s="8">
        <f>'02 原始数据'!B25</f>
        <v/>
      </c>
      <c r="C25" s="8">
        <f>'02 原始数据'!C25</f>
        <v/>
      </c>
      <c r="D25" s="8">
        <f>IF(OR(E25="",F25=""),"缺失-剔除","配对成功")</f>
        <v/>
      </c>
      <c r="E25" s="8">
        <f>'02 原始数据'!D25</f>
        <v/>
      </c>
      <c r="F25" s="8">
        <f>'02 原始数据'!G25</f>
        <v/>
      </c>
      <c r="G25" s="8">
        <f>IF(D25="配对成功","水平可用","")</f>
        <v/>
      </c>
      <c r="H25" s="8">
        <f>IF(AND(D25="配对成功",A25&gt;1,E24&lt;&gt;""),"变化可用","")</f>
        <v/>
      </c>
      <c r="I25" s="8">
        <f>IF(B25=C25,"同日","不同日，需注明时点差")</f>
        <v/>
      </c>
    </row>
    <row r="26">
      <c r="A26" s="8" t="n">
        <v>22</v>
      </c>
      <c r="B26" s="8">
        <f>'02 原始数据'!B26</f>
        <v/>
      </c>
      <c r="C26" s="8">
        <f>'02 原始数据'!C26</f>
        <v/>
      </c>
      <c r="D26" s="8">
        <f>IF(OR(E26="",F26=""),"缺失-剔除","配对成功")</f>
        <v/>
      </c>
      <c r="E26" s="8">
        <f>'02 原始数据'!D26</f>
        <v/>
      </c>
      <c r="F26" s="8">
        <f>'02 原始数据'!G26</f>
        <v/>
      </c>
      <c r="G26" s="8">
        <f>IF(D26="配对成功","水平可用","")</f>
        <v/>
      </c>
      <c r="H26" s="8">
        <f>IF(AND(D26="配对成功",A26&gt;1,E25&lt;&gt;""),"变化可用","")</f>
        <v/>
      </c>
      <c r="I26" s="8">
        <f>IF(B26=C26,"同日","不同日，需注明时点差")</f>
        <v/>
      </c>
    </row>
    <row r="27">
      <c r="A27" s="8" t="n">
        <v>23</v>
      </c>
      <c r="B27" s="8">
        <f>'02 原始数据'!B27</f>
        <v/>
      </c>
      <c r="C27" s="8">
        <f>'02 原始数据'!C27</f>
        <v/>
      </c>
      <c r="D27" s="8">
        <f>IF(OR(E27="",F27=""),"缺失-剔除","配对成功")</f>
        <v/>
      </c>
      <c r="E27" s="8">
        <f>'02 原始数据'!D27</f>
        <v/>
      </c>
      <c r="F27" s="8">
        <f>'02 原始数据'!G27</f>
        <v/>
      </c>
      <c r="G27" s="8">
        <f>IF(D27="配对成功","水平可用","")</f>
        <v/>
      </c>
      <c r="H27" s="8">
        <f>IF(AND(D27="配对成功",A27&gt;1,E26&lt;&gt;""),"变化可用","")</f>
        <v/>
      </c>
      <c r="I27" s="8">
        <f>IF(B27=C27,"同日","不同日，需注明时点差")</f>
        <v/>
      </c>
    </row>
    <row r="28">
      <c r="A28" s="8" t="n">
        <v>24</v>
      </c>
      <c r="B28" s="8">
        <f>'02 原始数据'!B28</f>
        <v/>
      </c>
      <c r="C28" s="8">
        <f>'02 原始数据'!C28</f>
        <v/>
      </c>
      <c r="D28" s="8">
        <f>IF(OR(E28="",F28=""),"缺失-剔除","配对成功")</f>
        <v/>
      </c>
      <c r="E28" s="8">
        <f>'02 原始数据'!D28</f>
        <v/>
      </c>
      <c r="F28" s="8">
        <f>'02 原始数据'!G28</f>
        <v/>
      </c>
      <c r="G28" s="8">
        <f>IF(D28="配对成功","水平可用","")</f>
        <v/>
      </c>
      <c r="H28" s="8">
        <f>IF(AND(D28="配对成功",A28&gt;1,E27&lt;&gt;""),"变化可用","")</f>
        <v/>
      </c>
      <c r="I28" s="8">
        <f>IF(B28=C28,"同日","不同日，需注明时点差")</f>
        <v/>
      </c>
    </row>
    <row r="29">
      <c r="A29" s="8" t="n">
        <v>25</v>
      </c>
      <c r="B29" s="8">
        <f>'02 原始数据'!B29</f>
        <v/>
      </c>
      <c r="C29" s="8">
        <f>'02 原始数据'!C29</f>
        <v/>
      </c>
      <c r="D29" s="8">
        <f>IF(OR(E29="",F29=""),"缺失-剔除","配对成功")</f>
        <v/>
      </c>
      <c r="E29" s="8">
        <f>'02 原始数据'!D29</f>
        <v/>
      </c>
      <c r="F29" s="8">
        <f>'02 原始数据'!G29</f>
        <v/>
      </c>
      <c r="G29" s="8">
        <f>IF(D29="配对成功","水平可用","")</f>
        <v/>
      </c>
      <c r="H29" s="8">
        <f>IF(AND(D29="配对成功",A29&gt;1,E28&lt;&gt;""),"变化可用","")</f>
        <v/>
      </c>
      <c r="I29" s="8">
        <f>IF(B29=C29,"同日","不同日，需注明时点差")</f>
        <v/>
      </c>
    </row>
    <row r="30">
      <c r="A30" s="8" t="n">
        <v>26</v>
      </c>
      <c r="B30" s="8">
        <f>'02 原始数据'!B30</f>
        <v/>
      </c>
      <c r="C30" s="8">
        <f>'02 原始数据'!C30</f>
        <v/>
      </c>
      <c r="D30" s="8">
        <f>IF(OR(E30="",F30=""),"缺失-剔除","配对成功")</f>
        <v/>
      </c>
      <c r="E30" s="8">
        <f>'02 原始数据'!D30</f>
        <v/>
      </c>
      <c r="F30" s="8">
        <f>'02 原始数据'!G30</f>
        <v/>
      </c>
      <c r="G30" s="8">
        <f>IF(D30="配对成功","水平可用","")</f>
        <v/>
      </c>
      <c r="H30" s="8">
        <f>IF(AND(D30="配对成功",A30&gt;1,E29&lt;&gt;""),"变化可用","")</f>
        <v/>
      </c>
      <c r="I30" s="8">
        <f>IF(B30=C30,"同日","不同日，需注明时点差")</f>
        <v/>
      </c>
    </row>
    <row r="31">
      <c r="A31" s="8" t="n">
        <v>27</v>
      </c>
      <c r="B31" s="8">
        <f>'02 原始数据'!B31</f>
        <v/>
      </c>
      <c r="C31" s="8">
        <f>'02 原始数据'!C31</f>
        <v/>
      </c>
      <c r="D31" s="8">
        <f>IF(OR(E31="",F31=""),"缺失-剔除","配对成功")</f>
        <v/>
      </c>
      <c r="E31" s="8">
        <f>'02 原始数据'!D31</f>
        <v/>
      </c>
      <c r="F31" s="8">
        <f>'02 原始数据'!G31</f>
        <v/>
      </c>
      <c r="G31" s="8">
        <f>IF(D31="配对成功","水平可用","")</f>
        <v/>
      </c>
      <c r="H31" s="8">
        <f>IF(AND(D31="配对成功",A31&gt;1,E30&lt;&gt;""),"变化可用","")</f>
        <v/>
      </c>
      <c r="I31" s="8">
        <f>IF(B31=C31,"同日","不同日，需注明时点差")</f>
        <v/>
      </c>
    </row>
    <row r="32">
      <c r="A32" s="8" t="n">
        <v>28</v>
      </c>
      <c r="B32" s="8">
        <f>'02 原始数据'!B32</f>
        <v/>
      </c>
      <c r="C32" s="8">
        <f>'02 原始数据'!C32</f>
        <v/>
      </c>
      <c r="D32" s="8">
        <f>IF(OR(E32="",F32=""),"缺失-剔除","配对成功")</f>
        <v/>
      </c>
      <c r="E32" s="8">
        <f>'02 原始数据'!D32</f>
        <v/>
      </c>
      <c r="F32" s="8">
        <f>'02 原始数据'!G32</f>
        <v/>
      </c>
      <c r="G32" s="8">
        <f>IF(D32="配对成功","水平可用","")</f>
        <v/>
      </c>
      <c r="H32" s="8">
        <f>IF(AND(D32="配对成功",A32&gt;1,E31&lt;&gt;""),"变化可用","")</f>
        <v/>
      </c>
      <c r="I32" s="8">
        <f>IF(B32=C32,"同日","不同日，需注明时点差")</f>
        <v/>
      </c>
    </row>
    <row r="33">
      <c r="A33" s="8" t="n">
        <v>29</v>
      </c>
      <c r="B33" s="8">
        <f>'02 原始数据'!B33</f>
        <v/>
      </c>
      <c r="C33" s="8">
        <f>'02 原始数据'!C33</f>
        <v/>
      </c>
      <c r="D33" s="8">
        <f>IF(OR(E33="",F33=""),"缺失-剔除","配对成功")</f>
        <v/>
      </c>
      <c r="E33" s="8">
        <f>'02 原始数据'!D33</f>
        <v/>
      </c>
      <c r="F33" s="8">
        <f>'02 原始数据'!G33</f>
        <v/>
      </c>
      <c r="G33" s="8">
        <f>IF(D33="配对成功","水平可用","")</f>
        <v/>
      </c>
      <c r="H33" s="8">
        <f>IF(AND(D33="配对成功",A33&gt;1,E32&lt;&gt;""),"变化可用","")</f>
        <v/>
      </c>
      <c r="I33" s="8">
        <f>IF(B33=C33,"同日","不同日，需注明时点差")</f>
        <v/>
      </c>
    </row>
    <row r="34">
      <c r="A34" s="8" t="n">
        <v>30</v>
      </c>
      <c r="B34" s="8">
        <f>'02 原始数据'!B34</f>
        <v/>
      </c>
      <c r="C34" s="8">
        <f>'02 原始数据'!C34</f>
        <v/>
      </c>
      <c r="D34" s="8">
        <f>IF(OR(E34="",F34=""),"缺失-剔除","配对成功")</f>
        <v/>
      </c>
      <c r="E34" s="8">
        <f>'02 原始数据'!D34</f>
        <v/>
      </c>
      <c r="F34" s="8">
        <f>'02 原始数据'!G34</f>
        <v/>
      </c>
      <c r="G34" s="8">
        <f>IF(D34="配对成功","水平可用","")</f>
        <v/>
      </c>
      <c r="H34" s="8">
        <f>IF(AND(D34="配对成功",A34&gt;1,E33&lt;&gt;""),"变化可用","")</f>
        <v/>
      </c>
      <c r="I34" s="8">
        <f>IF(B34=C34,"同日","不同日，需注明时点差")</f>
        <v/>
      </c>
    </row>
    <row r="35">
      <c r="A35" s="8" t="n">
        <v>31</v>
      </c>
      <c r="B35" s="8">
        <f>'02 原始数据'!B35</f>
        <v/>
      </c>
      <c r="C35" s="8">
        <f>'02 原始数据'!C35</f>
        <v/>
      </c>
      <c r="D35" s="8">
        <f>IF(OR(E35="",F35=""),"缺失-剔除","配对成功")</f>
        <v/>
      </c>
      <c r="E35" s="8">
        <f>'02 原始数据'!D35</f>
        <v/>
      </c>
      <c r="F35" s="8">
        <f>'02 原始数据'!G35</f>
        <v/>
      </c>
      <c r="G35" s="8">
        <f>IF(D35="配对成功","水平可用","")</f>
        <v/>
      </c>
      <c r="H35" s="8">
        <f>IF(AND(D35="配对成功",A35&gt;1,E34&lt;&gt;""),"变化可用","")</f>
        <v/>
      </c>
      <c r="I35" s="8">
        <f>IF(B35=C35,"同日","不同日，需注明时点差")</f>
        <v/>
      </c>
    </row>
    <row r="36">
      <c r="A36" s="8" t="n">
        <v>32</v>
      </c>
      <c r="B36" s="8">
        <f>'02 原始数据'!B36</f>
        <v/>
      </c>
      <c r="C36" s="8">
        <f>'02 原始数据'!C36</f>
        <v/>
      </c>
      <c r="D36" s="8">
        <f>IF(OR(E36="",F36=""),"缺失-剔除","配对成功")</f>
        <v/>
      </c>
      <c r="E36" s="8">
        <f>'02 原始数据'!D36</f>
        <v/>
      </c>
      <c r="F36" s="8">
        <f>'02 原始数据'!G36</f>
        <v/>
      </c>
      <c r="G36" s="8">
        <f>IF(D36="配对成功","水平可用","")</f>
        <v/>
      </c>
      <c r="H36" s="8">
        <f>IF(AND(D36="配对成功",A36&gt;1,E35&lt;&gt;""),"变化可用","")</f>
        <v/>
      </c>
      <c r="I36" s="8">
        <f>IF(B36=C36,"同日","不同日，需注明时点差")</f>
        <v/>
      </c>
    </row>
    <row r="37">
      <c r="A37" s="8" t="n">
        <v>33</v>
      </c>
      <c r="B37" s="8">
        <f>'02 原始数据'!B37</f>
        <v/>
      </c>
      <c r="C37" s="8">
        <f>'02 原始数据'!C37</f>
        <v/>
      </c>
      <c r="D37" s="8">
        <f>IF(OR(E37="",F37=""),"缺失-剔除","配对成功")</f>
        <v/>
      </c>
      <c r="E37" s="8">
        <f>'02 原始数据'!D37</f>
        <v/>
      </c>
      <c r="F37" s="8">
        <f>'02 原始数据'!G37</f>
        <v/>
      </c>
      <c r="G37" s="8">
        <f>IF(D37="配对成功","水平可用","")</f>
        <v/>
      </c>
      <c r="H37" s="8">
        <f>IF(AND(D37="配对成功",A37&gt;1,E36&lt;&gt;""),"变化可用","")</f>
        <v/>
      </c>
      <c r="I37" s="8">
        <f>IF(B37=C37,"同日","不同日，需注明时点差")</f>
        <v/>
      </c>
    </row>
    <row r="38">
      <c r="A38" s="8" t="n">
        <v>34</v>
      </c>
      <c r="B38" s="8">
        <f>'02 原始数据'!B38</f>
        <v/>
      </c>
      <c r="C38" s="8">
        <f>'02 原始数据'!C38</f>
        <v/>
      </c>
      <c r="D38" s="8">
        <f>IF(OR(E38="",F38=""),"缺失-剔除","配对成功")</f>
        <v/>
      </c>
      <c r="E38" s="8">
        <f>'02 原始数据'!D38</f>
        <v/>
      </c>
      <c r="F38" s="8">
        <f>'02 原始数据'!G38</f>
        <v/>
      </c>
      <c r="G38" s="8">
        <f>IF(D38="配对成功","水平可用","")</f>
        <v/>
      </c>
      <c r="H38" s="8">
        <f>IF(AND(D38="配对成功",A38&gt;1,E37&lt;&gt;""),"变化可用","")</f>
        <v/>
      </c>
      <c r="I38" s="8">
        <f>IF(B38=C38,"同日","不同日，需注明时点差")</f>
        <v/>
      </c>
    </row>
    <row r="39">
      <c r="A39" s="8" t="n">
        <v>35</v>
      </c>
      <c r="B39" s="8">
        <f>'02 原始数据'!B39</f>
        <v/>
      </c>
      <c r="C39" s="8">
        <f>'02 原始数据'!C39</f>
        <v/>
      </c>
      <c r="D39" s="8">
        <f>IF(OR(E39="",F39=""),"缺失-剔除","配对成功")</f>
        <v/>
      </c>
      <c r="E39" s="8">
        <f>'02 原始数据'!D39</f>
        <v/>
      </c>
      <c r="F39" s="8">
        <f>'02 原始数据'!G39</f>
        <v/>
      </c>
      <c r="G39" s="8">
        <f>IF(D39="配对成功","水平可用","")</f>
        <v/>
      </c>
      <c r="H39" s="8">
        <f>IF(AND(D39="配对成功",A39&gt;1,E38&lt;&gt;""),"变化可用","")</f>
        <v/>
      </c>
      <c r="I39" s="8">
        <f>IF(B39=C39,"同日","不同日，需注明时点差")</f>
        <v/>
      </c>
    </row>
    <row r="40">
      <c r="A40" s="8" t="n">
        <v>36</v>
      </c>
      <c r="B40" s="8">
        <f>'02 原始数据'!B40</f>
        <v/>
      </c>
      <c r="C40" s="8">
        <f>'02 原始数据'!C40</f>
        <v/>
      </c>
      <c r="D40" s="8">
        <f>IF(OR(E40="",F40=""),"缺失-剔除","配对成功")</f>
        <v/>
      </c>
      <c r="E40" s="8">
        <f>'02 原始数据'!D40</f>
        <v/>
      </c>
      <c r="F40" s="8">
        <f>'02 原始数据'!G40</f>
        <v/>
      </c>
      <c r="G40" s="8">
        <f>IF(D40="配对成功","水平可用","")</f>
        <v/>
      </c>
      <c r="H40" s="8">
        <f>IF(AND(D40="配对成功",A40&gt;1,E39&lt;&gt;""),"变化可用","")</f>
        <v/>
      </c>
      <c r="I40" s="8">
        <f>IF(B40=C40,"同日","不同日，需注明时点差")</f>
        <v/>
      </c>
    </row>
    <row r="41">
      <c r="A41" s="8" t="n">
        <v>37</v>
      </c>
      <c r="B41" s="8">
        <f>'02 原始数据'!B41</f>
        <v/>
      </c>
      <c r="C41" s="8">
        <f>'02 原始数据'!C41</f>
        <v/>
      </c>
      <c r="D41" s="8">
        <f>IF(OR(E41="",F41=""),"缺失-剔除","配对成功")</f>
        <v/>
      </c>
      <c r="E41" s="8">
        <f>'02 原始数据'!D41</f>
        <v/>
      </c>
      <c r="F41" s="8">
        <f>'02 原始数据'!G41</f>
        <v/>
      </c>
      <c r="G41" s="8">
        <f>IF(D41="配对成功","水平可用","")</f>
        <v/>
      </c>
      <c r="H41" s="8">
        <f>IF(AND(D41="配对成功",A41&gt;1,E40&lt;&gt;""),"变化可用","")</f>
        <v/>
      </c>
      <c r="I41" s="8">
        <f>IF(B41=C41,"同日","不同日，需注明时点差")</f>
        <v/>
      </c>
    </row>
    <row r="42">
      <c r="A42" s="8" t="n">
        <v>38</v>
      </c>
      <c r="B42" s="8">
        <f>'02 原始数据'!B42</f>
        <v/>
      </c>
      <c r="C42" s="8">
        <f>'02 原始数据'!C42</f>
        <v/>
      </c>
      <c r="D42" s="8">
        <f>IF(OR(E42="",F42=""),"缺失-剔除","配对成功")</f>
        <v/>
      </c>
      <c r="E42" s="8">
        <f>'02 原始数据'!D42</f>
        <v/>
      </c>
      <c r="F42" s="8">
        <f>'02 原始数据'!G42</f>
        <v/>
      </c>
      <c r="G42" s="8">
        <f>IF(D42="配对成功","水平可用","")</f>
        <v/>
      </c>
      <c r="H42" s="8">
        <f>IF(AND(D42="配对成功",A42&gt;1,E41&lt;&gt;""),"变化可用","")</f>
        <v/>
      </c>
      <c r="I42" s="8">
        <f>IF(B42=C42,"同日","不同日，需注明时点差")</f>
        <v/>
      </c>
    </row>
    <row r="43">
      <c r="A43" s="8" t="n">
        <v>39</v>
      </c>
      <c r="B43" s="8">
        <f>'02 原始数据'!B43</f>
        <v/>
      </c>
      <c r="C43" s="8">
        <f>'02 原始数据'!C43</f>
        <v/>
      </c>
      <c r="D43" s="8">
        <f>IF(OR(E43="",F43=""),"缺失-剔除","配对成功")</f>
        <v/>
      </c>
      <c r="E43" s="8">
        <f>'02 原始数据'!D43</f>
        <v/>
      </c>
      <c r="F43" s="8">
        <f>'02 原始数据'!G43</f>
        <v/>
      </c>
      <c r="G43" s="8">
        <f>IF(D43="配对成功","水平可用","")</f>
        <v/>
      </c>
      <c r="H43" s="8">
        <f>IF(AND(D43="配对成功",A43&gt;1,E42&lt;&gt;""),"变化可用","")</f>
        <v/>
      </c>
      <c r="I43" s="8">
        <f>IF(B43=C43,"同日","不同日，需注明时点差")</f>
        <v/>
      </c>
    </row>
    <row r="44">
      <c r="A44" s="8" t="n">
        <v>40</v>
      </c>
      <c r="B44" s="8">
        <f>'02 原始数据'!B44</f>
        <v/>
      </c>
      <c r="C44" s="8">
        <f>'02 原始数据'!C44</f>
        <v/>
      </c>
      <c r="D44" s="8">
        <f>IF(OR(E44="",F44=""),"缺失-剔除","配对成功")</f>
        <v/>
      </c>
      <c r="E44" s="8">
        <f>'02 原始数据'!D44</f>
        <v/>
      </c>
      <c r="F44" s="8">
        <f>'02 原始数据'!G44</f>
        <v/>
      </c>
      <c r="G44" s="8">
        <f>IF(D44="配对成功","水平可用","")</f>
        <v/>
      </c>
      <c r="H44" s="8">
        <f>IF(AND(D44="配对成功",A44&gt;1,E43&lt;&gt;""),"变化可用","")</f>
        <v/>
      </c>
      <c r="I44" s="8">
        <f>IF(B44=C44,"同日","不同日，需注明时点差")</f>
        <v/>
      </c>
    </row>
    <row r="45">
      <c r="A45" s="8" t="n">
        <v>41</v>
      </c>
      <c r="B45" s="8">
        <f>'02 原始数据'!B45</f>
        <v/>
      </c>
      <c r="C45" s="8">
        <f>'02 原始数据'!C45</f>
        <v/>
      </c>
      <c r="D45" s="8">
        <f>IF(OR(E45="",F45=""),"缺失-剔除","配对成功")</f>
        <v/>
      </c>
      <c r="E45" s="8">
        <f>'02 原始数据'!D45</f>
        <v/>
      </c>
      <c r="F45" s="8">
        <f>'02 原始数据'!G45</f>
        <v/>
      </c>
      <c r="G45" s="8">
        <f>IF(D45="配对成功","水平可用","")</f>
        <v/>
      </c>
      <c r="H45" s="8">
        <f>IF(AND(D45="配对成功",A45&gt;1,E44&lt;&gt;""),"变化可用","")</f>
        <v/>
      </c>
      <c r="I45" s="8">
        <f>IF(B45=C45,"同日","不同日，需注明时点差")</f>
        <v/>
      </c>
    </row>
    <row r="46">
      <c r="A46" s="8" t="n">
        <v>42</v>
      </c>
      <c r="B46" s="8">
        <f>'02 原始数据'!B46</f>
        <v/>
      </c>
      <c r="C46" s="8">
        <f>'02 原始数据'!C46</f>
        <v/>
      </c>
      <c r="D46" s="8">
        <f>IF(OR(E46="",F46=""),"缺失-剔除","配对成功")</f>
        <v/>
      </c>
      <c r="E46" s="8">
        <f>'02 原始数据'!D46</f>
        <v/>
      </c>
      <c r="F46" s="8">
        <f>'02 原始数据'!G46</f>
        <v/>
      </c>
      <c r="G46" s="8">
        <f>IF(D46="配对成功","水平可用","")</f>
        <v/>
      </c>
      <c r="H46" s="8">
        <f>IF(AND(D46="配对成功",A46&gt;1,E45&lt;&gt;""),"变化可用","")</f>
        <v/>
      </c>
      <c r="I46" s="8">
        <f>IF(B46=C46,"同日","不同日，需注明时点差")</f>
        <v/>
      </c>
    </row>
    <row r="47">
      <c r="A47" s="8" t="n">
        <v>43</v>
      </c>
      <c r="B47" s="8">
        <f>'02 原始数据'!B47</f>
        <v/>
      </c>
      <c r="C47" s="8">
        <f>'02 原始数据'!C47</f>
        <v/>
      </c>
      <c r="D47" s="8">
        <f>IF(OR(E47="",F47=""),"缺失-剔除","配对成功")</f>
        <v/>
      </c>
      <c r="E47" s="8">
        <f>'02 原始数据'!D47</f>
        <v/>
      </c>
      <c r="F47" s="8">
        <f>'02 原始数据'!G47</f>
        <v/>
      </c>
      <c r="G47" s="8">
        <f>IF(D47="配对成功","水平可用","")</f>
        <v/>
      </c>
      <c r="H47" s="8">
        <f>IF(AND(D47="配对成功",A47&gt;1,E46&lt;&gt;""),"变化可用","")</f>
        <v/>
      </c>
      <c r="I47" s="8">
        <f>IF(B47=C47,"同日","不同日，需注明时点差")</f>
        <v/>
      </c>
    </row>
    <row r="48">
      <c r="A48" s="8" t="n">
        <v>44</v>
      </c>
      <c r="B48" s="8">
        <f>'02 原始数据'!B48</f>
        <v/>
      </c>
      <c r="C48" s="8">
        <f>'02 原始数据'!C48</f>
        <v/>
      </c>
      <c r="D48" s="8">
        <f>IF(OR(E48="",F48=""),"缺失-剔除","配对成功")</f>
        <v/>
      </c>
      <c r="E48" s="8">
        <f>'02 原始数据'!D48</f>
        <v/>
      </c>
      <c r="F48" s="8">
        <f>'02 原始数据'!G48</f>
        <v/>
      </c>
      <c r="G48" s="8">
        <f>IF(D48="配对成功","水平可用","")</f>
        <v/>
      </c>
      <c r="H48" s="8">
        <f>IF(AND(D48="配对成功",A48&gt;1,E47&lt;&gt;""),"变化可用","")</f>
        <v/>
      </c>
      <c r="I48" s="8">
        <f>IF(B48=C48,"同日","不同日，需注明时点差")</f>
        <v/>
      </c>
    </row>
    <row r="49">
      <c r="A49" s="8" t="n">
        <v>45</v>
      </c>
      <c r="B49" s="8">
        <f>'02 原始数据'!B49</f>
        <v/>
      </c>
      <c r="C49" s="8">
        <f>'02 原始数据'!C49</f>
        <v/>
      </c>
      <c r="D49" s="8">
        <f>IF(OR(E49="",F49=""),"缺失-剔除","配对成功")</f>
        <v/>
      </c>
      <c r="E49" s="8">
        <f>'02 原始数据'!D49</f>
        <v/>
      </c>
      <c r="F49" s="8">
        <f>'02 原始数据'!G49</f>
        <v/>
      </c>
      <c r="G49" s="8">
        <f>IF(D49="配对成功","水平可用","")</f>
        <v/>
      </c>
      <c r="H49" s="8">
        <f>IF(AND(D49="配对成功",A49&gt;1,E48&lt;&gt;""),"变化可用","")</f>
        <v/>
      </c>
      <c r="I49" s="8">
        <f>IF(B49=C49,"同日","不同日，需注明时点差")</f>
        <v/>
      </c>
    </row>
    <row r="50">
      <c r="A50" s="8" t="n">
        <v>46</v>
      </c>
      <c r="B50" s="8">
        <f>'02 原始数据'!B50</f>
        <v/>
      </c>
      <c r="C50" s="8">
        <f>'02 原始数据'!C50</f>
        <v/>
      </c>
      <c r="D50" s="8">
        <f>IF(OR(E50="",F50=""),"缺失-剔除","配对成功")</f>
        <v/>
      </c>
      <c r="E50" s="8">
        <f>'02 原始数据'!D50</f>
        <v/>
      </c>
      <c r="F50" s="8">
        <f>'02 原始数据'!G50</f>
        <v/>
      </c>
      <c r="G50" s="8">
        <f>IF(D50="配对成功","水平可用","")</f>
        <v/>
      </c>
      <c r="H50" s="8">
        <f>IF(AND(D50="配对成功",A50&gt;1,E49&lt;&gt;""),"变化可用","")</f>
        <v/>
      </c>
      <c r="I50" s="8">
        <f>IF(B50=C50,"同日","不同日，需注明时点差")</f>
        <v/>
      </c>
    </row>
    <row r="51">
      <c r="A51" s="8" t="n">
        <v>47</v>
      </c>
      <c r="B51" s="8">
        <f>'02 原始数据'!B51</f>
        <v/>
      </c>
      <c r="C51" s="8">
        <f>'02 原始数据'!C51</f>
        <v/>
      </c>
      <c r="D51" s="8">
        <f>IF(OR(E51="",F51=""),"缺失-剔除","配对成功")</f>
        <v/>
      </c>
      <c r="E51" s="8">
        <f>'02 原始数据'!D51</f>
        <v/>
      </c>
      <c r="F51" s="8">
        <f>'02 原始数据'!G51</f>
        <v/>
      </c>
      <c r="G51" s="8">
        <f>IF(D51="配对成功","水平可用","")</f>
        <v/>
      </c>
      <c r="H51" s="8">
        <f>IF(AND(D51="配对成功",A51&gt;1,E50&lt;&gt;""),"变化可用","")</f>
        <v/>
      </c>
      <c r="I51" s="8">
        <f>IF(B51=C51,"同日","不同日，需注明时点差")</f>
        <v/>
      </c>
    </row>
    <row r="52">
      <c r="A52" s="8" t="n">
        <v>48</v>
      </c>
      <c r="B52" s="8">
        <f>'02 原始数据'!B52</f>
        <v/>
      </c>
      <c r="C52" s="8">
        <f>'02 原始数据'!C52</f>
        <v/>
      </c>
      <c r="D52" s="8">
        <f>IF(OR(E52="",F52=""),"缺失-剔除","配对成功")</f>
        <v/>
      </c>
      <c r="E52" s="8">
        <f>'02 原始数据'!D52</f>
        <v/>
      </c>
      <c r="F52" s="8">
        <f>'02 原始数据'!G52</f>
        <v/>
      </c>
      <c r="G52" s="8">
        <f>IF(D52="配对成功","水平可用","")</f>
        <v/>
      </c>
      <c r="H52" s="8">
        <f>IF(AND(D52="配对成功",A52&gt;1,E51&lt;&gt;""),"变化可用","")</f>
        <v/>
      </c>
      <c r="I52" s="8">
        <f>IF(B52=C52,"同日","不同日，需注明时点差")</f>
        <v/>
      </c>
    </row>
    <row r="53">
      <c r="A53" s="8" t="n">
        <v>49</v>
      </c>
      <c r="B53" s="8">
        <f>'02 原始数据'!B53</f>
        <v/>
      </c>
      <c r="C53" s="8">
        <f>'02 原始数据'!C53</f>
        <v/>
      </c>
      <c r="D53" s="8">
        <f>IF(OR(E53="",F53=""),"缺失-剔除","配对成功")</f>
        <v/>
      </c>
      <c r="E53" s="8">
        <f>'02 原始数据'!D53</f>
        <v/>
      </c>
      <c r="F53" s="8">
        <f>'02 原始数据'!G53</f>
        <v/>
      </c>
      <c r="G53" s="8">
        <f>IF(D53="配对成功","水平可用","")</f>
        <v/>
      </c>
      <c r="H53" s="8">
        <f>IF(AND(D53="配对成功",A53&gt;1,E52&lt;&gt;""),"变化可用","")</f>
        <v/>
      </c>
      <c r="I53" s="8">
        <f>IF(B53=C53,"同日","不同日，需注明时点差")</f>
        <v/>
      </c>
    </row>
    <row r="54">
      <c r="A54" s="8" t="n">
        <v>50</v>
      </c>
      <c r="B54" s="8">
        <f>'02 原始数据'!B54</f>
        <v/>
      </c>
      <c r="C54" s="8">
        <f>'02 原始数据'!C54</f>
        <v/>
      </c>
      <c r="D54" s="8">
        <f>IF(OR(E54="",F54=""),"缺失-剔除","配对成功")</f>
        <v/>
      </c>
      <c r="E54" s="8">
        <f>'02 原始数据'!D54</f>
        <v/>
      </c>
      <c r="F54" s="8">
        <f>'02 原始数据'!G54</f>
        <v/>
      </c>
      <c r="G54" s="8">
        <f>IF(D54="配对成功","水平可用","")</f>
        <v/>
      </c>
      <c r="H54" s="8">
        <f>IF(AND(D54="配对成功",A54&gt;1,E53&lt;&gt;""),"变化可用","")</f>
        <v/>
      </c>
      <c r="I54" s="8">
        <f>IF(B54=C54,"同日","不同日，需注明时点差")</f>
        <v/>
      </c>
    </row>
    <row r="55">
      <c r="A55" s="8" t="n">
        <v>51</v>
      </c>
      <c r="B55" s="8">
        <f>'02 原始数据'!B55</f>
        <v/>
      </c>
      <c r="C55" s="8">
        <f>'02 原始数据'!C55</f>
        <v/>
      </c>
      <c r="D55" s="8">
        <f>IF(OR(E55="",F55=""),"缺失-剔除","配对成功")</f>
        <v/>
      </c>
      <c r="E55" s="8">
        <f>'02 原始数据'!D55</f>
        <v/>
      </c>
      <c r="F55" s="8">
        <f>'02 原始数据'!G55</f>
        <v/>
      </c>
      <c r="G55" s="8">
        <f>IF(D55="配对成功","水平可用","")</f>
        <v/>
      </c>
      <c r="H55" s="8">
        <f>IF(AND(D55="配对成功",A55&gt;1,E54&lt;&gt;""),"变化可用","")</f>
        <v/>
      </c>
      <c r="I55" s="8">
        <f>IF(B55=C55,"同日","不同日，需注明时点差")</f>
        <v/>
      </c>
    </row>
    <row r="56">
      <c r="A56" s="8" t="n">
        <v>52</v>
      </c>
      <c r="B56" s="8">
        <f>'02 原始数据'!B56</f>
        <v/>
      </c>
      <c r="C56" s="8">
        <f>'02 原始数据'!C56</f>
        <v/>
      </c>
      <c r="D56" s="8">
        <f>IF(OR(E56="",F56=""),"缺失-剔除","配对成功")</f>
        <v/>
      </c>
      <c r="E56" s="8">
        <f>'02 原始数据'!D56</f>
        <v/>
      </c>
      <c r="F56" s="8">
        <f>'02 原始数据'!G56</f>
        <v/>
      </c>
      <c r="G56" s="8">
        <f>IF(D56="配对成功","水平可用","")</f>
        <v/>
      </c>
      <c r="H56" s="8">
        <f>IF(AND(D56="配对成功",A56&gt;1,E55&lt;&gt;""),"变化可用","")</f>
        <v/>
      </c>
      <c r="I56" s="8">
        <f>IF(B56=C56,"同日","不同日，需注明时点差")</f>
        <v/>
      </c>
    </row>
    <row r="57">
      <c r="A57" s="8" t="n">
        <v>53</v>
      </c>
      <c r="B57" s="8">
        <f>'02 原始数据'!B57</f>
        <v/>
      </c>
      <c r="C57" s="8">
        <f>'02 原始数据'!C57</f>
        <v/>
      </c>
      <c r="D57" s="8">
        <f>IF(OR(E57="",F57=""),"缺失-剔除","配对成功")</f>
        <v/>
      </c>
      <c r="E57" s="8">
        <f>'02 原始数据'!D57</f>
        <v/>
      </c>
      <c r="F57" s="8">
        <f>'02 原始数据'!G57</f>
        <v/>
      </c>
      <c r="G57" s="8">
        <f>IF(D57="配对成功","水平可用","")</f>
        <v/>
      </c>
      <c r="H57" s="8">
        <f>IF(AND(D57="配对成功",A57&gt;1,E56&lt;&gt;""),"变化可用","")</f>
        <v/>
      </c>
      <c r="I57" s="8">
        <f>IF(B57=C57,"同日","不同日，需注明时点差")</f>
        <v/>
      </c>
    </row>
    <row r="58">
      <c r="A58" s="8" t="n">
        <v>54</v>
      </c>
      <c r="B58" s="8">
        <f>'02 原始数据'!B58</f>
        <v/>
      </c>
      <c r="C58" s="8">
        <f>'02 原始数据'!C58</f>
        <v/>
      </c>
      <c r="D58" s="8">
        <f>IF(OR(E58="",F58=""),"缺失-剔除","配对成功")</f>
        <v/>
      </c>
      <c r="E58" s="8">
        <f>'02 原始数据'!D58</f>
        <v/>
      </c>
      <c r="F58" s="8">
        <f>'02 原始数据'!G58</f>
        <v/>
      </c>
      <c r="G58" s="8">
        <f>IF(D58="配对成功","水平可用","")</f>
        <v/>
      </c>
      <c r="H58" s="8">
        <f>IF(AND(D58="配对成功",A58&gt;1,E57&lt;&gt;""),"变化可用","")</f>
        <v/>
      </c>
      <c r="I58" s="8">
        <f>IF(B58=C58,"同日","不同日，需注明时点差")</f>
        <v/>
      </c>
    </row>
    <row r="59">
      <c r="A59" s="8" t="n">
        <v>55</v>
      </c>
      <c r="B59" s="8">
        <f>'02 原始数据'!B59</f>
        <v/>
      </c>
      <c r="C59" s="8">
        <f>'02 原始数据'!C59</f>
        <v/>
      </c>
      <c r="D59" s="8">
        <f>IF(OR(E59="",F59=""),"缺失-剔除","配对成功")</f>
        <v/>
      </c>
      <c r="E59" s="8">
        <f>'02 原始数据'!D59</f>
        <v/>
      </c>
      <c r="F59" s="8">
        <f>'02 原始数据'!G59</f>
        <v/>
      </c>
      <c r="G59" s="8">
        <f>IF(D59="配对成功","水平可用","")</f>
        <v/>
      </c>
      <c r="H59" s="8">
        <f>IF(AND(D59="配对成功",A59&gt;1,E58&lt;&gt;""),"变化可用","")</f>
        <v/>
      </c>
      <c r="I59" s="8">
        <f>IF(B59=C59,"同日","不同日，需注明时点差")</f>
        <v/>
      </c>
    </row>
    <row r="60">
      <c r="A60" s="8" t="n">
        <v>56</v>
      </c>
      <c r="B60" s="8">
        <f>'02 原始数据'!B60</f>
        <v/>
      </c>
      <c r="C60" s="8">
        <f>'02 原始数据'!C60</f>
        <v/>
      </c>
      <c r="D60" s="8">
        <f>IF(OR(E60="",F60=""),"缺失-剔除","配对成功")</f>
        <v/>
      </c>
      <c r="E60" s="8">
        <f>'02 原始数据'!D60</f>
        <v/>
      </c>
      <c r="F60" s="8">
        <f>'02 原始数据'!G60</f>
        <v/>
      </c>
      <c r="G60" s="8">
        <f>IF(D60="配对成功","水平可用","")</f>
        <v/>
      </c>
      <c r="H60" s="8">
        <f>IF(AND(D60="配对成功",A60&gt;1,E59&lt;&gt;""),"变化可用","")</f>
        <v/>
      </c>
      <c r="I60" s="8">
        <f>IF(B60=C60,"同日","不同日，需注明时点差")</f>
        <v/>
      </c>
    </row>
    <row r="61">
      <c r="A61" s="8" t="n">
        <v>57</v>
      </c>
      <c r="B61" s="8">
        <f>'02 原始数据'!B61</f>
        <v/>
      </c>
      <c r="C61" s="8">
        <f>'02 原始数据'!C61</f>
        <v/>
      </c>
      <c r="D61" s="8">
        <f>IF(OR(E61="",F61=""),"缺失-剔除","配对成功")</f>
        <v/>
      </c>
      <c r="E61" s="8">
        <f>'02 原始数据'!D61</f>
        <v/>
      </c>
      <c r="F61" s="8">
        <f>'02 原始数据'!G61</f>
        <v/>
      </c>
      <c r="G61" s="8">
        <f>IF(D61="配对成功","水平可用","")</f>
        <v/>
      </c>
      <c r="H61" s="8">
        <f>IF(AND(D61="配对成功",A61&gt;1,E60&lt;&gt;""),"变化可用","")</f>
        <v/>
      </c>
      <c r="I61" s="8">
        <f>IF(B61=C61,"同日","不同日，需注明时点差")</f>
        <v/>
      </c>
    </row>
    <row r="62">
      <c r="A62" s="8" t="n">
        <v>58</v>
      </c>
      <c r="B62" s="8">
        <f>'02 原始数据'!B62</f>
        <v/>
      </c>
      <c r="C62" s="8">
        <f>'02 原始数据'!C62</f>
        <v/>
      </c>
      <c r="D62" s="8">
        <f>IF(OR(E62="",F62=""),"缺失-剔除","配对成功")</f>
        <v/>
      </c>
      <c r="E62" s="8">
        <f>'02 原始数据'!D62</f>
        <v/>
      </c>
      <c r="F62" s="8">
        <f>'02 原始数据'!G62</f>
        <v/>
      </c>
      <c r="G62" s="8">
        <f>IF(D62="配对成功","水平可用","")</f>
        <v/>
      </c>
      <c r="H62" s="8">
        <f>IF(AND(D62="配对成功",A62&gt;1,E61&lt;&gt;""),"变化可用","")</f>
        <v/>
      </c>
      <c r="I62" s="8">
        <f>IF(B62=C62,"同日","不同日，需注明时点差")</f>
        <v/>
      </c>
    </row>
    <row r="63">
      <c r="A63" s="8" t="n">
        <v>59</v>
      </c>
      <c r="B63" s="8">
        <f>'02 原始数据'!B63</f>
        <v/>
      </c>
      <c r="C63" s="8">
        <f>'02 原始数据'!C63</f>
        <v/>
      </c>
      <c r="D63" s="8">
        <f>IF(OR(E63="",F63=""),"缺失-剔除","配对成功")</f>
        <v/>
      </c>
      <c r="E63" s="8">
        <f>'02 原始数据'!D63</f>
        <v/>
      </c>
      <c r="F63" s="8">
        <f>'02 原始数据'!G63</f>
        <v/>
      </c>
      <c r="G63" s="8">
        <f>IF(D63="配对成功","水平可用","")</f>
        <v/>
      </c>
      <c r="H63" s="8">
        <f>IF(AND(D63="配对成功",A63&gt;1,E62&lt;&gt;""),"变化可用","")</f>
        <v/>
      </c>
      <c r="I63" s="8">
        <f>IF(B63=C63,"同日","不同日，需注明时点差")</f>
        <v/>
      </c>
    </row>
    <row r="64">
      <c r="A64" s="8" t="n">
        <v>60</v>
      </c>
      <c r="B64" s="8">
        <f>'02 原始数据'!B64</f>
        <v/>
      </c>
      <c r="C64" s="8">
        <f>'02 原始数据'!C64</f>
        <v/>
      </c>
      <c r="D64" s="8">
        <f>IF(OR(E64="",F64=""),"缺失-剔除","配对成功")</f>
        <v/>
      </c>
      <c r="E64" s="8">
        <f>'02 原始数据'!D64</f>
        <v/>
      </c>
      <c r="F64" s="8">
        <f>'02 原始数据'!G64</f>
        <v/>
      </c>
      <c r="G64" s="8">
        <f>IF(D64="配对成功","水平可用","")</f>
        <v/>
      </c>
      <c r="H64" s="8">
        <f>IF(AND(D64="配对成功",A64&gt;1,E63&lt;&gt;""),"变化可用","")</f>
        <v/>
      </c>
      <c r="I64" s="8">
        <f>IF(B64=C64,"同日","不同日，需注明时点差")</f>
        <v/>
      </c>
    </row>
    <row r="65">
      <c r="A65" s="8" t="n">
        <v>61</v>
      </c>
      <c r="B65" s="8">
        <f>'02 原始数据'!B65</f>
        <v/>
      </c>
      <c r="C65" s="8">
        <f>'02 原始数据'!C65</f>
        <v/>
      </c>
      <c r="D65" s="8">
        <f>IF(OR(E65="",F65=""),"缺失-剔除","配对成功")</f>
        <v/>
      </c>
      <c r="E65" s="8">
        <f>'02 原始数据'!D65</f>
        <v/>
      </c>
      <c r="F65" s="8">
        <f>'02 原始数据'!G65</f>
        <v/>
      </c>
      <c r="G65" s="8">
        <f>IF(D65="配对成功","水平可用","")</f>
        <v/>
      </c>
      <c r="H65" s="8">
        <f>IF(AND(D65="配对成功",A65&gt;1,E64&lt;&gt;""),"变化可用","")</f>
        <v/>
      </c>
      <c r="I65" s="8">
        <f>IF(B65=C65,"同日","不同日，需注明时点差")</f>
        <v/>
      </c>
    </row>
    <row r="66">
      <c r="A66" s="8" t="n">
        <v>62</v>
      </c>
      <c r="B66" s="8">
        <f>'02 原始数据'!B66</f>
        <v/>
      </c>
      <c r="C66" s="8">
        <f>'02 原始数据'!C66</f>
        <v/>
      </c>
      <c r="D66" s="8">
        <f>IF(OR(E66="",F66=""),"缺失-剔除","配对成功")</f>
        <v/>
      </c>
      <c r="E66" s="8">
        <f>'02 原始数据'!D66</f>
        <v/>
      </c>
      <c r="F66" s="8">
        <f>'02 原始数据'!G66</f>
        <v/>
      </c>
      <c r="G66" s="8">
        <f>IF(D66="配对成功","水平可用","")</f>
        <v/>
      </c>
      <c r="H66" s="8">
        <f>IF(AND(D66="配对成功",A66&gt;1,E65&lt;&gt;""),"变化可用","")</f>
        <v/>
      </c>
      <c r="I66" s="8">
        <f>IF(B66=C66,"同日","不同日，需注明时点差")</f>
        <v/>
      </c>
    </row>
    <row r="67">
      <c r="A67" s="8" t="n">
        <v>63</v>
      </c>
      <c r="B67" s="8">
        <f>'02 原始数据'!B67</f>
        <v/>
      </c>
      <c r="C67" s="8">
        <f>'02 原始数据'!C67</f>
        <v/>
      </c>
      <c r="D67" s="8">
        <f>IF(OR(E67="",F67=""),"缺失-剔除","配对成功")</f>
        <v/>
      </c>
      <c r="E67" s="8">
        <f>'02 原始数据'!D67</f>
        <v/>
      </c>
      <c r="F67" s="8">
        <f>'02 原始数据'!G67</f>
        <v/>
      </c>
      <c r="G67" s="8">
        <f>IF(D67="配对成功","水平可用","")</f>
        <v/>
      </c>
      <c r="H67" s="8">
        <f>IF(AND(D67="配对成功",A67&gt;1,E66&lt;&gt;""),"变化可用","")</f>
        <v/>
      </c>
      <c r="I67" s="8">
        <f>IF(B67=C67,"同日","不同日，需注明时点差")</f>
        <v/>
      </c>
    </row>
    <row r="68">
      <c r="A68" s="8" t="n">
        <v>64</v>
      </c>
      <c r="B68" s="8">
        <f>'02 原始数据'!B68</f>
        <v/>
      </c>
      <c r="C68" s="8">
        <f>'02 原始数据'!C68</f>
        <v/>
      </c>
      <c r="D68" s="8">
        <f>IF(OR(E68="",F68=""),"缺失-剔除","配对成功")</f>
        <v/>
      </c>
      <c r="E68" s="8">
        <f>'02 原始数据'!D68</f>
        <v/>
      </c>
      <c r="F68" s="8">
        <f>'02 原始数据'!G68</f>
        <v/>
      </c>
      <c r="G68" s="8">
        <f>IF(D68="配对成功","水平可用","")</f>
        <v/>
      </c>
      <c r="H68" s="8">
        <f>IF(AND(D68="配对成功",A68&gt;1,E67&lt;&gt;""),"变化可用","")</f>
        <v/>
      </c>
      <c r="I68" s="8">
        <f>IF(B68=C68,"同日","不同日，需注明时点差")</f>
        <v/>
      </c>
    </row>
    <row r="69">
      <c r="A69" s="8" t="n">
        <v>65</v>
      </c>
      <c r="B69" s="8">
        <f>'02 原始数据'!B69</f>
        <v/>
      </c>
      <c r="C69" s="8">
        <f>'02 原始数据'!C69</f>
        <v/>
      </c>
      <c r="D69" s="8">
        <f>IF(OR(E69="",F69=""),"缺失-剔除","配对成功")</f>
        <v/>
      </c>
      <c r="E69" s="8">
        <f>'02 原始数据'!D69</f>
        <v/>
      </c>
      <c r="F69" s="8">
        <f>'02 原始数据'!G69</f>
        <v/>
      </c>
      <c r="G69" s="8">
        <f>IF(D69="配对成功","水平可用","")</f>
        <v/>
      </c>
      <c r="H69" s="8">
        <f>IF(AND(D69="配对成功",A69&gt;1,E68&lt;&gt;""),"变化可用","")</f>
        <v/>
      </c>
      <c r="I69" s="8">
        <f>IF(B69=C69,"同日","不同日，需注明时点差")</f>
        <v/>
      </c>
    </row>
    <row r="70">
      <c r="A70" s="8" t="n">
        <v>66</v>
      </c>
      <c r="B70" s="8">
        <f>'02 原始数据'!B70</f>
        <v/>
      </c>
      <c r="C70" s="8">
        <f>'02 原始数据'!C70</f>
        <v/>
      </c>
      <c r="D70" s="8">
        <f>IF(OR(E70="",F70=""),"缺失-剔除","配对成功")</f>
        <v/>
      </c>
      <c r="E70" s="8">
        <f>'02 原始数据'!D70</f>
        <v/>
      </c>
      <c r="F70" s="8">
        <f>'02 原始数据'!G70</f>
        <v/>
      </c>
      <c r="G70" s="8">
        <f>IF(D70="配对成功","水平可用","")</f>
        <v/>
      </c>
      <c r="H70" s="8">
        <f>IF(AND(D70="配对成功",A70&gt;1,E69&lt;&gt;""),"变化可用","")</f>
        <v/>
      </c>
      <c r="I70" s="8">
        <f>IF(B70=C70,"同日","不同日，需注明时点差")</f>
        <v/>
      </c>
    </row>
    <row r="71">
      <c r="A71" s="8" t="n">
        <v>67</v>
      </c>
      <c r="B71" s="8">
        <f>'02 原始数据'!B71</f>
        <v/>
      </c>
      <c r="C71" s="8">
        <f>'02 原始数据'!C71</f>
        <v/>
      </c>
      <c r="D71" s="8">
        <f>IF(OR(E71="",F71=""),"缺失-剔除","配对成功")</f>
        <v/>
      </c>
      <c r="E71" s="8">
        <f>'02 原始数据'!D71</f>
        <v/>
      </c>
      <c r="F71" s="8">
        <f>'02 原始数据'!G71</f>
        <v/>
      </c>
      <c r="G71" s="8">
        <f>IF(D71="配对成功","水平可用","")</f>
        <v/>
      </c>
      <c r="H71" s="8">
        <f>IF(AND(D71="配对成功",A71&gt;1,E70&lt;&gt;""),"变化可用","")</f>
        <v/>
      </c>
      <c r="I71" s="8">
        <f>IF(B71=C71,"同日","不同日，需注明时点差")</f>
        <v/>
      </c>
    </row>
    <row r="72">
      <c r="A72" s="8" t="n">
        <v>68</v>
      </c>
      <c r="B72" s="8">
        <f>'02 原始数据'!B72</f>
        <v/>
      </c>
      <c r="C72" s="8">
        <f>'02 原始数据'!C72</f>
        <v/>
      </c>
      <c r="D72" s="8">
        <f>IF(OR(E72="",F72=""),"缺失-剔除","配对成功")</f>
        <v/>
      </c>
      <c r="E72" s="8">
        <f>'02 原始数据'!D72</f>
        <v/>
      </c>
      <c r="F72" s="8">
        <f>'02 原始数据'!G72</f>
        <v/>
      </c>
      <c r="G72" s="8">
        <f>IF(D72="配对成功","水平可用","")</f>
        <v/>
      </c>
      <c r="H72" s="8">
        <f>IF(AND(D72="配对成功",A72&gt;1,E71&lt;&gt;""),"变化可用","")</f>
        <v/>
      </c>
      <c r="I72" s="8">
        <f>IF(B72=C72,"同日","不同日，需注明时点差")</f>
        <v/>
      </c>
    </row>
    <row r="73">
      <c r="A73" s="8" t="n">
        <v>69</v>
      </c>
      <c r="B73" s="8">
        <f>'02 原始数据'!B73</f>
        <v/>
      </c>
      <c r="C73" s="8">
        <f>'02 原始数据'!C73</f>
        <v/>
      </c>
      <c r="D73" s="8">
        <f>IF(OR(E73="",F73=""),"缺失-剔除","配对成功")</f>
        <v/>
      </c>
      <c r="E73" s="8">
        <f>'02 原始数据'!D73</f>
        <v/>
      </c>
      <c r="F73" s="8">
        <f>'02 原始数据'!G73</f>
        <v/>
      </c>
      <c r="G73" s="8">
        <f>IF(D73="配对成功","水平可用","")</f>
        <v/>
      </c>
      <c r="H73" s="8">
        <f>IF(AND(D73="配对成功",A73&gt;1,E72&lt;&gt;""),"变化可用","")</f>
        <v/>
      </c>
      <c r="I73" s="8">
        <f>IF(B73=C73,"同日","不同日，需注明时点差")</f>
        <v/>
      </c>
    </row>
    <row r="74">
      <c r="A74" s="8" t="n">
        <v>70</v>
      </c>
      <c r="B74" s="8">
        <f>'02 原始数据'!B74</f>
        <v/>
      </c>
      <c r="C74" s="8">
        <f>'02 原始数据'!C74</f>
        <v/>
      </c>
      <c r="D74" s="8">
        <f>IF(OR(E74="",F74=""),"缺失-剔除","配对成功")</f>
        <v/>
      </c>
      <c r="E74" s="8">
        <f>'02 原始数据'!D74</f>
        <v/>
      </c>
      <c r="F74" s="8">
        <f>'02 原始数据'!G74</f>
        <v/>
      </c>
      <c r="G74" s="8">
        <f>IF(D74="配对成功","水平可用","")</f>
        <v/>
      </c>
      <c r="H74" s="8">
        <f>IF(AND(D74="配对成功",A74&gt;1,E73&lt;&gt;""),"变化可用","")</f>
        <v/>
      </c>
      <c r="I74" s="8">
        <f>IF(B74=C74,"同日","不同日，需注明时点差")</f>
        <v/>
      </c>
    </row>
    <row r="75">
      <c r="A75" s="8" t="n">
        <v>71</v>
      </c>
      <c r="B75" s="8">
        <f>'02 原始数据'!B75</f>
        <v/>
      </c>
      <c r="C75" s="8">
        <f>'02 原始数据'!C75</f>
        <v/>
      </c>
      <c r="D75" s="8">
        <f>IF(OR(E75="",F75=""),"缺失-剔除","配对成功")</f>
        <v/>
      </c>
      <c r="E75" s="8">
        <f>'02 原始数据'!D75</f>
        <v/>
      </c>
      <c r="F75" s="8">
        <f>'02 原始数据'!G75</f>
        <v/>
      </c>
      <c r="G75" s="8">
        <f>IF(D75="配对成功","水平可用","")</f>
        <v/>
      </c>
      <c r="H75" s="8">
        <f>IF(AND(D75="配对成功",A75&gt;1,E74&lt;&gt;""),"变化可用","")</f>
        <v/>
      </c>
      <c r="I75" s="8">
        <f>IF(B75=C75,"同日","不同日，需注明时点差")</f>
        <v/>
      </c>
    </row>
    <row r="76">
      <c r="A76" s="8" t="n">
        <v>72</v>
      </c>
      <c r="B76" s="8">
        <f>'02 原始数据'!B76</f>
        <v/>
      </c>
      <c r="C76" s="8">
        <f>'02 原始数据'!C76</f>
        <v/>
      </c>
      <c r="D76" s="8">
        <f>IF(OR(E76="",F76=""),"缺失-剔除","配对成功")</f>
        <v/>
      </c>
      <c r="E76" s="8">
        <f>'02 原始数据'!D76</f>
        <v/>
      </c>
      <c r="F76" s="8">
        <f>'02 原始数据'!G76</f>
        <v/>
      </c>
      <c r="G76" s="8">
        <f>IF(D76="配对成功","水平可用","")</f>
        <v/>
      </c>
      <c r="H76" s="8">
        <f>IF(AND(D76="配对成功",A76&gt;1,E75&lt;&gt;""),"变化可用","")</f>
        <v/>
      </c>
      <c r="I76" s="8">
        <f>IF(B76=C76,"同日","不同日，需注明时点差")</f>
        <v/>
      </c>
    </row>
    <row r="77">
      <c r="A77" s="8" t="n">
        <v>73</v>
      </c>
      <c r="B77" s="8">
        <f>'02 原始数据'!B77</f>
        <v/>
      </c>
      <c r="C77" s="8">
        <f>'02 原始数据'!C77</f>
        <v/>
      </c>
      <c r="D77" s="8">
        <f>IF(OR(E77="",F77=""),"缺失-剔除","配对成功")</f>
        <v/>
      </c>
      <c r="E77" s="8">
        <f>'02 原始数据'!D77</f>
        <v/>
      </c>
      <c r="F77" s="8">
        <f>'02 原始数据'!G77</f>
        <v/>
      </c>
      <c r="G77" s="8">
        <f>IF(D77="配对成功","水平可用","")</f>
        <v/>
      </c>
      <c r="H77" s="8">
        <f>IF(AND(D77="配对成功",A77&gt;1,E76&lt;&gt;""),"变化可用","")</f>
        <v/>
      </c>
      <c r="I77" s="8">
        <f>IF(B77=C77,"同日","不同日，需注明时点差")</f>
        <v/>
      </c>
    </row>
    <row r="78">
      <c r="A78" s="8" t="n">
        <v>74</v>
      </c>
      <c r="B78" s="8">
        <f>'02 原始数据'!B78</f>
        <v/>
      </c>
      <c r="C78" s="8">
        <f>'02 原始数据'!C78</f>
        <v/>
      </c>
      <c r="D78" s="8">
        <f>IF(OR(E78="",F78=""),"缺失-剔除","配对成功")</f>
        <v/>
      </c>
      <c r="E78" s="8">
        <f>'02 原始数据'!D78</f>
        <v/>
      </c>
      <c r="F78" s="8">
        <f>'02 原始数据'!G78</f>
        <v/>
      </c>
      <c r="G78" s="8">
        <f>IF(D78="配对成功","水平可用","")</f>
        <v/>
      </c>
      <c r="H78" s="8">
        <f>IF(AND(D78="配对成功",A78&gt;1,E77&lt;&gt;""),"变化可用","")</f>
        <v/>
      </c>
      <c r="I78" s="8">
        <f>IF(B78=C78,"同日","不同日，需注明时点差")</f>
        <v/>
      </c>
    </row>
    <row r="79">
      <c r="A79" s="8" t="n">
        <v>75</v>
      </c>
      <c r="B79" s="8">
        <f>'02 原始数据'!B79</f>
        <v/>
      </c>
      <c r="C79" s="8">
        <f>'02 原始数据'!C79</f>
        <v/>
      </c>
      <c r="D79" s="8">
        <f>IF(OR(E79="",F79=""),"缺失-剔除","配对成功")</f>
        <v/>
      </c>
      <c r="E79" s="8">
        <f>'02 原始数据'!D79</f>
        <v/>
      </c>
      <c r="F79" s="8">
        <f>'02 原始数据'!G79</f>
        <v/>
      </c>
      <c r="G79" s="8">
        <f>IF(D79="配对成功","水平可用","")</f>
        <v/>
      </c>
      <c r="H79" s="8">
        <f>IF(AND(D79="配对成功",A79&gt;1,E78&lt;&gt;""),"变化可用","")</f>
        <v/>
      </c>
      <c r="I79" s="8">
        <f>IF(B79=C79,"同日","不同日，需注明时点差")</f>
        <v/>
      </c>
    </row>
    <row r="80">
      <c r="A80" s="8" t="n">
        <v>76</v>
      </c>
      <c r="B80" s="8">
        <f>'02 原始数据'!B80</f>
        <v/>
      </c>
      <c r="C80" s="8">
        <f>'02 原始数据'!C80</f>
        <v/>
      </c>
      <c r="D80" s="8">
        <f>IF(OR(E80="",F80=""),"缺失-剔除","配对成功")</f>
        <v/>
      </c>
      <c r="E80" s="8">
        <f>'02 原始数据'!D80</f>
        <v/>
      </c>
      <c r="F80" s="8">
        <f>'02 原始数据'!G80</f>
        <v/>
      </c>
      <c r="G80" s="8">
        <f>IF(D80="配对成功","水平可用","")</f>
        <v/>
      </c>
      <c r="H80" s="8">
        <f>IF(AND(D80="配对成功",A80&gt;1,E79&lt;&gt;""),"变化可用","")</f>
        <v/>
      </c>
      <c r="I80" s="8">
        <f>IF(B80=C80,"同日","不同日，需注明时点差")</f>
        <v/>
      </c>
    </row>
    <row r="81">
      <c r="A81" s="8" t="n">
        <v>77</v>
      </c>
      <c r="B81" s="8">
        <f>'02 原始数据'!B81</f>
        <v/>
      </c>
      <c r="C81" s="8">
        <f>'02 原始数据'!C81</f>
        <v/>
      </c>
      <c r="D81" s="8">
        <f>IF(OR(E81="",F81=""),"缺失-剔除","配对成功")</f>
        <v/>
      </c>
      <c r="E81" s="8">
        <f>'02 原始数据'!D81</f>
        <v/>
      </c>
      <c r="F81" s="8">
        <f>'02 原始数据'!G81</f>
        <v/>
      </c>
      <c r="G81" s="8">
        <f>IF(D81="配对成功","水平可用","")</f>
        <v/>
      </c>
      <c r="H81" s="8">
        <f>IF(AND(D81="配对成功",A81&gt;1,E80&lt;&gt;""),"变化可用","")</f>
        <v/>
      </c>
      <c r="I81" s="8">
        <f>IF(B81=C81,"同日","不同日，需注明时点差")</f>
        <v/>
      </c>
    </row>
    <row r="82">
      <c r="A82" s="8" t="n">
        <v>78</v>
      </c>
      <c r="B82" s="8">
        <f>'02 原始数据'!B82</f>
        <v/>
      </c>
      <c r="C82" s="8">
        <f>'02 原始数据'!C82</f>
        <v/>
      </c>
      <c r="D82" s="8">
        <f>IF(OR(E82="",F82=""),"缺失-剔除","配对成功")</f>
        <v/>
      </c>
      <c r="E82" s="8">
        <f>'02 原始数据'!D82</f>
        <v/>
      </c>
      <c r="F82" s="8">
        <f>'02 原始数据'!G82</f>
        <v/>
      </c>
      <c r="G82" s="8">
        <f>IF(D82="配对成功","水平可用","")</f>
        <v/>
      </c>
      <c r="H82" s="8">
        <f>IF(AND(D82="配对成功",A82&gt;1,E81&lt;&gt;""),"变化可用","")</f>
        <v/>
      </c>
      <c r="I82" s="8">
        <f>IF(B82=C82,"同日","不同日，需注明时点差")</f>
        <v/>
      </c>
    </row>
    <row r="83">
      <c r="A83" s="8" t="n">
        <v>79</v>
      </c>
      <c r="B83" s="8">
        <f>'02 原始数据'!B83</f>
        <v/>
      </c>
      <c r="C83" s="8">
        <f>'02 原始数据'!C83</f>
        <v/>
      </c>
      <c r="D83" s="8">
        <f>IF(OR(E83="",F83=""),"缺失-剔除","配对成功")</f>
        <v/>
      </c>
      <c r="E83" s="8">
        <f>'02 原始数据'!D83</f>
        <v/>
      </c>
      <c r="F83" s="8">
        <f>'02 原始数据'!G83</f>
        <v/>
      </c>
      <c r="G83" s="8">
        <f>IF(D83="配对成功","水平可用","")</f>
        <v/>
      </c>
      <c r="H83" s="8">
        <f>IF(AND(D83="配对成功",A83&gt;1,E82&lt;&gt;""),"变化可用","")</f>
        <v/>
      </c>
      <c r="I83" s="8">
        <f>IF(B83=C83,"同日","不同日，需注明时点差")</f>
        <v/>
      </c>
    </row>
    <row r="84">
      <c r="A84" s="8" t="n">
        <v>80</v>
      </c>
      <c r="B84" s="8">
        <f>'02 原始数据'!B84</f>
        <v/>
      </c>
      <c r="C84" s="8">
        <f>'02 原始数据'!C84</f>
        <v/>
      </c>
      <c r="D84" s="8">
        <f>IF(OR(E84="",F84=""),"缺失-剔除","配对成功")</f>
        <v/>
      </c>
      <c r="E84" s="8">
        <f>'02 原始数据'!D84</f>
        <v/>
      </c>
      <c r="F84" s="8">
        <f>'02 原始数据'!G84</f>
        <v/>
      </c>
      <c r="G84" s="8">
        <f>IF(D84="配对成功","水平可用","")</f>
        <v/>
      </c>
      <c r="H84" s="8">
        <f>IF(AND(D84="配对成功",A84&gt;1,E83&lt;&gt;""),"变化可用","")</f>
        <v/>
      </c>
      <c r="I84" s="8">
        <f>IF(B84=C84,"同日","不同日，需注明时点差")</f>
        <v/>
      </c>
    </row>
    <row r="85">
      <c r="A85" s="8" t="n">
        <v>81</v>
      </c>
      <c r="B85" s="8">
        <f>'02 原始数据'!B85</f>
        <v/>
      </c>
      <c r="C85" s="8">
        <f>'02 原始数据'!C85</f>
        <v/>
      </c>
      <c r="D85" s="8">
        <f>IF(OR(E85="",F85=""),"缺失-剔除","配对成功")</f>
        <v/>
      </c>
      <c r="E85" s="8">
        <f>'02 原始数据'!D85</f>
        <v/>
      </c>
      <c r="F85" s="8">
        <f>'02 原始数据'!G85</f>
        <v/>
      </c>
      <c r="G85" s="8">
        <f>IF(D85="配对成功","水平可用","")</f>
        <v/>
      </c>
      <c r="H85" s="8">
        <f>IF(AND(D85="配对成功",A85&gt;1,E84&lt;&gt;""),"变化可用","")</f>
        <v/>
      </c>
      <c r="I85" s="8">
        <f>IF(B85=C85,"同日","不同日，需注明时点差")</f>
        <v/>
      </c>
    </row>
    <row r="86">
      <c r="A86" s="8" t="n">
        <v>82</v>
      </c>
      <c r="B86" s="8">
        <f>'02 原始数据'!B86</f>
        <v/>
      </c>
      <c r="C86" s="8">
        <f>'02 原始数据'!C86</f>
        <v/>
      </c>
      <c r="D86" s="8">
        <f>IF(OR(E86="",F86=""),"缺失-剔除","配对成功")</f>
        <v/>
      </c>
      <c r="E86" s="8">
        <f>'02 原始数据'!D86</f>
        <v/>
      </c>
      <c r="F86" s="8">
        <f>'02 原始数据'!G86</f>
        <v/>
      </c>
      <c r="G86" s="8">
        <f>IF(D86="配对成功","水平可用","")</f>
        <v/>
      </c>
      <c r="H86" s="8">
        <f>IF(AND(D86="配对成功",A86&gt;1,E85&lt;&gt;""),"变化可用","")</f>
        <v/>
      </c>
      <c r="I86" s="8">
        <f>IF(B86=C86,"同日","不同日，需注明时点差")</f>
        <v/>
      </c>
    </row>
    <row r="87">
      <c r="A87" s="8" t="n">
        <v>83</v>
      </c>
      <c r="B87" s="8">
        <f>'02 原始数据'!B87</f>
        <v/>
      </c>
      <c r="C87" s="8">
        <f>'02 原始数据'!C87</f>
        <v/>
      </c>
      <c r="D87" s="8">
        <f>IF(OR(E87="",F87=""),"缺失-剔除","配对成功")</f>
        <v/>
      </c>
      <c r="E87" s="8">
        <f>'02 原始数据'!D87</f>
        <v/>
      </c>
      <c r="F87" s="8">
        <f>'02 原始数据'!G87</f>
        <v/>
      </c>
      <c r="G87" s="8">
        <f>IF(D87="配对成功","水平可用","")</f>
        <v/>
      </c>
      <c r="H87" s="8">
        <f>IF(AND(D87="配对成功",A87&gt;1,E86&lt;&gt;""),"变化可用","")</f>
        <v/>
      </c>
      <c r="I87" s="8">
        <f>IF(B87=C87,"同日","不同日，需注明时点差")</f>
        <v/>
      </c>
    </row>
    <row r="88">
      <c r="A88" s="8" t="n">
        <v>84</v>
      </c>
      <c r="B88" s="8">
        <f>'02 原始数据'!B88</f>
        <v/>
      </c>
      <c r="C88" s="8">
        <f>'02 原始数据'!C88</f>
        <v/>
      </c>
      <c r="D88" s="8">
        <f>IF(OR(E88="",F88=""),"缺失-剔除","配对成功")</f>
        <v/>
      </c>
      <c r="E88" s="8">
        <f>'02 原始数据'!D88</f>
        <v/>
      </c>
      <c r="F88" s="8">
        <f>'02 原始数据'!G88</f>
        <v/>
      </c>
      <c r="G88" s="8">
        <f>IF(D88="配对成功","水平可用","")</f>
        <v/>
      </c>
      <c r="H88" s="8">
        <f>IF(AND(D88="配对成功",A88&gt;1,E87&lt;&gt;""),"变化可用","")</f>
        <v/>
      </c>
      <c r="I88" s="8">
        <f>IF(B88=C88,"同日","不同日，需注明时点差")</f>
        <v/>
      </c>
    </row>
    <row r="89">
      <c r="A89" s="8" t="n">
        <v>85</v>
      </c>
      <c r="B89" s="8">
        <f>'02 原始数据'!B89</f>
        <v/>
      </c>
      <c r="C89" s="8">
        <f>'02 原始数据'!C89</f>
        <v/>
      </c>
      <c r="D89" s="8">
        <f>IF(OR(E89="",F89=""),"缺失-剔除","配对成功")</f>
        <v/>
      </c>
      <c r="E89" s="8">
        <f>'02 原始数据'!D89</f>
        <v/>
      </c>
      <c r="F89" s="8">
        <f>'02 原始数据'!G89</f>
        <v/>
      </c>
      <c r="G89" s="8">
        <f>IF(D89="配对成功","水平可用","")</f>
        <v/>
      </c>
      <c r="H89" s="8">
        <f>IF(AND(D89="配对成功",A89&gt;1,E88&lt;&gt;""),"变化可用","")</f>
        <v/>
      </c>
      <c r="I89" s="8">
        <f>IF(B89=C89,"同日","不同日，需注明时点差")</f>
        <v/>
      </c>
    </row>
    <row r="90">
      <c r="A90" s="8" t="n">
        <v>86</v>
      </c>
      <c r="B90" s="8">
        <f>'02 原始数据'!B90</f>
        <v/>
      </c>
      <c r="C90" s="8">
        <f>'02 原始数据'!C90</f>
        <v/>
      </c>
      <c r="D90" s="8">
        <f>IF(OR(E90="",F90=""),"缺失-剔除","配对成功")</f>
        <v/>
      </c>
      <c r="E90" s="8">
        <f>'02 原始数据'!D90</f>
        <v/>
      </c>
      <c r="F90" s="8">
        <f>'02 原始数据'!G90</f>
        <v/>
      </c>
      <c r="G90" s="8">
        <f>IF(D90="配对成功","水平可用","")</f>
        <v/>
      </c>
      <c r="H90" s="8">
        <f>IF(AND(D90="配对成功",A90&gt;1,E89&lt;&gt;""),"变化可用","")</f>
        <v/>
      </c>
      <c r="I90" s="8">
        <f>IF(B90=C90,"同日","不同日，需注明时点差")</f>
        <v/>
      </c>
    </row>
    <row r="91">
      <c r="A91" s="8" t="n">
        <v>87</v>
      </c>
      <c r="B91" s="8">
        <f>'02 原始数据'!B91</f>
        <v/>
      </c>
      <c r="C91" s="8">
        <f>'02 原始数据'!C91</f>
        <v/>
      </c>
      <c r="D91" s="8">
        <f>IF(OR(E91="",F91=""),"缺失-剔除","配对成功")</f>
        <v/>
      </c>
      <c r="E91" s="8">
        <f>'02 原始数据'!D91</f>
        <v/>
      </c>
      <c r="F91" s="8">
        <f>'02 原始数据'!G91</f>
        <v/>
      </c>
      <c r="G91" s="8">
        <f>IF(D91="配对成功","水平可用","")</f>
        <v/>
      </c>
      <c r="H91" s="8">
        <f>IF(AND(D91="配对成功",A91&gt;1,E90&lt;&gt;""),"变化可用","")</f>
        <v/>
      </c>
      <c r="I91" s="8">
        <f>IF(B91=C91,"同日","不同日，需注明时点差")</f>
        <v/>
      </c>
    </row>
    <row r="92">
      <c r="A92" s="8" t="n">
        <v>88</v>
      </c>
      <c r="B92" s="8">
        <f>'02 原始数据'!B92</f>
        <v/>
      </c>
      <c r="C92" s="8">
        <f>'02 原始数据'!C92</f>
        <v/>
      </c>
      <c r="D92" s="8">
        <f>IF(OR(E92="",F92=""),"缺失-剔除","配对成功")</f>
        <v/>
      </c>
      <c r="E92" s="8">
        <f>'02 原始数据'!D92</f>
        <v/>
      </c>
      <c r="F92" s="8">
        <f>'02 原始数据'!G92</f>
        <v/>
      </c>
      <c r="G92" s="8">
        <f>IF(D92="配对成功","水平可用","")</f>
        <v/>
      </c>
      <c r="H92" s="8">
        <f>IF(AND(D92="配对成功",A92&gt;1,E91&lt;&gt;""),"变化可用","")</f>
        <v/>
      </c>
      <c r="I92" s="8">
        <f>IF(B92=C92,"同日","不同日，需注明时点差")</f>
        <v/>
      </c>
    </row>
    <row r="93">
      <c r="A93" s="8" t="n">
        <v>89</v>
      </c>
      <c r="B93" s="8">
        <f>'02 原始数据'!B93</f>
        <v/>
      </c>
      <c r="C93" s="8">
        <f>'02 原始数据'!C93</f>
        <v/>
      </c>
      <c r="D93" s="8">
        <f>IF(OR(E93="",F93=""),"缺失-剔除","配对成功")</f>
        <v/>
      </c>
      <c r="E93" s="8">
        <f>'02 原始数据'!D93</f>
        <v/>
      </c>
      <c r="F93" s="8">
        <f>'02 原始数据'!G93</f>
        <v/>
      </c>
      <c r="G93" s="8">
        <f>IF(D93="配对成功","水平可用","")</f>
        <v/>
      </c>
      <c r="H93" s="8">
        <f>IF(AND(D93="配对成功",A93&gt;1,E92&lt;&gt;""),"变化可用","")</f>
        <v/>
      </c>
      <c r="I93" s="8">
        <f>IF(B93=C93,"同日","不同日，需注明时点差")</f>
        <v/>
      </c>
    </row>
    <row r="94">
      <c r="A94" s="8" t="n">
        <v>90</v>
      </c>
      <c r="B94" s="8">
        <f>'02 原始数据'!B94</f>
        <v/>
      </c>
      <c r="C94" s="8">
        <f>'02 原始数据'!C94</f>
        <v/>
      </c>
      <c r="D94" s="8">
        <f>IF(OR(E94="",F94=""),"缺失-剔除","配对成功")</f>
        <v/>
      </c>
      <c r="E94" s="8">
        <f>'02 原始数据'!D94</f>
        <v/>
      </c>
      <c r="F94" s="8">
        <f>'02 原始数据'!G94</f>
        <v/>
      </c>
      <c r="G94" s="8">
        <f>IF(D94="配对成功","水平可用","")</f>
        <v/>
      </c>
      <c r="H94" s="8">
        <f>IF(AND(D94="配对成功",A94&gt;1,E93&lt;&gt;""),"变化可用","")</f>
        <v/>
      </c>
      <c r="I94" s="8">
        <f>IF(B94=C94,"同日","不同日，需注明时点差")</f>
        <v/>
      </c>
    </row>
    <row r="95">
      <c r="A95" s="8" t="n">
        <v>91</v>
      </c>
      <c r="B95" s="8">
        <f>'02 原始数据'!B95</f>
        <v/>
      </c>
      <c r="C95" s="8">
        <f>'02 原始数据'!C95</f>
        <v/>
      </c>
      <c r="D95" s="8">
        <f>IF(OR(E95="",F95=""),"缺失-剔除","配对成功")</f>
        <v/>
      </c>
      <c r="E95" s="8">
        <f>'02 原始数据'!D95</f>
        <v/>
      </c>
      <c r="F95" s="8">
        <f>'02 原始数据'!G95</f>
        <v/>
      </c>
      <c r="G95" s="8">
        <f>IF(D95="配对成功","水平可用","")</f>
        <v/>
      </c>
      <c r="H95" s="8">
        <f>IF(AND(D95="配对成功",A95&gt;1,E94&lt;&gt;""),"变化可用","")</f>
        <v/>
      </c>
      <c r="I95" s="8">
        <f>IF(B95=C95,"同日","不同日，需注明时点差")</f>
        <v/>
      </c>
    </row>
    <row r="96">
      <c r="A96" s="8" t="n">
        <v>92</v>
      </c>
      <c r="B96" s="8">
        <f>'02 原始数据'!B96</f>
        <v/>
      </c>
      <c r="C96" s="8">
        <f>'02 原始数据'!C96</f>
        <v/>
      </c>
      <c r="D96" s="8">
        <f>IF(OR(E96="",F96=""),"缺失-剔除","配对成功")</f>
        <v/>
      </c>
      <c r="E96" s="8">
        <f>'02 原始数据'!D96</f>
        <v/>
      </c>
      <c r="F96" s="8">
        <f>'02 原始数据'!G96</f>
        <v/>
      </c>
      <c r="G96" s="8">
        <f>IF(D96="配对成功","水平可用","")</f>
        <v/>
      </c>
      <c r="H96" s="8">
        <f>IF(AND(D96="配对成功",A96&gt;1,E95&lt;&gt;""),"变化可用","")</f>
        <v/>
      </c>
      <c r="I96" s="8">
        <f>IF(B96=C96,"同日","不同日，需注明时点差")</f>
        <v/>
      </c>
    </row>
    <row r="97">
      <c r="A97" s="8" t="n">
        <v>93</v>
      </c>
      <c r="B97" s="8">
        <f>'02 原始数据'!B97</f>
        <v/>
      </c>
      <c r="C97" s="8">
        <f>'02 原始数据'!C97</f>
        <v/>
      </c>
      <c r="D97" s="8">
        <f>IF(OR(E97="",F97=""),"缺失-剔除","配对成功")</f>
        <v/>
      </c>
      <c r="E97" s="8">
        <f>'02 原始数据'!D97</f>
        <v/>
      </c>
      <c r="F97" s="8">
        <f>'02 原始数据'!G97</f>
        <v/>
      </c>
      <c r="G97" s="8">
        <f>IF(D97="配对成功","水平可用","")</f>
        <v/>
      </c>
      <c r="H97" s="8">
        <f>IF(AND(D97="配对成功",A97&gt;1,E96&lt;&gt;""),"变化可用","")</f>
        <v/>
      </c>
      <c r="I97" s="8">
        <f>IF(B97=C97,"同日","不同日，需注明时点差")</f>
        <v/>
      </c>
    </row>
    <row r="98">
      <c r="A98" s="8" t="n">
        <v>94</v>
      </c>
      <c r="B98" s="8">
        <f>'02 原始数据'!B98</f>
        <v/>
      </c>
      <c r="C98" s="8">
        <f>'02 原始数据'!C98</f>
        <v/>
      </c>
      <c r="D98" s="8">
        <f>IF(OR(E98="",F98=""),"缺失-剔除","配对成功")</f>
        <v/>
      </c>
      <c r="E98" s="8">
        <f>'02 原始数据'!D98</f>
        <v/>
      </c>
      <c r="F98" s="8">
        <f>'02 原始数据'!G98</f>
        <v/>
      </c>
      <c r="G98" s="8">
        <f>IF(D98="配对成功","水平可用","")</f>
        <v/>
      </c>
      <c r="H98" s="8">
        <f>IF(AND(D98="配对成功",A98&gt;1,E97&lt;&gt;""),"变化可用","")</f>
        <v/>
      </c>
      <c r="I98" s="8">
        <f>IF(B98=C98,"同日","不同日，需注明时点差")</f>
        <v/>
      </c>
    </row>
    <row r="99">
      <c r="A99" s="8" t="n">
        <v>95</v>
      </c>
      <c r="B99" s="8">
        <f>'02 原始数据'!B99</f>
        <v/>
      </c>
      <c r="C99" s="8">
        <f>'02 原始数据'!C99</f>
        <v/>
      </c>
      <c r="D99" s="8">
        <f>IF(OR(E99="",F99=""),"缺失-剔除","配对成功")</f>
        <v/>
      </c>
      <c r="E99" s="8">
        <f>'02 原始数据'!D99</f>
        <v/>
      </c>
      <c r="F99" s="8">
        <f>'02 原始数据'!G99</f>
        <v/>
      </c>
      <c r="G99" s="8">
        <f>IF(D99="配对成功","水平可用","")</f>
        <v/>
      </c>
      <c r="H99" s="8">
        <f>IF(AND(D99="配对成功",A99&gt;1,E98&lt;&gt;""),"变化可用","")</f>
        <v/>
      </c>
      <c r="I99" s="8">
        <f>IF(B99=C99,"同日","不同日，需注明时点差")</f>
        <v/>
      </c>
    </row>
    <row r="100">
      <c r="A100" s="8" t="n">
        <v>96</v>
      </c>
      <c r="B100" s="8">
        <f>'02 原始数据'!B100</f>
        <v/>
      </c>
      <c r="C100" s="8">
        <f>'02 原始数据'!C100</f>
        <v/>
      </c>
      <c r="D100" s="8">
        <f>IF(OR(E100="",F100=""),"缺失-剔除","配对成功")</f>
        <v/>
      </c>
      <c r="E100" s="8">
        <f>'02 原始数据'!D100</f>
        <v/>
      </c>
      <c r="F100" s="8">
        <f>'02 原始数据'!G100</f>
        <v/>
      </c>
      <c r="G100" s="8">
        <f>IF(D100="配对成功","水平可用","")</f>
        <v/>
      </c>
      <c r="H100" s="8">
        <f>IF(AND(D100="配对成功",A100&gt;1,E99&lt;&gt;""),"变化可用","")</f>
        <v/>
      </c>
      <c r="I100" s="8">
        <f>IF(B100=C100,"同日","不同日，需注明时点差")</f>
        <v/>
      </c>
    </row>
    <row r="101">
      <c r="A101" s="8" t="n">
        <v>97</v>
      </c>
      <c r="B101" s="8">
        <f>'02 原始数据'!B101</f>
        <v/>
      </c>
      <c r="C101" s="8">
        <f>'02 原始数据'!C101</f>
        <v/>
      </c>
      <c r="D101" s="8">
        <f>IF(OR(E101="",F101=""),"缺失-剔除","配对成功")</f>
        <v/>
      </c>
      <c r="E101" s="8">
        <f>'02 原始数据'!D101</f>
        <v/>
      </c>
      <c r="F101" s="8">
        <f>'02 原始数据'!G101</f>
        <v/>
      </c>
      <c r="G101" s="8">
        <f>IF(D101="配对成功","水平可用","")</f>
        <v/>
      </c>
      <c r="H101" s="8">
        <f>IF(AND(D101="配对成功",A101&gt;1,E100&lt;&gt;""),"变化可用","")</f>
        <v/>
      </c>
      <c r="I101" s="8">
        <f>IF(B101=C101,"同日","不同日，需注明时点差")</f>
        <v/>
      </c>
    </row>
    <row r="102">
      <c r="A102" s="8" t="n">
        <v>98</v>
      </c>
      <c r="B102" s="8">
        <f>'02 原始数据'!B102</f>
        <v/>
      </c>
      <c r="C102" s="8">
        <f>'02 原始数据'!C102</f>
        <v/>
      </c>
      <c r="D102" s="8">
        <f>IF(OR(E102="",F102=""),"缺失-剔除","配对成功")</f>
        <v/>
      </c>
      <c r="E102" s="8">
        <f>'02 原始数据'!D102</f>
        <v/>
      </c>
      <c r="F102" s="8">
        <f>'02 原始数据'!G102</f>
        <v/>
      </c>
      <c r="G102" s="8">
        <f>IF(D102="配对成功","水平可用","")</f>
        <v/>
      </c>
      <c r="H102" s="8">
        <f>IF(AND(D102="配对成功",A102&gt;1,E101&lt;&gt;""),"变化可用","")</f>
        <v/>
      </c>
      <c r="I102" s="8">
        <f>IF(B102=C102,"同日","不同日，需注明时点差")</f>
        <v/>
      </c>
    </row>
    <row r="103">
      <c r="A103" s="8" t="n">
        <v>99</v>
      </c>
      <c r="B103" s="8">
        <f>'02 原始数据'!B103</f>
        <v/>
      </c>
      <c r="C103" s="8">
        <f>'02 原始数据'!C103</f>
        <v/>
      </c>
      <c r="D103" s="8">
        <f>IF(OR(E103="",F103=""),"缺失-剔除","配对成功")</f>
        <v/>
      </c>
      <c r="E103" s="8">
        <f>'02 原始数据'!D103</f>
        <v/>
      </c>
      <c r="F103" s="8">
        <f>'02 原始数据'!G103</f>
        <v/>
      </c>
      <c r="G103" s="8">
        <f>IF(D103="配对成功","水平可用","")</f>
        <v/>
      </c>
      <c r="H103" s="8">
        <f>IF(AND(D103="配对成功",A103&gt;1,E102&lt;&gt;""),"变化可用","")</f>
        <v/>
      </c>
      <c r="I103" s="8">
        <f>IF(B103=C103,"同日","不同日，需注明时点差")</f>
        <v/>
      </c>
    </row>
    <row r="104">
      <c r="A104" s="8" t="n">
        <v>100</v>
      </c>
      <c r="B104" s="8">
        <f>'02 原始数据'!B104</f>
        <v/>
      </c>
      <c r="C104" s="8">
        <f>'02 原始数据'!C104</f>
        <v/>
      </c>
      <c r="D104" s="8">
        <f>IF(OR(E104="",F104=""),"缺失-剔除","配对成功")</f>
        <v/>
      </c>
      <c r="E104" s="8">
        <f>'02 原始数据'!D104</f>
        <v/>
      </c>
      <c r="F104" s="8">
        <f>'02 原始数据'!G104</f>
        <v/>
      </c>
      <c r="G104" s="8">
        <f>IF(D104="配对成功","水平可用","")</f>
        <v/>
      </c>
      <c r="H104" s="8">
        <f>IF(AND(D104="配对成功",A104&gt;1,E103&lt;&gt;""),"变化可用","")</f>
        <v/>
      </c>
      <c r="I104" s="8">
        <f>IF(B104=C104,"同日","不同日，需注明时点差")</f>
        <v/>
      </c>
    </row>
    <row r="105">
      <c r="A105" s="8" t="n">
        <v>101</v>
      </c>
      <c r="B105" s="8">
        <f>'02 原始数据'!B105</f>
        <v/>
      </c>
      <c r="C105" s="8">
        <f>'02 原始数据'!C105</f>
        <v/>
      </c>
      <c r="D105" s="8">
        <f>IF(OR(E105="",F105=""),"缺失-剔除","配对成功")</f>
        <v/>
      </c>
      <c r="E105" s="8">
        <f>'02 原始数据'!D105</f>
        <v/>
      </c>
      <c r="F105" s="8">
        <f>'02 原始数据'!G105</f>
        <v/>
      </c>
      <c r="G105" s="8">
        <f>IF(D105="配对成功","水平可用","")</f>
        <v/>
      </c>
      <c r="H105" s="8">
        <f>IF(AND(D105="配对成功",A105&gt;1,E104&lt;&gt;""),"变化可用","")</f>
        <v/>
      </c>
      <c r="I105" s="8">
        <f>IF(B105=C105,"同日","不同日，需注明时点差")</f>
        <v/>
      </c>
    </row>
    <row r="106">
      <c r="A106" s="8" t="n">
        <v>102</v>
      </c>
      <c r="B106" s="8">
        <f>'02 原始数据'!B106</f>
        <v/>
      </c>
      <c r="C106" s="8">
        <f>'02 原始数据'!C106</f>
        <v/>
      </c>
      <c r="D106" s="8">
        <f>IF(OR(E106="",F106=""),"缺失-剔除","配对成功")</f>
        <v/>
      </c>
      <c r="E106" s="8">
        <f>'02 原始数据'!D106</f>
        <v/>
      </c>
      <c r="F106" s="8">
        <f>'02 原始数据'!G106</f>
        <v/>
      </c>
      <c r="G106" s="8">
        <f>IF(D106="配对成功","水平可用","")</f>
        <v/>
      </c>
      <c r="H106" s="8">
        <f>IF(AND(D106="配对成功",A106&gt;1,E105&lt;&gt;""),"变化可用","")</f>
        <v/>
      </c>
      <c r="I106" s="8">
        <f>IF(B106=C106,"同日","不同日，需注明时点差")</f>
        <v/>
      </c>
    </row>
    <row r="107">
      <c r="A107" s="8" t="n">
        <v>103</v>
      </c>
      <c r="B107" s="8">
        <f>'02 原始数据'!B107</f>
        <v/>
      </c>
      <c r="C107" s="8">
        <f>'02 原始数据'!C107</f>
        <v/>
      </c>
      <c r="D107" s="8">
        <f>IF(OR(E107="",F107=""),"缺失-剔除","配对成功")</f>
        <v/>
      </c>
      <c r="E107" s="8">
        <f>'02 原始数据'!D107</f>
        <v/>
      </c>
      <c r="F107" s="8">
        <f>'02 原始数据'!G107</f>
        <v/>
      </c>
      <c r="G107" s="8">
        <f>IF(D107="配对成功","水平可用","")</f>
        <v/>
      </c>
      <c r="H107" s="8">
        <f>IF(AND(D107="配对成功",A107&gt;1,E106&lt;&gt;""),"变化可用","")</f>
        <v/>
      </c>
      <c r="I107" s="8">
        <f>IF(B107=C107,"同日","不同日，需注明时点差")</f>
        <v/>
      </c>
    </row>
    <row r="108">
      <c r="A108" s="8" t="n">
        <v>104</v>
      </c>
      <c r="B108" s="8">
        <f>'02 原始数据'!B108</f>
        <v/>
      </c>
      <c r="C108" s="8">
        <f>'02 原始数据'!C108</f>
        <v/>
      </c>
      <c r="D108" s="8">
        <f>IF(OR(E108="",F108=""),"缺失-剔除","配对成功")</f>
        <v/>
      </c>
      <c r="E108" s="8">
        <f>'02 原始数据'!D108</f>
        <v/>
      </c>
      <c r="F108" s="8">
        <f>'02 原始数据'!G108</f>
        <v/>
      </c>
      <c r="G108" s="8">
        <f>IF(D108="配对成功","水平可用","")</f>
        <v/>
      </c>
      <c r="H108" s="8">
        <f>IF(AND(D108="配对成功",A108&gt;1,E107&lt;&gt;""),"变化可用","")</f>
        <v/>
      </c>
      <c r="I108" s="8">
        <f>IF(B108=C108,"同日","不同日，需注明时点差")</f>
        <v/>
      </c>
    </row>
    <row r="109">
      <c r="A109" s="8" t="n">
        <v>105</v>
      </c>
      <c r="B109" s="8">
        <f>'02 原始数据'!B109</f>
        <v/>
      </c>
      <c r="C109" s="8">
        <f>'02 原始数据'!C109</f>
        <v/>
      </c>
      <c r="D109" s="8">
        <f>IF(OR(E109="",F109=""),"缺失-剔除","配对成功")</f>
        <v/>
      </c>
      <c r="E109" s="8">
        <f>'02 原始数据'!D109</f>
        <v/>
      </c>
      <c r="F109" s="8">
        <f>'02 原始数据'!G109</f>
        <v/>
      </c>
      <c r="G109" s="8">
        <f>IF(D109="配对成功","水平可用","")</f>
        <v/>
      </c>
      <c r="H109" s="8">
        <f>IF(AND(D109="配对成功",A109&gt;1,E108&lt;&gt;""),"变化可用","")</f>
        <v/>
      </c>
      <c r="I109" s="8">
        <f>IF(B109=C109,"同日","不同日，需注明时点差")</f>
        <v/>
      </c>
    </row>
    <row r="110">
      <c r="A110" s="8" t="n">
        <v>106</v>
      </c>
      <c r="B110" s="8">
        <f>'02 原始数据'!B110</f>
        <v/>
      </c>
      <c r="C110" s="8">
        <f>'02 原始数据'!C110</f>
        <v/>
      </c>
      <c r="D110" s="8">
        <f>IF(OR(E110="",F110=""),"缺失-剔除","配对成功")</f>
        <v/>
      </c>
      <c r="E110" s="8">
        <f>'02 原始数据'!D110</f>
        <v/>
      </c>
      <c r="F110" s="8">
        <f>'02 原始数据'!G110</f>
        <v/>
      </c>
      <c r="G110" s="8">
        <f>IF(D110="配对成功","水平可用","")</f>
        <v/>
      </c>
      <c r="H110" s="8">
        <f>IF(AND(D110="配对成功",A110&gt;1,E109&lt;&gt;""),"变化可用","")</f>
        <v/>
      </c>
      <c r="I110" s="8">
        <f>IF(B110=C110,"同日","不同日，需注明时点差")</f>
        <v/>
      </c>
    </row>
    <row r="111">
      <c r="A111" s="8" t="n">
        <v>107</v>
      </c>
      <c r="B111" s="8">
        <f>'02 原始数据'!B111</f>
        <v/>
      </c>
      <c r="C111" s="8">
        <f>'02 原始数据'!C111</f>
        <v/>
      </c>
      <c r="D111" s="8">
        <f>IF(OR(E111="",F111=""),"缺失-剔除","配对成功")</f>
        <v/>
      </c>
      <c r="E111" s="8">
        <f>'02 原始数据'!D111</f>
        <v/>
      </c>
      <c r="F111" s="8">
        <f>'02 原始数据'!G111</f>
        <v/>
      </c>
      <c r="G111" s="8">
        <f>IF(D111="配对成功","水平可用","")</f>
        <v/>
      </c>
      <c r="H111" s="8">
        <f>IF(AND(D111="配对成功",A111&gt;1,E110&lt;&gt;""),"变化可用","")</f>
        <v/>
      </c>
      <c r="I111" s="8">
        <f>IF(B111=C111,"同日","不同日，需注明时点差")</f>
        <v/>
      </c>
    </row>
    <row r="112">
      <c r="A112" s="8" t="n">
        <v>108</v>
      </c>
      <c r="B112" s="8">
        <f>'02 原始数据'!B112</f>
        <v/>
      </c>
      <c r="C112" s="8">
        <f>'02 原始数据'!C112</f>
        <v/>
      </c>
      <c r="D112" s="8">
        <f>IF(OR(E112="",F112=""),"缺失-剔除","配对成功")</f>
        <v/>
      </c>
      <c r="E112" s="8">
        <f>'02 原始数据'!D112</f>
        <v/>
      </c>
      <c r="F112" s="8">
        <f>'02 原始数据'!G112</f>
        <v/>
      </c>
      <c r="G112" s="8">
        <f>IF(D112="配对成功","水平可用","")</f>
        <v/>
      </c>
      <c r="H112" s="8">
        <f>IF(AND(D112="配对成功",A112&gt;1,E111&lt;&gt;""),"变化可用","")</f>
        <v/>
      </c>
      <c r="I112" s="8">
        <f>IF(B112=C112,"同日","不同日，需注明时点差")</f>
        <v/>
      </c>
    </row>
    <row r="113">
      <c r="A113" s="8" t="n">
        <v>109</v>
      </c>
      <c r="B113" s="8">
        <f>'02 原始数据'!B113</f>
        <v/>
      </c>
      <c r="C113" s="8">
        <f>'02 原始数据'!C113</f>
        <v/>
      </c>
      <c r="D113" s="8">
        <f>IF(OR(E113="",F113=""),"缺失-剔除","配对成功")</f>
        <v/>
      </c>
      <c r="E113" s="8">
        <f>'02 原始数据'!D113</f>
        <v/>
      </c>
      <c r="F113" s="8">
        <f>'02 原始数据'!G113</f>
        <v/>
      </c>
      <c r="G113" s="8">
        <f>IF(D113="配对成功","水平可用","")</f>
        <v/>
      </c>
      <c r="H113" s="8">
        <f>IF(AND(D113="配对成功",A113&gt;1,E112&lt;&gt;""),"变化可用","")</f>
        <v/>
      </c>
      <c r="I113" s="8">
        <f>IF(B113=C113,"同日","不同日，需注明时点差")</f>
        <v/>
      </c>
    </row>
    <row r="114">
      <c r="A114" s="8" t="n">
        <v>110</v>
      </c>
      <c r="B114" s="8">
        <f>'02 原始数据'!B114</f>
        <v/>
      </c>
      <c r="C114" s="8">
        <f>'02 原始数据'!C114</f>
        <v/>
      </c>
      <c r="D114" s="8">
        <f>IF(OR(E114="",F114=""),"缺失-剔除","配对成功")</f>
        <v/>
      </c>
      <c r="E114" s="8">
        <f>'02 原始数据'!D114</f>
        <v/>
      </c>
      <c r="F114" s="8">
        <f>'02 原始数据'!G114</f>
        <v/>
      </c>
      <c r="G114" s="8">
        <f>IF(D114="配对成功","水平可用","")</f>
        <v/>
      </c>
      <c r="H114" s="8">
        <f>IF(AND(D114="配对成功",A114&gt;1,E113&lt;&gt;""),"变化可用","")</f>
        <v/>
      </c>
      <c r="I114" s="8">
        <f>IF(B114=C114,"同日","不同日，需注明时点差")</f>
        <v/>
      </c>
    </row>
    <row r="115">
      <c r="A115" s="8" t="n">
        <v>111</v>
      </c>
      <c r="B115" s="8">
        <f>'02 原始数据'!B115</f>
        <v/>
      </c>
      <c r="C115" s="8">
        <f>'02 原始数据'!C115</f>
        <v/>
      </c>
      <c r="D115" s="8">
        <f>IF(OR(E115="",F115=""),"缺失-剔除","配对成功")</f>
        <v/>
      </c>
      <c r="E115" s="8">
        <f>'02 原始数据'!D115</f>
        <v/>
      </c>
      <c r="F115" s="8">
        <f>'02 原始数据'!G115</f>
        <v/>
      </c>
      <c r="G115" s="8">
        <f>IF(D115="配对成功","水平可用","")</f>
        <v/>
      </c>
      <c r="H115" s="8">
        <f>IF(AND(D115="配对成功",A115&gt;1,E114&lt;&gt;""),"变化可用","")</f>
        <v/>
      </c>
      <c r="I115" s="8">
        <f>IF(B115=C115,"同日","不同日，需注明时点差")</f>
        <v/>
      </c>
    </row>
    <row r="116">
      <c r="A116" s="8" t="n">
        <v>112</v>
      </c>
      <c r="B116" s="8">
        <f>'02 原始数据'!B116</f>
        <v/>
      </c>
      <c r="C116" s="8">
        <f>'02 原始数据'!C116</f>
        <v/>
      </c>
      <c r="D116" s="8">
        <f>IF(OR(E116="",F116=""),"缺失-剔除","配对成功")</f>
        <v/>
      </c>
      <c r="E116" s="8">
        <f>'02 原始数据'!D116</f>
        <v/>
      </c>
      <c r="F116" s="8">
        <f>'02 原始数据'!G116</f>
        <v/>
      </c>
      <c r="G116" s="8">
        <f>IF(D116="配对成功","水平可用","")</f>
        <v/>
      </c>
      <c r="H116" s="8">
        <f>IF(AND(D116="配对成功",A116&gt;1,E115&lt;&gt;""),"变化可用","")</f>
        <v/>
      </c>
      <c r="I116" s="8">
        <f>IF(B116=C116,"同日","不同日，需注明时点差")</f>
        <v/>
      </c>
    </row>
    <row r="117">
      <c r="A117" s="8" t="n">
        <v>113</v>
      </c>
      <c r="B117" s="8">
        <f>'02 原始数据'!B117</f>
        <v/>
      </c>
      <c r="C117" s="8">
        <f>'02 原始数据'!C117</f>
        <v/>
      </c>
      <c r="D117" s="8">
        <f>IF(OR(E117="",F117=""),"缺失-剔除","配对成功")</f>
        <v/>
      </c>
      <c r="E117" s="8">
        <f>'02 原始数据'!D117</f>
        <v/>
      </c>
      <c r="F117" s="8">
        <f>'02 原始数据'!G117</f>
        <v/>
      </c>
      <c r="G117" s="8">
        <f>IF(D117="配对成功","水平可用","")</f>
        <v/>
      </c>
      <c r="H117" s="8">
        <f>IF(AND(D117="配对成功",A117&gt;1,E116&lt;&gt;""),"变化可用","")</f>
        <v/>
      </c>
      <c r="I117" s="8">
        <f>IF(B117=C117,"同日","不同日，需注明时点差")</f>
        <v/>
      </c>
    </row>
    <row r="118">
      <c r="A118" s="8" t="n">
        <v>114</v>
      </c>
      <c r="B118" s="8">
        <f>'02 原始数据'!B118</f>
        <v/>
      </c>
      <c r="C118" s="8">
        <f>'02 原始数据'!C118</f>
        <v/>
      </c>
      <c r="D118" s="8">
        <f>IF(OR(E118="",F118=""),"缺失-剔除","配对成功")</f>
        <v/>
      </c>
      <c r="E118" s="8">
        <f>'02 原始数据'!D118</f>
        <v/>
      </c>
      <c r="F118" s="8">
        <f>'02 原始数据'!G118</f>
        <v/>
      </c>
      <c r="G118" s="8">
        <f>IF(D118="配对成功","水平可用","")</f>
        <v/>
      </c>
      <c r="H118" s="8">
        <f>IF(AND(D118="配对成功",A118&gt;1,E117&lt;&gt;""),"变化可用","")</f>
        <v/>
      </c>
      <c r="I118" s="8">
        <f>IF(B118=C118,"同日","不同日，需注明时点差")</f>
        <v/>
      </c>
    </row>
    <row r="119">
      <c r="A119" s="8" t="n">
        <v>115</v>
      </c>
      <c r="B119" s="8">
        <f>'02 原始数据'!B119</f>
        <v/>
      </c>
      <c r="C119" s="8">
        <f>'02 原始数据'!C119</f>
        <v/>
      </c>
      <c r="D119" s="8">
        <f>IF(OR(E119="",F119=""),"缺失-剔除","配对成功")</f>
        <v/>
      </c>
      <c r="E119" s="8">
        <f>'02 原始数据'!D119</f>
        <v/>
      </c>
      <c r="F119" s="8">
        <f>'02 原始数据'!G119</f>
        <v/>
      </c>
      <c r="G119" s="8">
        <f>IF(D119="配对成功","水平可用","")</f>
        <v/>
      </c>
      <c r="H119" s="8">
        <f>IF(AND(D119="配对成功",A119&gt;1,E118&lt;&gt;""),"变化可用","")</f>
        <v/>
      </c>
      <c r="I119" s="8">
        <f>IF(B119=C119,"同日","不同日，需注明时点差")</f>
        <v/>
      </c>
    </row>
    <row r="120">
      <c r="A120" s="8" t="n">
        <v>116</v>
      </c>
      <c r="B120" s="8">
        <f>'02 原始数据'!B120</f>
        <v/>
      </c>
      <c r="C120" s="8">
        <f>'02 原始数据'!C120</f>
        <v/>
      </c>
      <c r="D120" s="8">
        <f>IF(OR(E120="",F120=""),"缺失-剔除","配对成功")</f>
        <v/>
      </c>
      <c r="E120" s="8">
        <f>'02 原始数据'!D120</f>
        <v/>
      </c>
      <c r="F120" s="8">
        <f>'02 原始数据'!G120</f>
        <v/>
      </c>
      <c r="G120" s="8">
        <f>IF(D120="配对成功","水平可用","")</f>
        <v/>
      </c>
      <c r="H120" s="8">
        <f>IF(AND(D120="配对成功",A120&gt;1,E119&lt;&gt;""),"变化可用","")</f>
        <v/>
      </c>
      <c r="I120" s="8">
        <f>IF(B120=C120,"同日","不同日，需注明时点差")</f>
        <v/>
      </c>
    </row>
    <row r="121">
      <c r="A121" s="8" t="n">
        <v>117</v>
      </c>
      <c r="B121" s="8">
        <f>'02 原始数据'!B121</f>
        <v/>
      </c>
      <c r="C121" s="8">
        <f>'02 原始数据'!C121</f>
        <v/>
      </c>
      <c r="D121" s="8">
        <f>IF(OR(E121="",F121=""),"缺失-剔除","配对成功")</f>
        <v/>
      </c>
      <c r="E121" s="8">
        <f>'02 原始数据'!D121</f>
        <v/>
      </c>
      <c r="F121" s="8">
        <f>'02 原始数据'!G121</f>
        <v/>
      </c>
      <c r="G121" s="8">
        <f>IF(D121="配对成功","水平可用","")</f>
        <v/>
      </c>
      <c r="H121" s="8">
        <f>IF(AND(D121="配对成功",A121&gt;1,E120&lt;&gt;""),"变化可用","")</f>
        <v/>
      </c>
      <c r="I121" s="8">
        <f>IF(B121=C121,"同日","不同日，需注明时点差")</f>
        <v/>
      </c>
    </row>
    <row r="122">
      <c r="A122" s="8" t="n">
        <v>118</v>
      </c>
      <c r="B122" s="8">
        <f>'02 原始数据'!B122</f>
        <v/>
      </c>
      <c r="C122" s="8">
        <f>'02 原始数据'!C122</f>
        <v/>
      </c>
      <c r="D122" s="8">
        <f>IF(OR(E122="",F122=""),"缺失-剔除","配对成功")</f>
        <v/>
      </c>
      <c r="E122" s="8">
        <f>'02 原始数据'!D122</f>
        <v/>
      </c>
      <c r="F122" s="8">
        <f>'02 原始数据'!G122</f>
        <v/>
      </c>
      <c r="G122" s="8">
        <f>IF(D122="配对成功","水平可用","")</f>
        <v/>
      </c>
      <c r="H122" s="8">
        <f>IF(AND(D122="配对成功",A122&gt;1,E121&lt;&gt;""),"变化可用","")</f>
        <v/>
      </c>
      <c r="I122" s="8">
        <f>IF(B122=C122,"同日","不同日，需注明时点差")</f>
        <v/>
      </c>
    </row>
    <row r="123">
      <c r="A123" s="8" t="n">
        <v>119</v>
      </c>
      <c r="B123" s="8">
        <f>'02 原始数据'!B123</f>
        <v/>
      </c>
      <c r="C123" s="8">
        <f>'02 原始数据'!C123</f>
        <v/>
      </c>
      <c r="D123" s="8">
        <f>IF(OR(E123="",F123=""),"缺失-剔除","配对成功")</f>
        <v/>
      </c>
      <c r="E123" s="8">
        <f>'02 原始数据'!D123</f>
        <v/>
      </c>
      <c r="F123" s="8">
        <f>'02 原始数据'!G123</f>
        <v/>
      </c>
      <c r="G123" s="8">
        <f>IF(D123="配对成功","水平可用","")</f>
        <v/>
      </c>
      <c r="H123" s="8">
        <f>IF(AND(D123="配对成功",A123&gt;1,E122&lt;&gt;""),"变化可用","")</f>
        <v/>
      </c>
      <c r="I123" s="8">
        <f>IF(B123=C123,"同日","不同日，需注明时点差")</f>
        <v/>
      </c>
    </row>
    <row r="124">
      <c r="A124" s="8" t="n">
        <v>120</v>
      </c>
      <c r="B124" s="8">
        <f>'02 原始数据'!B124</f>
        <v/>
      </c>
      <c r="C124" s="8">
        <f>'02 原始数据'!C124</f>
        <v/>
      </c>
      <c r="D124" s="8">
        <f>IF(OR(E124="",F124=""),"缺失-剔除","配对成功")</f>
        <v/>
      </c>
      <c r="E124" s="8">
        <f>'02 原始数据'!D124</f>
        <v/>
      </c>
      <c r="F124" s="8">
        <f>'02 原始数据'!G124</f>
        <v/>
      </c>
      <c r="G124" s="8">
        <f>IF(D124="配对成功","水平可用","")</f>
        <v/>
      </c>
      <c r="H124" s="8">
        <f>IF(AND(D124="配对成功",A124&gt;1,E123&lt;&gt;""),"变化可用","")</f>
        <v/>
      </c>
      <c r="I124" s="8">
        <f>IF(B124=C124,"同日","不同日，需注明时点差")</f>
        <v/>
      </c>
    </row>
    <row r="125">
      <c r="A125" s="8" t="n">
        <v>121</v>
      </c>
      <c r="B125" s="8">
        <f>'02 原始数据'!B125</f>
        <v/>
      </c>
      <c r="C125" s="8">
        <f>'02 原始数据'!C125</f>
        <v/>
      </c>
      <c r="D125" s="8">
        <f>IF(OR(E125="",F125=""),"缺失-剔除","配对成功")</f>
        <v/>
      </c>
      <c r="E125" s="8">
        <f>'02 原始数据'!D125</f>
        <v/>
      </c>
      <c r="F125" s="8">
        <f>'02 原始数据'!G125</f>
        <v/>
      </c>
      <c r="G125" s="8">
        <f>IF(D125="配对成功","水平可用","")</f>
        <v/>
      </c>
      <c r="H125" s="8">
        <f>IF(AND(D125="配对成功",A125&gt;1,E124&lt;&gt;""),"变化可用","")</f>
        <v/>
      </c>
      <c r="I125" s="8">
        <f>IF(B125=C125,"同日","不同日，需注明时点差")</f>
        <v/>
      </c>
    </row>
    <row r="126">
      <c r="A126" s="8" t="n">
        <v>122</v>
      </c>
      <c r="B126" s="8">
        <f>'02 原始数据'!B126</f>
        <v/>
      </c>
      <c r="C126" s="8">
        <f>'02 原始数据'!C126</f>
        <v/>
      </c>
      <c r="D126" s="8">
        <f>IF(OR(E126="",F126=""),"缺失-剔除","配对成功")</f>
        <v/>
      </c>
      <c r="E126" s="8">
        <f>'02 原始数据'!D126</f>
        <v/>
      </c>
      <c r="F126" s="8">
        <f>'02 原始数据'!G126</f>
        <v/>
      </c>
      <c r="G126" s="8">
        <f>IF(D126="配对成功","水平可用","")</f>
        <v/>
      </c>
      <c r="H126" s="8">
        <f>IF(AND(D126="配对成功",A126&gt;1,E125&lt;&gt;""),"变化可用","")</f>
        <v/>
      </c>
      <c r="I126" s="8">
        <f>IF(B126=C126,"同日","不同日，需注明时点差")</f>
        <v/>
      </c>
    </row>
    <row r="127">
      <c r="A127" s="8" t="n">
        <v>123</v>
      </c>
      <c r="B127" s="8">
        <f>'02 原始数据'!B127</f>
        <v/>
      </c>
      <c r="C127" s="8">
        <f>'02 原始数据'!C127</f>
        <v/>
      </c>
      <c r="D127" s="8">
        <f>IF(OR(E127="",F127=""),"缺失-剔除","配对成功")</f>
        <v/>
      </c>
      <c r="E127" s="8">
        <f>'02 原始数据'!D127</f>
        <v/>
      </c>
      <c r="F127" s="8">
        <f>'02 原始数据'!G127</f>
        <v/>
      </c>
      <c r="G127" s="8">
        <f>IF(D127="配对成功","水平可用","")</f>
        <v/>
      </c>
      <c r="H127" s="8">
        <f>IF(AND(D127="配对成功",A127&gt;1,E126&lt;&gt;""),"变化可用","")</f>
        <v/>
      </c>
      <c r="I127" s="8">
        <f>IF(B127=C127,"同日","不同日，需注明时点差")</f>
        <v/>
      </c>
    </row>
    <row r="128">
      <c r="A128" s="8" t="n">
        <v>124</v>
      </c>
      <c r="B128" s="8">
        <f>'02 原始数据'!B128</f>
        <v/>
      </c>
      <c r="C128" s="8">
        <f>'02 原始数据'!C128</f>
        <v/>
      </c>
      <c r="D128" s="8">
        <f>IF(OR(E128="",F128=""),"缺失-剔除","配对成功")</f>
        <v/>
      </c>
      <c r="E128" s="8">
        <f>'02 原始数据'!D128</f>
        <v/>
      </c>
      <c r="F128" s="8">
        <f>'02 原始数据'!G128</f>
        <v/>
      </c>
      <c r="G128" s="8">
        <f>IF(D128="配对成功","水平可用","")</f>
        <v/>
      </c>
      <c r="H128" s="8">
        <f>IF(AND(D128="配对成功",A128&gt;1,E127&lt;&gt;""),"变化可用","")</f>
        <v/>
      </c>
      <c r="I128" s="8">
        <f>IF(B128=C128,"同日","不同日，需注明时点差")</f>
        <v/>
      </c>
    </row>
    <row r="129">
      <c r="A129" s="8" t="n">
        <v>125</v>
      </c>
      <c r="B129" s="8">
        <f>'02 原始数据'!B129</f>
        <v/>
      </c>
      <c r="C129" s="8">
        <f>'02 原始数据'!C129</f>
        <v/>
      </c>
      <c r="D129" s="8">
        <f>IF(OR(E129="",F129=""),"缺失-剔除","配对成功")</f>
        <v/>
      </c>
      <c r="E129" s="8">
        <f>'02 原始数据'!D129</f>
        <v/>
      </c>
      <c r="F129" s="8">
        <f>'02 原始数据'!G129</f>
        <v/>
      </c>
      <c r="G129" s="8">
        <f>IF(D129="配对成功","水平可用","")</f>
        <v/>
      </c>
      <c r="H129" s="8">
        <f>IF(AND(D129="配对成功",A129&gt;1,E128&lt;&gt;""),"变化可用","")</f>
        <v/>
      </c>
      <c r="I129" s="8">
        <f>IF(B129=C129,"同日","不同日，需注明时点差")</f>
        <v/>
      </c>
    </row>
    <row r="130">
      <c r="A130" s="8" t="n">
        <v>126</v>
      </c>
      <c r="B130" s="8">
        <f>'02 原始数据'!B130</f>
        <v/>
      </c>
      <c r="C130" s="8">
        <f>'02 原始数据'!C130</f>
        <v/>
      </c>
      <c r="D130" s="8">
        <f>IF(OR(E130="",F130=""),"缺失-剔除","配对成功")</f>
        <v/>
      </c>
      <c r="E130" s="8">
        <f>'02 原始数据'!D130</f>
        <v/>
      </c>
      <c r="F130" s="8">
        <f>'02 原始数据'!G130</f>
        <v/>
      </c>
      <c r="G130" s="8">
        <f>IF(D130="配对成功","水平可用","")</f>
        <v/>
      </c>
      <c r="H130" s="8">
        <f>IF(AND(D130="配对成功",A130&gt;1,E129&lt;&gt;""),"变化可用","")</f>
        <v/>
      </c>
      <c r="I130" s="8">
        <f>IF(B130=C130,"同日","不同日，需注明时点差")</f>
        <v/>
      </c>
    </row>
    <row r="131">
      <c r="A131" s="8" t="n">
        <v>127</v>
      </c>
      <c r="B131" s="8">
        <f>'02 原始数据'!B131</f>
        <v/>
      </c>
      <c r="C131" s="8">
        <f>'02 原始数据'!C131</f>
        <v/>
      </c>
      <c r="D131" s="8">
        <f>IF(OR(E131="",F131=""),"缺失-剔除","配对成功")</f>
        <v/>
      </c>
      <c r="E131" s="8">
        <f>'02 原始数据'!D131</f>
        <v/>
      </c>
      <c r="F131" s="8">
        <f>'02 原始数据'!G131</f>
        <v/>
      </c>
      <c r="G131" s="8">
        <f>IF(D131="配对成功","水平可用","")</f>
        <v/>
      </c>
      <c r="H131" s="8">
        <f>IF(AND(D131="配对成功",A131&gt;1,E130&lt;&gt;""),"变化可用","")</f>
        <v/>
      </c>
      <c r="I131" s="8">
        <f>IF(B131=C131,"同日","不同日，需注明时点差")</f>
        <v/>
      </c>
    </row>
    <row r="132">
      <c r="A132" s="8" t="n">
        <v>128</v>
      </c>
      <c r="B132" s="8">
        <f>'02 原始数据'!B132</f>
        <v/>
      </c>
      <c r="C132" s="8">
        <f>'02 原始数据'!C132</f>
        <v/>
      </c>
      <c r="D132" s="8">
        <f>IF(OR(E132="",F132=""),"缺失-剔除","配对成功")</f>
        <v/>
      </c>
      <c r="E132" s="8">
        <f>'02 原始数据'!D132</f>
        <v/>
      </c>
      <c r="F132" s="8">
        <f>'02 原始数据'!G132</f>
        <v/>
      </c>
      <c r="G132" s="8">
        <f>IF(D132="配对成功","水平可用","")</f>
        <v/>
      </c>
      <c r="H132" s="8">
        <f>IF(AND(D132="配对成功",A132&gt;1,E131&lt;&gt;""),"变化可用","")</f>
        <v/>
      </c>
      <c r="I132" s="8">
        <f>IF(B132=C132,"同日","不同日，需注明时点差")</f>
        <v/>
      </c>
    </row>
    <row r="133">
      <c r="A133" s="8" t="n">
        <v>129</v>
      </c>
      <c r="B133" s="8">
        <f>'02 原始数据'!B133</f>
        <v/>
      </c>
      <c r="C133" s="8">
        <f>'02 原始数据'!C133</f>
        <v/>
      </c>
      <c r="D133" s="8">
        <f>IF(OR(E133="",F133=""),"缺失-剔除","配对成功")</f>
        <v/>
      </c>
      <c r="E133" s="8">
        <f>'02 原始数据'!D133</f>
        <v/>
      </c>
      <c r="F133" s="8">
        <f>'02 原始数据'!G133</f>
        <v/>
      </c>
      <c r="G133" s="8">
        <f>IF(D133="配对成功","水平可用","")</f>
        <v/>
      </c>
      <c r="H133" s="8">
        <f>IF(AND(D133="配对成功",A133&gt;1,E132&lt;&gt;""),"变化可用","")</f>
        <v/>
      </c>
      <c r="I133" s="8">
        <f>IF(B133=C133,"同日","不同日，需注明时点差")</f>
        <v/>
      </c>
    </row>
    <row r="134">
      <c r="A134" s="8" t="n">
        <v>130</v>
      </c>
      <c r="B134" s="8">
        <f>'02 原始数据'!B134</f>
        <v/>
      </c>
      <c r="C134" s="8">
        <f>'02 原始数据'!C134</f>
        <v/>
      </c>
      <c r="D134" s="8">
        <f>IF(OR(E134="",F134=""),"缺失-剔除","配对成功")</f>
        <v/>
      </c>
      <c r="E134" s="8">
        <f>'02 原始数据'!D134</f>
        <v/>
      </c>
      <c r="F134" s="8">
        <f>'02 原始数据'!G134</f>
        <v/>
      </c>
      <c r="G134" s="8">
        <f>IF(D134="配对成功","水平可用","")</f>
        <v/>
      </c>
      <c r="H134" s="8">
        <f>IF(AND(D134="配对成功",A134&gt;1,E133&lt;&gt;""),"变化可用","")</f>
        <v/>
      </c>
      <c r="I134" s="8">
        <f>IF(B134=C134,"同日","不同日，需注明时点差")</f>
        <v/>
      </c>
    </row>
    <row r="135">
      <c r="A135" s="8" t="n">
        <v>131</v>
      </c>
      <c r="B135" s="8">
        <f>'02 原始数据'!B135</f>
        <v/>
      </c>
      <c r="C135" s="8">
        <f>'02 原始数据'!C135</f>
        <v/>
      </c>
      <c r="D135" s="8">
        <f>IF(OR(E135="",F135=""),"缺失-剔除","配对成功")</f>
        <v/>
      </c>
      <c r="E135" s="8">
        <f>'02 原始数据'!D135</f>
        <v/>
      </c>
      <c r="F135" s="8">
        <f>'02 原始数据'!G135</f>
        <v/>
      </c>
      <c r="G135" s="8">
        <f>IF(D135="配对成功","水平可用","")</f>
        <v/>
      </c>
      <c r="H135" s="8">
        <f>IF(AND(D135="配对成功",A135&gt;1,E134&lt;&gt;""),"变化可用","")</f>
        <v/>
      </c>
      <c r="I135" s="8">
        <f>IF(B135=C135,"同日","不同日，需注明时点差")</f>
        <v/>
      </c>
    </row>
    <row r="136">
      <c r="A136" s="8" t="n">
        <v>132</v>
      </c>
      <c r="B136" s="8">
        <f>'02 原始数据'!B136</f>
        <v/>
      </c>
      <c r="C136" s="8">
        <f>'02 原始数据'!C136</f>
        <v/>
      </c>
      <c r="D136" s="8">
        <f>IF(OR(E136="",F136=""),"缺失-剔除","配对成功")</f>
        <v/>
      </c>
      <c r="E136" s="8">
        <f>'02 原始数据'!D136</f>
        <v/>
      </c>
      <c r="F136" s="8">
        <f>'02 原始数据'!G136</f>
        <v/>
      </c>
      <c r="G136" s="8">
        <f>IF(D136="配对成功","水平可用","")</f>
        <v/>
      </c>
      <c r="H136" s="8">
        <f>IF(AND(D136="配对成功",A136&gt;1,E135&lt;&gt;""),"变化可用","")</f>
        <v/>
      </c>
      <c r="I136" s="8">
        <f>IF(B136=C136,"同日","不同日，需注明时点差")</f>
        <v/>
      </c>
    </row>
    <row r="137">
      <c r="A137" s="8" t="n">
        <v>133</v>
      </c>
      <c r="B137" s="8">
        <f>'02 原始数据'!B137</f>
        <v/>
      </c>
      <c r="C137" s="8">
        <f>'02 原始数据'!C137</f>
        <v/>
      </c>
      <c r="D137" s="8">
        <f>IF(OR(E137="",F137=""),"缺失-剔除","配对成功")</f>
        <v/>
      </c>
      <c r="E137" s="8">
        <f>'02 原始数据'!D137</f>
        <v/>
      </c>
      <c r="F137" s="8">
        <f>'02 原始数据'!G137</f>
        <v/>
      </c>
      <c r="G137" s="8">
        <f>IF(D137="配对成功","水平可用","")</f>
        <v/>
      </c>
      <c r="H137" s="8">
        <f>IF(AND(D137="配对成功",A137&gt;1,E136&lt;&gt;""),"变化可用","")</f>
        <v/>
      </c>
      <c r="I137" s="8">
        <f>IF(B137=C137,"同日","不同日，需注明时点差")</f>
        <v/>
      </c>
    </row>
    <row r="138">
      <c r="A138" s="8" t="n">
        <v>134</v>
      </c>
      <c r="B138" s="8">
        <f>'02 原始数据'!B138</f>
        <v/>
      </c>
      <c r="C138" s="8">
        <f>'02 原始数据'!C138</f>
        <v/>
      </c>
      <c r="D138" s="8">
        <f>IF(OR(E138="",F138=""),"缺失-剔除","配对成功")</f>
        <v/>
      </c>
      <c r="E138" s="8">
        <f>'02 原始数据'!D138</f>
        <v/>
      </c>
      <c r="F138" s="8">
        <f>'02 原始数据'!G138</f>
        <v/>
      </c>
      <c r="G138" s="8">
        <f>IF(D138="配对成功","水平可用","")</f>
        <v/>
      </c>
      <c r="H138" s="8">
        <f>IF(AND(D138="配对成功",A138&gt;1,E137&lt;&gt;""),"变化可用","")</f>
        <v/>
      </c>
      <c r="I138" s="8">
        <f>IF(B138=C138,"同日","不同日，需注明时点差")</f>
        <v/>
      </c>
    </row>
    <row r="139">
      <c r="A139" s="8" t="n">
        <v>135</v>
      </c>
      <c r="B139" s="8">
        <f>'02 原始数据'!B139</f>
        <v/>
      </c>
      <c r="C139" s="8">
        <f>'02 原始数据'!C139</f>
        <v/>
      </c>
      <c r="D139" s="8">
        <f>IF(OR(E139="",F139=""),"缺失-剔除","配对成功")</f>
        <v/>
      </c>
      <c r="E139" s="8">
        <f>'02 原始数据'!D139</f>
        <v/>
      </c>
      <c r="F139" s="8">
        <f>'02 原始数据'!G139</f>
        <v/>
      </c>
      <c r="G139" s="8">
        <f>IF(D139="配对成功","水平可用","")</f>
        <v/>
      </c>
      <c r="H139" s="8">
        <f>IF(AND(D139="配对成功",A139&gt;1,E138&lt;&gt;""),"变化可用","")</f>
        <v/>
      </c>
      <c r="I139" s="8">
        <f>IF(B139=C139,"同日","不同日，需注明时点差")</f>
        <v/>
      </c>
    </row>
    <row r="140">
      <c r="A140" s="8" t="n">
        <v>136</v>
      </c>
      <c r="B140" s="8">
        <f>'02 原始数据'!B140</f>
        <v/>
      </c>
      <c r="C140" s="8">
        <f>'02 原始数据'!C140</f>
        <v/>
      </c>
      <c r="D140" s="8">
        <f>IF(OR(E140="",F140=""),"缺失-剔除","配对成功")</f>
        <v/>
      </c>
      <c r="E140" s="8">
        <f>'02 原始数据'!D140</f>
        <v/>
      </c>
      <c r="F140" s="8">
        <f>'02 原始数据'!G140</f>
        <v/>
      </c>
      <c r="G140" s="8">
        <f>IF(D140="配对成功","水平可用","")</f>
        <v/>
      </c>
      <c r="H140" s="8">
        <f>IF(AND(D140="配对成功",A140&gt;1,E139&lt;&gt;""),"变化可用","")</f>
        <v/>
      </c>
      <c r="I140" s="8">
        <f>IF(B140=C140,"同日","不同日，需注明时点差")</f>
        <v/>
      </c>
    </row>
    <row r="141">
      <c r="A141" s="8" t="n">
        <v>137</v>
      </c>
      <c r="B141" s="8">
        <f>'02 原始数据'!B141</f>
        <v/>
      </c>
      <c r="C141" s="8">
        <f>'02 原始数据'!C141</f>
        <v/>
      </c>
      <c r="D141" s="8">
        <f>IF(OR(E141="",F141=""),"缺失-剔除","配对成功")</f>
        <v/>
      </c>
      <c r="E141" s="8">
        <f>'02 原始数据'!D141</f>
        <v/>
      </c>
      <c r="F141" s="8">
        <f>'02 原始数据'!G141</f>
        <v/>
      </c>
      <c r="G141" s="8">
        <f>IF(D141="配对成功","水平可用","")</f>
        <v/>
      </c>
      <c r="H141" s="8">
        <f>IF(AND(D141="配对成功",A141&gt;1,E140&lt;&gt;""),"变化可用","")</f>
        <v/>
      </c>
      <c r="I141" s="8">
        <f>IF(B141=C141,"同日","不同日，需注明时点差")</f>
        <v/>
      </c>
    </row>
    <row r="142">
      <c r="A142" s="8" t="n">
        <v>138</v>
      </c>
      <c r="B142" s="8">
        <f>'02 原始数据'!B142</f>
        <v/>
      </c>
      <c r="C142" s="8">
        <f>'02 原始数据'!C142</f>
        <v/>
      </c>
      <c r="D142" s="8">
        <f>IF(OR(E142="",F142=""),"缺失-剔除","配对成功")</f>
        <v/>
      </c>
      <c r="E142" s="8">
        <f>'02 原始数据'!D142</f>
        <v/>
      </c>
      <c r="F142" s="8">
        <f>'02 原始数据'!G142</f>
        <v/>
      </c>
      <c r="G142" s="8">
        <f>IF(D142="配对成功","水平可用","")</f>
        <v/>
      </c>
      <c r="H142" s="8">
        <f>IF(AND(D142="配对成功",A142&gt;1,E141&lt;&gt;""),"变化可用","")</f>
        <v/>
      </c>
      <c r="I142" s="8">
        <f>IF(B142=C142,"同日","不同日，需注明时点差")</f>
        <v/>
      </c>
    </row>
    <row r="143">
      <c r="A143" s="8" t="n">
        <v>139</v>
      </c>
      <c r="B143" s="8">
        <f>'02 原始数据'!B143</f>
        <v/>
      </c>
      <c r="C143" s="8">
        <f>'02 原始数据'!C143</f>
        <v/>
      </c>
      <c r="D143" s="8">
        <f>IF(OR(E143="",F143=""),"缺失-剔除","配对成功")</f>
        <v/>
      </c>
      <c r="E143" s="8">
        <f>'02 原始数据'!D143</f>
        <v/>
      </c>
      <c r="F143" s="8">
        <f>'02 原始数据'!G143</f>
        <v/>
      </c>
      <c r="G143" s="8">
        <f>IF(D143="配对成功","水平可用","")</f>
        <v/>
      </c>
      <c r="H143" s="8">
        <f>IF(AND(D143="配对成功",A143&gt;1,E142&lt;&gt;""),"变化可用","")</f>
        <v/>
      </c>
      <c r="I143" s="8">
        <f>IF(B143=C143,"同日","不同日，需注明时点差")</f>
        <v/>
      </c>
    </row>
    <row r="144">
      <c r="A144" s="8" t="n">
        <v>140</v>
      </c>
      <c r="B144" s="8">
        <f>'02 原始数据'!B144</f>
        <v/>
      </c>
      <c r="C144" s="8">
        <f>'02 原始数据'!C144</f>
        <v/>
      </c>
      <c r="D144" s="8">
        <f>IF(OR(E144="",F144=""),"缺失-剔除","配对成功")</f>
        <v/>
      </c>
      <c r="E144" s="8">
        <f>'02 原始数据'!D144</f>
        <v/>
      </c>
      <c r="F144" s="8">
        <f>'02 原始数据'!G144</f>
        <v/>
      </c>
      <c r="G144" s="8">
        <f>IF(D144="配对成功","水平可用","")</f>
        <v/>
      </c>
      <c r="H144" s="8">
        <f>IF(AND(D144="配对成功",A144&gt;1,E143&lt;&gt;""),"变化可用","")</f>
        <v/>
      </c>
      <c r="I144" s="8">
        <f>IF(B144=C144,"同日","不同日，需注明时点差")</f>
        <v/>
      </c>
    </row>
    <row r="145">
      <c r="A145" s="8" t="n">
        <v>141</v>
      </c>
      <c r="B145" s="8">
        <f>'02 原始数据'!B145</f>
        <v/>
      </c>
      <c r="C145" s="8">
        <f>'02 原始数据'!C145</f>
        <v/>
      </c>
      <c r="D145" s="8">
        <f>IF(OR(E145="",F145=""),"缺失-剔除","配对成功")</f>
        <v/>
      </c>
      <c r="E145" s="8">
        <f>'02 原始数据'!D145</f>
        <v/>
      </c>
      <c r="F145" s="8">
        <f>'02 原始数据'!G145</f>
        <v/>
      </c>
      <c r="G145" s="8">
        <f>IF(D145="配对成功","水平可用","")</f>
        <v/>
      </c>
      <c r="H145" s="8">
        <f>IF(AND(D145="配对成功",A145&gt;1,E144&lt;&gt;""),"变化可用","")</f>
        <v/>
      </c>
      <c r="I145" s="8">
        <f>IF(B145=C145,"同日","不同日，需注明时点差")</f>
        <v/>
      </c>
    </row>
    <row r="146">
      <c r="A146" s="8" t="n">
        <v>142</v>
      </c>
      <c r="B146" s="8">
        <f>'02 原始数据'!B146</f>
        <v/>
      </c>
      <c r="C146" s="8">
        <f>'02 原始数据'!C146</f>
        <v/>
      </c>
      <c r="D146" s="8">
        <f>IF(OR(E146="",F146=""),"缺失-剔除","配对成功")</f>
        <v/>
      </c>
      <c r="E146" s="8">
        <f>'02 原始数据'!D146</f>
        <v/>
      </c>
      <c r="F146" s="8">
        <f>'02 原始数据'!G146</f>
        <v/>
      </c>
      <c r="G146" s="8">
        <f>IF(D146="配对成功","水平可用","")</f>
        <v/>
      </c>
      <c r="H146" s="8">
        <f>IF(AND(D146="配对成功",A146&gt;1,E145&lt;&gt;""),"变化可用","")</f>
        <v/>
      </c>
      <c r="I146" s="8">
        <f>IF(B146=C146,"同日","不同日，需注明时点差")</f>
        <v/>
      </c>
    </row>
    <row r="147">
      <c r="A147" s="8" t="n">
        <v>143</v>
      </c>
      <c r="B147" s="8">
        <f>'02 原始数据'!B147</f>
        <v/>
      </c>
      <c r="C147" s="8">
        <f>'02 原始数据'!C147</f>
        <v/>
      </c>
      <c r="D147" s="8">
        <f>IF(OR(E147="",F147=""),"缺失-剔除","配对成功")</f>
        <v/>
      </c>
      <c r="E147" s="8">
        <f>'02 原始数据'!D147</f>
        <v/>
      </c>
      <c r="F147" s="8">
        <f>'02 原始数据'!G147</f>
        <v/>
      </c>
      <c r="G147" s="8">
        <f>IF(D147="配对成功","水平可用","")</f>
        <v/>
      </c>
      <c r="H147" s="8">
        <f>IF(AND(D147="配对成功",A147&gt;1,E146&lt;&gt;""),"变化可用","")</f>
        <v/>
      </c>
      <c r="I147" s="8">
        <f>IF(B147=C147,"同日","不同日，需注明时点差")</f>
        <v/>
      </c>
    </row>
    <row r="148">
      <c r="A148" s="8" t="n">
        <v>144</v>
      </c>
      <c r="B148" s="8">
        <f>'02 原始数据'!B148</f>
        <v/>
      </c>
      <c r="C148" s="8">
        <f>'02 原始数据'!C148</f>
        <v/>
      </c>
      <c r="D148" s="8">
        <f>IF(OR(E148="",F148=""),"缺失-剔除","配对成功")</f>
        <v/>
      </c>
      <c r="E148" s="8">
        <f>'02 原始数据'!D148</f>
        <v/>
      </c>
      <c r="F148" s="8">
        <f>'02 原始数据'!G148</f>
        <v/>
      </c>
      <c r="G148" s="8">
        <f>IF(D148="配对成功","水平可用","")</f>
        <v/>
      </c>
      <c r="H148" s="8">
        <f>IF(AND(D148="配对成功",A148&gt;1,E147&lt;&gt;""),"变化可用","")</f>
        <v/>
      </c>
      <c r="I148" s="8">
        <f>IF(B148=C148,"同日","不同日，需注明时点差")</f>
        <v/>
      </c>
    </row>
    <row r="149">
      <c r="A149" s="8" t="n">
        <v>145</v>
      </c>
      <c r="B149" s="8">
        <f>'02 原始数据'!B149</f>
        <v/>
      </c>
      <c r="C149" s="8">
        <f>'02 原始数据'!C149</f>
        <v/>
      </c>
      <c r="D149" s="8">
        <f>IF(OR(E149="",F149=""),"缺失-剔除","配对成功")</f>
        <v/>
      </c>
      <c r="E149" s="8">
        <f>'02 原始数据'!D149</f>
        <v/>
      </c>
      <c r="F149" s="8">
        <f>'02 原始数据'!G149</f>
        <v/>
      </c>
      <c r="G149" s="8">
        <f>IF(D149="配对成功","水平可用","")</f>
        <v/>
      </c>
      <c r="H149" s="8">
        <f>IF(AND(D149="配对成功",A149&gt;1,E148&lt;&gt;""),"变化可用","")</f>
        <v/>
      </c>
      <c r="I149" s="8">
        <f>IF(B149=C149,"同日","不同日，需注明时点差")</f>
        <v/>
      </c>
    </row>
    <row r="150">
      <c r="A150" s="8" t="n">
        <v>146</v>
      </c>
      <c r="B150" s="8">
        <f>'02 原始数据'!B150</f>
        <v/>
      </c>
      <c r="C150" s="8">
        <f>'02 原始数据'!C150</f>
        <v/>
      </c>
      <c r="D150" s="8">
        <f>IF(OR(E150="",F150=""),"缺失-剔除","配对成功")</f>
        <v/>
      </c>
      <c r="E150" s="8">
        <f>'02 原始数据'!D150</f>
        <v/>
      </c>
      <c r="F150" s="8">
        <f>'02 原始数据'!G150</f>
        <v/>
      </c>
      <c r="G150" s="8">
        <f>IF(D150="配对成功","水平可用","")</f>
        <v/>
      </c>
      <c r="H150" s="8">
        <f>IF(AND(D150="配对成功",A150&gt;1,E149&lt;&gt;""),"变化可用","")</f>
        <v/>
      </c>
      <c r="I150" s="8">
        <f>IF(B150=C150,"同日","不同日，需注明时点差")</f>
        <v/>
      </c>
    </row>
    <row r="151">
      <c r="A151" s="8" t="n">
        <v>147</v>
      </c>
      <c r="B151" s="8">
        <f>'02 原始数据'!B151</f>
        <v/>
      </c>
      <c r="C151" s="8">
        <f>'02 原始数据'!C151</f>
        <v/>
      </c>
      <c r="D151" s="8">
        <f>IF(OR(E151="",F151=""),"缺失-剔除","配对成功")</f>
        <v/>
      </c>
      <c r="E151" s="8">
        <f>'02 原始数据'!D151</f>
        <v/>
      </c>
      <c r="F151" s="8">
        <f>'02 原始数据'!G151</f>
        <v/>
      </c>
      <c r="G151" s="8">
        <f>IF(D151="配对成功","水平可用","")</f>
        <v/>
      </c>
      <c r="H151" s="8">
        <f>IF(AND(D151="配对成功",A151&gt;1,E150&lt;&gt;""),"变化可用","")</f>
        <v/>
      </c>
      <c r="I151" s="8">
        <f>IF(B151=C151,"同日","不同日，需注明时点差")</f>
        <v/>
      </c>
    </row>
    <row r="152">
      <c r="A152" s="8" t="n">
        <v>148</v>
      </c>
      <c r="B152" s="8">
        <f>'02 原始数据'!B152</f>
        <v/>
      </c>
      <c r="C152" s="8">
        <f>'02 原始数据'!C152</f>
        <v/>
      </c>
      <c r="D152" s="8">
        <f>IF(OR(E152="",F152=""),"缺失-剔除","配对成功")</f>
        <v/>
      </c>
      <c r="E152" s="8">
        <f>'02 原始数据'!D152</f>
        <v/>
      </c>
      <c r="F152" s="8">
        <f>'02 原始数据'!G152</f>
        <v/>
      </c>
      <c r="G152" s="8">
        <f>IF(D152="配对成功","水平可用","")</f>
        <v/>
      </c>
      <c r="H152" s="8">
        <f>IF(AND(D152="配对成功",A152&gt;1,E151&lt;&gt;""),"变化可用","")</f>
        <v/>
      </c>
      <c r="I152" s="8">
        <f>IF(B152=C152,"同日","不同日，需注明时点差")</f>
        <v/>
      </c>
    </row>
    <row r="153">
      <c r="A153" s="8" t="n">
        <v>149</v>
      </c>
      <c r="B153" s="8">
        <f>'02 原始数据'!B153</f>
        <v/>
      </c>
      <c r="C153" s="8">
        <f>'02 原始数据'!C153</f>
        <v/>
      </c>
      <c r="D153" s="8">
        <f>IF(OR(E153="",F153=""),"缺失-剔除","配对成功")</f>
        <v/>
      </c>
      <c r="E153" s="8">
        <f>'02 原始数据'!D153</f>
        <v/>
      </c>
      <c r="F153" s="8">
        <f>'02 原始数据'!G153</f>
        <v/>
      </c>
      <c r="G153" s="8">
        <f>IF(D153="配对成功","水平可用","")</f>
        <v/>
      </c>
      <c r="H153" s="8">
        <f>IF(AND(D153="配对成功",A153&gt;1,E152&lt;&gt;""),"变化可用","")</f>
        <v/>
      </c>
      <c r="I153" s="8">
        <f>IF(B153=C153,"同日","不同日，需注明时点差")</f>
        <v/>
      </c>
    </row>
    <row r="154">
      <c r="A154" s="8" t="n">
        <v>150</v>
      </c>
      <c r="B154" s="8">
        <f>'02 原始数据'!B154</f>
        <v/>
      </c>
      <c r="C154" s="8">
        <f>'02 原始数据'!C154</f>
        <v/>
      </c>
      <c r="D154" s="8">
        <f>IF(OR(E154="",F154=""),"缺失-剔除","配对成功")</f>
        <v/>
      </c>
      <c r="E154" s="8">
        <f>'02 原始数据'!D154</f>
        <v/>
      </c>
      <c r="F154" s="8">
        <f>'02 原始数据'!G154</f>
        <v/>
      </c>
      <c r="G154" s="8">
        <f>IF(D154="配对成功","水平可用","")</f>
        <v/>
      </c>
      <c r="H154" s="8">
        <f>IF(AND(D154="配对成功",A154&gt;1,E153&lt;&gt;""),"变化可用","")</f>
        <v/>
      </c>
      <c r="I154" s="8">
        <f>IF(B154=C154,"同日","不同日，需注明时点差")</f>
        <v/>
      </c>
    </row>
    <row r="155">
      <c r="A155" s="8" t="n">
        <v>151</v>
      </c>
      <c r="B155" s="8">
        <f>'02 原始数据'!B155</f>
        <v/>
      </c>
      <c r="C155" s="8">
        <f>'02 原始数据'!C155</f>
        <v/>
      </c>
      <c r="D155" s="8">
        <f>IF(OR(E155="",F155=""),"缺失-剔除","配对成功")</f>
        <v/>
      </c>
      <c r="E155" s="8">
        <f>'02 原始数据'!D155</f>
        <v/>
      </c>
      <c r="F155" s="8">
        <f>'02 原始数据'!G155</f>
        <v/>
      </c>
      <c r="G155" s="8">
        <f>IF(D155="配对成功","水平可用","")</f>
        <v/>
      </c>
      <c r="H155" s="8">
        <f>IF(AND(D155="配对成功",A155&gt;1,E154&lt;&gt;""),"变化可用","")</f>
        <v/>
      </c>
      <c r="I155" s="8">
        <f>IF(B155=C155,"同日","不同日，需注明时点差")</f>
        <v/>
      </c>
    </row>
    <row r="156">
      <c r="A156" s="8" t="n">
        <v>152</v>
      </c>
      <c r="B156" s="8">
        <f>'02 原始数据'!B156</f>
        <v/>
      </c>
      <c r="C156" s="8">
        <f>'02 原始数据'!C156</f>
        <v/>
      </c>
      <c r="D156" s="8">
        <f>IF(OR(E156="",F156=""),"缺失-剔除","配对成功")</f>
        <v/>
      </c>
      <c r="E156" s="8">
        <f>'02 原始数据'!D156</f>
        <v/>
      </c>
      <c r="F156" s="8">
        <f>'02 原始数据'!G156</f>
        <v/>
      </c>
      <c r="G156" s="8">
        <f>IF(D156="配对成功","水平可用","")</f>
        <v/>
      </c>
      <c r="H156" s="8">
        <f>IF(AND(D156="配对成功",A156&gt;1,E155&lt;&gt;""),"变化可用","")</f>
        <v/>
      </c>
      <c r="I156" s="8">
        <f>IF(B156=C156,"同日","不同日，需注明时点差")</f>
        <v/>
      </c>
    </row>
    <row r="157">
      <c r="A157" s="8" t="n">
        <v>153</v>
      </c>
      <c r="B157" s="8">
        <f>'02 原始数据'!B157</f>
        <v/>
      </c>
      <c r="C157" s="8">
        <f>'02 原始数据'!C157</f>
        <v/>
      </c>
      <c r="D157" s="8">
        <f>IF(OR(E157="",F157=""),"缺失-剔除","配对成功")</f>
        <v/>
      </c>
      <c r="E157" s="8">
        <f>'02 原始数据'!D157</f>
        <v/>
      </c>
      <c r="F157" s="8">
        <f>'02 原始数据'!G157</f>
        <v/>
      </c>
      <c r="G157" s="8">
        <f>IF(D157="配对成功","水平可用","")</f>
        <v/>
      </c>
      <c r="H157" s="8">
        <f>IF(AND(D157="配对成功",A157&gt;1,E156&lt;&gt;""),"变化可用","")</f>
        <v/>
      </c>
      <c r="I157" s="8">
        <f>IF(B157=C157,"同日","不同日，需注明时点差")</f>
        <v/>
      </c>
    </row>
    <row r="158">
      <c r="A158" s="8" t="n">
        <v>154</v>
      </c>
      <c r="B158" s="8">
        <f>'02 原始数据'!B158</f>
        <v/>
      </c>
      <c r="C158" s="8">
        <f>'02 原始数据'!C158</f>
        <v/>
      </c>
      <c r="D158" s="8">
        <f>IF(OR(E158="",F158=""),"缺失-剔除","配对成功")</f>
        <v/>
      </c>
      <c r="E158" s="8">
        <f>'02 原始数据'!D158</f>
        <v/>
      </c>
      <c r="F158" s="8">
        <f>'02 原始数据'!G158</f>
        <v/>
      </c>
      <c r="G158" s="8">
        <f>IF(D158="配对成功","水平可用","")</f>
        <v/>
      </c>
      <c r="H158" s="8">
        <f>IF(AND(D158="配对成功",A158&gt;1,E157&lt;&gt;""),"变化可用","")</f>
        <v/>
      </c>
      <c r="I158" s="8">
        <f>IF(B158=C158,"同日","不同日，需注明时点差")</f>
        <v/>
      </c>
    </row>
    <row r="159">
      <c r="A159" s="8" t="n">
        <v>155</v>
      </c>
      <c r="B159" s="8">
        <f>'02 原始数据'!B159</f>
        <v/>
      </c>
      <c r="C159" s="8">
        <f>'02 原始数据'!C159</f>
        <v/>
      </c>
      <c r="D159" s="8">
        <f>IF(OR(E159="",F159=""),"缺失-剔除","配对成功")</f>
        <v/>
      </c>
      <c r="E159" s="8">
        <f>'02 原始数据'!D159</f>
        <v/>
      </c>
      <c r="F159" s="8">
        <f>'02 原始数据'!G159</f>
        <v/>
      </c>
      <c r="G159" s="8">
        <f>IF(D159="配对成功","水平可用","")</f>
        <v/>
      </c>
      <c r="H159" s="8">
        <f>IF(AND(D159="配对成功",A159&gt;1,E158&lt;&gt;""),"变化可用","")</f>
        <v/>
      </c>
      <c r="I159" s="8">
        <f>IF(B159=C159,"同日","不同日，需注明时点差")</f>
        <v/>
      </c>
    </row>
    <row r="160">
      <c r="A160" s="8" t="n">
        <v>156</v>
      </c>
      <c r="B160" s="8">
        <f>'02 原始数据'!B160</f>
        <v/>
      </c>
      <c r="C160" s="8">
        <f>'02 原始数据'!C160</f>
        <v/>
      </c>
      <c r="D160" s="8">
        <f>IF(OR(E160="",F160=""),"缺失-剔除","配对成功")</f>
        <v/>
      </c>
      <c r="E160" s="8">
        <f>'02 原始数据'!D160</f>
        <v/>
      </c>
      <c r="F160" s="8">
        <f>'02 原始数据'!G160</f>
        <v/>
      </c>
      <c r="G160" s="8">
        <f>IF(D160="配对成功","水平可用","")</f>
        <v/>
      </c>
      <c r="H160" s="8">
        <f>IF(AND(D160="配对成功",A160&gt;1,E159&lt;&gt;""),"变化可用","")</f>
        <v/>
      </c>
      <c r="I160" s="8">
        <f>IF(B160=C160,"同日","不同日，需注明时点差")</f>
        <v/>
      </c>
    </row>
    <row r="162">
      <c r="B162" s="10" t="inlineStr">
        <is>
          <t>有效配对数 N =</t>
        </is>
      </c>
      <c r="E162" s="22">
        <f>COUNTIF(D5:D160,"配对成功")</f>
        <v/>
      </c>
    </row>
    <row r="163">
      <c r="B163" s="10" t="inlineStr">
        <is>
          <t>缺失期数 =</t>
        </is>
      </c>
      <c r="E163" s="5">
        <f>COUNTIF(D5:D160,"缺失-剔除")</f>
        <v/>
      </c>
    </row>
  </sheetData>
  <mergeCells count="2">
    <mergeCell ref="A1:I1"/>
    <mergeCell ref="A2:I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160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14" customWidth="1" min="2" max="2"/>
    <col width="12" customWidth="1" min="3" max="3"/>
    <col width="12" customWidth="1" min="4" max="4"/>
    <col width="11" customWidth="1" min="5" max="5"/>
    <col width="12" customWidth="1" min="6" max="6"/>
    <col width="12" customWidth="1" min="7" max="7"/>
    <col width="11" customWidth="1" min="8" max="8"/>
    <col width="12" customWidth="1" min="9" max="9"/>
    <col width="12" customWidth="1" min="10" max="10"/>
    <col width="14" customWidth="1" min="11" max="11"/>
  </cols>
  <sheetData>
    <row r="1" ht="26" customHeight="1">
      <c r="A1" s="1" t="inlineStr">
        <is>
          <t>变换：水平 / 一阶差分 / 环比%</t>
        </is>
      </c>
    </row>
    <row r="2" ht="34" customHeight="1">
      <c r="A2" s="2" t="inlineStr">
        <is>
          <t>差分与环比的首期必为空（没有上一期），这是设计而非缺数。库存变化单位是万吨，价格变化单位是%，相关系数本身与单位无关，但经济含义不同。</t>
        </is>
      </c>
    </row>
    <row r="4" ht="24" customHeight="1">
      <c r="A4" s="7" t="inlineStr">
        <is>
          <t>序号</t>
        </is>
      </c>
      <c r="B4" s="7" t="inlineStr">
        <is>
          <t>观测日</t>
        </is>
      </c>
      <c r="C4" s="7" t="inlineStr">
        <is>
          <t>库存-水平</t>
        </is>
      </c>
      <c r="D4" s="7" t="inlineStr">
        <is>
          <t>库存-差分</t>
        </is>
      </c>
      <c r="E4" s="7" t="inlineStr">
        <is>
          <t>库存-环比%</t>
        </is>
      </c>
      <c r="F4" s="7" t="inlineStr">
        <is>
          <t>价格-水平</t>
        </is>
      </c>
      <c r="G4" s="7" t="inlineStr">
        <is>
          <t>价格-差分</t>
        </is>
      </c>
      <c r="H4" s="7" t="inlineStr">
        <is>
          <t>价格-环比%</t>
        </is>
      </c>
      <c r="I4" s="7" t="inlineStr">
        <is>
          <t>煤价-水平</t>
        </is>
      </c>
      <c r="J4" s="7" t="inlineStr">
        <is>
          <t>开工率-水平</t>
        </is>
      </c>
      <c r="K4" s="7" t="inlineStr">
        <is>
          <t>库存/提货比</t>
        </is>
      </c>
    </row>
    <row r="5">
      <c r="A5" s="8" t="n">
        <v>1</v>
      </c>
      <c r="B5" s="8">
        <f>'02 原始数据'!B5</f>
        <v/>
      </c>
      <c r="C5" s="8">
        <f>'02 原始数据'!D5</f>
        <v/>
      </c>
      <c r="D5" s="23">
        <f>""</f>
        <v/>
      </c>
      <c r="E5" s="24">
        <f>""</f>
        <v/>
      </c>
      <c r="F5" s="8">
        <f>'02 原始数据'!G5</f>
        <v/>
      </c>
      <c r="G5" s="25">
        <f>""</f>
        <v/>
      </c>
      <c r="H5" s="24">
        <f>""</f>
        <v/>
      </c>
      <c r="I5" s="8">
        <f>'02 原始数据'!H5</f>
        <v/>
      </c>
      <c r="J5" s="8">
        <f>'02 原始数据'!I5</f>
        <v/>
      </c>
      <c r="K5" s="23">
        <f>IFERROR(IF(C5="","",C5/'02 原始数据'!K5),"")</f>
        <v/>
      </c>
    </row>
    <row r="6">
      <c r="A6" s="8" t="n">
        <v>2</v>
      </c>
      <c r="B6" s="8">
        <f>'02 原始数据'!B6</f>
        <v/>
      </c>
      <c r="C6" s="8">
        <f>'02 原始数据'!D6</f>
        <v/>
      </c>
      <c r="D6" s="23">
        <f>IF(OR(C6="",C5=""),"",C6-C5)</f>
        <v/>
      </c>
      <c r="E6" s="24">
        <f>IF(OR(C6="",C5=""),"",(C6-C5)/ABS(C5))</f>
        <v/>
      </c>
      <c r="F6" s="8">
        <f>'02 原始数据'!G6</f>
        <v/>
      </c>
      <c r="G6" s="25">
        <f>IF(OR(F6="",F5=""),"",F6-F5)</f>
        <v/>
      </c>
      <c r="H6" s="24">
        <f>IF(OR(F6="",F5=""),"",(F6-F5)/ABS(F5))</f>
        <v/>
      </c>
      <c r="I6" s="8">
        <f>'02 原始数据'!H6</f>
        <v/>
      </c>
      <c r="J6" s="8">
        <f>'02 原始数据'!I6</f>
        <v/>
      </c>
      <c r="K6" s="23">
        <f>IFERROR(IF(C6="","",C6/'02 原始数据'!K6),"")</f>
        <v/>
      </c>
    </row>
    <row r="7">
      <c r="A7" s="8" t="n">
        <v>3</v>
      </c>
      <c r="B7" s="8">
        <f>'02 原始数据'!B7</f>
        <v/>
      </c>
      <c r="C7" s="8">
        <f>'02 原始数据'!D7</f>
        <v/>
      </c>
      <c r="D7" s="23">
        <f>IF(OR(C7="",C6=""),"",C7-C6)</f>
        <v/>
      </c>
      <c r="E7" s="24">
        <f>IF(OR(C7="",C6=""),"",(C7-C6)/ABS(C6))</f>
        <v/>
      </c>
      <c r="F7" s="8">
        <f>'02 原始数据'!G7</f>
        <v/>
      </c>
      <c r="G7" s="25">
        <f>IF(OR(F7="",F6=""),"",F7-F6)</f>
        <v/>
      </c>
      <c r="H7" s="24">
        <f>IF(OR(F7="",F6=""),"",(F7-F6)/ABS(F6))</f>
        <v/>
      </c>
      <c r="I7" s="8">
        <f>'02 原始数据'!H7</f>
        <v/>
      </c>
      <c r="J7" s="8">
        <f>'02 原始数据'!I7</f>
        <v/>
      </c>
      <c r="K7" s="23">
        <f>IFERROR(IF(C7="","",C7/'02 原始数据'!K7),"")</f>
        <v/>
      </c>
    </row>
    <row r="8">
      <c r="A8" s="8" t="n">
        <v>4</v>
      </c>
      <c r="B8" s="8">
        <f>'02 原始数据'!B8</f>
        <v/>
      </c>
      <c r="C8" s="8">
        <f>'02 原始数据'!D8</f>
        <v/>
      </c>
      <c r="D8" s="23">
        <f>IF(OR(C8="",C7=""),"",C8-C7)</f>
        <v/>
      </c>
      <c r="E8" s="24">
        <f>IF(OR(C8="",C7=""),"",(C8-C7)/ABS(C7))</f>
        <v/>
      </c>
      <c r="F8" s="8">
        <f>'02 原始数据'!G8</f>
        <v/>
      </c>
      <c r="G8" s="25">
        <f>IF(OR(F8="",F7=""),"",F8-F7)</f>
        <v/>
      </c>
      <c r="H8" s="24">
        <f>IF(OR(F8="",F7=""),"",(F8-F7)/ABS(F7))</f>
        <v/>
      </c>
      <c r="I8" s="8">
        <f>'02 原始数据'!H8</f>
        <v/>
      </c>
      <c r="J8" s="8">
        <f>'02 原始数据'!I8</f>
        <v/>
      </c>
      <c r="K8" s="23">
        <f>IFERROR(IF(C8="","",C8/'02 原始数据'!K8),"")</f>
        <v/>
      </c>
    </row>
    <row r="9">
      <c r="A9" s="8" t="n">
        <v>5</v>
      </c>
      <c r="B9" s="8">
        <f>'02 原始数据'!B9</f>
        <v/>
      </c>
      <c r="C9" s="8">
        <f>'02 原始数据'!D9</f>
        <v/>
      </c>
      <c r="D9" s="23">
        <f>IF(OR(C9="",C8=""),"",C9-C8)</f>
        <v/>
      </c>
      <c r="E9" s="24">
        <f>IF(OR(C9="",C8=""),"",(C9-C8)/ABS(C8))</f>
        <v/>
      </c>
      <c r="F9" s="8">
        <f>'02 原始数据'!G9</f>
        <v/>
      </c>
      <c r="G9" s="25">
        <f>IF(OR(F9="",F8=""),"",F9-F8)</f>
        <v/>
      </c>
      <c r="H9" s="24">
        <f>IF(OR(F9="",F8=""),"",(F9-F8)/ABS(F8))</f>
        <v/>
      </c>
      <c r="I9" s="8">
        <f>'02 原始数据'!H9</f>
        <v/>
      </c>
      <c r="J9" s="8">
        <f>'02 原始数据'!I9</f>
        <v/>
      </c>
      <c r="K9" s="23">
        <f>IFERROR(IF(C9="","",C9/'02 原始数据'!K9),"")</f>
        <v/>
      </c>
    </row>
    <row r="10">
      <c r="A10" s="8" t="n">
        <v>6</v>
      </c>
      <c r="B10" s="8">
        <f>'02 原始数据'!B10</f>
        <v/>
      </c>
      <c r="C10" s="8">
        <f>'02 原始数据'!D10</f>
        <v/>
      </c>
      <c r="D10" s="23">
        <f>IF(OR(C10="",C9=""),"",C10-C9)</f>
        <v/>
      </c>
      <c r="E10" s="24">
        <f>IF(OR(C10="",C9=""),"",(C10-C9)/ABS(C9))</f>
        <v/>
      </c>
      <c r="F10" s="8">
        <f>'02 原始数据'!G10</f>
        <v/>
      </c>
      <c r="G10" s="25">
        <f>IF(OR(F10="",F9=""),"",F10-F9)</f>
        <v/>
      </c>
      <c r="H10" s="24">
        <f>IF(OR(F10="",F9=""),"",(F10-F9)/ABS(F9))</f>
        <v/>
      </c>
      <c r="I10" s="8">
        <f>'02 原始数据'!H10</f>
        <v/>
      </c>
      <c r="J10" s="8">
        <f>'02 原始数据'!I10</f>
        <v/>
      </c>
      <c r="K10" s="23">
        <f>IFERROR(IF(C10="","",C10/'02 原始数据'!K10),"")</f>
        <v/>
      </c>
    </row>
    <row r="11">
      <c r="A11" s="8" t="n">
        <v>7</v>
      </c>
      <c r="B11" s="8">
        <f>'02 原始数据'!B11</f>
        <v/>
      </c>
      <c r="C11" s="8">
        <f>'02 原始数据'!D11</f>
        <v/>
      </c>
      <c r="D11" s="23">
        <f>IF(OR(C11="",C10=""),"",C11-C10)</f>
        <v/>
      </c>
      <c r="E11" s="24">
        <f>IF(OR(C11="",C10=""),"",(C11-C10)/ABS(C10))</f>
        <v/>
      </c>
      <c r="F11" s="8">
        <f>'02 原始数据'!G11</f>
        <v/>
      </c>
      <c r="G11" s="25">
        <f>IF(OR(F11="",F10=""),"",F11-F10)</f>
        <v/>
      </c>
      <c r="H11" s="24">
        <f>IF(OR(F11="",F10=""),"",(F11-F10)/ABS(F10))</f>
        <v/>
      </c>
      <c r="I11" s="8">
        <f>'02 原始数据'!H11</f>
        <v/>
      </c>
      <c r="J11" s="8">
        <f>'02 原始数据'!I11</f>
        <v/>
      </c>
      <c r="K11" s="23">
        <f>IFERROR(IF(C11="","",C11/'02 原始数据'!K11),"")</f>
        <v/>
      </c>
    </row>
    <row r="12">
      <c r="A12" s="8" t="n">
        <v>8</v>
      </c>
      <c r="B12" s="8">
        <f>'02 原始数据'!B12</f>
        <v/>
      </c>
      <c r="C12" s="8">
        <f>'02 原始数据'!D12</f>
        <v/>
      </c>
      <c r="D12" s="23">
        <f>IF(OR(C12="",C11=""),"",C12-C11)</f>
        <v/>
      </c>
      <c r="E12" s="24">
        <f>IF(OR(C12="",C11=""),"",(C12-C11)/ABS(C11))</f>
        <v/>
      </c>
      <c r="F12" s="8">
        <f>'02 原始数据'!G12</f>
        <v/>
      </c>
      <c r="G12" s="25">
        <f>IF(OR(F12="",F11=""),"",F12-F11)</f>
        <v/>
      </c>
      <c r="H12" s="24">
        <f>IF(OR(F12="",F11=""),"",(F12-F11)/ABS(F11))</f>
        <v/>
      </c>
      <c r="I12" s="8">
        <f>'02 原始数据'!H12</f>
        <v/>
      </c>
      <c r="J12" s="8">
        <f>'02 原始数据'!I12</f>
        <v/>
      </c>
      <c r="K12" s="23">
        <f>IFERROR(IF(C12="","",C12/'02 原始数据'!K12),"")</f>
        <v/>
      </c>
    </row>
    <row r="13">
      <c r="A13" s="8" t="n">
        <v>9</v>
      </c>
      <c r="B13" s="8">
        <f>'02 原始数据'!B13</f>
        <v/>
      </c>
      <c r="C13" s="8">
        <f>'02 原始数据'!D13</f>
        <v/>
      </c>
      <c r="D13" s="23">
        <f>IF(OR(C13="",C12=""),"",C13-C12)</f>
        <v/>
      </c>
      <c r="E13" s="24">
        <f>IF(OR(C13="",C12=""),"",(C13-C12)/ABS(C12))</f>
        <v/>
      </c>
      <c r="F13" s="8">
        <f>'02 原始数据'!G13</f>
        <v/>
      </c>
      <c r="G13" s="25">
        <f>IF(OR(F13="",F12=""),"",F13-F12)</f>
        <v/>
      </c>
      <c r="H13" s="24">
        <f>IF(OR(F13="",F12=""),"",(F13-F12)/ABS(F12))</f>
        <v/>
      </c>
      <c r="I13" s="8">
        <f>'02 原始数据'!H13</f>
        <v/>
      </c>
      <c r="J13" s="8">
        <f>'02 原始数据'!I13</f>
        <v/>
      </c>
      <c r="K13" s="23">
        <f>IFERROR(IF(C13="","",C13/'02 原始数据'!K13),"")</f>
        <v/>
      </c>
    </row>
    <row r="14">
      <c r="A14" s="8" t="n">
        <v>10</v>
      </c>
      <c r="B14" s="8">
        <f>'02 原始数据'!B14</f>
        <v/>
      </c>
      <c r="C14" s="8">
        <f>'02 原始数据'!D14</f>
        <v/>
      </c>
      <c r="D14" s="23">
        <f>IF(OR(C14="",C13=""),"",C14-C13)</f>
        <v/>
      </c>
      <c r="E14" s="24">
        <f>IF(OR(C14="",C13=""),"",(C14-C13)/ABS(C13))</f>
        <v/>
      </c>
      <c r="F14" s="8">
        <f>'02 原始数据'!G14</f>
        <v/>
      </c>
      <c r="G14" s="25">
        <f>IF(OR(F14="",F13=""),"",F14-F13)</f>
        <v/>
      </c>
      <c r="H14" s="24">
        <f>IF(OR(F14="",F13=""),"",(F14-F13)/ABS(F13))</f>
        <v/>
      </c>
      <c r="I14" s="8">
        <f>'02 原始数据'!H14</f>
        <v/>
      </c>
      <c r="J14" s="8">
        <f>'02 原始数据'!I14</f>
        <v/>
      </c>
      <c r="K14" s="23">
        <f>IFERROR(IF(C14="","",C14/'02 原始数据'!K14),"")</f>
        <v/>
      </c>
    </row>
    <row r="15">
      <c r="A15" s="8" t="n">
        <v>11</v>
      </c>
      <c r="B15" s="8">
        <f>'02 原始数据'!B15</f>
        <v/>
      </c>
      <c r="C15" s="8">
        <f>'02 原始数据'!D15</f>
        <v/>
      </c>
      <c r="D15" s="23">
        <f>IF(OR(C15="",C14=""),"",C15-C14)</f>
        <v/>
      </c>
      <c r="E15" s="24">
        <f>IF(OR(C15="",C14=""),"",(C15-C14)/ABS(C14))</f>
        <v/>
      </c>
      <c r="F15" s="8">
        <f>'02 原始数据'!G15</f>
        <v/>
      </c>
      <c r="G15" s="25">
        <f>IF(OR(F15="",F14=""),"",F15-F14)</f>
        <v/>
      </c>
      <c r="H15" s="24">
        <f>IF(OR(F15="",F14=""),"",(F15-F14)/ABS(F14))</f>
        <v/>
      </c>
      <c r="I15" s="8">
        <f>'02 原始数据'!H15</f>
        <v/>
      </c>
      <c r="J15" s="8">
        <f>'02 原始数据'!I15</f>
        <v/>
      </c>
      <c r="K15" s="23">
        <f>IFERROR(IF(C15="","",C15/'02 原始数据'!K15),"")</f>
        <v/>
      </c>
    </row>
    <row r="16">
      <c r="A16" s="8" t="n">
        <v>12</v>
      </c>
      <c r="B16" s="8">
        <f>'02 原始数据'!B16</f>
        <v/>
      </c>
      <c r="C16" s="8">
        <f>'02 原始数据'!D16</f>
        <v/>
      </c>
      <c r="D16" s="23">
        <f>IF(OR(C16="",C15=""),"",C16-C15)</f>
        <v/>
      </c>
      <c r="E16" s="24">
        <f>IF(OR(C16="",C15=""),"",(C16-C15)/ABS(C15))</f>
        <v/>
      </c>
      <c r="F16" s="8">
        <f>'02 原始数据'!G16</f>
        <v/>
      </c>
      <c r="G16" s="25">
        <f>IF(OR(F16="",F15=""),"",F16-F15)</f>
        <v/>
      </c>
      <c r="H16" s="24">
        <f>IF(OR(F16="",F15=""),"",(F16-F15)/ABS(F15))</f>
        <v/>
      </c>
      <c r="I16" s="8">
        <f>'02 原始数据'!H16</f>
        <v/>
      </c>
      <c r="J16" s="8">
        <f>'02 原始数据'!I16</f>
        <v/>
      </c>
      <c r="K16" s="23">
        <f>IFERROR(IF(C16="","",C16/'02 原始数据'!K16),"")</f>
        <v/>
      </c>
    </row>
    <row r="17">
      <c r="A17" s="8" t="n">
        <v>13</v>
      </c>
      <c r="B17" s="8">
        <f>'02 原始数据'!B17</f>
        <v/>
      </c>
      <c r="C17" s="8">
        <f>'02 原始数据'!D17</f>
        <v/>
      </c>
      <c r="D17" s="23">
        <f>IF(OR(C17="",C16=""),"",C17-C16)</f>
        <v/>
      </c>
      <c r="E17" s="24">
        <f>IF(OR(C17="",C16=""),"",(C17-C16)/ABS(C16))</f>
        <v/>
      </c>
      <c r="F17" s="8">
        <f>'02 原始数据'!G17</f>
        <v/>
      </c>
      <c r="G17" s="25">
        <f>IF(OR(F17="",F16=""),"",F17-F16)</f>
        <v/>
      </c>
      <c r="H17" s="24">
        <f>IF(OR(F17="",F16=""),"",(F17-F16)/ABS(F16))</f>
        <v/>
      </c>
      <c r="I17" s="8">
        <f>'02 原始数据'!H17</f>
        <v/>
      </c>
      <c r="J17" s="8">
        <f>'02 原始数据'!I17</f>
        <v/>
      </c>
      <c r="K17" s="23">
        <f>IFERROR(IF(C17="","",C17/'02 原始数据'!K17),"")</f>
        <v/>
      </c>
    </row>
    <row r="18">
      <c r="A18" s="8" t="n">
        <v>14</v>
      </c>
      <c r="B18" s="8">
        <f>'02 原始数据'!B18</f>
        <v/>
      </c>
      <c r="C18" s="8">
        <f>'02 原始数据'!D18</f>
        <v/>
      </c>
      <c r="D18" s="23">
        <f>IF(OR(C18="",C17=""),"",C18-C17)</f>
        <v/>
      </c>
      <c r="E18" s="24">
        <f>IF(OR(C18="",C17=""),"",(C18-C17)/ABS(C17))</f>
        <v/>
      </c>
      <c r="F18" s="8">
        <f>'02 原始数据'!G18</f>
        <v/>
      </c>
      <c r="G18" s="25">
        <f>IF(OR(F18="",F17=""),"",F18-F17)</f>
        <v/>
      </c>
      <c r="H18" s="24">
        <f>IF(OR(F18="",F17=""),"",(F18-F17)/ABS(F17))</f>
        <v/>
      </c>
      <c r="I18" s="8">
        <f>'02 原始数据'!H18</f>
        <v/>
      </c>
      <c r="J18" s="8">
        <f>'02 原始数据'!I18</f>
        <v/>
      </c>
      <c r="K18" s="23">
        <f>IFERROR(IF(C18="","",C18/'02 原始数据'!K18),"")</f>
        <v/>
      </c>
    </row>
    <row r="19">
      <c r="A19" s="8" t="n">
        <v>15</v>
      </c>
      <c r="B19" s="8">
        <f>'02 原始数据'!B19</f>
        <v/>
      </c>
      <c r="C19" s="8">
        <f>'02 原始数据'!D19</f>
        <v/>
      </c>
      <c r="D19" s="23">
        <f>IF(OR(C19="",C18=""),"",C19-C18)</f>
        <v/>
      </c>
      <c r="E19" s="24">
        <f>IF(OR(C19="",C18=""),"",(C19-C18)/ABS(C18))</f>
        <v/>
      </c>
      <c r="F19" s="8">
        <f>'02 原始数据'!G19</f>
        <v/>
      </c>
      <c r="G19" s="25">
        <f>IF(OR(F19="",F18=""),"",F19-F18)</f>
        <v/>
      </c>
      <c r="H19" s="24">
        <f>IF(OR(F19="",F18=""),"",(F19-F18)/ABS(F18))</f>
        <v/>
      </c>
      <c r="I19" s="8">
        <f>'02 原始数据'!H19</f>
        <v/>
      </c>
      <c r="J19" s="8">
        <f>'02 原始数据'!I19</f>
        <v/>
      </c>
      <c r="K19" s="23">
        <f>IFERROR(IF(C19="","",C19/'02 原始数据'!K19),"")</f>
        <v/>
      </c>
    </row>
    <row r="20">
      <c r="A20" s="8" t="n">
        <v>16</v>
      </c>
      <c r="B20" s="8">
        <f>'02 原始数据'!B20</f>
        <v/>
      </c>
      <c r="C20" s="8">
        <f>'02 原始数据'!D20</f>
        <v/>
      </c>
      <c r="D20" s="23">
        <f>IF(OR(C20="",C19=""),"",C20-C19)</f>
        <v/>
      </c>
      <c r="E20" s="24">
        <f>IF(OR(C20="",C19=""),"",(C20-C19)/ABS(C19))</f>
        <v/>
      </c>
      <c r="F20" s="8">
        <f>'02 原始数据'!G20</f>
        <v/>
      </c>
      <c r="G20" s="25">
        <f>IF(OR(F20="",F19=""),"",F20-F19)</f>
        <v/>
      </c>
      <c r="H20" s="24">
        <f>IF(OR(F20="",F19=""),"",(F20-F19)/ABS(F19))</f>
        <v/>
      </c>
      <c r="I20" s="8">
        <f>'02 原始数据'!H20</f>
        <v/>
      </c>
      <c r="J20" s="8">
        <f>'02 原始数据'!I20</f>
        <v/>
      </c>
      <c r="K20" s="23">
        <f>IFERROR(IF(C20="","",C20/'02 原始数据'!K20),"")</f>
        <v/>
      </c>
    </row>
    <row r="21">
      <c r="A21" s="8" t="n">
        <v>17</v>
      </c>
      <c r="B21" s="8">
        <f>'02 原始数据'!B21</f>
        <v/>
      </c>
      <c r="C21" s="8">
        <f>'02 原始数据'!D21</f>
        <v/>
      </c>
      <c r="D21" s="23">
        <f>IF(OR(C21="",C20=""),"",C21-C20)</f>
        <v/>
      </c>
      <c r="E21" s="24">
        <f>IF(OR(C21="",C20=""),"",(C21-C20)/ABS(C20))</f>
        <v/>
      </c>
      <c r="F21" s="8">
        <f>'02 原始数据'!G21</f>
        <v/>
      </c>
      <c r="G21" s="25">
        <f>IF(OR(F21="",F20=""),"",F21-F20)</f>
        <v/>
      </c>
      <c r="H21" s="24">
        <f>IF(OR(F21="",F20=""),"",(F21-F20)/ABS(F20))</f>
        <v/>
      </c>
      <c r="I21" s="8">
        <f>'02 原始数据'!H21</f>
        <v/>
      </c>
      <c r="J21" s="8">
        <f>'02 原始数据'!I21</f>
        <v/>
      </c>
      <c r="K21" s="23">
        <f>IFERROR(IF(C21="","",C21/'02 原始数据'!K21),"")</f>
        <v/>
      </c>
    </row>
    <row r="22">
      <c r="A22" s="8" t="n">
        <v>18</v>
      </c>
      <c r="B22" s="8">
        <f>'02 原始数据'!B22</f>
        <v/>
      </c>
      <c r="C22" s="8">
        <f>'02 原始数据'!D22</f>
        <v/>
      </c>
      <c r="D22" s="23">
        <f>IF(OR(C22="",C21=""),"",C22-C21)</f>
        <v/>
      </c>
      <c r="E22" s="24">
        <f>IF(OR(C22="",C21=""),"",(C22-C21)/ABS(C21))</f>
        <v/>
      </c>
      <c r="F22" s="8">
        <f>'02 原始数据'!G22</f>
        <v/>
      </c>
      <c r="G22" s="25">
        <f>IF(OR(F22="",F21=""),"",F22-F21)</f>
        <v/>
      </c>
      <c r="H22" s="24">
        <f>IF(OR(F22="",F21=""),"",(F22-F21)/ABS(F21))</f>
        <v/>
      </c>
      <c r="I22" s="8">
        <f>'02 原始数据'!H22</f>
        <v/>
      </c>
      <c r="J22" s="8">
        <f>'02 原始数据'!I22</f>
        <v/>
      </c>
      <c r="K22" s="23">
        <f>IFERROR(IF(C22="","",C22/'02 原始数据'!K22),"")</f>
        <v/>
      </c>
    </row>
    <row r="23">
      <c r="A23" s="8" t="n">
        <v>19</v>
      </c>
      <c r="B23" s="8">
        <f>'02 原始数据'!B23</f>
        <v/>
      </c>
      <c r="C23" s="8">
        <f>'02 原始数据'!D23</f>
        <v/>
      </c>
      <c r="D23" s="23">
        <f>IF(OR(C23="",C22=""),"",C23-C22)</f>
        <v/>
      </c>
      <c r="E23" s="24">
        <f>IF(OR(C23="",C22=""),"",(C23-C22)/ABS(C22))</f>
        <v/>
      </c>
      <c r="F23" s="8">
        <f>'02 原始数据'!G23</f>
        <v/>
      </c>
      <c r="G23" s="25">
        <f>IF(OR(F23="",F22=""),"",F23-F22)</f>
        <v/>
      </c>
      <c r="H23" s="24">
        <f>IF(OR(F23="",F22=""),"",(F23-F22)/ABS(F22))</f>
        <v/>
      </c>
      <c r="I23" s="8">
        <f>'02 原始数据'!H23</f>
        <v/>
      </c>
      <c r="J23" s="8">
        <f>'02 原始数据'!I23</f>
        <v/>
      </c>
      <c r="K23" s="23">
        <f>IFERROR(IF(C23="","",C23/'02 原始数据'!K23),"")</f>
        <v/>
      </c>
    </row>
    <row r="24">
      <c r="A24" s="8" t="n">
        <v>20</v>
      </c>
      <c r="B24" s="8">
        <f>'02 原始数据'!B24</f>
        <v/>
      </c>
      <c r="C24" s="8">
        <f>'02 原始数据'!D24</f>
        <v/>
      </c>
      <c r="D24" s="23">
        <f>IF(OR(C24="",C23=""),"",C24-C23)</f>
        <v/>
      </c>
      <c r="E24" s="24">
        <f>IF(OR(C24="",C23=""),"",(C24-C23)/ABS(C23))</f>
        <v/>
      </c>
      <c r="F24" s="8">
        <f>'02 原始数据'!G24</f>
        <v/>
      </c>
      <c r="G24" s="25">
        <f>IF(OR(F24="",F23=""),"",F24-F23)</f>
        <v/>
      </c>
      <c r="H24" s="24">
        <f>IF(OR(F24="",F23=""),"",(F24-F23)/ABS(F23))</f>
        <v/>
      </c>
      <c r="I24" s="8">
        <f>'02 原始数据'!H24</f>
        <v/>
      </c>
      <c r="J24" s="8">
        <f>'02 原始数据'!I24</f>
        <v/>
      </c>
      <c r="K24" s="23">
        <f>IFERROR(IF(C24="","",C24/'02 原始数据'!K24),"")</f>
        <v/>
      </c>
    </row>
    <row r="25">
      <c r="A25" s="8" t="n">
        <v>21</v>
      </c>
      <c r="B25" s="8">
        <f>'02 原始数据'!B25</f>
        <v/>
      </c>
      <c r="C25" s="8">
        <f>'02 原始数据'!D25</f>
        <v/>
      </c>
      <c r="D25" s="23">
        <f>IF(OR(C25="",C24=""),"",C25-C24)</f>
        <v/>
      </c>
      <c r="E25" s="24">
        <f>IF(OR(C25="",C24=""),"",(C25-C24)/ABS(C24))</f>
        <v/>
      </c>
      <c r="F25" s="8">
        <f>'02 原始数据'!G25</f>
        <v/>
      </c>
      <c r="G25" s="25">
        <f>IF(OR(F25="",F24=""),"",F25-F24)</f>
        <v/>
      </c>
      <c r="H25" s="24">
        <f>IF(OR(F25="",F24=""),"",(F25-F24)/ABS(F24))</f>
        <v/>
      </c>
      <c r="I25" s="8">
        <f>'02 原始数据'!H25</f>
        <v/>
      </c>
      <c r="J25" s="8">
        <f>'02 原始数据'!I25</f>
        <v/>
      </c>
      <c r="K25" s="23">
        <f>IFERROR(IF(C25="","",C25/'02 原始数据'!K25),"")</f>
        <v/>
      </c>
    </row>
    <row r="26">
      <c r="A26" s="8" t="n">
        <v>22</v>
      </c>
      <c r="B26" s="8">
        <f>'02 原始数据'!B26</f>
        <v/>
      </c>
      <c r="C26" s="8">
        <f>'02 原始数据'!D26</f>
        <v/>
      </c>
      <c r="D26" s="23">
        <f>IF(OR(C26="",C25=""),"",C26-C25)</f>
        <v/>
      </c>
      <c r="E26" s="24">
        <f>IF(OR(C26="",C25=""),"",(C26-C25)/ABS(C25))</f>
        <v/>
      </c>
      <c r="F26" s="8">
        <f>'02 原始数据'!G26</f>
        <v/>
      </c>
      <c r="G26" s="25">
        <f>IF(OR(F26="",F25=""),"",F26-F25)</f>
        <v/>
      </c>
      <c r="H26" s="24">
        <f>IF(OR(F26="",F25=""),"",(F26-F25)/ABS(F25))</f>
        <v/>
      </c>
      <c r="I26" s="8">
        <f>'02 原始数据'!H26</f>
        <v/>
      </c>
      <c r="J26" s="8">
        <f>'02 原始数据'!I26</f>
        <v/>
      </c>
      <c r="K26" s="23">
        <f>IFERROR(IF(C26="","",C26/'02 原始数据'!K26),"")</f>
        <v/>
      </c>
    </row>
    <row r="27">
      <c r="A27" s="8" t="n">
        <v>23</v>
      </c>
      <c r="B27" s="8">
        <f>'02 原始数据'!B27</f>
        <v/>
      </c>
      <c r="C27" s="8">
        <f>'02 原始数据'!D27</f>
        <v/>
      </c>
      <c r="D27" s="23">
        <f>IF(OR(C27="",C26=""),"",C27-C26)</f>
        <v/>
      </c>
      <c r="E27" s="24">
        <f>IF(OR(C27="",C26=""),"",(C27-C26)/ABS(C26))</f>
        <v/>
      </c>
      <c r="F27" s="8">
        <f>'02 原始数据'!G27</f>
        <v/>
      </c>
      <c r="G27" s="25">
        <f>IF(OR(F27="",F26=""),"",F27-F26)</f>
        <v/>
      </c>
      <c r="H27" s="24">
        <f>IF(OR(F27="",F26=""),"",(F27-F26)/ABS(F26))</f>
        <v/>
      </c>
      <c r="I27" s="8">
        <f>'02 原始数据'!H27</f>
        <v/>
      </c>
      <c r="J27" s="8">
        <f>'02 原始数据'!I27</f>
        <v/>
      </c>
      <c r="K27" s="23">
        <f>IFERROR(IF(C27="","",C27/'02 原始数据'!K27),"")</f>
        <v/>
      </c>
    </row>
    <row r="28">
      <c r="A28" s="8" t="n">
        <v>24</v>
      </c>
      <c r="B28" s="8">
        <f>'02 原始数据'!B28</f>
        <v/>
      </c>
      <c r="C28" s="8">
        <f>'02 原始数据'!D28</f>
        <v/>
      </c>
      <c r="D28" s="23">
        <f>IF(OR(C28="",C27=""),"",C28-C27)</f>
        <v/>
      </c>
      <c r="E28" s="24">
        <f>IF(OR(C28="",C27=""),"",(C28-C27)/ABS(C27))</f>
        <v/>
      </c>
      <c r="F28" s="8">
        <f>'02 原始数据'!G28</f>
        <v/>
      </c>
      <c r="G28" s="25">
        <f>IF(OR(F28="",F27=""),"",F28-F27)</f>
        <v/>
      </c>
      <c r="H28" s="24">
        <f>IF(OR(F28="",F27=""),"",(F28-F27)/ABS(F27))</f>
        <v/>
      </c>
      <c r="I28" s="8">
        <f>'02 原始数据'!H28</f>
        <v/>
      </c>
      <c r="J28" s="8">
        <f>'02 原始数据'!I28</f>
        <v/>
      </c>
      <c r="K28" s="23">
        <f>IFERROR(IF(C28="","",C28/'02 原始数据'!K28),"")</f>
        <v/>
      </c>
    </row>
    <row r="29">
      <c r="A29" s="8" t="n">
        <v>25</v>
      </c>
      <c r="B29" s="8">
        <f>'02 原始数据'!B29</f>
        <v/>
      </c>
      <c r="C29" s="8">
        <f>'02 原始数据'!D29</f>
        <v/>
      </c>
      <c r="D29" s="23">
        <f>IF(OR(C29="",C28=""),"",C29-C28)</f>
        <v/>
      </c>
      <c r="E29" s="24">
        <f>IF(OR(C29="",C28=""),"",(C29-C28)/ABS(C28))</f>
        <v/>
      </c>
      <c r="F29" s="8">
        <f>'02 原始数据'!G29</f>
        <v/>
      </c>
      <c r="G29" s="25">
        <f>IF(OR(F29="",F28=""),"",F29-F28)</f>
        <v/>
      </c>
      <c r="H29" s="24">
        <f>IF(OR(F29="",F28=""),"",(F29-F28)/ABS(F28))</f>
        <v/>
      </c>
      <c r="I29" s="8">
        <f>'02 原始数据'!H29</f>
        <v/>
      </c>
      <c r="J29" s="8">
        <f>'02 原始数据'!I29</f>
        <v/>
      </c>
      <c r="K29" s="23">
        <f>IFERROR(IF(C29="","",C29/'02 原始数据'!K29),"")</f>
        <v/>
      </c>
    </row>
    <row r="30">
      <c r="A30" s="8" t="n">
        <v>26</v>
      </c>
      <c r="B30" s="8">
        <f>'02 原始数据'!B30</f>
        <v/>
      </c>
      <c r="C30" s="8">
        <f>'02 原始数据'!D30</f>
        <v/>
      </c>
      <c r="D30" s="23">
        <f>IF(OR(C30="",C29=""),"",C30-C29)</f>
        <v/>
      </c>
      <c r="E30" s="24">
        <f>IF(OR(C30="",C29=""),"",(C30-C29)/ABS(C29))</f>
        <v/>
      </c>
      <c r="F30" s="8">
        <f>'02 原始数据'!G30</f>
        <v/>
      </c>
      <c r="G30" s="25">
        <f>IF(OR(F30="",F29=""),"",F30-F29)</f>
        <v/>
      </c>
      <c r="H30" s="24">
        <f>IF(OR(F30="",F29=""),"",(F30-F29)/ABS(F29))</f>
        <v/>
      </c>
      <c r="I30" s="8">
        <f>'02 原始数据'!H30</f>
        <v/>
      </c>
      <c r="J30" s="8">
        <f>'02 原始数据'!I30</f>
        <v/>
      </c>
      <c r="K30" s="23">
        <f>IFERROR(IF(C30="","",C30/'02 原始数据'!K30),"")</f>
        <v/>
      </c>
    </row>
    <row r="31">
      <c r="A31" s="8" t="n">
        <v>27</v>
      </c>
      <c r="B31" s="8">
        <f>'02 原始数据'!B31</f>
        <v/>
      </c>
      <c r="C31" s="8">
        <f>'02 原始数据'!D31</f>
        <v/>
      </c>
      <c r="D31" s="23">
        <f>IF(OR(C31="",C30=""),"",C31-C30)</f>
        <v/>
      </c>
      <c r="E31" s="24">
        <f>IF(OR(C31="",C30=""),"",(C31-C30)/ABS(C30))</f>
        <v/>
      </c>
      <c r="F31" s="8">
        <f>'02 原始数据'!G31</f>
        <v/>
      </c>
      <c r="G31" s="25">
        <f>IF(OR(F31="",F30=""),"",F31-F30)</f>
        <v/>
      </c>
      <c r="H31" s="24">
        <f>IF(OR(F31="",F30=""),"",(F31-F30)/ABS(F30))</f>
        <v/>
      </c>
      <c r="I31" s="8">
        <f>'02 原始数据'!H31</f>
        <v/>
      </c>
      <c r="J31" s="8">
        <f>'02 原始数据'!I31</f>
        <v/>
      </c>
      <c r="K31" s="23">
        <f>IFERROR(IF(C31="","",C31/'02 原始数据'!K31),"")</f>
        <v/>
      </c>
    </row>
    <row r="32">
      <c r="A32" s="8" t="n">
        <v>28</v>
      </c>
      <c r="B32" s="8">
        <f>'02 原始数据'!B32</f>
        <v/>
      </c>
      <c r="C32" s="8">
        <f>'02 原始数据'!D32</f>
        <v/>
      </c>
      <c r="D32" s="23">
        <f>IF(OR(C32="",C31=""),"",C32-C31)</f>
        <v/>
      </c>
      <c r="E32" s="24">
        <f>IF(OR(C32="",C31=""),"",(C32-C31)/ABS(C31))</f>
        <v/>
      </c>
      <c r="F32" s="8">
        <f>'02 原始数据'!G32</f>
        <v/>
      </c>
      <c r="G32" s="25">
        <f>IF(OR(F32="",F31=""),"",F32-F31)</f>
        <v/>
      </c>
      <c r="H32" s="24">
        <f>IF(OR(F32="",F31=""),"",(F32-F31)/ABS(F31))</f>
        <v/>
      </c>
      <c r="I32" s="8">
        <f>'02 原始数据'!H32</f>
        <v/>
      </c>
      <c r="J32" s="8">
        <f>'02 原始数据'!I32</f>
        <v/>
      </c>
      <c r="K32" s="23">
        <f>IFERROR(IF(C32="","",C32/'02 原始数据'!K32),"")</f>
        <v/>
      </c>
    </row>
    <row r="33">
      <c r="A33" s="8" t="n">
        <v>29</v>
      </c>
      <c r="B33" s="8">
        <f>'02 原始数据'!B33</f>
        <v/>
      </c>
      <c r="C33" s="8">
        <f>'02 原始数据'!D33</f>
        <v/>
      </c>
      <c r="D33" s="23">
        <f>IF(OR(C33="",C32=""),"",C33-C32)</f>
        <v/>
      </c>
      <c r="E33" s="24">
        <f>IF(OR(C33="",C32=""),"",(C33-C32)/ABS(C32))</f>
        <v/>
      </c>
      <c r="F33" s="8">
        <f>'02 原始数据'!G33</f>
        <v/>
      </c>
      <c r="G33" s="25">
        <f>IF(OR(F33="",F32=""),"",F33-F32)</f>
        <v/>
      </c>
      <c r="H33" s="24">
        <f>IF(OR(F33="",F32=""),"",(F33-F32)/ABS(F32))</f>
        <v/>
      </c>
      <c r="I33" s="8">
        <f>'02 原始数据'!H33</f>
        <v/>
      </c>
      <c r="J33" s="8">
        <f>'02 原始数据'!I33</f>
        <v/>
      </c>
      <c r="K33" s="23">
        <f>IFERROR(IF(C33="","",C33/'02 原始数据'!K33),"")</f>
        <v/>
      </c>
    </row>
    <row r="34">
      <c r="A34" s="8" t="n">
        <v>30</v>
      </c>
      <c r="B34" s="8">
        <f>'02 原始数据'!B34</f>
        <v/>
      </c>
      <c r="C34" s="8">
        <f>'02 原始数据'!D34</f>
        <v/>
      </c>
      <c r="D34" s="23">
        <f>IF(OR(C34="",C33=""),"",C34-C33)</f>
        <v/>
      </c>
      <c r="E34" s="24">
        <f>IF(OR(C34="",C33=""),"",(C34-C33)/ABS(C33))</f>
        <v/>
      </c>
      <c r="F34" s="8">
        <f>'02 原始数据'!G34</f>
        <v/>
      </c>
      <c r="G34" s="25">
        <f>IF(OR(F34="",F33=""),"",F34-F33)</f>
        <v/>
      </c>
      <c r="H34" s="24">
        <f>IF(OR(F34="",F33=""),"",(F34-F33)/ABS(F33))</f>
        <v/>
      </c>
      <c r="I34" s="8">
        <f>'02 原始数据'!H34</f>
        <v/>
      </c>
      <c r="J34" s="8">
        <f>'02 原始数据'!I34</f>
        <v/>
      </c>
      <c r="K34" s="23">
        <f>IFERROR(IF(C34="","",C34/'02 原始数据'!K34),"")</f>
        <v/>
      </c>
    </row>
    <row r="35">
      <c r="A35" s="8" t="n">
        <v>31</v>
      </c>
      <c r="B35" s="8">
        <f>'02 原始数据'!B35</f>
        <v/>
      </c>
      <c r="C35" s="8">
        <f>'02 原始数据'!D35</f>
        <v/>
      </c>
      <c r="D35" s="23">
        <f>IF(OR(C35="",C34=""),"",C35-C34)</f>
        <v/>
      </c>
      <c r="E35" s="24">
        <f>IF(OR(C35="",C34=""),"",(C35-C34)/ABS(C34))</f>
        <v/>
      </c>
      <c r="F35" s="8">
        <f>'02 原始数据'!G35</f>
        <v/>
      </c>
      <c r="G35" s="25">
        <f>IF(OR(F35="",F34=""),"",F35-F34)</f>
        <v/>
      </c>
      <c r="H35" s="24">
        <f>IF(OR(F35="",F34=""),"",(F35-F34)/ABS(F34))</f>
        <v/>
      </c>
      <c r="I35" s="8">
        <f>'02 原始数据'!H35</f>
        <v/>
      </c>
      <c r="J35" s="8">
        <f>'02 原始数据'!I35</f>
        <v/>
      </c>
      <c r="K35" s="23">
        <f>IFERROR(IF(C35="","",C35/'02 原始数据'!K35),"")</f>
        <v/>
      </c>
    </row>
    <row r="36">
      <c r="A36" s="8" t="n">
        <v>32</v>
      </c>
      <c r="B36" s="8">
        <f>'02 原始数据'!B36</f>
        <v/>
      </c>
      <c r="C36" s="8">
        <f>'02 原始数据'!D36</f>
        <v/>
      </c>
      <c r="D36" s="23">
        <f>IF(OR(C36="",C35=""),"",C36-C35)</f>
        <v/>
      </c>
      <c r="E36" s="24">
        <f>IF(OR(C36="",C35=""),"",(C36-C35)/ABS(C35))</f>
        <v/>
      </c>
      <c r="F36" s="8">
        <f>'02 原始数据'!G36</f>
        <v/>
      </c>
      <c r="G36" s="25">
        <f>IF(OR(F36="",F35=""),"",F36-F35)</f>
        <v/>
      </c>
      <c r="H36" s="24">
        <f>IF(OR(F36="",F35=""),"",(F36-F35)/ABS(F35))</f>
        <v/>
      </c>
      <c r="I36" s="8">
        <f>'02 原始数据'!H36</f>
        <v/>
      </c>
      <c r="J36" s="8">
        <f>'02 原始数据'!I36</f>
        <v/>
      </c>
      <c r="K36" s="23">
        <f>IFERROR(IF(C36="","",C36/'02 原始数据'!K36),"")</f>
        <v/>
      </c>
    </row>
    <row r="37">
      <c r="A37" s="8" t="n">
        <v>33</v>
      </c>
      <c r="B37" s="8">
        <f>'02 原始数据'!B37</f>
        <v/>
      </c>
      <c r="C37" s="8">
        <f>'02 原始数据'!D37</f>
        <v/>
      </c>
      <c r="D37" s="23">
        <f>IF(OR(C37="",C36=""),"",C37-C36)</f>
        <v/>
      </c>
      <c r="E37" s="24">
        <f>IF(OR(C37="",C36=""),"",(C37-C36)/ABS(C36))</f>
        <v/>
      </c>
      <c r="F37" s="8">
        <f>'02 原始数据'!G37</f>
        <v/>
      </c>
      <c r="G37" s="25">
        <f>IF(OR(F37="",F36=""),"",F37-F36)</f>
        <v/>
      </c>
      <c r="H37" s="24">
        <f>IF(OR(F37="",F36=""),"",(F37-F36)/ABS(F36))</f>
        <v/>
      </c>
      <c r="I37" s="8">
        <f>'02 原始数据'!H37</f>
        <v/>
      </c>
      <c r="J37" s="8">
        <f>'02 原始数据'!I37</f>
        <v/>
      </c>
      <c r="K37" s="23">
        <f>IFERROR(IF(C37="","",C37/'02 原始数据'!K37),"")</f>
        <v/>
      </c>
    </row>
    <row r="38">
      <c r="A38" s="8" t="n">
        <v>34</v>
      </c>
      <c r="B38" s="8">
        <f>'02 原始数据'!B38</f>
        <v/>
      </c>
      <c r="C38" s="8">
        <f>'02 原始数据'!D38</f>
        <v/>
      </c>
      <c r="D38" s="23">
        <f>IF(OR(C38="",C37=""),"",C38-C37)</f>
        <v/>
      </c>
      <c r="E38" s="24">
        <f>IF(OR(C38="",C37=""),"",(C38-C37)/ABS(C37))</f>
        <v/>
      </c>
      <c r="F38" s="8">
        <f>'02 原始数据'!G38</f>
        <v/>
      </c>
      <c r="G38" s="25">
        <f>IF(OR(F38="",F37=""),"",F38-F37)</f>
        <v/>
      </c>
      <c r="H38" s="24">
        <f>IF(OR(F38="",F37=""),"",(F38-F37)/ABS(F37))</f>
        <v/>
      </c>
      <c r="I38" s="8">
        <f>'02 原始数据'!H38</f>
        <v/>
      </c>
      <c r="J38" s="8">
        <f>'02 原始数据'!I38</f>
        <v/>
      </c>
      <c r="K38" s="23">
        <f>IFERROR(IF(C38="","",C38/'02 原始数据'!K38),"")</f>
        <v/>
      </c>
    </row>
    <row r="39">
      <c r="A39" s="8" t="n">
        <v>35</v>
      </c>
      <c r="B39" s="8">
        <f>'02 原始数据'!B39</f>
        <v/>
      </c>
      <c r="C39" s="8">
        <f>'02 原始数据'!D39</f>
        <v/>
      </c>
      <c r="D39" s="23">
        <f>IF(OR(C39="",C38=""),"",C39-C38)</f>
        <v/>
      </c>
      <c r="E39" s="24">
        <f>IF(OR(C39="",C38=""),"",(C39-C38)/ABS(C38))</f>
        <v/>
      </c>
      <c r="F39" s="8">
        <f>'02 原始数据'!G39</f>
        <v/>
      </c>
      <c r="G39" s="25">
        <f>IF(OR(F39="",F38=""),"",F39-F38)</f>
        <v/>
      </c>
      <c r="H39" s="24">
        <f>IF(OR(F39="",F38=""),"",(F39-F38)/ABS(F38))</f>
        <v/>
      </c>
      <c r="I39" s="8">
        <f>'02 原始数据'!H39</f>
        <v/>
      </c>
      <c r="J39" s="8">
        <f>'02 原始数据'!I39</f>
        <v/>
      </c>
      <c r="K39" s="23">
        <f>IFERROR(IF(C39="","",C39/'02 原始数据'!K39),"")</f>
        <v/>
      </c>
    </row>
    <row r="40">
      <c r="A40" s="8" t="n">
        <v>36</v>
      </c>
      <c r="B40" s="8">
        <f>'02 原始数据'!B40</f>
        <v/>
      </c>
      <c r="C40" s="8">
        <f>'02 原始数据'!D40</f>
        <v/>
      </c>
      <c r="D40" s="23">
        <f>IF(OR(C40="",C39=""),"",C40-C39)</f>
        <v/>
      </c>
      <c r="E40" s="24">
        <f>IF(OR(C40="",C39=""),"",(C40-C39)/ABS(C39))</f>
        <v/>
      </c>
      <c r="F40" s="8">
        <f>'02 原始数据'!G40</f>
        <v/>
      </c>
      <c r="G40" s="25">
        <f>IF(OR(F40="",F39=""),"",F40-F39)</f>
        <v/>
      </c>
      <c r="H40" s="24">
        <f>IF(OR(F40="",F39=""),"",(F40-F39)/ABS(F39))</f>
        <v/>
      </c>
      <c r="I40" s="8">
        <f>'02 原始数据'!H40</f>
        <v/>
      </c>
      <c r="J40" s="8">
        <f>'02 原始数据'!I40</f>
        <v/>
      </c>
      <c r="K40" s="23">
        <f>IFERROR(IF(C40="","",C40/'02 原始数据'!K40),"")</f>
        <v/>
      </c>
    </row>
    <row r="41">
      <c r="A41" s="8" t="n">
        <v>37</v>
      </c>
      <c r="B41" s="8">
        <f>'02 原始数据'!B41</f>
        <v/>
      </c>
      <c r="C41" s="8">
        <f>'02 原始数据'!D41</f>
        <v/>
      </c>
      <c r="D41" s="23">
        <f>IF(OR(C41="",C40=""),"",C41-C40)</f>
        <v/>
      </c>
      <c r="E41" s="24">
        <f>IF(OR(C41="",C40=""),"",(C41-C40)/ABS(C40))</f>
        <v/>
      </c>
      <c r="F41" s="8">
        <f>'02 原始数据'!G41</f>
        <v/>
      </c>
      <c r="G41" s="25">
        <f>IF(OR(F41="",F40=""),"",F41-F40)</f>
        <v/>
      </c>
      <c r="H41" s="24">
        <f>IF(OR(F41="",F40=""),"",(F41-F40)/ABS(F40))</f>
        <v/>
      </c>
      <c r="I41" s="8">
        <f>'02 原始数据'!H41</f>
        <v/>
      </c>
      <c r="J41" s="8">
        <f>'02 原始数据'!I41</f>
        <v/>
      </c>
      <c r="K41" s="23">
        <f>IFERROR(IF(C41="","",C41/'02 原始数据'!K41),"")</f>
        <v/>
      </c>
    </row>
    <row r="42">
      <c r="A42" s="8" t="n">
        <v>38</v>
      </c>
      <c r="B42" s="8">
        <f>'02 原始数据'!B42</f>
        <v/>
      </c>
      <c r="C42" s="8">
        <f>'02 原始数据'!D42</f>
        <v/>
      </c>
      <c r="D42" s="23">
        <f>IF(OR(C42="",C41=""),"",C42-C41)</f>
        <v/>
      </c>
      <c r="E42" s="24">
        <f>IF(OR(C42="",C41=""),"",(C42-C41)/ABS(C41))</f>
        <v/>
      </c>
      <c r="F42" s="8">
        <f>'02 原始数据'!G42</f>
        <v/>
      </c>
      <c r="G42" s="25">
        <f>IF(OR(F42="",F41=""),"",F42-F41)</f>
        <v/>
      </c>
      <c r="H42" s="24">
        <f>IF(OR(F42="",F41=""),"",(F42-F41)/ABS(F41))</f>
        <v/>
      </c>
      <c r="I42" s="8">
        <f>'02 原始数据'!H42</f>
        <v/>
      </c>
      <c r="J42" s="8">
        <f>'02 原始数据'!I42</f>
        <v/>
      </c>
      <c r="K42" s="23">
        <f>IFERROR(IF(C42="","",C42/'02 原始数据'!K42),"")</f>
        <v/>
      </c>
    </row>
    <row r="43">
      <c r="A43" s="8" t="n">
        <v>39</v>
      </c>
      <c r="B43" s="8">
        <f>'02 原始数据'!B43</f>
        <v/>
      </c>
      <c r="C43" s="8">
        <f>'02 原始数据'!D43</f>
        <v/>
      </c>
      <c r="D43" s="23">
        <f>IF(OR(C43="",C42=""),"",C43-C42)</f>
        <v/>
      </c>
      <c r="E43" s="24">
        <f>IF(OR(C43="",C42=""),"",(C43-C42)/ABS(C42))</f>
        <v/>
      </c>
      <c r="F43" s="8">
        <f>'02 原始数据'!G43</f>
        <v/>
      </c>
      <c r="G43" s="25">
        <f>IF(OR(F43="",F42=""),"",F43-F42)</f>
        <v/>
      </c>
      <c r="H43" s="24">
        <f>IF(OR(F43="",F42=""),"",(F43-F42)/ABS(F42))</f>
        <v/>
      </c>
      <c r="I43" s="8">
        <f>'02 原始数据'!H43</f>
        <v/>
      </c>
      <c r="J43" s="8">
        <f>'02 原始数据'!I43</f>
        <v/>
      </c>
      <c r="K43" s="23">
        <f>IFERROR(IF(C43="","",C43/'02 原始数据'!K43),"")</f>
        <v/>
      </c>
    </row>
    <row r="44">
      <c r="A44" s="8" t="n">
        <v>40</v>
      </c>
      <c r="B44" s="8">
        <f>'02 原始数据'!B44</f>
        <v/>
      </c>
      <c r="C44" s="8">
        <f>'02 原始数据'!D44</f>
        <v/>
      </c>
      <c r="D44" s="23">
        <f>IF(OR(C44="",C43=""),"",C44-C43)</f>
        <v/>
      </c>
      <c r="E44" s="24">
        <f>IF(OR(C44="",C43=""),"",(C44-C43)/ABS(C43))</f>
        <v/>
      </c>
      <c r="F44" s="8">
        <f>'02 原始数据'!G44</f>
        <v/>
      </c>
      <c r="G44" s="25">
        <f>IF(OR(F44="",F43=""),"",F44-F43)</f>
        <v/>
      </c>
      <c r="H44" s="24">
        <f>IF(OR(F44="",F43=""),"",(F44-F43)/ABS(F43))</f>
        <v/>
      </c>
      <c r="I44" s="8">
        <f>'02 原始数据'!H44</f>
        <v/>
      </c>
      <c r="J44" s="8">
        <f>'02 原始数据'!I44</f>
        <v/>
      </c>
      <c r="K44" s="23">
        <f>IFERROR(IF(C44="","",C44/'02 原始数据'!K44),"")</f>
        <v/>
      </c>
    </row>
    <row r="45">
      <c r="A45" s="8" t="n">
        <v>41</v>
      </c>
      <c r="B45" s="8">
        <f>'02 原始数据'!B45</f>
        <v/>
      </c>
      <c r="C45" s="8">
        <f>'02 原始数据'!D45</f>
        <v/>
      </c>
      <c r="D45" s="23">
        <f>IF(OR(C45="",C44=""),"",C45-C44)</f>
        <v/>
      </c>
      <c r="E45" s="24">
        <f>IF(OR(C45="",C44=""),"",(C45-C44)/ABS(C44))</f>
        <v/>
      </c>
      <c r="F45" s="8">
        <f>'02 原始数据'!G45</f>
        <v/>
      </c>
      <c r="G45" s="25">
        <f>IF(OR(F45="",F44=""),"",F45-F44)</f>
        <v/>
      </c>
      <c r="H45" s="24">
        <f>IF(OR(F45="",F44=""),"",(F45-F44)/ABS(F44))</f>
        <v/>
      </c>
      <c r="I45" s="8">
        <f>'02 原始数据'!H45</f>
        <v/>
      </c>
      <c r="J45" s="8">
        <f>'02 原始数据'!I45</f>
        <v/>
      </c>
      <c r="K45" s="23">
        <f>IFERROR(IF(C45="","",C45/'02 原始数据'!K45),"")</f>
        <v/>
      </c>
    </row>
    <row r="46">
      <c r="A46" s="8" t="n">
        <v>42</v>
      </c>
      <c r="B46" s="8">
        <f>'02 原始数据'!B46</f>
        <v/>
      </c>
      <c r="C46" s="8">
        <f>'02 原始数据'!D46</f>
        <v/>
      </c>
      <c r="D46" s="23">
        <f>IF(OR(C46="",C45=""),"",C46-C45)</f>
        <v/>
      </c>
      <c r="E46" s="24">
        <f>IF(OR(C46="",C45=""),"",(C46-C45)/ABS(C45))</f>
        <v/>
      </c>
      <c r="F46" s="8">
        <f>'02 原始数据'!G46</f>
        <v/>
      </c>
      <c r="G46" s="25">
        <f>IF(OR(F46="",F45=""),"",F46-F45)</f>
        <v/>
      </c>
      <c r="H46" s="24">
        <f>IF(OR(F46="",F45=""),"",(F46-F45)/ABS(F45))</f>
        <v/>
      </c>
      <c r="I46" s="8">
        <f>'02 原始数据'!H46</f>
        <v/>
      </c>
      <c r="J46" s="8">
        <f>'02 原始数据'!I46</f>
        <v/>
      </c>
      <c r="K46" s="23">
        <f>IFERROR(IF(C46="","",C46/'02 原始数据'!K46),"")</f>
        <v/>
      </c>
    </row>
    <row r="47">
      <c r="A47" s="8" t="n">
        <v>43</v>
      </c>
      <c r="B47" s="8">
        <f>'02 原始数据'!B47</f>
        <v/>
      </c>
      <c r="C47" s="8">
        <f>'02 原始数据'!D47</f>
        <v/>
      </c>
      <c r="D47" s="23">
        <f>IF(OR(C47="",C46=""),"",C47-C46)</f>
        <v/>
      </c>
      <c r="E47" s="24">
        <f>IF(OR(C47="",C46=""),"",(C47-C46)/ABS(C46))</f>
        <v/>
      </c>
      <c r="F47" s="8">
        <f>'02 原始数据'!G47</f>
        <v/>
      </c>
      <c r="G47" s="25">
        <f>IF(OR(F47="",F46=""),"",F47-F46)</f>
        <v/>
      </c>
      <c r="H47" s="24">
        <f>IF(OR(F47="",F46=""),"",(F47-F46)/ABS(F46))</f>
        <v/>
      </c>
      <c r="I47" s="8">
        <f>'02 原始数据'!H47</f>
        <v/>
      </c>
      <c r="J47" s="8">
        <f>'02 原始数据'!I47</f>
        <v/>
      </c>
      <c r="K47" s="23">
        <f>IFERROR(IF(C47="","",C47/'02 原始数据'!K47),"")</f>
        <v/>
      </c>
    </row>
    <row r="48">
      <c r="A48" s="8" t="n">
        <v>44</v>
      </c>
      <c r="B48" s="8">
        <f>'02 原始数据'!B48</f>
        <v/>
      </c>
      <c r="C48" s="8">
        <f>'02 原始数据'!D48</f>
        <v/>
      </c>
      <c r="D48" s="23">
        <f>IF(OR(C48="",C47=""),"",C48-C47)</f>
        <v/>
      </c>
      <c r="E48" s="24">
        <f>IF(OR(C48="",C47=""),"",(C48-C47)/ABS(C47))</f>
        <v/>
      </c>
      <c r="F48" s="8">
        <f>'02 原始数据'!G48</f>
        <v/>
      </c>
      <c r="G48" s="25">
        <f>IF(OR(F48="",F47=""),"",F48-F47)</f>
        <v/>
      </c>
      <c r="H48" s="24">
        <f>IF(OR(F48="",F47=""),"",(F48-F47)/ABS(F47))</f>
        <v/>
      </c>
      <c r="I48" s="8">
        <f>'02 原始数据'!H48</f>
        <v/>
      </c>
      <c r="J48" s="8">
        <f>'02 原始数据'!I48</f>
        <v/>
      </c>
      <c r="K48" s="23">
        <f>IFERROR(IF(C48="","",C48/'02 原始数据'!K48),"")</f>
        <v/>
      </c>
    </row>
    <row r="49">
      <c r="A49" s="8" t="n">
        <v>45</v>
      </c>
      <c r="B49" s="8">
        <f>'02 原始数据'!B49</f>
        <v/>
      </c>
      <c r="C49" s="8">
        <f>'02 原始数据'!D49</f>
        <v/>
      </c>
      <c r="D49" s="23">
        <f>IF(OR(C49="",C48=""),"",C49-C48)</f>
        <v/>
      </c>
      <c r="E49" s="24">
        <f>IF(OR(C49="",C48=""),"",(C49-C48)/ABS(C48))</f>
        <v/>
      </c>
      <c r="F49" s="8">
        <f>'02 原始数据'!G49</f>
        <v/>
      </c>
      <c r="G49" s="25">
        <f>IF(OR(F49="",F48=""),"",F49-F48)</f>
        <v/>
      </c>
      <c r="H49" s="24">
        <f>IF(OR(F49="",F48=""),"",(F49-F48)/ABS(F48))</f>
        <v/>
      </c>
      <c r="I49" s="8">
        <f>'02 原始数据'!H49</f>
        <v/>
      </c>
      <c r="J49" s="8">
        <f>'02 原始数据'!I49</f>
        <v/>
      </c>
      <c r="K49" s="23">
        <f>IFERROR(IF(C49="","",C49/'02 原始数据'!K49),"")</f>
        <v/>
      </c>
    </row>
    <row r="50">
      <c r="A50" s="8" t="n">
        <v>46</v>
      </c>
      <c r="B50" s="8">
        <f>'02 原始数据'!B50</f>
        <v/>
      </c>
      <c r="C50" s="8">
        <f>'02 原始数据'!D50</f>
        <v/>
      </c>
      <c r="D50" s="23">
        <f>IF(OR(C50="",C49=""),"",C50-C49)</f>
        <v/>
      </c>
      <c r="E50" s="24">
        <f>IF(OR(C50="",C49=""),"",(C50-C49)/ABS(C49))</f>
        <v/>
      </c>
      <c r="F50" s="8">
        <f>'02 原始数据'!G50</f>
        <v/>
      </c>
      <c r="G50" s="25">
        <f>IF(OR(F50="",F49=""),"",F50-F49)</f>
        <v/>
      </c>
      <c r="H50" s="24">
        <f>IF(OR(F50="",F49=""),"",(F50-F49)/ABS(F49))</f>
        <v/>
      </c>
      <c r="I50" s="8">
        <f>'02 原始数据'!H50</f>
        <v/>
      </c>
      <c r="J50" s="8">
        <f>'02 原始数据'!I50</f>
        <v/>
      </c>
      <c r="K50" s="23">
        <f>IFERROR(IF(C50="","",C50/'02 原始数据'!K50),"")</f>
        <v/>
      </c>
    </row>
    <row r="51">
      <c r="A51" s="8" t="n">
        <v>47</v>
      </c>
      <c r="B51" s="8">
        <f>'02 原始数据'!B51</f>
        <v/>
      </c>
      <c r="C51" s="8">
        <f>'02 原始数据'!D51</f>
        <v/>
      </c>
      <c r="D51" s="23">
        <f>IF(OR(C51="",C50=""),"",C51-C50)</f>
        <v/>
      </c>
      <c r="E51" s="24">
        <f>IF(OR(C51="",C50=""),"",(C51-C50)/ABS(C50))</f>
        <v/>
      </c>
      <c r="F51" s="8">
        <f>'02 原始数据'!G51</f>
        <v/>
      </c>
      <c r="G51" s="25">
        <f>IF(OR(F51="",F50=""),"",F51-F50)</f>
        <v/>
      </c>
      <c r="H51" s="24">
        <f>IF(OR(F51="",F50=""),"",(F51-F50)/ABS(F50))</f>
        <v/>
      </c>
      <c r="I51" s="8">
        <f>'02 原始数据'!H51</f>
        <v/>
      </c>
      <c r="J51" s="8">
        <f>'02 原始数据'!I51</f>
        <v/>
      </c>
      <c r="K51" s="23">
        <f>IFERROR(IF(C51="","",C51/'02 原始数据'!K51),"")</f>
        <v/>
      </c>
    </row>
    <row r="52">
      <c r="A52" s="8" t="n">
        <v>48</v>
      </c>
      <c r="B52" s="8">
        <f>'02 原始数据'!B52</f>
        <v/>
      </c>
      <c r="C52" s="8">
        <f>'02 原始数据'!D52</f>
        <v/>
      </c>
      <c r="D52" s="23">
        <f>IF(OR(C52="",C51=""),"",C52-C51)</f>
        <v/>
      </c>
      <c r="E52" s="24">
        <f>IF(OR(C52="",C51=""),"",(C52-C51)/ABS(C51))</f>
        <v/>
      </c>
      <c r="F52" s="8">
        <f>'02 原始数据'!G52</f>
        <v/>
      </c>
      <c r="G52" s="25">
        <f>IF(OR(F52="",F51=""),"",F52-F51)</f>
        <v/>
      </c>
      <c r="H52" s="24">
        <f>IF(OR(F52="",F51=""),"",(F52-F51)/ABS(F51))</f>
        <v/>
      </c>
      <c r="I52" s="8">
        <f>'02 原始数据'!H52</f>
        <v/>
      </c>
      <c r="J52" s="8">
        <f>'02 原始数据'!I52</f>
        <v/>
      </c>
      <c r="K52" s="23">
        <f>IFERROR(IF(C52="","",C52/'02 原始数据'!K52),"")</f>
        <v/>
      </c>
    </row>
    <row r="53">
      <c r="A53" s="8" t="n">
        <v>49</v>
      </c>
      <c r="B53" s="8">
        <f>'02 原始数据'!B53</f>
        <v/>
      </c>
      <c r="C53" s="8">
        <f>'02 原始数据'!D53</f>
        <v/>
      </c>
      <c r="D53" s="23">
        <f>IF(OR(C53="",C52=""),"",C53-C52)</f>
        <v/>
      </c>
      <c r="E53" s="24">
        <f>IF(OR(C53="",C52=""),"",(C53-C52)/ABS(C52))</f>
        <v/>
      </c>
      <c r="F53" s="8">
        <f>'02 原始数据'!G53</f>
        <v/>
      </c>
      <c r="G53" s="25">
        <f>IF(OR(F53="",F52=""),"",F53-F52)</f>
        <v/>
      </c>
      <c r="H53" s="24">
        <f>IF(OR(F53="",F52=""),"",(F53-F52)/ABS(F52))</f>
        <v/>
      </c>
      <c r="I53" s="8">
        <f>'02 原始数据'!H53</f>
        <v/>
      </c>
      <c r="J53" s="8">
        <f>'02 原始数据'!I53</f>
        <v/>
      </c>
      <c r="K53" s="23">
        <f>IFERROR(IF(C53="","",C53/'02 原始数据'!K53),"")</f>
        <v/>
      </c>
    </row>
    <row r="54">
      <c r="A54" s="8" t="n">
        <v>50</v>
      </c>
      <c r="B54" s="8">
        <f>'02 原始数据'!B54</f>
        <v/>
      </c>
      <c r="C54" s="8">
        <f>'02 原始数据'!D54</f>
        <v/>
      </c>
      <c r="D54" s="23">
        <f>IF(OR(C54="",C53=""),"",C54-C53)</f>
        <v/>
      </c>
      <c r="E54" s="24">
        <f>IF(OR(C54="",C53=""),"",(C54-C53)/ABS(C53))</f>
        <v/>
      </c>
      <c r="F54" s="8">
        <f>'02 原始数据'!G54</f>
        <v/>
      </c>
      <c r="G54" s="25">
        <f>IF(OR(F54="",F53=""),"",F54-F53)</f>
        <v/>
      </c>
      <c r="H54" s="24">
        <f>IF(OR(F54="",F53=""),"",(F54-F53)/ABS(F53))</f>
        <v/>
      </c>
      <c r="I54" s="8">
        <f>'02 原始数据'!H54</f>
        <v/>
      </c>
      <c r="J54" s="8">
        <f>'02 原始数据'!I54</f>
        <v/>
      </c>
      <c r="K54" s="23">
        <f>IFERROR(IF(C54="","",C54/'02 原始数据'!K54),"")</f>
        <v/>
      </c>
    </row>
    <row r="55">
      <c r="A55" s="8" t="n">
        <v>51</v>
      </c>
      <c r="B55" s="8">
        <f>'02 原始数据'!B55</f>
        <v/>
      </c>
      <c r="C55" s="8">
        <f>'02 原始数据'!D55</f>
        <v/>
      </c>
      <c r="D55" s="23">
        <f>IF(OR(C55="",C54=""),"",C55-C54)</f>
        <v/>
      </c>
      <c r="E55" s="24">
        <f>IF(OR(C55="",C54=""),"",(C55-C54)/ABS(C54))</f>
        <v/>
      </c>
      <c r="F55" s="8">
        <f>'02 原始数据'!G55</f>
        <v/>
      </c>
      <c r="G55" s="25">
        <f>IF(OR(F55="",F54=""),"",F55-F54)</f>
        <v/>
      </c>
      <c r="H55" s="24">
        <f>IF(OR(F55="",F54=""),"",(F55-F54)/ABS(F54))</f>
        <v/>
      </c>
      <c r="I55" s="8">
        <f>'02 原始数据'!H55</f>
        <v/>
      </c>
      <c r="J55" s="8">
        <f>'02 原始数据'!I55</f>
        <v/>
      </c>
      <c r="K55" s="23">
        <f>IFERROR(IF(C55="","",C55/'02 原始数据'!K55),"")</f>
        <v/>
      </c>
    </row>
    <row r="56">
      <c r="A56" s="8" t="n">
        <v>52</v>
      </c>
      <c r="B56" s="8">
        <f>'02 原始数据'!B56</f>
        <v/>
      </c>
      <c r="C56" s="8">
        <f>'02 原始数据'!D56</f>
        <v/>
      </c>
      <c r="D56" s="23">
        <f>IF(OR(C56="",C55=""),"",C56-C55)</f>
        <v/>
      </c>
      <c r="E56" s="24">
        <f>IF(OR(C56="",C55=""),"",(C56-C55)/ABS(C55))</f>
        <v/>
      </c>
      <c r="F56" s="8">
        <f>'02 原始数据'!G56</f>
        <v/>
      </c>
      <c r="G56" s="25">
        <f>IF(OR(F56="",F55=""),"",F56-F55)</f>
        <v/>
      </c>
      <c r="H56" s="24">
        <f>IF(OR(F56="",F55=""),"",(F56-F55)/ABS(F55))</f>
        <v/>
      </c>
      <c r="I56" s="8">
        <f>'02 原始数据'!H56</f>
        <v/>
      </c>
      <c r="J56" s="8">
        <f>'02 原始数据'!I56</f>
        <v/>
      </c>
      <c r="K56" s="23">
        <f>IFERROR(IF(C56="","",C56/'02 原始数据'!K56),"")</f>
        <v/>
      </c>
    </row>
    <row r="57">
      <c r="A57" s="8" t="n">
        <v>53</v>
      </c>
      <c r="B57" s="8">
        <f>'02 原始数据'!B57</f>
        <v/>
      </c>
      <c r="C57" s="8">
        <f>'02 原始数据'!D57</f>
        <v/>
      </c>
      <c r="D57" s="23">
        <f>IF(OR(C57="",C56=""),"",C57-C56)</f>
        <v/>
      </c>
      <c r="E57" s="24">
        <f>IF(OR(C57="",C56=""),"",(C57-C56)/ABS(C56))</f>
        <v/>
      </c>
      <c r="F57" s="8">
        <f>'02 原始数据'!G57</f>
        <v/>
      </c>
      <c r="G57" s="25">
        <f>IF(OR(F57="",F56=""),"",F57-F56)</f>
        <v/>
      </c>
      <c r="H57" s="24">
        <f>IF(OR(F57="",F56=""),"",(F57-F56)/ABS(F56))</f>
        <v/>
      </c>
      <c r="I57" s="8">
        <f>'02 原始数据'!H57</f>
        <v/>
      </c>
      <c r="J57" s="8">
        <f>'02 原始数据'!I57</f>
        <v/>
      </c>
      <c r="K57" s="23">
        <f>IFERROR(IF(C57="","",C57/'02 原始数据'!K57),"")</f>
        <v/>
      </c>
    </row>
    <row r="58">
      <c r="A58" s="8" t="n">
        <v>54</v>
      </c>
      <c r="B58" s="8">
        <f>'02 原始数据'!B58</f>
        <v/>
      </c>
      <c r="C58" s="8">
        <f>'02 原始数据'!D58</f>
        <v/>
      </c>
      <c r="D58" s="23">
        <f>IF(OR(C58="",C57=""),"",C58-C57)</f>
        <v/>
      </c>
      <c r="E58" s="24">
        <f>IF(OR(C58="",C57=""),"",(C58-C57)/ABS(C57))</f>
        <v/>
      </c>
      <c r="F58" s="8">
        <f>'02 原始数据'!G58</f>
        <v/>
      </c>
      <c r="G58" s="25">
        <f>IF(OR(F58="",F57=""),"",F58-F57)</f>
        <v/>
      </c>
      <c r="H58" s="24">
        <f>IF(OR(F58="",F57=""),"",(F58-F57)/ABS(F57))</f>
        <v/>
      </c>
      <c r="I58" s="8">
        <f>'02 原始数据'!H58</f>
        <v/>
      </c>
      <c r="J58" s="8">
        <f>'02 原始数据'!I58</f>
        <v/>
      </c>
      <c r="K58" s="23">
        <f>IFERROR(IF(C58="","",C58/'02 原始数据'!K58),"")</f>
        <v/>
      </c>
    </row>
    <row r="59">
      <c r="A59" s="8" t="n">
        <v>55</v>
      </c>
      <c r="B59" s="8">
        <f>'02 原始数据'!B59</f>
        <v/>
      </c>
      <c r="C59" s="8">
        <f>'02 原始数据'!D59</f>
        <v/>
      </c>
      <c r="D59" s="23">
        <f>IF(OR(C59="",C58=""),"",C59-C58)</f>
        <v/>
      </c>
      <c r="E59" s="24">
        <f>IF(OR(C59="",C58=""),"",(C59-C58)/ABS(C58))</f>
        <v/>
      </c>
      <c r="F59" s="8">
        <f>'02 原始数据'!G59</f>
        <v/>
      </c>
      <c r="G59" s="25">
        <f>IF(OR(F59="",F58=""),"",F59-F58)</f>
        <v/>
      </c>
      <c r="H59" s="24">
        <f>IF(OR(F59="",F58=""),"",(F59-F58)/ABS(F58))</f>
        <v/>
      </c>
      <c r="I59" s="8">
        <f>'02 原始数据'!H59</f>
        <v/>
      </c>
      <c r="J59" s="8">
        <f>'02 原始数据'!I59</f>
        <v/>
      </c>
      <c r="K59" s="23">
        <f>IFERROR(IF(C59="","",C59/'02 原始数据'!K59),"")</f>
        <v/>
      </c>
    </row>
    <row r="60">
      <c r="A60" s="8" t="n">
        <v>56</v>
      </c>
      <c r="B60" s="8">
        <f>'02 原始数据'!B60</f>
        <v/>
      </c>
      <c r="C60" s="8">
        <f>'02 原始数据'!D60</f>
        <v/>
      </c>
      <c r="D60" s="23">
        <f>IF(OR(C60="",C59=""),"",C60-C59)</f>
        <v/>
      </c>
      <c r="E60" s="24">
        <f>IF(OR(C60="",C59=""),"",(C60-C59)/ABS(C59))</f>
        <v/>
      </c>
      <c r="F60" s="8">
        <f>'02 原始数据'!G60</f>
        <v/>
      </c>
      <c r="G60" s="25">
        <f>IF(OR(F60="",F59=""),"",F60-F59)</f>
        <v/>
      </c>
      <c r="H60" s="24">
        <f>IF(OR(F60="",F59=""),"",(F60-F59)/ABS(F59))</f>
        <v/>
      </c>
      <c r="I60" s="8">
        <f>'02 原始数据'!H60</f>
        <v/>
      </c>
      <c r="J60" s="8">
        <f>'02 原始数据'!I60</f>
        <v/>
      </c>
      <c r="K60" s="23">
        <f>IFERROR(IF(C60="","",C60/'02 原始数据'!K60),"")</f>
        <v/>
      </c>
    </row>
    <row r="61">
      <c r="A61" s="8" t="n">
        <v>57</v>
      </c>
      <c r="B61" s="8">
        <f>'02 原始数据'!B61</f>
        <v/>
      </c>
      <c r="C61" s="8">
        <f>'02 原始数据'!D61</f>
        <v/>
      </c>
      <c r="D61" s="23">
        <f>IF(OR(C61="",C60=""),"",C61-C60)</f>
        <v/>
      </c>
      <c r="E61" s="24">
        <f>IF(OR(C61="",C60=""),"",(C61-C60)/ABS(C60))</f>
        <v/>
      </c>
      <c r="F61" s="8">
        <f>'02 原始数据'!G61</f>
        <v/>
      </c>
      <c r="G61" s="25">
        <f>IF(OR(F61="",F60=""),"",F61-F60)</f>
        <v/>
      </c>
      <c r="H61" s="24">
        <f>IF(OR(F61="",F60=""),"",(F61-F60)/ABS(F60))</f>
        <v/>
      </c>
      <c r="I61" s="8">
        <f>'02 原始数据'!H61</f>
        <v/>
      </c>
      <c r="J61" s="8">
        <f>'02 原始数据'!I61</f>
        <v/>
      </c>
      <c r="K61" s="23">
        <f>IFERROR(IF(C61="","",C61/'02 原始数据'!K61),"")</f>
        <v/>
      </c>
    </row>
    <row r="62">
      <c r="A62" s="8" t="n">
        <v>58</v>
      </c>
      <c r="B62" s="8">
        <f>'02 原始数据'!B62</f>
        <v/>
      </c>
      <c r="C62" s="8">
        <f>'02 原始数据'!D62</f>
        <v/>
      </c>
      <c r="D62" s="23">
        <f>IF(OR(C62="",C61=""),"",C62-C61)</f>
        <v/>
      </c>
      <c r="E62" s="24">
        <f>IF(OR(C62="",C61=""),"",(C62-C61)/ABS(C61))</f>
        <v/>
      </c>
      <c r="F62" s="8">
        <f>'02 原始数据'!G62</f>
        <v/>
      </c>
      <c r="G62" s="25">
        <f>IF(OR(F62="",F61=""),"",F62-F61)</f>
        <v/>
      </c>
      <c r="H62" s="24">
        <f>IF(OR(F62="",F61=""),"",(F62-F61)/ABS(F61))</f>
        <v/>
      </c>
      <c r="I62" s="8">
        <f>'02 原始数据'!H62</f>
        <v/>
      </c>
      <c r="J62" s="8">
        <f>'02 原始数据'!I62</f>
        <v/>
      </c>
      <c r="K62" s="23">
        <f>IFERROR(IF(C62="","",C62/'02 原始数据'!K62),"")</f>
        <v/>
      </c>
    </row>
    <row r="63">
      <c r="A63" s="8" t="n">
        <v>59</v>
      </c>
      <c r="B63" s="8">
        <f>'02 原始数据'!B63</f>
        <v/>
      </c>
      <c r="C63" s="8">
        <f>'02 原始数据'!D63</f>
        <v/>
      </c>
      <c r="D63" s="23">
        <f>IF(OR(C63="",C62=""),"",C63-C62)</f>
        <v/>
      </c>
      <c r="E63" s="24">
        <f>IF(OR(C63="",C62=""),"",(C63-C62)/ABS(C62))</f>
        <v/>
      </c>
      <c r="F63" s="8">
        <f>'02 原始数据'!G63</f>
        <v/>
      </c>
      <c r="G63" s="25">
        <f>IF(OR(F63="",F62=""),"",F63-F62)</f>
        <v/>
      </c>
      <c r="H63" s="24">
        <f>IF(OR(F63="",F62=""),"",(F63-F62)/ABS(F62))</f>
        <v/>
      </c>
      <c r="I63" s="8">
        <f>'02 原始数据'!H63</f>
        <v/>
      </c>
      <c r="J63" s="8">
        <f>'02 原始数据'!I63</f>
        <v/>
      </c>
      <c r="K63" s="23">
        <f>IFERROR(IF(C63="","",C63/'02 原始数据'!K63),"")</f>
        <v/>
      </c>
    </row>
    <row r="64">
      <c r="A64" s="8" t="n">
        <v>60</v>
      </c>
      <c r="B64" s="8">
        <f>'02 原始数据'!B64</f>
        <v/>
      </c>
      <c r="C64" s="8">
        <f>'02 原始数据'!D64</f>
        <v/>
      </c>
      <c r="D64" s="23">
        <f>IF(OR(C64="",C63=""),"",C64-C63)</f>
        <v/>
      </c>
      <c r="E64" s="24">
        <f>IF(OR(C64="",C63=""),"",(C64-C63)/ABS(C63))</f>
        <v/>
      </c>
      <c r="F64" s="8">
        <f>'02 原始数据'!G64</f>
        <v/>
      </c>
      <c r="G64" s="25">
        <f>IF(OR(F64="",F63=""),"",F64-F63)</f>
        <v/>
      </c>
      <c r="H64" s="24">
        <f>IF(OR(F64="",F63=""),"",(F64-F63)/ABS(F63))</f>
        <v/>
      </c>
      <c r="I64" s="8">
        <f>'02 原始数据'!H64</f>
        <v/>
      </c>
      <c r="J64" s="8">
        <f>'02 原始数据'!I64</f>
        <v/>
      </c>
      <c r="K64" s="23">
        <f>IFERROR(IF(C64="","",C64/'02 原始数据'!K64),"")</f>
        <v/>
      </c>
    </row>
    <row r="65">
      <c r="A65" s="8" t="n">
        <v>61</v>
      </c>
      <c r="B65" s="8">
        <f>'02 原始数据'!B65</f>
        <v/>
      </c>
      <c r="C65" s="8">
        <f>'02 原始数据'!D65</f>
        <v/>
      </c>
      <c r="D65" s="23">
        <f>IF(OR(C65="",C64=""),"",C65-C64)</f>
        <v/>
      </c>
      <c r="E65" s="24">
        <f>IF(OR(C65="",C64=""),"",(C65-C64)/ABS(C64))</f>
        <v/>
      </c>
      <c r="F65" s="8">
        <f>'02 原始数据'!G65</f>
        <v/>
      </c>
      <c r="G65" s="25">
        <f>IF(OR(F65="",F64=""),"",F65-F64)</f>
        <v/>
      </c>
      <c r="H65" s="24">
        <f>IF(OR(F65="",F64=""),"",(F65-F64)/ABS(F64))</f>
        <v/>
      </c>
      <c r="I65" s="8">
        <f>'02 原始数据'!H65</f>
        <v/>
      </c>
      <c r="J65" s="8">
        <f>'02 原始数据'!I65</f>
        <v/>
      </c>
      <c r="K65" s="23">
        <f>IFERROR(IF(C65="","",C65/'02 原始数据'!K65),"")</f>
        <v/>
      </c>
    </row>
    <row r="66">
      <c r="A66" s="8" t="n">
        <v>62</v>
      </c>
      <c r="B66" s="8">
        <f>'02 原始数据'!B66</f>
        <v/>
      </c>
      <c r="C66" s="8">
        <f>'02 原始数据'!D66</f>
        <v/>
      </c>
      <c r="D66" s="23">
        <f>IF(OR(C66="",C65=""),"",C66-C65)</f>
        <v/>
      </c>
      <c r="E66" s="24">
        <f>IF(OR(C66="",C65=""),"",(C66-C65)/ABS(C65))</f>
        <v/>
      </c>
      <c r="F66" s="8">
        <f>'02 原始数据'!G66</f>
        <v/>
      </c>
      <c r="G66" s="25">
        <f>IF(OR(F66="",F65=""),"",F66-F65)</f>
        <v/>
      </c>
      <c r="H66" s="24">
        <f>IF(OR(F66="",F65=""),"",(F66-F65)/ABS(F65))</f>
        <v/>
      </c>
      <c r="I66" s="8">
        <f>'02 原始数据'!H66</f>
        <v/>
      </c>
      <c r="J66" s="8">
        <f>'02 原始数据'!I66</f>
        <v/>
      </c>
      <c r="K66" s="23">
        <f>IFERROR(IF(C66="","",C66/'02 原始数据'!K66),"")</f>
        <v/>
      </c>
    </row>
    <row r="67">
      <c r="A67" s="8" t="n">
        <v>63</v>
      </c>
      <c r="B67" s="8">
        <f>'02 原始数据'!B67</f>
        <v/>
      </c>
      <c r="C67" s="8">
        <f>'02 原始数据'!D67</f>
        <v/>
      </c>
      <c r="D67" s="23">
        <f>IF(OR(C67="",C66=""),"",C67-C66)</f>
        <v/>
      </c>
      <c r="E67" s="24">
        <f>IF(OR(C67="",C66=""),"",(C67-C66)/ABS(C66))</f>
        <v/>
      </c>
      <c r="F67" s="8">
        <f>'02 原始数据'!G67</f>
        <v/>
      </c>
      <c r="G67" s="25">
        <f>IF(OR(F67="",F66=""),"",F67-F66)</f>
        <v/>
      </c>
      <c r="H67" s="24">
        <f>IF(OR(F67="",F66=""),"",(F67-F66)/ABS(F66))</f>
        <v/>
      </c>
      <c r="I67" s="8">
        <f>'02 原始数据'!H67</f>
        <v/>
      </c>
      <c r="J67" s="8">
        <f>'02 原始数据'!I67</f>
        <v/>
      </c>
      <c r="K67" s="23">
        <f>IFERROR(IF(C67="","",C67/'02 原始数据'!K67),"")</f>
        <v/>
      </c>
    </row>
    <row r="68">
      <c r="A68" s="8" t="n">
        <v>64</v>
      </c>
      <c r="B68" s="8">
        <f>'02 原始数据'!B68</f>
        <v/>
      </c>
      <c r="C68" s="8">
        <f>'02 原始数据'!D68</f>
        <v/>
      </c>
      <c r="D68" s="23">
        <f>IF(OR(C68="",C67=""),"",C68-C67)</f>
        <v/>
      </c>
      <c r="E68" s="24">
        <f>IF(OR(C68="",C67=""),"",(C68-C67)/ABS(C67))</f>
        <v/>
      </c>
      <c r="F68" s="8">
        <f>'02 原始数据'!G68</f>
        <v/>
      </c>
      <c r="G68" s="25">
        <f>IF(OR(F68="",F67=""),"",F68-F67)</f>
        <v/>
      </c>
      <c r="H68" s="24">
        <f>IF(OR(F68="",F67=""),"",(F68-F67)/ABS(F67))</f>
        <v/>
      </c>
      <c r="I68" s="8">
        <f>'02 原始数据'!H68</f>
        <v/>
      </c>
      <c r="J68" s="8">
        <f>'02 原始数据'!I68</f>
        <v/>
      </c>
      <c r="K68" s="23">
        <f>IFERROR(IF(C68="","",C68/'02 原始数据'!K68),"")</f>
        <v/>
      </c>
    </row>
    <row r="69">
      <c r="A69" s="8" t="n">
        <v>65</v>
      </c>
      <c r="B69" s="8">
        <f>'02 原始数据'!B69</f>
        <v/>
      </c>
      <c r="C69" s="8">
        <f>'02 原始数据'!D69</f>
        <v/>
      </c>
      <c r="D69" s="23">
        <f>IF(OR(C69="",C68=""),"",C69-C68)</f>
        <v/>
      </c>
      <c r="E69" s="24">
        <f>IF(OR(C69="",C68=""),"",(C69-C68)/ABS(C68))</f>
        <v/>
      </c>
      <c r="F69" s="8">
        <f>'02 原始数据'!G69</f>
        <v/>
      </c>
      <c r="G69" s="25">
        <f>IF(OR(F69="",F68=""),"",F69-F68)</f>
        <v/>
      </c>
      <c r="H69" s="24">
        <f>IF(OR(F69="",F68=""),"",(F69-F68)/ABS(F68))</f>
        <v/>
      </c>
      <c r="I69" s="8">
        <f>'02 原始数据'!H69</f>
        <v/>
      </c>
      <c r="J69" s="8">
        <f>'02 原始数据'!I69</f>
        <v/>
      </c>
      <c r="K69" s="23">
        <f>IFERROR(IF(C69="","",C69/'02 原始数据'!K69),"")</f>
        <v/>
      </c>
    </row>
    <row r="70">
      <c r="A70" s="8" t="n">
        <v>66</v>
      </c>
      <c r="B70" s="8">
        <f>'02 原始数据'!B70</f>
        <v/>
      </c>
      <c r="C70" s="8">
        <f>'02 原始数据'!D70</f>
        <v/>
      </c>
      <c r="D70" s="23">
        <f>IF(OR(C70="",C69=""),"",C70-C69)</f>
        <v/>
      </c>
      <c r="E70" s="24">
        <f>IF(OR(C70="",C69=""),"",(C70-C69)/ABS(C69))</f>
        <v/>
      </c>
      <c r="F70" s="8">
        <f>'02 原始数据'!G70</f>
        <v/>
      </c>
      <c r="G70" s="25">
        <f>IF(OR(F70="",F69=""),"",F70-F69)</f>
        <v/>
      </c>
      <c r="H70" s="24">
        <f>IF(OR(F70="",F69=""),"",(F70-F69)/ABS(F69))</f>
        <v/>
      </c>
      <c r="I70" s="8">
        <f>'02 原始数据'!H70</f>
        <v/>
      </c>
      <c r="J70" s="8">
        <f>'02 原始数据'!I70</f>
        <v/>
      </c>
      <c r="K70" s="23">
        <f>IFERROR(IF(C70="","",C70/'02 原始数据'!K70),"")</f>
        <v/>
      </c>
    </row>
    <row r="71">
      <c r="A71" s="8" t="n">
        <v>67</v>
      </c>
      <c r="B71" s="8">
        <f>'02 原始数据'!B71</f>
        <v/>
      </c>
      <c r="C71" s="8">
        <f>'02 原始数据'!D71</f>
        <v/>
      </c>
      <c r="D71" s="23">
        <f>IF(OR(C71="",C70=""),"",C71-C70)</f>
        <v/>
      </c>
      <c r="E71" s="24">
        <f>IF(OR(C71="",C70=""),"",(C71-C70)/ABS(C70))</f>
        <v/>
      </c>
      <c r="F71" s="8">
        <f>'02 原始数据'!G71</f>
        <v/>
      </c>
      <c r="G71" s="25">
        <f>IF(OR(F71="",F70=""),"",F71-F70)</f>
        <v/>
      </c>
      <c r="H71" s="24">
        <f>IF(OR(F71="",F70=""),"",(F71-F70)/ABS(F70))</f>
        <v/>
      </c>
      <c r="I71" s="8">
        <f>'02 原始数据'!H71</f>
        <v/>
      </c>
      <c r="J71" s="8">
        <f>'02 原始数据'!I71</f>
        <v/>
      </c>
      <c r="K71" s="23">
        <f>IFERROR(IF(C71="","",C71/'02 原始数据'!K71),"")</f>
        <v/>
      </c>
    </row>
    <row r="72">
      <c r="A72" s="8" t="n">
        <v>68</v>
      </c>
      <c r="B72" s="8">
        <f>'02 原始数据'!B72</f>
        <v/>
      </c>
      <c r="C72" s="8">
        <f>'02 原始数据'!D72</f>
        <v/>
      </c>
      <c r="D72" s="23">
        <f>IF(OR(C72="",C71=""),"",C72-C71)</f>
        <v/>
      </c>
      <c r="E72" s="24">
        <f>IF(OR(C72="",C71=""),"",(C72-C71)/ABS(C71))</f>
        <v/>
      </c>
      <c r="F72" s="8">
        <f>'02 原始数据'!G72</f>
        <v/>
      </c>
      <c r="G72" s="25">
        <f>IF(OR(F72="",F71=""),"",F72-F71)</f>
        <v/>
      </c>
      <c r="H72" s="24">
        <f>IF(OR(F72="",F71=""),"",(F72-F71)/ABS(F71))</f>
        <v/>
      </c>
      <c r="I72" s="8">
        <f>'02 原始数据'!H72</f>
        <v/>
      </c>
      <c r="J72" s="8">
        <f>'02 原始数据'!I72</f>
        <v/>
      </c>
      <c r="K72" s="23">
        <f>IFERROR(IF(C72="","",C72/'02 原始数据'!K72),"")</f>
        <v/>
      </c>
    </row>
    <row r="73">
      <c r="A73" s="8" t="n">
        <v>69</v>
      </c>
      <c r="B73" s="8">
        <f>'02 原始数据'!B73</f>
        <v/>
      </c>
      <c r="C73" s="8">
        <f>'02 原始数据'!D73</f>
        <v/>
      </c>
      <c r="D73" s="23">
        <f>IF(OR(C73="",C72=""),"",C73-C72)</f>
        <v/>
      </c>
      <c r="E73" s="24">
        <f>IF(OR(C73="",C72=""),"",(C73-C72)/ABS(C72))</f>
        <v/>
      </c>
      <c r="F73" s="8">
        <f>'02 原始数据'!G73</f>
        <v/>
      </c>
      <c r="G73" s="25">
        <f>IF(OR(F73="",F72=""),"",F73-F72)</f>
        <v/>
      </c>
      <c r="H73" s="24">
        <f>IF(OR(F73="",F72=""),"",(F73-F72)/ABS(F72))</f>
        <v/>
      </c>
      <c r="I73" s="8">
        <f>'02 原始数据'!H73</f>
        <v/>
      </c>
      <c r="J73" s="8">
        <f>'02 原始数据'!I73</f>
        <v/>
      </c>
      <c r="K73" s="23">
        <f>IFERROR(IF(C73="","",C73/'02 原始数据'!K73),"")</f>
        <v/>
      </c>
    </row>
    <row r="74">
      <c r="A74" s="8" t="n">
        <v>70</v>
      </c>
      <c r="B74" s="8">
        <f>'02 原始数据'!B74</f>
        <v/>
      </c>
      <c r="C74" s="8">
        <f>'02 原始数据'!D74</f>
        <v/>
      </c>
      <c r="D74" s="23">
        <f>IF(OR(C74="",C73=""),"",C74-C73)</f>
        <v/>
      </c>
      <c r="E74" s="24">
        <f>IF(OR(C74="",C73=""),"",(C74-C73)/ABS(C73))</f>
        <v/>
      </c>
      <c r="F74" s="8">
        <f>'02 原始数据'!G74</f>
        <v/>
      </c>
      <c r="G74" s="25">
        <f>IF(OR(F74="",F73=""),"",F74-F73)</f>
        <v/>
      </c>
      <c r="H74" s="24">
        <f>IF(OR(F74="",F73=""),"",(F74-F73)/ABS(F73))</f>
        <v/>
      </c>
      <c r="I74" s="8">
        <f>'02 原始数据'!H74</f>
        <v/>
      </c>
      <c r="J74" s="8">
        <f>'02 原始数据'!I74</f>
        <v/>
      </c>
      <c r="K74" s="23">
        <f>IFERROR(IF(C74="","",C74/'02 原始数据'!K74),"")</f>
        <v/>
      </c>
    </row>
    <row r="75">
      <c r="A75" s="8" t="n">
        <v>71</v>
      </c>
      <c r="B75" s="8">
        <f>'02 原始数据'!B75</f>
        <v/>
      </c>
      <c r="C75" s="8">
        <f>'02 原始数据'!D75</f>
        <v/>
      </c>
      <c r="D75" s="23">
        <f>IF(OR(C75="",C74=""),"",C75-C74)</f>
        <v/>
      </c>
      <c r="E75" s="24">
        <f>IF(OR(C75="",C74=""),"",(C75-C74)/ABS(C74))</f>
        <v/>
      </c>
      <c r="F75" s="8">
        <f>'02 原始数据'!G75</f>
        <v/>
      </c>
      <c r="G75" s="25">
        <f>IF(OR(F75="",F74=""),"",F75-F74)</f>
        <v/>
      </c>
      <c r="H75" s="24">
        <f>IF(OR(F75="",F74=""),"",(F75-F74)/ABS(F74))</f>
        <v/>
      </c>
      <c r="I75" s="8">
        <f>'02 原始数据'!H75</f>
        <v/>
      </c>
      <c r="J75" s="8">
        <f>'02 原始数据'!I75</f>
        <v/>
      </c>
      <c r="K75" s="23">
        <f>IFERROR(IF(C75="","",C75/'02 原始数据'!K75),"")</f>
        <v/>
      </c>
    </row>
    <row r="76">
      <c r="A76" s="8" t="n">
        <v>72</v>
      </c>
      <c r="B76" s="8">
        <f>'02 原始数据'!B76</f>
        <v/>
      </c>
      <c r="C76" s="8">
        <f>'02 原始数据'!D76</f>
        <v/>
      </c>
      <c r="D76" s="23">
        <f>IF(OR(C76="",C75=""),"",C76-C75)</f>
        <v/>
      </c>
      <c r="E76" s="24">
        <f>IF(OR(C76="",C75=""),"",(C76-C75)/ABS(C75))</f>
        <v/>
      </c>
      <c r="F76" s="8">
        <f>'02 原始数据'!G76</f>
        <v/>
      </c>
      <c r="G76" s="25">
        <f>IF(OR(F76="",F75=""),"",F76-F75)</f>
        <v/>
      </c>
      <c r="H76" s="24">
        <f>IF(OR(F76="",F75=""),"",(F76-F75)/ABS(F75))</f>
        <v/>
      </c>
      <c r="I76" s="8">
        <f>'02 原始数据'!H76</f>
        <v/>
      </c>
      <c r="J76" s="8">
        <f>'02 原始数据'!I76</f>
        <v/>
      </c>
      <c r="K76" s="23">
        <f>IFERROR(IF(C76="","",C76/'02 原始数据'!K76),"")</f>
        <v/>
      </c>
    </row>
    <row r="77">
      <c r="A77" s="8" t="n">
        <v>73</v>
      </c>
      <c r="B77" s="8">
        <f>'02 原始数据'!B77</f>
        <v/>
      </c>
      <c r="C77" s="8">
        <f>'02 原始数据'!D77</f>
        <v/>
      </c>
      <c r="D77" s="23">
        <f>IF(OR(C77="",C76=""),"",C77-C76)</f>
        <v/>
      </c>
      <c r="E77" s="24">
        <f>IF(OR(C77="",C76=""),"",(C77-C76)/ABS(C76))</f>
        <v/>
      </c>
      <c r="F77" s="8">
        <f>'02 原始数据'!G77</f>
        <v/>
      </c>
      <c r="G77" s="25">
        <f>IF(OR(F77="",F76=""),"",F77-F76)</f>
        <v/>
      </c>
      <c r="H77" s="24">
        <f>IF(OR(F77="",F76=""),"",(F77-F76)/ABS(F76))</f>
        <v/>
      </c>
      <c r="I77" s="8">
        <f>'02 原始数据'!H77</f>
        <v/>
      </c>
      <c r="J77" s="8">
        <f>'02 原始数据'!I77</f>
        <v/>
      </c>
      <c r="K77" s="23">
        <f>IFERROR(IF(C77="","",C77/'02 原始数据'!K77),"")</f>
        <v/>
      </c>
    </row>
    <row r="78">
      <c r="A78" s="8" t="n">
        <v>74</v>
      </c>
      <c r="B78" s="8">
        <f>'02 原始数据'!B78</f>
        <v/>
      </c>
      <c r="C78" s="8">
        <f>'02 原始数据'!D78</f>
        <v/>
      </c>
      <c r="D78" s="23">
        <f>IF(OR(C78="",C77=""),"",C78-C77)</f>
        <v/>
      </c>
      <c r="E78" s="24">
        <f>IF(OR(C78="",C77=""),"",(C78-C77)/ABS(C77))</f>
        <v/>
      </c>
      <c r="F78" s="8">
        <f>'02 原始数据'!G78</f>
        <v/>
      </c>
      <c r="G78" s="25">
        <f>IF(OR(F78="",F77=""),"",F78-F77)</f>
        <v/>
      </c>
      <c r="H78" s="24">
        <f>IF(OR(F78="",F77=""),"",(F78-F77)/ABS(F77))</f>
        <v/>
      </c>
      <c r="I78" s="8">
        <f>'02 原始数据'!H78</f>
        <v/>
      </c>
      <c r="J78" s="8">
        <f>'02 原始数据'!I78</f>
        <v/>
      </c>
      <c r="K78" s="23">
        <f>IFERROR(IF(C78="","",C78/'02 原始数据'!K78),"")</f>
        <v/>
      </c>
    </row>
    <row r="79">
      <c r="A79" s="8" t="n">
        <v>75</v>
      </c>
      <c r="B79" s="8">
        <f>'02 原始数据'!B79</f>
        <v/>
      </c>
      <c r="C79" s="8">
        <f>'02 原始数据'!D79</f>
        <v/>
      </c>
      <c r="D79" s="23">
        <f>IF(OR(C79="",C78=""),"",C79-C78)</f>
        <v/>
      </c>
      <c r="E79" s="24">
        <f>IF(OR(C79="",C78=""),"",(C79-C78)/ABS(C78))</f>
        <v/>
      </c>
      <c r="F79" s="8">
        <f>'02 原始数据'!G79</f>
        <v/>
      </c>
      <c r="G79" s="25">
        <f>IF(OR(F79="",F78=""),"",F79-F78)</f>
        <v/>
      </c>
      <c r="H79" s="24">
        <f>IF(OR(F79="",F78=""),"",(F79-F78)/ABS(F78))</f>
        <v/>
      </c>
      <c r="I79" s="8">
        <f>'02 原始数据'!H79</f>
        <v/>
      </c>
      <c r="J79" s="8">
        <f>'02 原始数据'!I79</f>
        <v/>
      </c>
      <c r="K79" s="23">
        <f>IFERROR(IF(C79="","",C79/'02 原始数据'!K79),"")</f>
        <v/>
      </c>
    </row>
    <row r="80">
      <c r="A80" s="8" t="n">
        <v>76</v>
      </c>
      <c r="B80" s="8">
        <f>'02 原始数据'!B80</f>
        <v/>
      </c>
      <c r="C80" s="8">
        <f>'02 原始数据'!D80</f>
        <v/>
      </c>
      <c r="D80" s="23">
        <f>IF(OR(C80="",C79=""),"",C80-C79)</f>
        <v/>
      </c>
      <c r="E80" s="24">
        <f>IF(OR(C80="",C79=""),"",(C80-C79)/ABS(C79))</f>
        <v/>
      </c>
      <c r="F80" s="8">
        <f>'02 原始数据'!G80</f>
        <v/>
      </c>
      <c r="G80" s="25">
        <f>IF(OR(F80="",F79=""),"",F80-F79)</f>
        <v/>
      </c>
      <c r="H80" s="24">
        <f>IF(OR(F80="",F79=""),"",(F80-F79)/ABS(F79))</f>
        <v/>
      </c>
      <c r="I80" s="8">
        <f>'02 原始数据'!H80</f>
        <v/>
      </c>
      <c r="J80" s="8">
        <f>'02 原始数据'!I80</f>
        <v/>
      </c>
      <c r="K80" s="23">
        <f>IFERROR(IF(C80="","",C80/'02 原始数据'!K80),"")</f>
        <v/>
      </c>
    </row>
    <row r="81">
      <c r="A81" s="8" t="n">
        <v>77</v>
      </c>
      <c r="B81" s="8">
        <f>'02 原始数据'!B81</f>
        <v/>
      </c>
      <c r="C81" s="8">
        <f>'02 原始数据'!D81</f>
        <v/>
      </c>
      <c r="D81" s="23">
        <f>IF(OR(C81="",C80=""),"",C81-C80)</f>
        <v/>
      </c>
      <c r="E81" s="24">
        <f>IF(OR(C81="",C80=""),"",(C81-C80)/ABS(C80))</f>
        <v/>
      </c>
      <c r="F81" s="8">
        <f>'02 原始数据'!G81</f>
        <v/>
      </c>
      <c r="G81" s="25">
        <f>IF(OR(F81="",F80=""),"",F81-F80)</f>
        <v/>
      </c>
      <c r="H81" s="24">
        <f>IF(OR(F81="",F80=""),"",(F81-F80)/ABS(F80))</f>
        <v/>
      </c>
      <c r="I81" s="8">
        <f>'02 原始数据'!H81</f>
        <v/>
      </c>
      <c r="J81" s="8">
        <f>'02 原始数据'!I81</f>
        <v/>
      </c>
      <c r="K81" s="23">
        <f>IFERROR(IF(C81="","",C81/'02 原始数据'!K81),"")</f>
        <v/>
      </c>
    </row>
    <row r="82">
      <c r="A82" s="8" t="n">
        <v>78</v>
      </c>
      <c r="B82" s="8">
        <f>'02 原始数据'!B82</f>
        <v/>
      </c>
      <c r="C82" s="8">
        <f>'02 原始数据'!D82</f>
        <v/>
      </c>
      <c r="D82" s="23">
        <f>IF(OR(C82="",C81=""),"",C82-C81)</f>
        <v/>
      </c>
      <c r="E82" s="24">
        <f>IF(OR(C82="",C81=""),"",(C82-C81)/ABS(C81))</f>
        <v/>
      </c>
      <c r="F82" s="8">
        <f>'02 原始数据'!G82</f>
        <v/>
      </c>
      <c r="G82" s="25">
        <f>IF(OR(F82="",F81=""),"",F82-F81)</f>
        <v/>
      </c>
      <c r="H82" s="24">
        <f>IF(OR(F82="",F81=""),"",(F82-F81)/ABS(F81))</f>
        <v/>
      </c>
      <c r="I82" s="8">
        <f>'02 原始数据'!H82</f>
        <v/>
      </c>
      <c r="J82" s="8">
        <f>'02 原始数据'!I82</f>
        <v/>
      </c>
      <c r="K82" s="23">
        <f>IFERROR(IF(C82="","",C82/'02 原始数据'!K82),"")</f>
        <v/>
      </c>
    </row>
    <row r="83">
      <c r="A83" s="8" t="n">
        <v>79</v>
      </c>
      <c r="B83" s="8">
        <f>'02 原始数据'!B83</f>
        <v/>
      </c>
      <c r="C83" s="8">
        <f>'02 原始数据'!D83</f>
        <v/>
      </c>
      <c r="D83" s="23">
        <f>IF(OR(C83="",C82=""),"",C83-C82)</f>
        <v/>
      </c>
      <c r="E83" s="24">
        <f>IF(OR(C83="",C82=""),"",(C83-C82)/ABS(C82))</f>
        <v/>
      </c>
      <c r="F83" s="8">
        <f>'02 原始数据'!G83</f>
        <v/>
      </c>
      <c r="G83" s="25">
        <f>IF(OR(F83="",F82=""),"",F83-F82)</f>
        <v/>
      </c>
      <c r="H83" s="24">
        <f>IF(OR(F83="",F82=""),"",(F83-F82)/ABS(F82))</f>
        <v/>
      </c>
      <c r="I83" s="8">
        <f>'02 原始数据'!H83</f>
        <v/>
      </c>
      <c r="J83" s="8">
        <f>'02 原始数据'!I83</f>
        <v/>
      </c>
      <c r="K83" s="23">
        <f>IFERROR(IF(C83="","",C83/'02 原始数据'!K83),"")</f>
        <v/>
      </c>
    </row>
    <row r="84">
      <c r="A84" s="8" t="n">
        <v>80</v>
      </c>
      <c r="B84" s="8">
        <f>'02 原始数据'!B84</f>
        <v/>
      </c>
      <c r="C84" s="8">
        <f>'02 原始数据'!D84</f>
        <v/>
      </c>
      <c r="D84" s="23">
        <f>IF(OR(C84="",C83=""),"",C84-C83)</f>
        <v/>
      </c>
      <c r="E84" s="24">
        <f>IF(OR(C84="",C83=""),"",(C84-C83)/ABS(C83))</f>
        <v/>
      </c>
      <c r="F84" s="8">
        <f>'02 原始数据'!G84</f>
        <v/>
      </c>
      <c r="G84" s="25">
        <f>IF(OR(F84="",F83=""),"",F84-F83)</f>
        <v/>
      </c>
      <c r="H84" s="24">
        <f>IF(OR(F84="",F83=""),"",(F84-F83)/ABS(F83))</f>
        <v/>
      </c>
      <c r="I84" s="8">
        <f>'02 原始数据'!H84</f>
        <v/>
      </c>
      <c r="J84" s="8">
        <f>'02 原始数据'!I84</f>
        <v/>
      </c>
      <c r="K84" s="23">
        <f>IFERROR(IF(C84="","",C84/'02 原始数据'!K84),"")</f>
        <v/>
      </c>
    </row>
    <row r="85">
      <c r="A85" s="8" t="n">
        <v>81</v>
      </c>
      <c r="B85" s="8">
        <f>'02 原始数据'!B85</f>
        <v/>
      </c>
      <c r="C85" s="8">
        <f>'02 原始数据'!D85</f>
        <v/>
      </c>
      <c r="D85" s="23">
        <f>IF(OR(C85="",C84=""),"",C85-C84)</f>
        <v/>
      </c>
      <c r="E85" s="24">
        <f>IF(OR(C85="",C84=""),"",(C85-C84)/ABS(C84))</f>
        <v/>
      </c>
      <c r="F85" s="8">
        <f>'02 原始数据'!G85</f>
        <v/>
      </c>
      <c r="G85" s="25">
        <f>IF(OR(F85="",F84=""),"",F85-F84)</f>
        <v/>
      </c>
      <c r="H85" s="24">
        <f>IF(OR(F85="",F84=""),"",(F85-F84)/ABS(F84))</f>
        <v/>
      </c>
      <c r="I85" s="8">
        <f>'02 原始数据'!H85</f>
        <v/>
      </c>
      <c r="J85" s="8">
        <f>'02 原始数据'!I85</f>
        <v/>
      </c>
      <c r="K85" s="23">
        <f>IFERROR(IF(C85="","",C85/'02 原始数据'!K85),"")</f>
        <v/>
      </c>
    </row>
    <row r="86">
      <c r="A86" s="8" t="n">
        <v>82</v>
      </c>
      <c r="B86" s="8">
        <f>'02 原始数据'!B86</f>
        <v/>
      </c>
      <c r="C86" s="8">
        <f>'02 原始数据'!D86</f>
        <v/>
      </c>
      <c r="D86" s="23">
        <f>IF(OR(C86="",C85=""),"",C86-C85)</f>
        <v/>
      </c>
      <c r="E86" s="24">
        <f>IF(OR(C86="",C85=""),"",(C86-C85)/ABS(C85))</f>
        <v/>
      </c>
      <c r="F86" s="8">
        <f>'02 原始数据'!G86</f>
        <v/>
      </c>
      <c r="G86" s="25">
        <f>IF(OR(F86="",F85=""),"",F86-F85)</f>
        <v/>
      </c>
      <c r="H86" s="24">
        <f>IF(OR(F86="",F85=""),"",(F86-F85)/ABS(F85))</f>
        <v/>
      </c>
      <c r="I86" s="8">
        <f>'02 原始数据'!H86</f>
        <v/>
      </c>
      <c r="J86" s="8">
        <f>'02 原始数据'!I86</f>
        <v/>
      </c>
      <c r="K86" s="23">
        <f>IFERROR(IF(C86="","",C86/'02 原始数据'!K86),"")</f>
        <v/>
      </c>
    </row>
    <row r="87">
      <c r="A87" s="8" t="n">
        <v>83</v>
      </c>
      <c r="B87" s="8">
        <f>'02 原始数据'!B87</f>
        <v/>
      </c>
      <c r="C87" s="8">
        <f>'02 原始数据'!D87</f>
        <v/>
      </c>
      <c r="D87" s="23">
        <f>IF(OR(C87="",C86=""),"",C87-C86)</f>
        <v/>
      </c>
      <c r="E87" s="24">
        <f>IF(OR(C87="",C86=""),"",(C87-C86)/ABS(C86))</f>
        <v/>
      </c>
      <c r="F87" s="8">
        <f>'02 原始数据'!G87</f>
        <v/>
      </c>
      <c r="G87" s="25">
        <f>IF(OR(F87="",F86=""),"",F87-F86)</f>
        <v/>
      </c>
      <c r="H87" s="24">
        <f>IF(OR(F87="",F86=""),"",(F87-F86)/ABS(F86))</f>
        <v/>
      </c>
      <c r="I87" s="8">
        <f>'02 原始数据'!H87</f>
        <v/>
      </c>
      <c r="J87" s="8">
        <f>'02 原始数据'!I87</f>
        <v/>
      </c>
      <c r="K87" s="23">
        <f>IFERROR(IF(C87="","",C87/'02 原始数据'!K87),"")</f>
        <v/>
      </c>
    </row>
    <row r="88">
      <c r="A88" s="8" t="n">
        <v>84</v>
      </c>
      <c r="B88" s="8">
        <f>'02 原始数据'!B88</f>
        <v/>
      </c>
      <c r="C88" s="8">
        <f>'02 原始数据'!D88</f>
        <v/>
      </c>
      <c r="D88" s="23">
        <f>IF(OR(C88="",C87=""),"",C88-C87)</f>
        <v/>
      </c>
      <c r="E88" s="24">
        <f>IF(OR(C88="",C87=""),"",(C88-C87)/ABS(C87))</f>
        <v/>
      </c>
      <c r="F88" s="8">
        <f>'02 原始数据'!G88</f>
        <v/>
      </c>
      <c r="G88" s="25">
        <f>IF(OR(F88="",F87=""),"",F88-F87)</f>
        <v/>
      </c>
      <c r="H88" s="24">
        <f>IF(OR(F88="",F87=""),"",(F88-F87)/ABS(F87))</f>
        <v/>
      </c>
      <c r="I88" s="8">
        <f>'02 原始数据'!H88</f>
        <v/>
      </c>
      <c r="J88" s="8">
        <f>'02 原始数据'!I88</f>
        <v/>
      </c>
      <c r="K88" s="23">
        <f>IFERROR(IF(C88="","",C88/'02 原始数据'!K88),"")</f>
        <v/>
      </c>
    </row>
    <row r="89">
      <c r="A89" s="8" t="n">
        <v>85</v>
      </c>
      <c r="B89" s="8">
        <f>'02 原始数据'!B89</f>
        <v/>
      </c>
      <c r="C89" s="8">
        <f>'02 原始数据'!D89</f>
        <v/>
      </c>
      <c r="D89" s="23">
        <f>IF(OR(C89="",C88=""),"",C89-C88)</f>
        <v/>
      </c>
      <c r="E89" s="24">
        <f>IF(OR(C89="",C88=""),"",(C89-C88)/ABS(C88))</f>
        <v/>
      </c>
      <c r="F89" s="8">
        <f>'02 原始数据'!G89</f>
        <v/>
      </c>
      <c r="G89" s="25">
        <f>IF(OR(F89="",F88=""),"",F89-F88)</f>
        <v/>
      </c>
      <c r="H89" s="24">
        <f>IF(OR(F89="",F88=""),"",(F89-F88)/ABS(F88))</f>
        <v/>
      </c>
      <c r="I89" s="8">
        <f>'02 原始数据'!H89</f>
        <v/>
      </c>
      <c r="J89" s="8">
        <f>'02 原始数据'!I89</f>
        <v/>
      </c>
      <c r="K89" s="23">
        <f>IFERROR(IF(C89="","",C89/'02 原始数据'!K89),"")</f>
        <v/>
      </c>
    </row>
    <row r="90">
      <c r="A90" s="8" t="n">
        <v>86</v>
      </c>
      <c r="B90" s="8">
        <f>'02 原始数据'!B90</f>
        <v/>
      </c>
      <c r="C90" s="8">
        <f>'02 原始数据'!D90</f>
        <v/>
      </c>
      <c r="D90" s="23">
        <f>IF(OR(C90="",C89=""),"",C90-C89)</f>
        <v/>
      </c>
      <c r="E90" s="24">
        <f>IF(OR(C90="",C89=""),"",(C90-C89)/ABS(C89))</f>
        <v/>
      </c>
      <c r="F90" s="8">
        <f>'02 原始数据'!G90</f>
        <v/>
      </c>
      <c r="G90" s="25">
        <f>IF(OR(F90="",F89=""),"",F90-F89)</f>
        <v/>
      </c>
      <c r="H90" s="24">
        <f>IF(OR(F90="",F89=""),"",(F90-F89)/ABS(F89))</f>
        <v/>
      </c>
      <c r="I90" s="8">
        <f>'02 原始数据'!H90</f>
        <v/>
      </c>
      <c r="J90" s="8">
        <f>'02 原始数据'!I90</f>
        <v/>
      </c>
      <c r="K90" s="23">
        <f>IFERROR(IF(C90="","",C90/'02 原始数据'!K90),"")</f>
        <v/>
      </c>
    </row>
    <row r="91">
      <c r="A91" s="8" t="n">
        <v>87</v>
      </c>
      <c r="B91" s="8">
        <f>'02 原始数据'!B91</f>
        <v/>
      </c>
      <c r="C91" s="8">
        <f>'02 原始数据'!D91</f>
        <v/>
      </c>
      <c r="D91" s="23">
        <f>IF(OR(C91="",C90=""),"",C91-C90)</f>
        <v/>
      </c>
      <c r="E91" s="24">
        <f>IF(OR(C91="",C90=""),"",(C91-C90)/ABS(C90))</f>
        <v/>
      </c>
      <c r="F91" s="8">
        <f>'02 原始数据'!G91</f>
        <v/>
      </c>
      <c r="G91" s="25">
        <f>IF(OR(F91="",F90=""),"",F91-F90)</f>
        <v/>
      </c>
      <c r="H91" s="24">
        <f>IF(OR(F91="",F90=""),"",(F91-F90)/ABS(F90))</f>
        <v/>
      </c>
      <c r="I91" s="8">
        <f>'02 原始数据'!H91</f>
        <v/>
      </c>
      <c r="J91" s="8">
        <f>'02 原始数据'!I91</f>
        <v/>
      </c>
      <c r="K91" s="23">
        <f>IFERROR(IF(C91="","",C91/'02 原始数据'!K91),"")</f>
        <v/>
      </c>
    </row>
    <row r="92">
      <c r="A92" s="8" t="n">
        <v>88</v>
      </c>
      <c r="B92" s="8">
        <f>'02 原始数据'!B92</f>
        <v/>
      </c>
      <c r="C92" s="8">
        <f>'02 原始数据'!D92</f>
        <v/>
      </c>
      <c r="D92" s="23">
        <f>IF(OR(C92="",C91=""),"",C92-C91)</f>
        <v/>
      </c>
      <c r="E92" s="24">
        <f>IF(OR(C92="",C91=""),"",(C92-C91)/ABS(C91))</f>
        <v/>
      </c>
      <c r="F92" s="8">
        <f>'02 原始数据'!G92</f>
        <v/>
      </c>
      <c r="G92" s="25">
        <f>IF(OR(F92="",F91=""),"",F92-F91)</f>
        <v/>
      </c>
      <c r="H92" s="24">
        <f>IF(OR(F92="",F91=""),"",(F92-F91)/ABS(F91))</f>
        <v/>
      </c>
      <c r="I92" s="8">
        <f>'02 原始数据'!H92</f>
        <v/>
      </c>
      <c r="J92" s="8">
        <f>'02 原始数据'!I92</f>
        <v/>
      </c>
      <c r="K92" s="23">
        <f>IFERROR(IF(C92="","",C92/'02 原始数据'!K92),"")</f>
        <v/>
      </c>
    </row>
    <row r="93">
      <c r="A93" s="8" t="n">
        <v>89</v>
      </c>
      <c r="B93" s="8">
        <f>'02 原始数据'!B93</f>
        <v/>
      </c>
      <c r="C93" s="8">
        <f>'02 原始数据'!D93</f>
        <v/>
      </c>
      <c r="D93" s="23">
        <f>IF(OR(C93="",C92=""),"",C93-C92)</f>
        <v/>
      </c>
      <c r="E93" s="24">
        <f>IF(OR(C93="",C92=""),"",(C93-C92)/ABS(C92))</f>
        <v/>
      </c>
      <c r="F93" s="8">
        <f>'02 原始数据'!G93</f>
        <v/>
      </c>
      <c r="G93" s="25">
        <f>IF(OR(F93="",F92=""),"",F93-F92)</f>
        <v/>
      </c>
      <c r="H93" s="24">
        <f>IF(OR(F93="",F92=""),"",(F93-F92)/ABS(F92))</f>
        <v/>
      </c>
      <c r="I93" s="8">
        <f>'02 原始数据'!H93</f>
        <v/>
      </c>
      <c r="J93" s="8">
        <f>'02 原始数据'!I93</f>
        <v/>
      </c>
      <c r="K93" s="23">
        <f>IFERROR(IF(C93="","",C93/'02 原始数据'!K93),"")</f>
        <v/>
      </c>
    </row>
    <row r="94">
      <c r="A94" s="8" t="n">
        <v>90</v>
      </c>
      <c r="B94" s="8">
        <f>'02 原始数据'!B94</f>
        <v/>
      </c>
      <c r="C94" s="8">
        <f>'02 原始数据'!D94</f>
        <v/>
      </c>
      <c r="D94" s="23">
        <f>IF(OR(C94="",C93=""),"",C94-C93)</f>
        <v/>
      </c>
      <c r="E94" s="24">
        <f>IF(OR(C94="",C93=""),"",(C94-C93)/ABS(C93))</f>
        <v/>
      </c>
      <c r="F94" s="8">
        <f>'02 原始数据'!G94</f>
        <v/>
      </c>
      <c r="G94" s="25">
        <f>IF(OR(F94="",F93=""),"",F94-F93)</f>
        <v/>
      </c>
      <c r="H94" s="24">
        <f>IF(OR(F94="",F93=""),"",(F94-F93)/ABS(F93))</f>
        <v/>
      </c>
      <c r="I94" s="8">
        <f>'02 原始数据'!H94</f>
        <v/>
      </c>
      <c r="J94" s="8">
        <f>'02 原始数据'!I94</f>
        <v/>
      </c>
      <c r="K94" s="23">
        <f>IFERROR(IF(C94="","",C94/'02 原始数据'!K94),"")</f>
        <v/>
      </c>
    </row>
    <row r="95">
      <c r="A95" s="8" t="n">
        <v>91</v>
      </c>
      <c r="B95" s="8">
        <f>'02 原始数据'!B95</f>
        <v/>
      </c>
      <c r="C95" s="8">
        <f>'02 原始数据'!D95</f>
        <v/>
      </c>
      <c r="D95" s="23">
        <f>IF(OR(C95="",C94=""),"",C95-C94)</f>
        <v/>
      </c>
      <c r="E95" s="24">
        <f>IF(OR(C95="",C94=""),"",(C95-C94)/ABS(C94))</f>
        <v/>
      </c>
      <c r="F95" s="8">
        <f>'02 原始数据'!G95</f>
        <v/>
      </c>
      <c r="G95" s="25">
        <f>IF(OR(F95="",F94=""),"",F95-F94)</f>
        <v/>
      </c>
      <c r="H95" s="24">
        <f>IF(OR(F95="",F94=""),"",(F95-F94)/ABS(F94))</f>
        <v/>
      </c>
      <c r="I95" s="8">
        <f>'02 原始数据'!H95</f>
        <v/>
      </c>
      <c r="J95" s="8">
        <f>'02 原始数据'!I95</f>
        <v/>
      </c>
      <c r="K95" s="23">
        <f>IFERROR(IF(C95="","",C95/'02 原始数据'!K95),"")</f>
        <v/>
      </c>
    </row>
    <row r="96">
      <c r="A96" s="8" t="n">
        <v>92</v>
      </c>
      <c r="B96" s="8">
        <f>'02 原始数据'!B96</f>
        <v/>
      </c>
      <c r="C96" s="8">
        <f>'02 原始数据'!D96</f>
        <v/>
      </c>
      <c r="D96" s="23">
        <f>IF(OR(C96="",C95=""),"",C96-C95)</f>
        <v/>
      </c>
      <c r="E96" s="24">
        <f>IF(OR(C96="",C95=""),"",(C96-C95)/ABS(C95))</f>
        <v/>
      </c>
      <c r="F96" s="8">
        <f>'02 原始数据'!G96</f>
        <v/>
      </c>
      <c r="G96" s="25">
        <f>IF(OR(F96="",F95=""),"",F96-F95)</f>
        <v/>
      </c>
      <c r="H96" s="24">
        <f>IF(OR(F96="",F95=""),"",(F96-F95)/ABS(F95))</f>
        <v/>
      </c>
      <c r="I96" s="8">
        <f>'02 原始数据'!H96</f>
        <v/>
      </c>
      <c r="J96" s="8">
        <f>'02 原始数据'!I96</f>
        <v/>
      </c>
      <c r="K96" s="23">
        <f>IFERROR(IF(C96="","",C96/'02 原始数据'!K96),"")</f>
        <v/>
      </c>
    </row>
    <row r="97">
      <c r="A97" s="8" t="n">
        <v>93</v>
      </c>
      <c r="B97" s="8">
        <f>'02 原始数据'!B97</f>
        <v/>
      </c>
      <c r="C97" s="8">
        <f>'02 原始数据'!D97</f>
        <v/>
      </c>
      <c r="D97" s="23">
        <f>IF(OR(C97="",C96=""),"",C97-C96)</f>
        <v/>
      </c>
      <c r="E97" s="24">
        <f>IF(OR(C97="",C96=""),"",(C97-C96)/ABS(C96))</f>
        <v/>
      </c>
      <c r="F97" s="8">
        <f>'02 原始数据'!G97</f>
        <v/>
      </c>
      <c r="G97" s="25">
        <f>IF(OR(F97="",F96=""),"",F97-F96)</f>
        <v/>
      </c>
      <c r="H97" s="24">
        <f>IF(OR(F97="",F96=""),"",(F97-F96)/ABS(F96))</f>
        <v/>
      </c>
      <c r="I97" s="8">
        <f>'02 原始数据'!H97</f>
        <v/>
      </c>
      <c r="J97" s="8">
        <f>'02 原始数据'!I97</f>
        <v/>
      </c>
      <c r="K97" s="23">
        <f>IFERROR(IF(C97="","",C97/'02 原始数据'!K97),"")</f>
        <v/>
      </c>
    </row>
    <row r="98">
      <c r="A98" s="8" t="n">
        <v>94</v>
      </c>
      <c r="B98" s="8">
        <f>'02 原始数据'!B98</f>
        <v/>
      </c>
      <c r="C98" s="8">
        <f>'02 原始数据'!D98</f>
        <v/>
      </c>
      <c r="D98" s="23">
        <f>IF(OR(C98="",C97=""),"",C98-C97)</f>
        <v/>
      </c>
      <c r="E98" s="24">
        <f>IF(OR(C98="",C97=""),"",(C98-C97)/ABS(C97))</f>
        <v/>
      </c>
      <c r="F98" s="8">
        <f>'02 原始数据'!G98</f>
        <v/>
      </c>
      <c r="G98" s="25">
        <f>IF(OR(F98="",F97=""),"",F98-F97)</f>
        <v/>
      </c>
      <c r="H98" s="24">
        <f>IF(OR(F98="",F97=""),"",(F98-F97)/ABS(F97))</f>
        <v/>
      </c>
      <c r="I98" s="8">
        <f>'02 原始数据'!H98</f>
        <v/>
      </c>
      <c r="J98" s="8">
        <f>'02 原始数据'!I98</f>
        <v/>
      </c>
      <c r="K98" s="23">
        <f>IFERROR(IF(C98="","",C98/'02 原始数据'!K98),"")</f>
        <v/>
      </c>
    </row>
    <row r="99">
      <c r="A99" s="8" t="n">
        <v>95</v>
      </c>
      <c r="B99" s="8">
        <f>'02 原始数据'!B99</f>
        <v/>
      </c>
      <c r="C99" s="8">
        <f>'02 原始数据'!D99</f>
        <v/>
      </c>
      <c r="D99" s="23">
        <f>IF(OR(C99="",C98=""),"",C99-C98)</f>
        <v/>
      </c>
      <c r="E99" s="24">
        <f>IF(OR(C99="",C98=""),"",(C99-C98)/ABS(C98))</f>
        <v/>
      </c>
      <c r="F99" s="8">
        <f>'02 原始数据'!G99</f>
        <v/>
      </c>
      <c r="G99" s="25">
        <f>IF(OR(F99="",F98=""),"",F99-F98)</f>
        <v/>
      </c>
      <c r="H99" s="24">
        <f>IF(OR(F99="",F98=""),"",(F99-F98)/ABS(F98))</f>
        <v/>
      </c>
      <c r="I99" s="8">
        <f>'02 原始数据'!H99</f>
        <v/>
      </c>
      <c r="J99" s="8">
        <f>'02 原始数据'!I99</f>
        <v/>
      </c>
      <c r="K99" s="23">
        <f>IFERROR(IF(C99="","",C99/'02 原始数据'!K99),"")</f>
        <v/>
      </c>
    </row>
    <row r="100">
      <c r="A100" s="8" t="n">
        <v>96</v>
      </c>
      <c r="B100" s="8">
        <f>'02 原始数据'!B100</f>
        <v/>
      </c>
      <c r="C100" s="8">
        <f>'02 原始数据'!D100</f>
        <v/>
      </c>
      <c r="D100" s="23">
        <f>IF(OR(C100="",C99=""),"",C100-C99)</f>
        <v/>
      </c>
      <c r="E100" s="24">
        <f>IF(OR(C100="",C99=""),"",(C100-C99)/ABS(C99))</f>
        <v/>
      </c>
      <c r="F100" s="8">
        <f>'02 原始数据'!G100</f>
        <v/>
      </c>
      <c r="G100" s="25">
        <f>IF(OR(F100="",F99=""),"",F100-F99)</f>
        <v/>
      </c>
      <c r="H100" s="24">
        <f>IF(OR(F100="",F99=""),"",(F100-F99)/ABS(F99))</f>
        <v/>
      </c>
      <c r="I100" s="8">
        <f>'02 原始数据'!H100</f>
        <v/>
      </c>
      <c r="J100" s="8">
        <f>'02 原始数据'!I100</f>
        <v/>
      </c>
      <c r="K100" s="23">
        <f>IFERROR(IF(C100="","",C100/'02 原始数据'!K100),"")</f>
        <v/>
      </c>
    </row>
    <row r="101">
      <c r="A101" s="8" t="n">
        <v>97</v>
      </c>
      <c r="B101" s="8">
        <f>'02 原始数据'!B101</f>
        <v/>
      </c>
      <c r="C101" s="8">
        <f>'02 原始数据'!D101</f>
        <v/>
      </c>
      <c r="D101" s="23">
        <f>IF(OR(C101="",C100=""),"",C101-C100)</f>
        <v/>
      </c>
      <c r="E101" s="24">
        <f>IF(OR(C101="",C100=""),"",(C101-C100)/ABS(C100))</f>
        <v/>
      </c>
      <c r="F101" s="8">
        <f>'02 原始数据'!G101</f>
        <v/>
      </c>
      <c r="G101" s="25">
        <f>IF(OR(F101="",F100=""),"",F101-F100)</f>
        <v/>
      </c>
      <c r="H101" s="24">
        <f>IF(OR(F101="",F100=""),"",(F101-F100)/ABS(F100))</f>
        <v/>
      </c>
      <c r="I101" s="8">
        <f>'02 原始数据'!H101</f>
        <v/>
      </c>
      <c r="J101" s="8">
        <f>'02 原始数据'!I101</f>
        <v/>
      </c>
      <c r="K101" s="23">
        <f>IFERROR(IF(C101="","",C101/'02 原始数据'!K101),"")</f>
        <v/>
      </c>
    </row>
    <row r="102">
      <c r="A102" s="8" t="n">
        <v>98</v>
      </c>
      <c r="B102" s="8">
        <f>'02 原始数据'!B102</f>
        <v/>
      </c>
      <c r="C102" s="8">
        <f>'02 原始数据'!D102</f>
        <v/>
      </c>
      <c r="D102" s="23">
        <f>IF(OR(C102="",C101=""),"",C102-C101)</f>
        <v/>
      </c>
      <c r="E102" s="24">
        <f>IF(OR(C102="",C101=""),"",(C102-C101)/ABS(C101))</f>
        <v/>
      </c>
      <c r="F102" s="8">
        <f>'02 原始数据'!G102</f>
        <v/>
      </c>
      <c r="G102" s="25">
        <f>IF(OR(F102="",F101=""),"",F102-F101)</f>
        <v/>
      </c>
      <c r="H102" s="24">
        <f>IF(OR(F102="",F101=""),"",(F102-F101)/ABS(F101))</f>
        <v/>
      </c>
      <c r="I102" s="8">
        <f>'02 原始数据'!H102</f>
        <v/>
      </c>
      <c r="J102" s="8">
        <f>'02 原始数据'!I102</f>
        <v/>
      </c>
      <c r="K102" s="23">
        <f>IFERROR(IF(C102="","",C102/'02 原始数据'!K102),"")</f>
        <v/>
      </c>
    </row>
    <row r="103">
      <c r="A103" s="8" t="n">
        <v>99</v>
      </c>
      <c r="B103" s="8">
        <f>'02 原始数据'!B103</f>
        <v/>
      </c>
      <c r="C103" s="8">
        <f>'02 原始数据'!D103</f>
        <v/>
      </c>
      <c r="D103" s="23">
        <f>IF(OR(C103="",C102=""),"",C103-C102)</f>
        <v/>
      </c>
      <c r="E103" s="24">
        <f>IF(OR(C103="",C102=""),"",(C103-C102)/ABS(C102))</f>
        <v/>
      </c>
      <c r="F103" s="8">
        <f>'02 原始数据'!G103</f>
        <v/>
      </c>
      <c r="G103" s="25">
        <f>IF(OR(F103="",F102=""),"",F103-F102)</f>
        <v/>
      </c>
      <c r="H103" s="24">
        <f>IF(OR(F103="",F102=""),"",(F103-F102)/ABS(F102))</f>
        <v/>
      </c>
      <c r="I103" s="8">
        <f>'02 原始数据'!H103</f>
        <v/>
      </c>
      <c r="J103" s="8">
        <f>'02 原始数据'!I103</f>
        <v/>
      </c>
      <c r="K103" s="23">
        <f>IFERROR(IF(C103="","",C103/'02 原始数据'!K103),"")</f>
        <v/>
      </c>
    </row>
    <row r="104">
      <c r="A104" s="8" t="n">
        <v>100</v>
      </c>
      <c r="B104" s="8">
        <f>'02 原始数据'!B104</f>
        <v/>
      </c>
      <c r="C104" s="8">
        <f>'02 原始数据'!D104</f>
        <v/>
      </c>
      <c r="D104" s="23">
        <f>IF(OR(C104="",C103=""),"",C104-C103)</f>
        <v/>
      </c>
      <c r="E104" s="24">
        <f>IF(OR(C104="",C103=""),"",(C104-C103)/ABS(C103))</f>
        <v/>
      </c>
      <c r="F104" s="8">
        <f>'02 原始数据'!G104</f>
        <v/>
      </c>
      <c r="G104" s="25">
        <f>IF(OR(F104="",F103=""),"",F104-F103)</f>
        <v/>
      </c>
      <c r="H104" s="24">
        <f>IF(OR(F104="",F103=""),"",(F104-F103)/ABS(F103))</f>
        <v/>
      </c>
      <c r="I104" s="8">
        <f>'02 原始数据'!H104</f>
        <v/>
      </c>
      <c r="J104" s="8">
        <f>'02 原始数据'!I104</f>
        <v/>
      </c>
      <c r="K104" s="23">
        <f>IFERROR(IF(C104="","",C104/'02 原始数据'!K104),"")</f>
        <v/>
      </c>
    </row>
    <row r="105">
      <c r="A105" s="8" t="n">
        <v>101</v>
      </c>
      <c r="B105" s="8">
        <f>'02 原始数据'!B105</f>
        <v/>
      </c>
      <c r="C105" s="8">
        <f>'02 原始数据'!D105</f>
        <v/>
      </c>
      <c r="D105" s="23">
        <f>IF(OR(C105="",C104=""),"",C105-C104)</f>
        <v/>
      </c>
      <c r="E105" s="24">
        <f>IF(OR(C105="",C104=""),"",(C105-C104)/ABS(C104))</f>
        <v/>
      </c>
      <c r="F105" s="8">
        <f>'02 原始数据'!G105</f>
        <v/>
      </c>
      <c r="G105" s="25">
        <f>IF(OR(F105="",F104=""),"",F105-F104)</f>
        <v/>
      </c>
      <c r="H105" s="24">
        <f>IF(OR(F105="",F104=""),"",(F105-F104)/ABS(F104))</f>
        <v/>
      </c>
      <c r="I105" s="8">
        <f>'02 原始数据'!H105</f>
        <v/>
      </c>
      <c r="J105" s="8">
        <f>'02 原始数据'!I105</f>
        <v/>
      </c>
      <c r="K105" s="23">
        <f>IFERROR(IF(C105="","",C105/'02 原始数据'!K105),"")</f>
        <v/>
      </c>
    </row>
    <row r="106">
      <c r="A106" s="8" t="n">
        <v>102</v>
      </c>
      <c r="B106" s="8">
        <f>'02 原始数据'!B106</f>
        <v/>
      </c>
      <c r="C106" s="8">
        <f>'02 原始数据'!D106</f>
        <v/>
      </c>
      <c r="D106" s="23">
        <f>IF(OR(C106="",C105=""),"",C106-C105)</f>
        <v/>
      </c>
      <c r="E106" s="24">
        <f>IF(OR(C106="",C105=""),"",(C106-C105)/ABS(C105))</f>
        <v/>
      </c>
      <c r="F106" s="8">
        <f>'02 原始数据'!G106</f>
        <v/>
      </c>
      <c r="G106" s="25">
        <f>IF(OR(F106="",F105=""),"",F106-F105)</f>
        <v/>
      </c>
      <c r="H106" s="24">
        <f>IF(OR(F106="",F105=""),"",(F106-F105)/ABS(F105))</f>
        <v/>
      </c>
      <c r="I106" s="8">
        <f>'02 原始数据'!H106</f>
        <v/>
      </c>
      <c r="J106" s="8">
        <f>'02 原始数据'!I106</f>
        <v/>
      </c>
      <c r="K106" s="23">
        <f>IFERROR(IF(C106="","",C106/'02 原始数据'!K106),"")</f>
        <v/>
      </c>
    </row>
    <row r="107">
      <c r="A107" s="8" t="n">
        <v>103</v>
      </c>
      <c r="B107" s="8">
        <f>'02 原始数据'!B107</f>
        <v/>
      </c>
      <c r="C107" s="8">
        <f>'02 原始数据'!D107</f>
        <v/>
      </c>
      <c r="D107" s="23">
        <f>IF(OR(C107="",C106=""),"",C107-C106)</f>
        <v/>
      </c>
      <c r="E107" s="24">
        <f>IF(OR(C107="",C106=""),"",(C107-C106)/ABS(C106))</f>
        <v/>
      </c>
      <c r="F107" s="8">
        <f>'02 原始数据'!G107</f>
        <v/>
      </c>
      <c r="G107" s="25">
        <f>IF(OR(F107="",F106=""),"",F107-F106)</f>
        <v/>
      </c>
      <c r="H107" s="24">
        <f>IF(OR(F107="",F106=""),"",(F107-F106)/ABS(F106))</f>
        <v/>
      </c>
      <c r="I107" s="8">
        <f>'02 原始数据'!H107</f>
        <v/>
      </c>
      <c r="J107" s="8">
        <f>'02 原始数据'!I107</f>
        <v/>
      </c>
      <c r="K107" s="23">
        <f>IFERROR(IF(C107="","",C107/'02 原始数据'!K107),"")</f>
        <v/>
      </c>
    </row>
    <row r="108">
      <c r="A108" s="8" t="n">
        <v>104</v>
      </c>
      <c r="B108" s="8">
        <f>'02 原始数据'!B108</f>
        <v/>
      </c>
      <c r="C108" s="8">
        <f>'02 原始数据'!D108</f>
        <v/>
      </c>
      <c r="D108" s="23">
        <f>IF(OR(C108="",C107=""),"",C108-C107)</f>
        <v/>
      </c>
      <c r="E108" s="24">
        <f>IF(OR(C108="",C107=""),"",(C108-C107)/ABS(C107))</f>
        <v/>
      </c>
      <c r="F108" s="8">
        <f>'02 原始数据'!G108</f>
        <v/>
      </c>
      <c r="G108" s="25">
        <f>IF(OR(F108="",F107=""),"",F108-F107)</f>
        <v/>
      </c>
      <c r="H108" s="24">
        <f>IF(OR(F108="",F107=""),"",(F108-F107)/ABS(F107))</f>
        <v/>
      </c>
      <c r="I108" s="8">
        <f>'02 原始数据'!H108</f>
        <v/>
      </c>
      <c r="J108" s="8">
        <f>'02 原始数据'!I108</f>
        <v/>
      </c>
      <c r="K108" s="23">
        <f>IFERROR(IF(C108="","",C108/'02 原始数据'!K108),"")</f>
        <v/>
      </c>
    </row>
    <row r="109">
      <c r="A109" s="8" t="n">
        <v>105</v>
      </c>
      <c r="B109" s="8">
        <f>'02 原始数据'!B109</f>
        <v/>
      </c>
      <c r="C109" s="8">
        <f>'02 原始数据'!D109</f>
        <v/>
      </c>
      <c r="D109" s="23">
        <f>IF(OR(C109="",C108=""),"",C109-C108)</f>
        <v/>
      </c>
      <c r="E109" s="24">
        <f>IF(OR(C109="",C108=""),"",(C109-C108)/ABS(C108))</f>
        <v/>
      </c>
      <c r="F109" s="8">
        <f>'02 原始数据'!G109</f>
        <v/>
      </c>
      <c r="G109" s="25">
        <f>IF(OR(F109="",F108=""),"",F109-F108)</f>
        <v/>
      </c>
      <c r="H109" s="24">
        <f>IF(OR(F109="",F108=""),"",(F109-F108)/ABS(F108))</f>
        <v/>
      </c>
      <c r="I109" s="8">
        <f>'02 原始数据'!H109</f>
        <v/>
      </c>
      <c r="J109" s="8">
        <f>'02 原始数据'!I109</f>
        <v/>
      </c>
      <c r="K109" s="23">
        <f>IFERROR(IF(C109="","",C109/'02 原始数据'!K109),"")</f>
        <v/>
      </c>
    </row>
    <row r="110">
      <c r="A110" s="8" t="n">
        <v>106</v>
      </c>
      <c r="B110" s="8">
        <f>'02 原始数据'!B110</f>
        <v/>
      </c>
      <c r="C110" s="8">
        <f>'02 原始数据'!D110</f>
        <v/>
      </c>
      <c r="D110" s="23">
        <f>IF(OR(C110="",C109=""),"",C110-C109)</f>
        <v/>
      </c>
      <c r="E110" s="24">
        <f>IF(OR(C110="",C109=""),"",(C110-C109)/ABS(C109))</f>
        <v/>
      </c>
      <c r="F110" s="8">
        <f>'02 原始数据'!G110</f>
        <v/>
      </c>
      <c r="G110" s="25">
        <f>IF(OR(F110="",F109=""),"",F110-F109)</f>
        <v/>
      </c>
      <c r="H110" s="24">
        <f>IF(OR(F110="",F109=""),"",(F110-F109)/ABS(F109))</f>
        <v/>
      </c>
      <c r="I110" s="8">
        <f>'02 原始数据'!H110</f>
        <v/>
      </c>
      <c r="J110" s="8">
        <f>'02 原始数据'!I110</f>
        <v/>
      </c>
      <c r="K110" s="23">
        <f>IFERROR(IF(C110="","",C110/'02 原始数据'!K110),"")</f>
        <v/>
      </c>
    </row>
    <row r="111">
      <c r="A111" s="8" t="n">
        <v>107</v>
      </c>
      <c r="B111" s="8">
        <f>'02 原始数据'!B111</f>
        <v/>
      </c>
      <c r="C111" s="8">
        <f>'02 原始数据'!D111</f>
        <v/>
      </c>
      <c r="D111" s="23">
        <f>IF(OR(C111="",C110=""),"",C111-C110)</f>
        <v/>
      </c>
      <c r="E111" s="24">
        <f>IF(OR(C111="",C110=""),"",(C111-C110)/ABS(C110))</f>
        <v/>
      </c>
      <c r="F111" s="8">
        <f>'02 原始数据'!G111</f>
        <v/>
      </c>
      <c r="G111" s="25">
        <f>IF(OR(F111="",F110=""),"",F111-F110)</f>
        <v/>
      </c>
      <c r="H111" s="24">
        <f>IF(OR(F111="",F110=""),"",(F111-F110)/ABS(F110))</f>
        <v/>
      </c>
      <c r="I111" s="8">
        <f>'02 原始数据'!H111</f>
        <v/>
      </c>
      <c r="J111" s="8">
        <f>'02 原始数据'!I111</f>
        <v/>
      </c>
      <c r="K111" s="23">
        <f>IFERROR(IF(C111="","",C111/'02 原始数据'!K111),"")</f>
        <v/>
      </c>
    </row>
    <row r="112">
      <c r="A112" s="8" t="n">
        <v>108</v>
      </c>
      <c r="B112" s="8">
        <f>'02 原始数据'!B112</f>
        <v/>
      </c>
      <c r="C112" s="8">
        <f>'02 原始数据'!D112</f>
        <v/>
      </c>
      <c r="D112" s="23">
        <f>IF(OR(C112="",C111=""),"",C112-C111)</f>
        <v/>
      </c>
      <c r="E112" s="24">
        <f>IF(OR(C112="",C111=""),"",(C112-C111)/ABS(C111))</f>
        <v/>
      </c>
      <c r="F112" s="8">
        <f>'02 原始数据'!G112</f>
        <v/>
      </c>
      <c r="G112" s="25">
        <f>IF(OR(F112="",F111=""),"",F112-F111)</f>
        <v/>
      </c>
      <c r="H112" s="24">
        <f>IF(OR(F112="",F111=""),"",(F112-F111)/ABS(F111))</f>
        <v/>
      </c>
      <c r="I112" s="8">
        <f>'02 原始数据'!H112</f>
        <v/>
      </c>
      <c r="J112" s="8">
        <f>'02 原始数据'!I112</f>
        <v/>
      </c>
      <c r="K112" s="23">
        <f>IFERROR(IF(C112="","",C112/'02 原始数据'!K112),"")</f>
        <v/>
      </c>
    </row>
    <row r="113">
      <c r="A113" s="8" t="n">
        <v>109</v>
      </c>
      <c r="B113" s="8">
        <f>'02 原始数据'!B113</f>
        <v/>
      </c>
      <c r="C113" s="8">
        <f>'02 原始数据'!D113</f>
        <v/>
      </c>
      <c r="D113" s="23">
        <f>IF(OR(C113="",C112=""),"",C113-C112)</f>
        <v/>
      </c>
      <c r="E113" s="24">
        <f>IF(OR(C113="",C112=""),"",(C113-C112)/ABS(C112))</f>
        <v/>
      </c>
      <c r="F113" s="8">
        <f>'02 原始数据'!G113</f>
        <v/>
      </c>
      <c r="G113" s="25">
        <f>IF(OR(F113="",F112=""),"",F113-F112)</f>
        <v/>
      </c>
      <c r="H113" s="24">
        <f>IF(OR(F113="",F112=""),"",(F113-F112)/ABS(F112))</f>
        <v/>
      </c>
      <c r="I113" s="8">
        <f>'02 原始数据'!H113</f>
        <v/>
      </c>
      <c r="J113" s="8">
        <f>'02 原始数据'!I113</f>
        <v/>
      </c>
      <c r="K113" s="23">
        <f>IFERROR(IF(C113="","",C113/'02 原始数据'!K113),"")</f>
        <v/>
      </c>
    </row>
    <row r="114">
      <c r="A114" s="8" t="n">
        <v>110</v>
      </c>
      <c r="B114" s="8">
        <f>'02 原始数据'!B114</f>
        <v/>
      </c>
      <c r="C114" s="8">
        <f>'02 原始数据'!D114</f>
        <v/>
      </c>
      <c r="D114" s="23">
        <f>IF(OR(C114="",C113=""),"",C114-C113)</f>
        <v/>
      </c>
      <c r="E114" s="24">
        <f>IF(OR(C114="",C113=""),"",(C114-C113)/ABS(C113))</f>
        <v/>
      </c>
      <c r="F114" s="8">
        <f>'02 原始数据'!G114</f>
        <v/>
      </c>
      <c r="G114" s="25">
        <f>IF(OR(F114="",F113=""),"",F114-F113)</f>
        <v/>
      </c>
      <c r="H114" s="24">
        <f>IF(OR(F114="",F113=""),"",(F114-F113)/ABS(F113))</f>
        <v/>
      </c>
      <c r="I114" s="8">
        <f>'02 原始数据'!H114</f>
        <v/>
      </c>
      <c r="J114" s="8">
        <f>'02 原始数据'!I114</f>
        <v/>
      </c>
      <c r="K114" s="23">
        <f>IFERROR(IF(C114="","",C114/'02 原始数据'!K114),"")</f>
        <v/>
      </c>
    </row>
    <row r="115">
      <c r="A115" s="8" t="n">
        <v>111</v>
      </c>
      <c r="B115" s="8">
        <f>'02 原始数据'!B115</f>
        <v/>
      </c>
      <c r="C115" s="8">
        <f>'02 原始数据'!D115</f>
        <v/>
      </c>
      <c r="D115" s="23">
        <f>IF(OR(C115="",C114=""),"",C115-C114)</f>
        <v/>
      </c>
      <c r="E115" s="24">
        <f>IF(OR(C115="",C114=""),"",(C115-C114)/ABS(C114))</f>
        <v/>
      </c>
      <c r="F115" s="8">
        <f>'02 原始数据'!G115</f>
        <v/>
      </c>
      <c r="G115" s="25">
        <f>IF(OR(F115="",F114=""),"",F115-F114)</f>
        <v/>
      </c>
      <c r="H115" s="24">
        <f>IF(OR(F115="",F114=""),"",(F115-F114)/ABS(F114))</f>
        <v/>
      </c>
      <c r="I115" s="8">
        <f>'02 原始数据'!H115</f>
        <v/>
      </c>
      <c r="J115" s="8">
        <f>'02 原始数据'!I115</f>
        <v/>
      </c>
      <c r="K115" s="23">
        <f>IFERROR(IF(C115="","",C115/'02 原始数据'!K115),"")</f>
        <v/>
      </c>
    </row>
    <row r="116">
      <c r="A116" s="8" t="n">
        <v>112</v>
      </c>
      <c r="B116" s="8">
        <f>'02 原始数据'!B116</f>
        <v/>
      </c>
      <c r="C116" s="8">
        <f>'02 原始数据'!D116</f>
        <v/>
      </c>
      <c r="D116" s="23">
        <f>IF(OR(C116="",C115=""),"",C116-C115)</f>
        <v/>
      </c>
      <c r="E116" s="24">
        <f>IF(OR(C116="",C115=""),"",(C116-C115)/ABS(C115))</f>
        <v/>
      </c>
      <c r="F116" s="8">
        <f>'02 原始数据'!G116</f>
        <v/>
      </c>
      <c r="G116" s="25">
        <f>IF(OR(F116="",F115=""),"",F116-F115)</f>
        <v/>
      </c>
      <c r="H116" s="24">
        <f>IF(OR(F116="",F115=""),"",(F116-F115)/ABS(F115))</f>
        <v/>
      </c>
      <c r="I116" s="8">
        <f>'02 原始数据'!H116</f>
        <v/>
      </c>
      <c r="J116" s="8">
        <f>'02 原始数据'!I116</f>
        <v/>
      </c>
      <c r="K116" s="23">
        <f>IFERROR(IF(C116="","",C116/'02 原始数据'!K116),"")</f>
        <v/>
      </c>
    </row>
    <row r="117">
      <c r="A117" s="8" t="n">
        <v>113</v>
      </c>
      <c r="B117" s="8">
        <f>'02 原始数据'!B117</f>
        <v/>
      </c>
      <c r="C117" s="8">
        <f>'02 原始数据'!D117</f>
        <v/>
      </c>
      <c r="D117" s="23">
        <f>IF(OR(C117="",C116=""),"",C117-C116)</f>
        <v/>
      </c>
      <c r="E117" s="24">
        <f>IF(OR(C117="",C116=""),"",(C117-C116)/ABS(C116))</f>
        <v/>
      </c>
      <c r="F117" s="8">
        <f>'02 原始数据'!G117</f>
        <v/>
      </c>
      <c r="G117" s="25">
        <f>IF(OR(F117="",F116=""),"",F117-F116)</f>
        <v/>
      </c>
      <c r="H117" s="24">
        <f>IF(OR(F117="",F116=""),"",(F117-F116)/ABS(F116))</f>
        <v/>
      </c>
      <c r="I117" s="8">
        <f>'02 原始数据'!H117</f>
        <v/>
      </c>
      <c r="J117" s="8">
        <f>'02 原始数据'!I117</f>
        <v/>
      </c>
      <c r="K117" s="23">
        <f>IFERROR(IF(C117="","",C117/'02 原始数据'!K117),"")</f>
        <v/>
      </c>
    </row>
    <row r="118">
      <c r="A118" s="8" t="n">
        <v>114</v>
      </c>
      <c r="B118" s="8">
        <f>'02 原始数据'!B118</f>
        <v/>
      </c>
      <c r="C118" s="8">
        <f>'02 原始数据'!D118</f>
        <v/>
      </c>
      <c r="D118" s="23">
        <f>IF(OR(C118="",C117=""),"",C118-C117)</f>
        <v/>
      </c>
      <c r="E118" s="24">
        <f>IF(OR(C118="",C117=""),"",(C118-C117)/ABS(C117))</f>
        <v/>
      </c>
      <c r="F118" s="8">
        <f>'02 原始数据'!G118</f>
        <v/>
      </c>
      <c r="G118" s="25">
        <f>IF(OR(F118="",F117=""),"",F118-F117)</f>
        <v/>
      </c>
      <c r="H118" s="24">
        <f>IF(OR(F118="",F117=""),"",(F118-F117)/ABS(F117))</f>
        <v/>
      </c>
      <c r="I118" s="8">
        <f>'02 原始数据'!H118</f>
        <v/>
      </c>
      <c r="J118" s="8">
        <f>'02 原始数据'!I118</f>
        <v/>
      </c>
      <c r="K118" s="23">
        <f>IFERROR(IF(C118="","",C118/'02 原始数据'!K118),"")</f>
        <v/>
      </c>
    </row>
    <row r="119">
      <c r="A119" s="8" t="n">
        <v>115</v>
      </c>
      <c r="B119" s="8">
        <f>'02 原始数据'!B119</f>
        <v/>
      </c>
      <c r="C119" s="8">
        <f>'02 原始数据'!D119</f>
        <v/>
      </c>
      <c r="D119" s="23">
        <f>IF(OR(C119="",C118=""),"",C119-C118)</f>
        <v/>
      </c>
      <c r="E119" s="24">
        <f>IF(OR(C119="",C118=""),"",(C119-C118)/ABS(C118))</f>
        <v/>
      </c>
      <c r="F119" s="8">
        <f>'02 原始数据'!G119</f>
        <v/>
      </c>
      <c r="G119" s="25">
        <f>IF(OR(F119="",F118=""),"",F119-F118)</f>
        <v/>
      </c>
      <c r="H119" s="24">
        <f>IF(OR(F119="",F118=""),"",(F119-F118)/ABS(F118))</f>
        <v/>
      </c>
      <c r="I119" s="8">
        <f>'02 原始数据'!H119</f>
        <v/>
      </c>
      <c r="J119" s="8">
        <f>'02 原始数据'!I119</f>
        <v/>
      </c>
      <c r="K119" s="23">
        <f>IFERROR(IF(C119="","",C119/'02 原始数据'!K119),"")</f>
        <v/>
      </c>
    </row>
    <row r="120">
      <c r="A120" s="8" t="n">
        <v>116</v>
      </c>
      <c r="B120" s="8">
        <f>'02 原始数据'!B120</f>
        <v/>
      </c>
      <c r="C120" s="8">
        <f>'02 原始数据'!D120</f>
        <v/>
      </c>
      <c r="D120" s="23">
        <f>IF(OR(C120="",C119=""),"",C120-C119)</f>
        <v/>
      </c>
      <c r="E120" s="24">
        <f>IF(OR(C120="",C119=""),"",(C120-C119)/ABS(C119))</f>
        <v/>
      </c>
      <c r="F120" s="8">
        <f>'02 原始数据'!G120</f>
        <v/>
      </c>
      <c r="G120" s="25">
        <f>IF(OR(F120="",F119=""),"",F120-F119)</f>
        <v/>
      </c>
      <c r="H120" s="24">
        <f>IF(OR(F120="",F119=""),"",(F120-F119)/ABS(F119))</f>
        <v/>
      </c>
      <c r="I120" s="8">
        <f>'02 原始数据'!H120</f>
        <v/>
      </c>
      <c r="J120" s="8">
        <f>'02 原始数据'!I120</f>
        <v/>
      </c>
      <c r="K120" s="23">
        <f>IFERROR(IF(C120="","",C120/'02 原始数据'!K120),"")</f>
        <v/>
      </c>
    </row>
    <row r="121">
      <c r="A121" s="8" t="n">
        <v>117</v>
      </c>
      <c r="B121" s="8">
        <f>'02 原始数据'!B121</f>
        <v/>
      </c>
      <c r="C121" s="8">
        <f>'02 原始数据'!D121</f>
        <v/>
      </c>
      <c r="D121" s="23">
        <f>IF(OR(C121="",C120=""),"",C121-C120)</f>
        <v/>
      </c>
      <c r="E121" s="24">
        <f>IF(OR(C121="",C120=""),"",(C121-C120)/ABS(C120))</f>
        <v/>
      </c>
      <c r="F121" s="8">
        <f>'02 原始数据'!G121</f>
        <v/>
      </c>
      <c r="G121" s="25">
        <f>IF(OR(F121="",F120=""),"",F121-F120)</f>
        <v/>
      </c>
      <c r="H121" s="24">
        <f>IF(OR(F121="",F120=""),"",(F121-F120)/ABS(F120))</f>
        <v/>
      </c>
      <c r="I121" s="8">
        <f>'02 原始数据'!H121</f>
        <v/>
      </c>
      <c r="J121" s="8">
        <f>'02 原始数据'!I121</f>
        <v/>
      </c>
      <c r="K121" s="23">
        <f>IFERROR(IF(C121="","",C121/'02 原始数据'!K121),"")</f>
        <v/>
      </c>
    </row>
    <row r="122">
      <c r="A122" s="8" t="n">
        <v>118</v>
      </c>
      <c r="B122" s="8">
        <f>'02 原始数据'!B122</f>
        <v/>
      </c>
      <c r="C122" s="8">
        <f>'02 原始数据'!D122</f>
        <v/>
      </c>
      <c r="D122" s="23">
        <f>IF(OR(C122="",C121=""),"",C122-C121)</f>
        <v/>
      </c>
      <c r="E122" s="24">
        <f>IF(OR(C122="",C121=""),"",(C122-C121)/ABS(C121))</f>
        <v/>
      </c>
      <c r="F122" s="8">
        <f>'02 原始数据'!G122</f>
        <v/>
      </c>
      <c r="G122" s="25">
        <f>IF(OR(F122="",F121=""),"",F122-F121)</f>
        <v/>
      </c>
      <c r="H122" s="24">
        <f>IF(OR(F122="",F121=""),"",(F122-F121)/ABS(F121))</f>
        <v/>
      </c>
      <c r="I122" s="8">
        <f>'02 原始数据'!H122</f>
        <v/>
      </c>
      <c r="J122" s="8">
        <f>'02 原始数据'!I122</f>
        <v/>
      </c>
      <c r="K122" s="23">
        <f>IFERROR(IF(C122="","",C122/'02 原始数据'!K122),"")</f>
        <v/>
      </c>
    </row>
    <row r="123">
      <c r="A123" s="8" t="n">
        <v>119</v>
      </c>
      <c r="B123" s="8">
        <f>'02 原始数据'!B123</f>
        <v/>
      </c>
      <c r="C123" s="8">
        <f>'02 原始数据'!D123</f>
        <v/>
      </c>
      <c r="D123" s="23">
        <f>IF(OR(C123="",C122=""),"",C123-C122)</f>
        <v/>
      </c>
      <c r="E123" s="24">
        <f>IF(OR(C123="",C122=""),"",(C123-C122)/ABS(C122))</f>
        <v/>
      </c>
      <c r="F123" s="8">
        <f>'02 原始数据'!G123</f>
        <v/>
      </c>
      <c r="G123" s="25">
        <f>IF(OR(F123="",F122=""),"",F123-F122)</f>
        <v/>
      </c>
      <c r="H123" s="24">
        <f>IF(OR(F123="",F122=""),"",(F123-F122)/ABS(F122))</f>
        <v/>
      </c>
      <c r="I123" s="8">
        <f>'02 原始数据'!H123</f>
        <v/>
      </c>
      <c r="J123" s="8">
        <f>'02 原始数据'!I123</f>
        <v/>
      </c>
      <c r="K123" s="23">
        <f>IFERROR(IF(C123="","",C123/'02 原始数据'!K123),"")</f>
        <v/>
      </c>
    </row>
    <row r="124">
      <c r="A124" s="8" t="n">
        <v>120</v>
      </c>
      <c r="B124" s="8">
        <f>'02 原始数据'!B124</f>
        <v/>
      </c>
      <c r="C124" s="8">
        <f>'02 原始数据'!D124</f>
        <v/>
      </c>
      <c r="D124" s="23">
        <f>IF(OR(C124="",C123=""),"",C124-C123)</f>
        <v/>
      </c>
      <c r="E124" s="24">
        <f>IF(OR(C124="",C123=""),"",(C124-C123)/ABS(C123))</f>
        <v/>
      </c>
      <c r="F124" s="8">
        <f>'02 原始数据'!G124</f>
        <v/>
      </c>
      <c r="G124" s="25">
        <f>IF(OR(F124="",F123=""),"",F124-F123)</f>
        <v/>
      </c>
      <c r="H124" s="24">
        <f>IF(OR(F124="",F123=""),"",(F124-F123)/ABS(F123))</f>
        <v/>
      </c>
      <c r="I124" s="8">
        <f>'02 原始数据'!H124</f>
        <v/>
      </c>
      <c r="J124" s="8">
        <f>'02 原始数据'!I124</f>
        <v/>
      </c>
      <c r="K124" s="23">
        <f>IFERROR(IF(C124="","",C124/'02 原始数据'!K124),"")</f>
        <v/>
      </c>
    </row>
    <row r="125">
      <c r="A125" s="8" t="n">
        <v>121</v>
      </c>
      <c r="B125" s="8">
        <f>'02 原始数据'!B125</f>
        <v/>
      </c>
      <c r="C125" s="8">
        <f>'02 原始数据'!D125</f>
        <v/>
      </c>
      <c r="D125" s="23">
        <f>IF(OR(C125="",C124=""),"",C125-C124)</f>
        <v/>
      </c>
      <c r="E125" s="24">
        <f>IF(OR(C125="",C124=""),"",(C125-C124)/ABS(C124))</f>
        <v/>
      </c>
      <c r="F125" s="8">
        <f>'02 原始数据'!G125</f>
        <v/>
      </c>
      <c r="G125" s="25">
        <f>IF(OR(F125="",F124=""),"",F125-F124)</f>
        <v/>
      </c>
      <c r="H125" s="24">
        <f>IF(OR(F125="",F124=""),"",(F125-F124)/ABS(F124))</f>
        <v/>
      </c>
      <c r="I125" s="8">
        <f>'02 原始数据'!H125</f>
        <v/>
      </c>
      <c r="J125" s="8">
        <f>'02 原始数据'!I125</f>
        <v/>
      </c>
      <c r="K125" s="23">
        <f>IFERROR(IF(C125="","",C125/'02 原始数据'!K125),"")</f>
        <v/>
      </c>
    </row>
    <row r="126">
      <c r="A126" s="8" t="n">
        <v>122</v>
      </c>
      <c r="B126" s="8">
        <f>'02 原始数据'!B126</f>
        <v/>
      </c>
      <c r="C126" s="8">
        <f>'02 原始数据'!D126</f>
        <v/>
      </c>
      <c r="D126" s="23">
        <f>IF(OR(C126="",C125=""),"",C126-C125)</f>
        <v/>
      </c>
      <c r="E126" s="24">
        <f>IF(OR(C126="",C125=""),"",(C126-C125)/ABS(C125))</f>
        <v/>
      </c>
      <c r="F126" s="8">
        <f>'02 原始数据'!G126</f>
        <v/>
      </c>
      <c r="G126" s="25">
        <f>IF(OR(F126="",F125=""),"",F126-F125)</f>
        <v/>
      </c>
      <c r="H126" s="24">
        <f>IF(OR(F126="",F125=""),"",(F126-F125)/ABS(F125))</f>
        <v/>
      </c>
      <c r="I126" s="8">
        <f>'02 原始数据'!H126</f>
        <v/>
      </c>
      <c r="J126" s="8">
        <f>'02 原始数据'!I126</f>
        <v/>
      </c>
      <c r="K126" s="23">
        <f>IFERROR(IF(C126="","",C126/'02 原始数据'!K126),"")</f>
        <v/>
      </c>
    </row>
    <row r="127">
      <c r="A127" s="8" t="n">
        <v>123</v>
      </c>
      <c r="B127" s="8">
        <f>'02 原始数据'!B127</f>
        <v/>
      </c>
      <c r="C127" s="8">
        <f>'02 原始数据'!D127</f>
        <v/>
      </c>
      <c r="D127" s="23">
        <f>IF(OR(C127="",C126=""),"",C127-C126)</f>
        <v/>
      </c>
      <c r="E127" s="24">
        <f>IF(OR(C127="",C126=""),"",(C127-C126)/ABS(C126))</f>
        <v/>
      </c>
      <c r="F127" s="8">
        <f>'02 原始数据'!G127</f>
        <v/>
      </c>
      <c r="G127" s="25">
        <f>IF(OR(F127="",F126=""),"",F127-F126)</f>
        <v/>
      </c>
      <c r="H127" s="24">
        <f>IF(OR(F127="",F126=""),"",(F127-F126)/ABS(F126))</f>
        <v/>
      </c>
      <c r="I127" s="8">
        <f>'02 原始数据'!H127</f>
        <v/>
      </c>
      <c r="J127" s="8">
        <f>'02 原始数据'!I127</f>
        <v/>
      </c>
      <c r="K127" s="23">
        <f>IFERROR(IF(C127="","",C127/'02 原始数据'!K127),"")</f>
        <v/>
      </c>
    </row>
    <row r="128">
      <c r="A128" s="8" t="n">
        <v>124</v>
      </c>
      <c r="B128" s="8">
        <f>'02 原始数据'!B128</f>
        <v/>
      </c>
      <c r="C128" s="8">
        <f>'02 原始数据'!D128</f>
        <v/>
      </c>
      <c r="D128" s="23">
        <f>IF(OR(C128="",C127=""),"",C128-C127)</f>
        <v/>
      </c>
      <c r="E128" s="24">
        <f>IF(OR(C128="",C127=""),"",(C128-C127)/ABS(C127))</f>
        <v/>
      </c>
      <c r="F128" s="8">
        <f>'02 原始数据'!G128</f>
        <v/>
      </c>
      <c r="G128" s="25">
        <f>IF(OR(F128="",F127=""),"",F128-F127)</f>
        <v/>
      </c>
      <c r="H128" s="24">
        <f>IF(OR(F128="",F127=""),"",(F128-F127)/ABS(F127))</f>
        <v/>
      </c>
      <c r="I128" s="8">
        <f>'02 原始数据'!H128</f>
        <v/>
      </c>
      <c r="J128" s="8">
        <f>'02 原始数据'!I128</f>
        <v/>
      </c>
      <c r="K128" s="23">
        <f>IFERROR(IF(C128="","",C128/'02 原始数据'!K128),"")</f>
        <v/>
      </c>
    </row>
    <row r="129">
      <c r="A129" s="8" t="n">
        <v>125</v>
      </c>
      <c r="B129" s="8">
        <f>'02 原始数据'!B129</f>
        <v/>
      </c>
      <c r="C129" s="8">
        <f>'02 原始数据'!D129</f>
        <v/>
      </c>
      <c r="D129" s="23">
        <f>IF(OR(C129="",C128=""),"",C129-C128)</f>
        <v/>
      </c>
      <c r="E129" s="24">
        <f>IF(OR(C129="",C128=""),"",(C129-C128)/ABS(C128))</f>
        <v/>
      </c>
      <c r="F129" s="8">
        <f>'02 原始数据'!G129</f>
        <v/>
      </c>
      <c r="G129" s="25">
        <f>IF(OR(F129="",F128=""),"",F129-F128)</f>
        <v/>
      </c>
      <c r="H129" s="24">
        <f>IF(OR(F129="",F128=""),"",(F129-F128)/ABS(F128))</f>
        <v/>
      </c>
      <c r="I129" s="8">
        <f>'02 原始数据'!H129</f>
        <v/>
      </c>
      <c r="J129" s="8">
        <f>'02 原始数据'!I129</f>
        <v/>
      </c>
      <c r="K129" s="23">
        <f>IFERROR(IF(C129="","",C129/'02 原始数据'!K129),"")</f>
        <v/>
      </c>
    </row>
    <row r="130">
      <c r="A130" s="8" t="n">
        <v>126</v>
      </c>
      <c r="B130" s="8">
        <f>'02 原始数据'!B130</f>
        <v/>
      </c>
      <c r="C130" s="8">
        <f>'02 原始数据'!D130</f>
        <v/>
      </c>
      <c r="D130" s="23">
        <f>IF(OR(C130="",C129=""),"",C130-C129)</f>
        <v/>
      </c>
      <c r="E130" s="24">
        <f>IF(OR(C130="",C129=""),"",(C130-C129)/ABS(C129))</f>
        <v/>
      </c>
      <c r="F130" s="8">
        <f>'02 原始数据'!G130</f>
        <v/>
      </c>
      <c r="G130" s="25">
        <f>IF(OR(F130="",F129=""),"",F130-F129)</f>
        <v/>
      </c>
      <c r="H130" s="24">
        <f>IF(OR(F130="",F129=""),"",(F130-F129)/ABS(F129))</f>
        <v/>
      </c>
      <c r="I130" s="8">
        <f>'02 原始数据'!H130</f>
        <v/>
      </c>
      <c r="J130" s="8">
        <f>'02 原始数据'!I130</f>
        <v/>
      </c>
      <c r="K130" s="23">
        <f>IFERROR(IF(C130="","",C130/'02 原始数据'!K130),"")</f>
        <v/>
      </c>
    </row>
    <row r="131">
      <c r="A131" s="8" t="n">
        <v>127</v>
      </c>
      <c r="B131" s="8">
        <f>'02 原始数据'!B131</f>
        <v/>
      </c>
      <c r="C131" s="8">
        <f>'02 原始数据'!D131</f>
        <v/>
      </c>
      <c r="D131" s="23">
        <f>IF(OR(C131="",C130=""),"",C131-C130)</f>
        <v/>
      </c>
      <c r="E131" s="24">
        <f>IF(OR(C131="",C130=""),"",(C131-C130)/ABS(C130))</f>
        <v/>
      </c>
      <c r="F131" s="8">
        <f>'02 原始数据'!G131</f>
        <v/>
      </c>
      <c r="G131" s="25">
        <f>IF(OR(F131="",F130=""),"",F131-F130)</f>
        <v/>
      </c>
      <c r="H131" s="24">
        <f>IF(OR(F131="",F130=""),"",(F131-F130)/ABS(F130))</f>
        <v/>
      </c>
      <c r="I131" s="8">
        <f>'02 原始数据'!H131</f>
        <v/>
      </c>
      <c r="J131" s="8">
        <f>'02 原始数据'!I131</f>
        <v/>
      </c>
      <c r="K131" s="23">
        <f>IFERROR(IF(C131="","",C131/'02 原始数据'!K131),"")</f>
        <v/>
      </c>
    </row>
    <row r="132">
      <c r="A132" s="8" t="n">
        <v>128</v>
      </c>
      <c r="B132" s="8">
        <f>'02 原始数据'!B132</f>
        <v/>
      </c>
      <c r="C132" s="8">
        <f>'02 原始数据'!D132</f>
        <v/>
      </c>
      <c r="D132" s="23">
        <f>IF(OR(C132="",C131=""),"",C132-C131)</f>
        <v/>
      </c>
      <c r="E132" s="24">
        <f>IF(OR(C132="",C131=""),"",(C132-C131)/ABS(C131))</f>
        <v/>
      </c>
      <c r="F132" s="8">
        <f>'02 原始数据'!G132</f>
        <v/>
      </c>
      <c r="G132" s="25">
        <f>IF(OR(F132="",F131=""),"",F132-F131)</f>
        <v/>
      </c>
      <c r="H132" s="24">
        <f>IF(OR(F132="",F131=""),"",(F132-F131)/ABS(F131))</f>
        <v/>
      </c>
      <c r="I132" s="8">
        <f>'02 原始数据'!H132</f>
        <v/>
      </c>
      <c r="J132" s="8">
        <f>'02 原始数据'!I132</f>
        <v/>
      </c>
      <c r="K132" s="23">
        <f>IFERROR(IF(C132="","",C132/'02 原始数据'!K132),"")</f>
        <v/>
      </c>
    </row>
    <row r="133">
      <c r="A133" s="8" t="n">
        <v>129</v>
      </c>
      <c r="B133" s="8">
        <f>'02 原始数据'!B133</f>
        <v/>
      </c>
      <c r="C133" s="8">
        <f>'02 原始数据'!D133</f>
        <v/>
      </c>
      <c r="D133" s="23">
        <f>IF(OR(C133="",C132=""),"",C133-C132)</f>
        <v/>
      </c>
      <c r="E133" s="24">
        <f>IF(OR(C133="",C132=""),"",(C133-C132)/ABS(C132))</f>
        <v/>
      </c>
      <c r="F133" s="8">
        <f>'02 原始数据'!G133</f>
        <v/>
      </c>
      <c r="G133" s="25">
        <f>IF(OR(F133="",F132=""),"",F133-F132)</f>
        <v/>
      </c>
      <c r="H133" s="24">
        <f>IF(OR(F133="",F132=""),"",(F133-F132)/ABS(F132))</f>
        <v/>
      </c>
      <c r="I133" s="8">
        <f>'02 原始数据'!H133</f>
        <v/>
      </c>
      <c r="J133" s="8">
        <f>'02 原始数据'!I133</f>
        <v/>
      </c>
      <c r="K133" s="23">
        <f>IFERROR(IF(C133="","",C133/'02 原始数据'!K133),"")</f>
        <v/>
      </c>
    </row>
    <row r="134">
      <c r="A134" s="8" t="n">
        <v>130</v>
      </c>
      <c r="B134" s="8">
        <f>'02 原始数据'!B134</f>
        <v/>
      </c>
      <c r="C134" s="8">
        <f>'02 原始数据'!D134</f>
        <v/>
      </c>
      <c r="D134" s="23">
        <f>IF(OR(C134="",C133=""),"",C134-C133)</f>
        <v/>
      </c>
      <c r="E134" s="24">
        <f>IF(OR(C134="",C133=""),"",(C134-C133)/ABS(C133))</f>
        <v/>
      </c>
      <c r="F134" s="8">
        <f>'02 原始数据'!G134</f>
        <v/>
      </c>
      <c r="G134" s="25">
        <f>IF(OR(F134="",F133=""),"",F134-F133)</f>
        <v/>
      </c>
      <c r="H134" s="24">
        <f>IF(OR(F134="",F133=""),"",(F134-F133)/ABS(F133))</f>
        <v/>
      </c>
      <c r="I134" s="8">
        <f>'02 原始数据'!H134</f>
        <v/>
      </c>
      <c r="J134" s="8">
        <f>'02 原始数据'!I134</f>
        <v/>
      </c>
      <c r="K134" s="23">
        <f>IFERROR(IF(C134="","",C134/'02 原始数据'!K134),"")</f>
        <v/>
      </c>
    </row>
    <row r="135">
      <c r="A135" s="8" t="n">
        <v>131</v>
      </c>
      <c r="B135" s="8">
        <f>'02 原始数据'!B135</f>
        <v/>
      </c>
      <c r="C135" s="8">
        <f>'02 原始数据'!D135</f>
        <v/>
      </c>
      <c r="D135" s="23">
        <f>IF(OR(C135="",C134=""),"",C135-C134)</f>
        <v/>
      </c>
      <c r="E135" s="24">
        <f>IF(OR(C135="",C134=""),"",(C135-C134)/ABS(C134))</f>
        <v/>
      </c>
      <c r="F135" s="8">
        <f>'02 原始数据'!G135</f>
        <v/>
      </c>
      <c r="G135" s="25">
        <f>IF(OR(F135="",F134=""),"",F135-F134)</f>
        <v/>
      </c>
      <c r="H135" s="24">
        <f>IF(OR(F135="",F134=""),"",(F135-F134)/ABS(F134))</f>
        <v/>
      </c>
      <c r="I135" s="8">
        <f>'02 原始数据'!H135</f>
        <v/>
      </c>
      <c r="J135" s="8">
        <f>'02 原始数据'!I135</f>
        <v/>
      </c>
      <c r="K135" s="23">
        <f>IFERROR(IF(C135="","",C135/'02 原始数据'!K135),"")</f>
        <v/>
      </c>
    </row>
    <row r="136">
      <c r="A136" s="8" t="n">
        <v>132</v>
      </c>
      <c r="B136" s="8">
        <f>'02 原始数据'!B136</f>
        <v/>
      </c>
      <c r="C136" s="8">
        <f>'02 原始数据'!D136</f>
        <v/>
      </c>
      <c r="D136" s="23">
        <f>IF(OR(C136="",C135=""),"",C136-C135)</f>
        <v/>
      </c>
      <c r="E136" s="24">
        <f>IF(OR(C136="",C135=""),"",(C136-C135)/ABS(C135))</f>
        <v/>
      </c>
      <c r="F136" s="8">
        <f>'02 原始数据'!G136</f>
        <v/>
      </c>
      <c r="G136" s="25">
        <f>IF(OR(F136="",F135=""),"",F136-F135)</f>
        <v/>
      </c>
      <c r="H136" s="24">
        <f>IF(OR(F136="",F135=""),"",(F136-F135)/ABS(F135))</f>
        <v/>
      </c>
      <c r="I136" s="8">
        <f>'02 原始数据'!H136</f>
        <v/>
      </c>
      <c r="J136" s="8">
        <f>'02 原始数据'!I136</f>
        <v/>
      </c>
      <c r="K136" s="23">
        <f>IFERROR(IF(C136="","",C136/'02 原始数据'!K136),"")</f>
        <v/>
      </c>
    </row>
    <row r="137">
      <c r="A137" s="8" t="n">
        <v>133</v>
      </c>
      <c r="B137" s="8">
        <f>'02 原始数据'!B137</f>
        <v/>
      </c>
      <c r="C137" s="8">
        <f>'02 原始数据'!D137</f>
        <v/>
      </c>
      <c r="D137" s="23">
        <f>IF(OR(C137="",C136=""),"",C137-C136)</f>
        <v/>
      </c>
      <c r="E137" s="24">
        <f>IF(OR(C137="",C136=""),"",(C137-C136)/ABS(C136))</f>
        <v/>
      </c>
      <c r="F137" s="8">
        <f>'02 原始数据'!G137</f>
        <v/>
      </c>
      <c r="G137" s="25">
        <f>IF(OR(F137="",F136=""),"",F137-F136)</f>
        <v/>
      </c>
      <c r="H137" s="24">
        <f>IF(OR(F137="",F136=""),"",(F137-F136)/ABS(F136))</f>
        <v/>
      </c>
      <c r="I137" s="8">
        <f>'02 原始数据'!H137</f>
        <v/>
      </c>
      <c r="J137" s="8">
        <f>'02 原始数据'!I137</f>
        <v/>
      </c>
      <c r="K137" s="23">
        <f>IFERROR(IF(C137="","",C137/'02 原始数据'!K137),"")</f>
        <v/>
      </c>
    </row>
    <row r="138">
      <c r="A138" s="8" t="n">
        <v>134</v>
      </c>
      <c r="B138" s="8">
        <f>'02 原始数据'!B138</f>
        <v/>
      </c>
      <c r="C138" s="8">
        <f>'02 原始数据'!D138</f>
        <v/>
      </c>
      <c r="D138" s="23">
        <f>IF(OR(C138="",C137=""),"",C138-C137)</f>
        <v/>
      </c>
      <c r="E138" s="24">
        <f>IF(OR(C138="",C137=""),"",(C138-C137)/ABS(C137))</f>
        <v/>
      </c>
      <c r="F138" s="8">
        <f>'02 原始数据'!G138</f>
        <v/>
      </c>
      <c r="G138" s="25">
        <f>IF(OR(F138="",F137=""),"",F138-F137)</f>
        <v/>
      </c>
      <c r="H138" s="24">
        <f>IF(OR(F138="",F137=""),"",(F138-F137)/ABS(F137))</f>
        <v/>
      </c>
      <c r="I138" s="8">
        <f>'02 原始数据'!H138</f>
        <v/>
      </c>
      <c r="J138" s="8">
        <f>'02 原始数据'!I138</f>
        <v/>
      </c>
      <c r="K138" s="23">
        <f>IFERROR(IF(C138="","",C138/'02 原始数据'!K138),"")</f>
        <v/>
      </c>
    </row>
    <row r="139">
      <c r="A139" s="8" t="n">
        <v>135</v>
      </c>
      <c r="B139" s="8">
        <f>'02 原始数据'!B139</f>
        <v/>
      </c>
      <c r="C139" s="8">
        <f>'02 原始数据'!D139</f>
        <v/>
      </c>
      <c r="D139" s="23">
        <f>IF(OR(C139="",C138=""),"",C139-C138)</f>
        <v/>
      </c>
      <c r="E139" s="24">
        <f>IF(OR(C139="",C138=""),"",(C139-C138)/ABS(C138))</f>
        <v/>
      </c>
      <c r="F139" s="8">
        <f>'02 原始数据'!G139</f>
        <v/>
      </c>
      <c r="G139" s="25">
        <f>IF(OR(F139="",F138=""),"",F139-F138)</f>
        <v/>
      </c>
      <c r="H139" s="24">
        <f>IF(OR(F139="",F138=""),"",(F139-F138)/ABS(F138))</f>
        <v/>
      </c>
      <c r="I139" s="8">
        <f>'02 原始数据'!H139</f>
        <v/>
      </c>
      <c r="J139" s="8">
        <f>'02 原始数据'!I139</f>
        <v/>
      </c>
      <c r="K139" s="23">
        <f>IFERROR(IF(C139="","",C139/'02 原始数据'!K139),"")</f>
        <v/>
      </c>
    </row>
    <row r="140">
      <c r="A140" s="8" t="n">
        <v>136</v>
      </c>
      <c r="B140" s="8">
        <f>'02 原始数据'!B140</f>
        <v/>
      </c>
      <c r="C140" s="8">
        <f>'02 原始数据'!D140</f>
        <v/>
      </c>
      <c r="D140" s="23">
        <f>IF(OR(C140="",C139=""),"",C140-C139)</f>
        <v/>
      </c>
      <c r="E140" s="24">
        <f>IF(OR(C140="",C139=""),"",(C140-C139)/ABS(C139))</f>
        <v/>
      </c>
      <c r="F140" s="8">
        <f>'02 原始数据'!G140</f>
        <v/>
      </c>
      <c r="G140" s="25">
        <f>IF(OR(F140="",F139=""),"",F140-F139)</f>
        <v/>
      </c>
      <c r="H140" s="24">
        <f>IF(OR(F140="",F139=""),"",(F140-F139)/ABS(F139))</f>
        <v/>
      </c>
      <c r="I140" s="8">
        <f>'02 原始数据'!H140</f>
        <v/>
      </c>
      <c r="J140" s="8">
        <f>'02 原始数据'!I140</f>
        <v/>
      </c>
      <c r="K140" s="23">
        <f>IFERROR(IF(C140="","",C140/'02 原始数据'!K140),"")</f>
        <v/>
      </c>
    </row>
    <row r="141">
      <c r="A141" s="8" t="n">
        <v>137</v>
      </c>
      <c r="B141" s="8">
        <f>'02 原始数据'!B141</f>
        <v/>
      </c>
      <c r="C141" s="8">
        <f>'02 原始数据'!D141</f>
        <v/>
      </c>
      <c r="D141" s="23">
        <f>IF(OR(C141="",C140=""),"",C141-C140)</f>
        <v/>
      </c>
      <c r="E141" s="24">
        <f>IF(OR(C141="",C140=""),"",(C141-C140)/ABS(C140))</f>
        <v/>
      </c>
      <c r="F141" s="8">
        <f>'02 原始数据'!G141</f>
        <v/>
      </c>
      <c r="G141" s="25">
        <f>IF(OR(F141="",F140=""),"",F141-F140)</f>
        <v/>
      </c>
      <c r="H141" s="24">
        <f>IF(OR(F141="",F140=""),"",(F141-F140)/ABS(F140))</f>
        <v/>
      </c>
      <c r="I141" s="8">
        <f>'02 原始数据'!H141</f>
        <v/>
      </c>
      <c r="J141" s="8">
        <f>'02 原始数据'!I141</f>
        <v/>
      </c>
      <c r="K141" s="23">
        <f>IFERROR(IF(C141="","",C141/'02 原始数据'!K141),"")</f>
        <v/>
      </c>
    </row>
    <row r="142">
      <c r="A142" s="8" t="n">
        <v>138</v>
      </c>
      <c r="B142" s="8">
        <f>'02 原始数据'!B142</f>
        <v/>
      </c>
      <c r="C142" s="8">
        <f>'02 原始数据'!D142</f>
        <v/>
      </c>
      <c r="D142" s="23">
        <f>IF(OR(C142="",C141=""),"",C142-C141)</f>
        <v/>
      </c>
      <c r="E142" s="24">
        <f>IF(OR(C142="",C141=""),"",(C142-C141)/ABS(C141))</f>
        <v/>
      </c>
      <c r="F142" s="8">
        <f>'02 原始数据'!G142</f>
        <v/>
      </c>
      <c r="G142" s="25">
        <f>IF(OR(F142="",F141=""),"",F142-F141)</f>
        <v/>
      </c>
      <c r="H142" s="24">
        <f>IF(OR(F142="",F141=""),"",(F142-F141)/ABS(F141))</f>
        <v/>
      </c>
      <c r="I142" s="8">
        <f>'02 原始数据'!H142</f>
        <v/>
      </c>
      <c r="J142" s="8">
        <f>'02 原始数据'!I142</f>
        <v/>
      </c>
      <c r="K142" s="23">
        <f>IFERROR(IF(C142="","",C142/'02 原始数据'!K142),"")</f>
        <v/>
      </c>
    </row>
    <row r="143">
      <c r="A143" s="8" t="n">
        <v>139</v>
      </c>
      <c r="B143" s="8">
        <f>'02 原始数据'!B143</f>
        <v/>
      </c>
      <c r="C143" s="8">
        <f>'02 原始数据'!D143</f>
        <v/>
      </c>
      <c r="D143" s="23">
        <f>IF(OR(C143="",C142=""),"",C143-C142)</f>
        <v/>
      </c>
      <c r="E143" s="24">
        <f>IF(OR(C143="",C142=""),"",(C143-C142)/ABS(C142))</f>
        <v/>
      </c>
      <c r="F143" s="8">
        <f>'02 原始数据'!G143</f>
        <v/>
      </c>
      <c r="G143" s="25">
        <f>IF(OR(F143="",F142=""),"",F143-F142)</f>
        <v/>
      </c>
      <c r="H143" s="24">
        <f>IF(OR(F143="",F142=""),"",(F143-F142)/ABS(F142))</f>
        <v/>
      </c>
      <c r="I143" s="8">
        <f>'02 原始数据'!H143</f>
        <v/>
      </c>
      <c r="J143" s="8">
        <f>'02 原始数据'!I143</f>
        <v/>
      </c>
      <c r="K143" s="23">
        <f>IFERROR(IF(C143="","",C143/'02 原始数据'!K143),"")</f>
        <v/>
      </c>
    </row>
    <row r="144">
      <c r="A144" s="8" t="n">
        <v>140</v>
      </c>
      <c r="B144" s="8">
        <f>'02 原始数据'!B144</f>
        <v/>
      </c>
      <c r="C144" s="8">
        <f>'02 原始数据'!D144</f>
        <v/>
      </c>
      <c r="D144" s="23">
        <f>IF(OR(C144="",C143=""),"",C144-C143)</f>
        <v/>
      </c>
      <c r="E144" s="24">
        <f>IF(OR(C144="",C143=""),"",(C144-C143)/ABS(C143))</f>
        <v/>
      </c>
      <c r="F144" s="8">
        <f>'02 原始数据'!G144</f>
        <v/>
      </c>
      <c r="G144" s="25">
        <f>IF(OR(F144="",F143=""),"",F144-F143)</f>
        <v/>
      </c>
      <c r="H144" s="24">
        <f>IF(OR(F144="",F143=""),"",(F144-F143)/ABS(F143))</f>
        <v/>
      </c>
      <c r="I144" s="8">
        <f>'02 原始数据'!H144</f>
        <v/>
      </c>
      <c r="J144" s="8">
        <f>'02 原始数据'!I144</f>
        <v/>
      </c>
      <c r="K144" s="23">
        <f>IFERROR(IF(C144="","",C144/'02 原始数据'!K144),"")</f>
        <v/>
      </c>
    </row>
    <row r="145">
      <c r="A145" s="8" t="n">
        <v>141</v>
      </c>
      <c r="B145" s="8">
        <f>'02 原始数据'!B145</f>
        <v/>
      </c>
      <c r="C145" s="8">
        <f>'02 原始数据'!D145</f>
        <v/>
      </c>
      <c r="D145" s="23">
        <f>IF(OR(C145="",C144=""),"",C145-C144)</f>
        <v/>
      </c>
      <c r="E145" s="24">
        <f>IF(OR(C145="",C144=""),"",(C145-C144)/ABS(C144))</f>
        <v/>
      </c>
      <c r="F145" s="8">
        <f>'02 原始数据'!G145</f>
        <v/>
      </c>
      <c r="G145" s="25">
        <f>IF(OR(F145="",F144=""),"",F145-F144)</f>
        <v/>
      </c>
      <c r="H145" s="24">
        <f>IF(OR(F145="",F144=""),"",(F145-F144)/ABS(F144))</f>
        <v/>
      </c>
      <c r="I145" s="8">
        <f>'02 原始数据'!H145</f>
        <v/>
      </c>
      <c r="J145" s="8">
        <f>'02 原始数据'!I145</f>
        <v/>
      </c>
      <c r="K145" s="23">
        <f>IFERROR(IF(C145="","",C145/'02 原始数据'!K145),"")</f>
        <v/>
      </c>
    </row>
    <row r="146">
      <c r="A146" s="8" t="n">
        <v>142</v>
      </c>
      <c r="B146" s="8">
        <f>'02 原始数据'!B146</f>
        <v/>
      </c>
      <c r="C146" s="8">
        <f>'02 原始数据'!D146</f>
        <v/>
      </c>
      <c r="D146" s="23">
        <f>IF(OR(C146="",C145=""),"",C146-C145)</f>
        <v/>
      </c>
      <c r="E146" s="24">
        <f>IF(OR(C146="",C145=""),"",(C146-C145)/ABS(C145))</f>
        <v/>
      </c>
      <c r="F146" s="8">
        <f>'02 原始数据'!G146</f>
        <v/>
      </c>
      <c r="G146" s="25">
        <f>IF(OR(F146="",F145=""),"",F146-F145)</f>
        <v/>
      </c>
      <c r="H146" s="24">
        <f>IF(OR(F146="",F145=""),"",(F146-F145)/ABS(F145))</f>
        <v/>
      </c>
      <c r="I146" s="8">
        <f>'02 原始数据'!H146</f>
        <v/>
      </c>
      <c r="J146" s="8">
        <f>'02 原始数据'!I146</f>
        <v/>
      </c>
      <c r="K146" s="23">
        <f>IFERROR(IF(C146="","",C146/'02 原始数据'!K146),"")</f>
        <v/>
      </c>
    </row>
    <row r="147">
      <c r="A147" s="8" t="n">
        <v>143</v>
      </c>
      <c r="B147" s="8">
        <f>'02 原始数据'!B147</f>
        <v/>
      </c>
      <c r="C147" s="8">
        <f>'02 原始数据'!D147</f>
        <v/>
      </c>
      <c r="D147" s="23">
        <f>IF(OR(C147="",C146=""),"",C147-C146)</f>
        <v/>
      </c>
      <c r="E147" s="24">
        <f>IF(OR(C147="",C146=""),"",(C147-C146)/ABS(C146))</f>
        <v/>
      </c>
      <c r="F147" s="8">
        <f>'02 原始数据'!G147</f>
        <v/>
      </c>
      <c r="G147" s="25">
        <f>IF(OR(F147="",F146=""),"",F147-F146)</f>
        <v/>
      </c>
      <c r="H147" s="24">
        <f>IF(OR(F147="",F146=""),"",(F147-F146)/ABS(F146))</f>
        <v/>
      </c>
      <c r="I147" s="8">
        <f>'02 原始数据'!H147</f>
        <v/>
      </c>
      <c r="J147" s="8">
        <f>'02 原始数据'!I147</f>
        <v/>
      </c>
      <c r="K147" s="23">
        <f>IFERROR(IF(C147="","",C147/'02 原始数据'!K147),"")</f>
        <v/>
      </c>
    </row>
    <row r="148">
      <c r="A148" s="8" t="n">
        <v>144</v>
      </c>
      <c r="B148" s="8">
        <f>'02 原始数据'!B148</f>
        <v/>
      </c>
      <c r="C148" s="8">
        <f>'02 原始数据'!D148</f>
        <v/>
      </c>
      <c r="D148" s="23">
        <f>IF(OR(C148="",C147=""),"",C148-C147)</f>
        <v/>
      </c>
      <c r="E148" s="24">
        <f>IF(OR(C148="",C147=""),"",(C148-C147)/ABS(C147))</f>
        <v/>
      </c>
      <c r="F148" s="8">
        <f>'02 原始数据'!G148</f>
        <v/>
      </c>
      <c r="G148" s="25">
        <f>IF(OR(F148="",F147=""),"",F148-F147)</f>
        <v/>
      </c>
      <c r="H148" s="24">
        <f>IF(OR(F148="",F147=""),"",(F148-F147)/ABS(F147))</f>
        <v/>
      </c>
      <c r="I148" s="8">
        <f>'02 原始数据'!H148</f>
        <v/>
      </c>
      <c r="J148" s="8">
        <f>'02 原始数据'!I148</f>
        <v/>
      </c>
      <c r="K148" s="23">
        <f>IFERROR(IF(C148="","",C148/'02 原始数据'!K148),"")</f>
        <v/>
      </c>
    </row>
    <row r="149">
      <c r="A149" s="8" t="n">
        <v>145</v>
      </c>
      <c r="B149" s="8">
        <f>'02 原始数据'!B149</f>
        <v/>
      </c>
      <c r="C149" s="8">
        <f>'02 原始数据'!D149</f>
        <v/>
      </c>
      <c r="D149" s="23">
        <f>IF(OR(C149="",C148=""),"",C149-C148)</f>
        <v/>
      </c>
      <c r="E149" s="24">
        <f>IF(OR(C149="",C148=""),"",(C149-C148)/ABS(C148))</f>
        <v/>
      </c>
      <c r="F149" s="8">
        <f>'02 原始数据'!G149</f>
        <v/>
      </c>
      <c r="G149" s="25">
        <f>IF(OR(F149="",F148=""),"",F149-F148)</f>
        <v/>
      </c>
      <c r="H149" s="24">
        <f>IF(OR(F149="",F148=""),"",(F149-F148)/ABS(F148))</f>
        <v/>
      </c>
      <c r="I149" s="8">
        <f>'02 原始数据'!H149</f>
        <v/>
      </c>
      <c r="J149" s="8">
        <f>'02 原始数据'!I149</f>
        <v/>
      </c>
      <c r="K149" s="23">
        <f>IFERROR(IF(C149="","",C149/'02 原始数据'!K149),"")</f>
        <v/>
      </c>
    </row>
    <row r="150">
      <c r="A150" s="8" t="n">
        <v>146</v>
      </c>
      <c r="B150" s="8">
        <f>'02 原始数据'!B150</f>
        <v/>
      </c>
      <c r="C150" s="8">
        <f>'02 原始数据'!D150</f>
        <v/>
      </c>
      <c r="D150" s="23">
        <f>IF(OR(C150="",C149=""),"",C150-C149)</f>
        <v/>
      </c>
      <c r="E150" s="24">
        <f>IF(OR(C150="",C149=""),"",(C150-C149)/ABS(C149))</f>
        <v/>
      </c>
      <c r="F150" s="8">
        <f>'02 原始数据'!G150</f>
        <v/>
      </c>
      <c r="G150" s="25">
        <f>IF(OR(F150="",F149=""),"",F150-F149)</f>
        <v/>
      </c>
      <c r="H150" s="24">
        <f>IF(OR(F150="",F149=""),"",(F150-F149)/ABS(F149))</f>
        <v/>
      </c>
      <c r="I150" s="8">
        <f>'02 原始数据'!H150</f>
        <v/>
      </c>
      <c r="J150" s="8">
        <f>'02 原始数据'!I150</f>
        <v/>
      </c>
      <c r="K150" s="23">
        <f>IFERROR(IF(C150="","",C150/'02 原始数据'!K150),"")</f>
        <v/>
      </c>
    </row>
    <row r="151">
      <c r="A151" s="8" t="n">
        <v>147</v>
      </c>
      <c r="B151" s="8">
        <f>'02 原始数据'!B151</f>
        <v/>
      </c>
      <c r="C151" s="8">
        <f>'02 原始数据'!D151</f>
        <v/>
      </c>
      <c r="D151" s="23">
        <f>IF(OR(C151="",C150=""),"",C151-C150)</f>
        <v/>
      </c>
      <c r="E151" s="24">
        <f>IF(OR(C151="",C150=""),"",(C151-C150)/ABS(C150))</f>
        <v/>
      </c>
      <c r="F151" s="8">
        <f>'02 原始数据'!G151</f>
        <v/>
      </c>
      <c r="G151" s="25">
        <f>IF(OR(F151="",F150=""),"",F151-F150)</f>
        <v/>
      </c>
      <c r="H151" s="24">
        <f>IF(OR(F151="",F150=""),"",(F151-F150)/ABS(F150))</f>
        <v/>
      </c>
      <c r="I151" s="8">
        <f>'02 原始数据'!H151</f>
        <v/>
      </c>
      <c r="J151" s="8">
        <f>'02 原始数据'!I151</f>
        <v/>
      </c>
      <c r="K151" s="23">
        <f>IFERROR(IF(C151="","",C151/'02 原始数据'!K151),"")</f>
        <v/>
      </c>
    </row>
    <row r="152">
      <c r="A152" s="8" t="n">
        <v>148</v>
      </c>
      <c r="B152" s="8">
        <f>'02 原始数据'!B152</f>
        <v/>
      </c>
      <c r="C152" s="8">
        <f>'02 原始数据'!D152</f>
        <v/>
      </c>
      <c r="D152" s="23">
        <f>IF(OR(C152="",C151=""),"",C152-C151)</f>
        <v/>
      </c>
      <c r="E152" s="24">
        <f>IF(OR(C152="",C151=""),"",(C152-C151)/ABS(C151))</f>
        <v/>
      </c>
      <c r="F152" s="8">
        <f>'02 原始数据'!G152</f>
        <v/>
      </c>
      <c r="G152" s="25">
        <f>IF(OR(F152="",F151=""),"",F152-F151)</f>
        <v/>
      </c>
      <c r="H152" s="24">
        <f>IF(OR(F152="",F151=""),"",(F152-F151)/ABS(F151))</f>
        <v/>
      </c>
      <c r="I152" s="8">
        <f>'02 原始数据'!H152</f>
        <v/>
      </c>
      <c r="J152" s="8">
        <f>'02 原始数据'!I152</f>
        <v/>
      </c>
      <c r="K152" s="23">
        <f>IFERROR(IF(C152="","",C152/'02 原始数据'!K152),"")</f>
        <v/>
      </c>
    </row>
    <row r="153">
      <c r="A153" s="8" t="n">
        <v>149</v>
      </c>
      <c r="B153" s="8">
        <f>'02 原始数据'!B153</f>
        <v/>
      </c>
      <c r="C153" s="8">
        <f>'02 原始数据'!D153</f>
        <v/>
      </c>
      <c r="D153" s="23">
        <f>IF(OR(C153="",C152=""),"",C153-C152)</f>
        <v/>
      </c>
      <c r="E153" s="24">
        <f>IF(OR(C153="",C152=""),"",(C153-C152)/ABS(C152))</f>
        <v/>
      </c>
      <c r="F153" s="8">
        <f>'02 原始数据'!G153</f>
        <v/>
      </c>
      <c r="G153" s="25">
        <f>IF(OR(F153="",F152=""),"",F153-F152)</f>
        <v/>
      </c>
      <c r="H153" s="24">
        <f>IF(OR(F153="",F152=""),"",(F153-F152)/ABS(F152))</f>
        <v/>
      </c>
      <c r="I153" s="8">
        <f>'02 原始数据'!H153</f>
        <v/>
      </c>
      <c r="J153" s="8">
        <f>'02 原始数据'!I153</f>
        <v/>
      </c>
      <c r="K153" s="23">
        <f>IFERROR(IF(C153="","",C153/'02 原始数据'!K153),"")</f>
        <v/>
      </c>
    </row>
    <row r="154">
      <c r="A154" s="8" t="n">
        <v>150</v>
      </c>
      <c r="B154" s="8">
        <f>'02 原始数据'!B154</f>
        <v/>
      </c>
      <c r="C154" s="8">
        <f>'02 原始数据'!D154</f>
        <v/>
      </c>
      <c r="D154" s="23">
        <f>IF(OR(C154="",C153=""),"",C154-C153)</f>
        <v/>
      </c>
      <c r="E154" s="24">
        <f>IF(OR(C154="",C153=""),"",(C154-C153)/ABS(C153))</f>
        <v/>
      </c>
      <c r="F154" s="8">
        <f>'02 原始数据'!G154</f>
        <v/>
      </c>
      <c r="G154" s="25">
        <f>IF(OR(F154="",F153=""),"",F154-F153)</f>
        <v/>
      </c>
      <c r="H154" s="24">
        <f>IF(OR(F154="",F153=""),"",(F154-F153)/ABS(F153))</f>
        <v/>
      </c>
      <c r="I154" s="8">
        <f>'02 原始数据'!H154</f>
        <v/>
      </c>
      <c r="J154" s="8">
        <f>'02 原始数据'!I154</f>
        <v/>
      </c>
      <c r="K154" s="23">
        <f>IFERROR(IF(C154="","",C154/'02 原始数据'!K154),"")</f>
        <v/>
      </c>
    </row>
    <row r="155">
      <c r="A155" s="8" t="n">
        <v>151</v>
      </c>
      <c r="B155" s="8">
        <f>'02 原始数据'!B155</f>
        <v/>
      </c>
      <c r="C155" s="8">
        <f>'02 原始数据'!D155</f>
        <v/>
      </c>
      <c r="D155" s="23">
        <f>IF(OR(C155="",C154=""),"",C155-C154)</f>
        <v/>
      </c>
      <c r="E155" s="24">
        <f>IF(OR(C155="",C154=""),"",(C155-C154)/ABS(C154))</f>
        <v/>
      </c>
      <c r="F155" s="8">
        <f>'02 原始数据'!G155</f>
        <v/>
      </c>
      <c r="G155" s="25">
        <f>IF(OR(F155="",F154=""),"",F155-F154)</f>
        <v/>
      </c>
      <c r="H155" s="24">
        <f>IF(OR(F155="",F154=""),"",(F155-F154)/ABS(F154))</f>
        <v/>
      </c>
      <c r="I155" s="8">
        <f>'02 原始数据'!H155</f>
        <v/>
      </c>
      <c r="J155" s="8">
        <f>'02 原始数据'!I155</f>
        <v/>
      </c>
      <c r="K155" s="23">
        <f>IFERROR(IF(C155="","",C155/'02 原始数据'!K155),"")</f>
        <v/>
      </c>
    </row>
    <row r="156">
      <c r="A156" s="8" t="n">
        <v>152</v>
      </c>
      <c r="B156" s="8">
        <f>'02 原始数据'!B156</f>
        <v/>
      </c>
      <c r="C156" s="8">
        <f>'02 原始数据'!D156</f>
        <v/>
      </c>
      <c r="D156" s="23">
        <f>IF(OR(C156="",C155=""),"",C156-C155)</f>
        <v/>
      </c>
      <c r="E156" s="24">
        <f>IF(OR(C156="",C155=""),"",(C156-C155)/ABS(C155))</f>
        <v/>
      </c>
      <c r="F156" s="8">
        <f>'02 原始数据'!G156</f>
        <v/>
      </c>
      <c r="G156" s="25">
        <f>IF(OR(F156="",F155=""),"",F156-F155)</f>
        <v/>
      </c>
      <c r="H156" s="24">
        <f>IF(OR(F156="",F155=""),"",(F156-F155)/ABS(F155))</f>
        <v/>
      </c>
      <c r="I156" s="8">
        <f>'02 原始数据'!H156</f>
        <v/>
      </c>
      <c r="J156" s="8">
        <f>'02 原始数据'!I156</f>
        <v/>
      </c>
      <c r="K156" s="23">
        <f>IFERROR(IF(C156="","",C156/'02 原始数据'!K156),"")</f>
        <v/>
      </c>
    </row>
    <row r="157">
      <c r="A157" s="8" t="n">
        <v>153</v>
      </c>
      <c r="B157" s="8">
        <f>'02 原始数据'!B157</f>
        <v/>
      </c>
      <c r="C157" s="8">
        <f>'02 原始数据'!D157</f>
        <v/>
      </c>
      <c r="D157" s="23">
        <f>IF(OR(C157="",C156=""),"",C157-C156)</f>
        <v/>
      </c>
      <c r="E157" s="24">
        <f>IF(OR(C157="",C156=""),"",(C157-C156)/ABS(C156))</f>
        <v/>
      </c>
      <c r="F157" s="8">
        <f>'02 原始数据'!G157</f>
        <v/>
      </c>
      <c r="G157" s="25">
        <f>IF(OR(F157="",F156=""),"",F157-F156)</f>
        <v/>
      </c>
      <c r="H157" s="24">
        <f>IF(OR(F157="",F156=""),"",(F157-F156)/ABS(F156))</f>
        <v/>
      </c>
      <c r="I157" s="8">
        <f>'02 原始数据'!H157</f>
        <v/>
      </c>
      <c r="J157" s="8">
        <f>'02 原始数据'!I157</f>
        <v/>
      </c>
      <c r="K157" s="23">
        <f>IFERROR(IF(C157="","",C157/'02 原始数据'!K157),"")</f>
        <v/>
      </c>
    </row>
    <row r="158">
      <c r="A158" s="8" t="n">
        <v>154</v>
      </c>
      <c r="B158" s="8">
        <f>'02 原始数据'!B158</f>
        <v/>
      </c>
      <c r="C158" s="8">
        <f>'02 原始数据'!D158</f>
        <v/>
      </c>
      <c r="D158" s="23">
        <f>IF(OR(C158="",C157=""),"",C158-C157)</f>
        <v/>
      </c>
      <c r="E158" s="24">
        <f>IF(OR(C158="",C157=""),"",(C158-C157)/ABS(C157))</f>
        <v/>
      </c>
      <c r="F158" s="8">
        <f>'02 原始数据'!G158</f>
        <v/>
      </c>
      <c r="G158" s="25">
        <f>IF(OR(F158="",F157=""),"",F158-F157)</f>
        <v/>
      </c>
      <c r="H158" s="24">
        <f>IF(OR(F158="",F157=""),"",(F158-F157)/ABS(F157))</f>
        <v/>
      </c>
      <c r="I158" s="8">
        <f>'02 原始数据'!H158</f>
        <v/>
      </c>
      <c r="J158" s="8">
        <f>'02 原始数据'!I158</f>
        <v/>
      </c>
      <c r="K158" s="23">
        <f>IFERROR(IF(C158="","",C158/'02 原始数据'!K158),"")</f>
        <v/>
      </c>
    </row>
    <row r="159">
      <c r="A159" s="8" t="n">
        <v>155</v>
      </c>
      <c r="B159" s="8">
        <f>'02 原始数据'!B159</f>
        <v/>
      </c>
      <c r="C159" s="8">
        <f>'02 原始数据'!D159</f>
        <v/>
      </c>
      <c r="D159" s="23">
        <f>IF(OR(C159="",C158=""),"",C159-C158)</f>
        <v/>
      </c>
      <c r="E159" s="24">
        <f>IF(OR(C159="",C158=""),"",(C159-C158)/ABS(C158))</f>
        <v/>
      </c>
      <c r="F159" s="8">
        <f>'02 原始数据'!G159</f>
        <v/>
      </c>
      <c r="G159" s="25">
        <f>IF(OR(F159="",F158=""),"",F159-F158)</f>
        <v/>
      </c>
      <c r="H159" s="24">
        <f>IF(OR(F159="",F158=""),"",(F159-F158)/ABS(F158))</f>
        <v/>
      </c>
      <c r="I159" s="8">
        <f>'02 原始数据'!H159</f>
        <v/>
      </c>
      <c r="J159" s="8">
        <f>'02 原始数据'!I159</f>
        <v/>
      </c>
      <c r="K159" s="23">
        <f>IFERROR(IF(C159="","",C159/'02 原始数据'!K159),"")</f>
        <v/>
      </c>
    </row>
    <row r="160">
      <c r="A160" s="8" t="n">
        <v>156</v>
      </c>
      <c r="B160" s="8">
        <f>'02 原始数据'!B160</f>
        <v/>
      </c>
      <c r="C160" s="8">
        <f>'02 原始数据'!D160</f>
        <v/>
      </c>
      <c r="D160" s="23">
        <f>IF(OR(C160="",C159=""),"",C160-C159)</f>
        <v/>
      </c>
      <c r="E160" s="24">
        <f>IF(OR(C160="",C159=""),"",(C160-C159)/ABS(C159))</f>
        <v/>
      </c>
      <c r="F160" s="8">
        <f>'02 原始数据'!G160</f>
        <v/>
      </c>
      <c r="G160" s="25">
        <f>IF(OR(F160="",F159=""),"",F160-F159)</f>
        <v/>
      </c>
      <c r="H160" s="24">
        <f>IF(OR(F160="",F159=""),"",(F160-F159)/ABS(F159))</f>
        <v/>
      </c>
      <c r="I160" s="8">
        <f>'02 原始数据'!H160</f>
        <v/>
      </c>
      <c r="J160" s="8">
        <f>'02 原始数据'!I160</f>
        <v/>
      </c>
      <c r="K160" s="23">
        <f>IFERROR(IF(C160="","",C160/'02 原始数据'!K160),"")</f>
        <v/>
      </c>
    </row>
  </sheetData>
  <mergeCells count="2">
    <mergeCell ref="A2:K2"/>
    <mergeCell ref="A1:K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13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24" customWidth="1" min="2" max="2"/>
    <col width="12" customWidth="1" min="3" max="3"/>
    <col width="8" customWidth="1" min="4" max="4"/>
    <col width="10" customWidth="1" min="5" max="5"/>
    <col width="11" customWidth="1" min="6" max="6"/>
    <col width="14" customWidth="1" min="7" max="7"/>
    <col width="14" customWidth="1" min="8" max="8"/>
  </cols>
  <sheetData>
    <row r="1" ht="26" customHeight="1">
      <c r="A1" s="1" t="inlineStr">
        <is>
          <t>总体相关系数（Excel 原生公式，可在表内直接重算）</t>
        </is>
      </c>
    </row>
    <row r="2" ht="34" customHeight="1">
      <c r="A2" s="2" t="inlineStr">
        <is>
          <t>五种形态组合齐列，避免“只用一种口径下结论”。p 用 T.DIST.2T，R² 用 RSQ，N 用 COUNT 系列函数统计有效数。</t>
        </is>
      </c>
    </row>
    <row r="4" ht="24" customHeight="1">
      <c r="A4" s="7" t="inlineStr"/>
      <c r="B4" s="7" t="inlineStr">
        <is>
          <t>组合</t>
        </is>
      </c>
      <c r="C4" s="7" t="inlineStr">
        <is>
          <t>Pearson r</t>
        </is>
      </c>
      <c r="D4" s="7" t="inlineStr">
        <is>
          <t>N</t>
        </is>
      </c>
      <c r="E4" s="7" t="inlineStr">
        <is>
          <t>R²</t>
        </is>
      </c>
      <c r="F4" s="7" t="inlineStr">
        <is>
          <t>t 统计量</t>
        </is>
      </c>
      <c r="G4" s="7" t="inlineStr">
        <is>
          <t>p 值（双侧）</t>
        </is>
      </c>
      <c r="H4" s="7" t="inlineStr">
        <is>
          <t>判定</t>
        </is>
      </c>
    </row>
    <row r="5">
      <c r="A5" s="8" t="n"/>
      <c r="B5" s="8" t="inlineStr">
        <is>
          <t>① 库存水平 × 价格水平</t>
        </is>
      </c>
      <c r="C5" s="26">
        <f>IFERROR(CORREL('04 变换后数据'!$C$5:$C$160,'04 变换后数据'!$F$5:$F$160),"样本不足")</f>
        <v/>
      </c>
      <c r="D5" s="8">
        <f>SUMPRODUCT(--ISNUMBER('04 变换后数据'!$C$5:$C$160),--ISNUMBER('04 变换后数据'!$F$5:$F$160))</f>
        <v/>
      </c>
      <c r="E5" s="26">
        <f>IFERROR(C5^2,"")</f>
        <v/>
      </c>
      <c r="F5" s="23">
        <f>IFERROR(C5*SQRT((D5-2)/(1-C5^2)),"")</f>
        <v/>
      </c>
      <c r="G5" s="27">
        <f>IFERROR(_XLFN.T.DIST.2T(ABS(F5),D5-2),"")</f>
        <v/>
      </c>
      <c r="H5" s="8">
        <f>IF(G5="","",IF(G5&lt;0.01,"显著(1%)",IF(G5&lt;0.05,"显著(5%)",IF(G5&lt;0.1,"边际(10%)","不显著"))))</f>
        <v/>
      </c>
    </row>
    <row r="6">
      <c r="A6" s="8" t="n"/>
      <c r="B6" s="8" t="inlineStr">
        <is>
          <t>② 库存水平 × 价格环比%</t>
        </is>
      </c>
      <c r="C6" s="26">
        <f>IFERROR(CORREL('04 变换后数据'!$C$5:$C$160,'04 变换后数据'!$H$5:$H$160),"样本不足")</f>
        <v/>
      </c>
      <c r="D6" s="8">
        <f>SUMPRODUCT(--ISNUMBER('04 变换后数据'!$C$5:$C$160),--ISNUMBER('04 变换后数据'!$H$5:$H$160))</f>
        <v/>
      </c>
      <c r="E6" s="26">
        <f>IFERROR(C6^2,"")</f>
        <v/>
      </c>
      <c r="F6" s="23">
        <f>IFERROR(C6*SQRT((D6-2)/(1-C6^2)),"")</f>
        <v/>
      </c>
      <c r="G6" s="27">
        <f>IFERROR(_XLFN.T.DIST.2T(ABS(F6),D6-2),"")</f>
        <v/>
      </c>
      <c r="H6" s="8">
        <f>IF(G6="","",IF(G6&lt;0.01,"显著(1%)",IF(G6&lt;0.05,"显著(5%)",IF(G6&lt;0.1,"边际(10%)","不显著"))))</f>
        <v/>
      </c>
    </row>
    <row r="7">
      <c r="A7" s="8" t="n"/>
      <c r="B7" s="8" t="inlineStr">
        <is>
          <t>③ 库存差分 × 价格环比%</t>
        </is>
      </c>
      <c r="C7" s="26">
        <f>IFERROR(CORREL('04 变换后数据'!$D$5:$D$160,'04 变换后数据'!$H$5:$H$160),"样本不足")</f>
        <v/>
      </c>
      <c r="D7" s="8">
        <f>SUMPRODUCT(--ISNUMBER('04 变换后数据'!$D$5:$D$160),--ISNUMBER('04 变换后数据'!$H$5:$H$160))</f>
        <v/>
      </c>
      <c r="E7" s="26">
        <f>IFERROR(C7^2,"")</f>
        <v/>
      </c>
      <c r="F7" s="23">
        <f>IFERROR(C7*SQRT((D7-2)/(1-C7^2)),"")</f>
        <v/>
      </c>
      <c r="G7" s="27">
        <f>IFERROR(_XLFN.T.DIST.2T(ABS(F7),D7-2),"")</f>
        <v/>
      </c>
      <c r="H7" s="8">
        <f>IF(G7="","",IF(G7&lt;0.01,"显著(1%)",IF(G7&lt;0.05,"显著(5%)",IF(G7&lt;0.1,"边际(10%)","不显著"))))</f>
        <v/>
      </c>
    </row>
    <row r="8">
      <c r="A8" s="8" t="n"/>
      <c r="B8" s="8" t="inlineStr">
        <is>
          <t>④ 库存差分 × 价格差分</t>
        </is>
      </c>
      <c r="C8" s="26">
        <f>IFERROR(CORREL('04 变换后数据'!$D$5:$D$160,'04 变换后数据'!$G$5:$G$160),"样本不足")</f>
        <v/>
      </c>
      <c r="D8" s="8">
        <f>SUMPRODUCT(--ISNUMBER('04 变换后数据'!$D$5:$D$160),--ISNUMBER('04 变换后数据'!$G$5:$G$160))</f>
        <v/>
      </c>
      <c r="E8" s="26">
        <f>IFERROR(C8^2,"")</f>
        <v/>
      </c>
      <c r="F8" s="23">
        <f>IFERROR(C8*SQRT((D8-2)/(1-C8^2)),"")</f>
        <v/>
      </c>
      <c r="G8" s="27">
        <f>IFERROR(_XLFN.T.DIST.2T(ABS(F8),D8-2),"")</f>
        <v/>
      </c>
      <c r="H8" s="8">
        <f>IF(G8="","",IF(G8&lt;0.01,"显著(1%)",IF(G8&lt;0.05,"显著(5%)",IF(G8&lt;0.1,"边际(10%)","不显著"))))</f>
        <v/>
      </c>
    </row>
    <row r="9">
      <c r="A9" s="8" t="n"/>
      <c r="B9" s="8" t="inlineStr">
        <is>
          <t>⑤ 库存环比% × 价格环比%</t>
        </is>
      </c>
      <c r="C9" s="26">
        <f>IFERROR(CORREL('04 变换后数据'!$E$5:$E$160,'04 变换后数据'!$H$5:$H$160),"样本不足")</f>
        <v/>
      </c>
      <c r="D9" s="8">
        <f>SUMPRODUCT(--ISNUMBER('04 变换后数据'!$E$5:$E$160),--ISNUMBER('04 变换后数据'!$H$5:$H$160))</f>
        <v/>
      </c>
      <c r="E9" s="26">
        <f>IFERROR(C9^2,"")</f>
        <v/>
      </c>
      <c r="F9" s="23">
        <f>IFERROR(C9*SQRT((D9-2)/(1-C9^2)),"")</f>
        <v/>
      </c>
      <c r="G9" s="27">
        <f>IFERROR(_XLFN.T.DIST.2T(ABS(F9),D9-2),"")</f>
        <v/>
      </c>
      <c r="H9" s="8">
        <f>IF(G9="","",IF(G9&lt;0.01,"显著(1%)",IF(G9&lt;0.05,"显著(5%)",IF(G9&lt;0.1,"边际(10%)","不显著"))))</f>
        <v/>
      </c>
    </row>
    <row r="11" ht="34" customHeight="1">
      <c r="B11" s="22" t="inlineStr">
        <is>
          <t>N 的算法</t>
        </is>
      </c>
      <c r="C11" s="28" t="inlineStr">
        <is>
          <t>SUMPRODUCT(--ISNUMBER(x),--ISNUMBER(y)) 统计“两列同时有数”的期数；缺失用 NA() 表示，CORREL 会自动跳过缺配对，不会把缺失当 0。</t>
        </is>
      </c>
    </row>
    <row r="12" ht="34" customHeight="1">
      <c r="B12" s="22" t="inlineStr">
        <is>
          <t>p 值的含义</t>
        </is>
      </c>
      <c r="C12" s="28" t="inlineStr">
        <is>
          <t>“若总体真实相关为 0，出现这么极端样本的概率”。p 小只说明不像偶然；相关强不强看 |r|，是不是因果与 p 无关。</t>
        </is>
      </c>
    </row>
    <row r="13" ht="34" customHeight="1">
      <c r="B13" s="22" t="inlineStr">
        <is>
          <t>为什么列五种组合</t>
        </is>
      </c>
      <c r="C13" s="28" t="inlineStr">
        <is>
          <t>同一对指标换个形态，r 可能完全不同。只报一种口径的相关系数，无法被复核。</t>
        </is>
      </c>
    </row>
  </sheetData>
  <mergeCells count="5">
    <mergeCell ref="C11:H11"/>
    <mergeCell ref="C13:H13"/>
    <mergeCell ref="A2:H2"/>
    <mergeCell ref="A1:H1"/>
    <mergeCell ref="C12:H12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160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15" customWidth="1" min="2" max="2"/>
    <col width="10" customWidth="1" min="3" max="3"/>
    <col width="8" customWidth="1" min="4" max="4"/>
    <col width="10" customWidth="1" min="5" max="5"/>
    <col width="8" customWidth="1" min="6" max="6"/>
    <col width="10" customWidth="1" min="7" max="7"/>
    <col width="8" customWidth="1" min="8" max="8"/>
    <col width="11" customWidth="1" min="9" max="9"/>
  </cols>
  <sheetData>
    <row r="1" ht="26" customHeight="1">
      <c r="A1" s="1" t="inlineStr">
        <is>
          <t>滚动相关系数（12 / 26 / 52 周；主口径：库存差分 × 价格环比%）</t>
        </is>
      </c>
    </row>
    <row r="2" ht="34" customHeight="1">
      <c r="A2" s="2" t="inlineStr">
        <is>
          <t>每行对应窗口末端日期。窗口内有效配对数低于“最小样本数”时输出空白，不外推、不插值。改第 3 行窗口参数后整表自动重算。</t>
        </is>
      </c>
    </row>
    <row r="3">
      <c r="B3" s="29" t="inlineStr">
        <is>
          <t>12周窗口</t>
        </is>
      </c>
      <c r="C3" s="30" t="n">
        <v>12</v>
      </c>
      <c r="D3" s="29" t="inlineStr">
        <is>
          <t>26周窗口</t>
        </is>
      </c>
      <c r="E3" s="30" t="n">
        <v>26</v>
      </c>
      <c r="F3" s="29" t="inlineStr">
        <is>
          <t>52周窗口</t>
        </is>
      </c>
      <c r="G3" s="30" t="n">
        <v>52</v>
      </c>
    </row>
    <row r="4" ht="24" customHeight="1">
      <c r="A4" s="7" t="inlineStr">
        <is>
          <t>序号</t>
        </is>
      </c>
      <c r="B4" s="7" t="inlineStr">
        <is>
          <t>窗口末端日期</t>
        </is>
      </c>
      <c r="C4" s="7" t="inlineStr">
        <is>
          <t>12周 r</t>
        </is>
      </c>
      <c r="D4" s="7" t="inlineStr">
        <is>
          <t>12周 N</t>
        </is>
      </c>
      <c r="E4" s="7" t="inlineStr">
        <is>
          <t>26周 r</t>
        </is>
      </c>
      <c r="F4" s="7" t="inlineStr">
        <is>
          <t>26周 N</t>
        </is>
      </c>
      <c r="G4" s="7" t="inlineStr">
        <is>
          <t>52周 r</t>
        </is>
      </c>
      <c r="H4" s="7" t="inlineStr">
        <is>
          <t>52周 N</t>
        </is>
      </c>
      <c r="I4" s="7" t="inlineStr">
        <is>
          <t>主口径强度</t>
        </is>
      </c>
    </row>
    <row r="5">
      <c r="A5" s="8" t="n">
        <v>1</v>
      </c>
      <c r="B5" s="8">
        <f>'04 变换后数据'!B5</f>
        <v/>
      </c>
      <c r="C5" s="31">
        <f>IF(1&lt;$C$3,"",IF(45=0,"",IF(45&lt;MAX(5,ROUND($C$3*0.8,0)),"样本不足",CORREL(OFFSET('04 变换后数据'!$D$5:$D$160,ROW()-5-$C$3+1,0,$C$3,1),OFFSET('04 变换后数据'!$H$5:$H$160,ROW()-5-$C$3+1,0,$C$3,1))))</f>
        <v/>
      </c>
      <c r="D5" s="8">
        <f>IF(1&lt;$C$3,0,SUMPRODUCT(--(ROW('04 变换后数据'!$D$5:$D$160)&lt;=ROW()),--ISNUMBER(OFFSET('04 变换后数据'!$D$5:$D$160,ROW()-5-$C$3+1,0,MIN($C$3,ROW()-4),1)),--ISNUMBER(OFFSET('04 变换后数据'!$H$5:$H$160,ROW()-5-$C$3+1,0,MIN($C$3,ROW()-4),1))))</f>
        <v/>
      </c>
      <c r="E5" s="31">
        <f>IF(1&lt;$E$3,"",IF(65=0,"",IF(65&lt;MAX(5,ROUND($E$3*0.8,0)),"样本不足",CORREL(OFFSET('04 变换后数据'!$D$5:$D$160,ROW()-5-$E$3+1,0,$E$3,1),OFFSET('04 变换后数据'!$H$5:$H$160,ROW()-5-$E$3+1,0,$E$3,1))))</f>
        <v/>
      </c>
      <c r="F5" s="8">
        <f>IF(1&lt;$E$3,0,SUMPRODUCT(--(ROW('04 变换后数据'!$D$5:$D$160)&lt;=ROW()),--ISNUMBER(OFFSET('04 变换后数据'!$D$5:$D$160,ROW()-5-$E$3+1,0,MIN($E$3,ROW()-4),1)),--ISNUMBER(OFFSET('04 变换后数据'!$H$5:$H$160,ROW()-5-$E$3+1,0,MIN($E$3,ROW()-4),1))))</f>
        <v/>
      </c>
      <c r="G5" s="31">
        <f>IF(1&lt;$G$3,"",IF(85=0,"",IF(85&lt;MAX(5,ROUND($G$3*0.8,0)),"样本不足",CORREL(OFFSET('04 变换后数据'!$D$5:$D$160,ROW()-5-$G$3+1,0,$G$3,1),OFFSET('04 变换后数据'!$H$5:$H$160,ROW()-5-$G$3+1,0,$G$3,1))))</f>
        <v/>
      </c>
      <c r="H5" s="8">
        <f>IF(1&lt;$G$3,0,SUMPRODUCT(--(ROW('04 变换后数据'!$D$5:$D$160)&lt;=ROW()),--ISNUMBER(OFFSET('04 变换后数据'!$D$5:$D$160,ROW()-5-$G$3+1,0,MIN($G$3,ROW()-4),1)),--ISNUMBER(OFFSET('04 变换后数据'!$H$5:$H$160,ROW()-5-$G$3+1,0,MIN($G$3,ROW()-4),1))))</f>
        <v/>
      </c>
      <c r="I5" s="8">
        <f>IF(ISNUMBER(E5),IF(ABS(E5)&gt;=0.7,"强",IF(ABS(E5)&gt;=0.4,"中","弱")),"-")</f>
        <v/>
      </c>
    </row>
    <row r="6">
      <c r="A6" s="8" t="n">
        <v>2</v>
      </c>
      <c r="B6" s="8">
        <f>'04 变换后数据'!B6</f>
        <v/>
      </c>
      <c r="C6" s="31">
        <f>IF(2&lt;$C$3,"",IF(46=0,"",IF(46&lt;MAX(5,ROUND($C$3*0.8,0)),"样本不足",CORREL(OFFSET('04 变换后数据'!$D$5:$D$160,ROW()-5-$C$3+1,0,$C$3,1),OFFSET('04 变换后数据'!$H$5:$H$160,ROW()-5-$C$3+1,0,$C$3,1))))</f>
        <v/>
      </c>
      <c r="D6" s="8">
        <f>IF(2&lt;$C$3,0,SUMPRODUCT(--(ROW('04 变换后数据'!$D$5:$D$160)&lt;=ROW()),--ISNUMBER(OFFSET('04 变换后数据'!$D$5:$D$160,ROW()-5-$C$3+1,0,MIN($C$3,ROW()-4),1)),--ISNUMBER(OFFSET('04 变换后数据'!$H$5:$H$160,ROW()-5-$C$3+1,0,MIN($C$3,ROW()-4),1))))</f>
        <v/>
      </c>
      <c r="E6" s="31">
        <f>IF(2&lt;$E$3,"",IF(66=0,"",IF(66&lt;MAX(5,ROUND($E$3*0.8,0)),"样本不足",CORREL(OFFSET('04 变换后数据'!$D$5:$D$160,ROW()-5-$E$3+1,0,$E$3,1),OFFSET('04 变换后数据'!$H$5:$H$160,ROW()-5-$E$3+1,0,$E$3,1))))</f>
        <v/>
      </c>
      <c r="F6" s="8">
        <f>IF(2&lt;$E$3,0,SUMPRODUCT(--(ROW('04 变换后数据'!$D$5:$D$160)&lt;=ROW()),--ISNUMBER(OFFSET('04 变换后数据'!$D$5:$D$160,ROW()-5-$E$3+1,0,MIN($E$3,ROW()-4),1)),--ISNUMBER(OFFSET('04 变换后数据'!$H$5:$H$160,ROW()-5-$E$3+1,0,MIN($E$3,ROW()-4),1))))</f>
        <v/>
      </c>
      <c r="G6" s="31">
        <f>IF(2&lt;$G$3,"",IF(86=0,"",IF(86&lt;MAX(5,ROUND($G$3*0.8,0)),"样本不足",CORREL(OFFSET('04 变换后数据'!$D$5:$D$160,ROW()-5-$G$3+1,0,$G$3,1),OFFSET('04 变换后数据'!$H$5:$H$160,ROW()-5-$G$3+1,0,$G$3,1))))</f>
        <v/>
      </c>
      <c r="H6" s="8">
        <f>IF(2&lt;$G$3,0,SUMPRODUCT(--(ROW('04 变换后数据'!$D$5:$D$160)&lt;=ROW()),--ISNUMBER(OFFSET('04 变换后数据'!$D$5:$D$160,ROW()-5-$G$3+1,0,MIN($G$3,ROW()-4),1)),--ISNUMBER(OFFSET('04 变换后数据'!$H$5:$H$160,ROW()-5-$G$3+1,0,MIN($G$3,ROW()-4),1))))</f>
        <v/>
      </c>
      <c r="I6" s="8">
        <f>IF(ISNUMBER(E6),IF(ABS(E6)&gt;=0.7,"强",IF(ABS(E6)&gt;=0.4,"中","弱")),"-")</f>
        <v/>
      </c>
    </row>
    <row r="7">
      <c r="A7" s="8" t="n">
        <v>3</v>
      </c>
      <c r="B7" s="8">
        <f>'04 变换后数据'!B7</f>
        <v/>
      </c>
      <c r="C7" s="31">
        <f>IF(3&lt;$C$3,"",IF(47=0,"",IF(47&lt;MAX(5,ROUND($C$3*0.8,0)),"样本不足",CORREL(OFFSET('04 变换后数据'!$D$5:$D$160,ROW()-5-$C$3+1,0,$C$3,1),OFFSET('04 变换后数据'!$H$5:$H$160,ROW()-5-$C$3+1,0,$C$3,1))))</f>
        <v/>
      </c>
      <c r="D7" s="8">
        <f>IF(3&lt;$C$3,0,SUMPRODUCT(--(ROW('04 变换后数据'!$D$5:$D$160)&lt;=ROW()),--ISNUMBER(OFFSET('04 变换后数据'!$D$5:$D$160,ROW()-5-$C$3+1,0,MIN($C$3,ROW()-4),1)),--ISNUMBER(OFFSET('04 变换后数据'!$H$5:$H$160,ROW()-5-$C$3+1,0,MIN($C$3,ROW()-4),1))))</f>
        <v/>
      </c>
      <c r="E7" s="31">
        <f>IF(3&lt;$E$3,"",IF(67=0,"",IF(67&lt;MAX(5,ROUND($E$3*0.8,0)),"样本不足",CORREL(OFFSET('04 变换后数据'!$D$5:$D$160,ROW()-5-$E$3+1,0,$E$3,1),OFFSET('04 变换后数据'!$H$5:$H$160,ROW()-5-$E$3+1,0,$E$3,1))))</f>
        <v/>
      </c>
      <c r="F7" s="8">
        <f>IF(3&lt;$E$3,0,SUMPRODUCT(--(ROW('04 变换后数据'!$D$5:$D$160)&lt;=ROW()),--ISNUMBER(OFFSET('04 变换后数据'!$D$5:$D$160,ROW()-5-$E$3+1,0,MIN($E$3,ROW()-4),1)),--ISNUMBER(OFFSET('04 变换后数据'!$H$5:$H$160,ROW()-5-$E$3+1,0,MIN($E$3,ROW()-4),1))))</f>
        <v/>
      </c>
      <c r="G7" s="31">
        <f>IF(3&lt;$G$3,"",IF(87=0,"",IF(87&lt;MAX(5,ROUND($G$3*0.8,0)),"样本不足",CORREL(OFFSET('04 变换后数据'!$D$5:$D$160,ROW()-5-$G$3+1,0,$G$3,1),OFFSET('04 变换后数据'!$H$5:$H$160,ROW()-5-$G$3+1,0,$G$3,1))))</f>
        <v/>
      </c>
      <c r="H7" s="8">
        <f>IF(3&lt;$G$3,0,SUMPRODUCT(--(ROW('04 变换后数据'!$D$5:$D$160)&lt;=ROW()),--ISNUMBER(OFFSET('04 变换后数据'!$D$5:$D$160,ROW()-5-$G$3+1,0,MIN($G$3,ROW()-4),1)),--ISNUMBER(OFFSET('04 变换后数据'!$H$5:$H$160,ROW()-5-$G$3+1,0,MIN($G$3,ROW()-4),1))))</f>
        <v/>
      </c>
      <c r="I7" s="8">
        <f>IF(ISNUMBER(E7),IF(ABS(E7)&gt;=0.7,"强",IF(ABS(E7)&gt;=0.4,"中","弱")),"-")</f>
        <v/>
      </c>
    </row>
    <row r="8">
      <c r="A8" s="8" t="n">
        <v>4</v>
      </c>
      <c r="B8" s="8">
        <f>'04 变换后数据'!B8</f>
        <v/>
      </c>
      <c r="C8" s="31">
        <f>IF(4&lt;$C$3,"",IF(48=0,"",IF(48&lt;MAX(5,ROUND($C$3*0.8,0)),"样本不足",CORREL(OFFSET('04 变换后数据'!$D$5:$D$160,ROW()-5-$C$3+1,0,$C$3,1),OFFSET('04 变换后数据'!$H$5:$H$160,ROW()-5-$C$3+1,0,$C$3,1))))</f>
        <v/>
      </c>
      <c r="D8" s="8">
        <f>IF(4&lt;$C$3,0,SUMPRODUCT(--(ROW('04 变换后数据'!$D$5:$D$160)&lt;=ROW()),--ISNUMBER(OFFSET('04 变换后数据'!$D$5:$D$160,ROW()-5-$C$3+1,0,MIN($C$3,ROW()-4),1)),--ISNUMBER(OFFSET('04 变换后数据'!$H$5:$H$160,ROW()-5-$C$3+1,0,MIN($C$3,ROW()-4),1))))</f>
        <v/>
      </c>
      <c r="E8" s="31">
        <f>IF(4&lt;$E$3,"",IF(68=0,"",IF(68&lt;MAX(5,ROUND($E$3*0.8,0)),"样本不足",CORREL(OFFSET('04 变换后数据'!$D$5:$D$160,ROW()-5-$E$3+1,0,$E$3,1),OFFSET('04 变换后数据'!$H$5:$H$160,ROW()-5-$E$3+1,0,$E$3,1))))</f>
        <v/>
      </c>
      <c r="F8" s="8">
        <f>IF(4&lt;$E$3,0,SUMPRODUCT(--(ROW('04 变换后数据'!$D$5:$D$160)&lt;=ROW()),--ISNUMBER(OFFSET('04 变换后数据'!$D$5:$D$160,ROW()-5-$E$3+1,0,MIN($E$3,ROW()-4),1)),--ISNUMBER(OFFSET('04 变换后数据'!$H$5:$H$160,ROW()-5-$E$3+1,0,MIN($E$3,ROW()-4),1))))</f>
        <v/>
      </c>
      <c r="G8" s="31">
        <f>IF(4&lt;$G$3,"",IF(88=0,"",IF(88&lt;MAX(5,ROUND($G$3*0.8,0)),"样本不足",CORREL(OFFSET('04 变换后数据'!$D$5:$D$160,ROW()-5-$G$3+1,0,$G$3,1),OFFSET('04 变换后数据'!$H$5:$H$160,ROW()-5-$G$3+1,0,$G$3,1))))</f>
        <v/>
      </c>
      <c r="H8" s="8">
        <f>IF(4&lt;$G$3,0,SUMPRODUCT(--(ROW('04 变换后数据'!$D$5:$D$160)&lt;=ROW()),--ISNUMBER(OFFSET('04 变换后数据'!$D$5:$D$160,ROW()-5-$G$3+1,0,MIN($G$3,ROW()-4),1)),--ISNUMBER(OFFSET('04 变换后数据'!$H$5:$H$160,ROW()-5-$G$3+1,0,MIN($G$3,ROW()-4),1))))</f>
        <v/>
      </c>
      <c r="I8" s="8">
        <f>IF(ISNUMBER(E8),IF(ABS(E8)&gt;=0.7,"强",IF(ABS(E8)&gt;=0.4,"中","弱")),"-")</f>
        <v/>
      </c>
    </row>
    <row r="9">
      <c r="A9" s="8" t="n">
        <v>5</v>
      </c>
      <c r="B9" s="8">
        <f>'04 变换后数据'!B9</f>
        <v/>
      </c>
      <c r="C9" s="31">
        <f>IF(5&lt;$C$3,"",IF(49=0,"",IF(49&lt;MAX(5,ROUND($C$3*0.8,0)),"样本不足",CORREL(OFFSET('04 变换后数据'!$D$5:$D$160,ROW()-5-$C$3+1,0,$C$3,1),OFFSET('04 变换后数据'!$H$5:$H$160,ROW()-5-$C$3+1,0,$C$3,1))))</f>
        <v/>
      </c>
      <c r="D9" s="8">
        <f>IF(5&lt;$C$3,0,SUMPRODUCT(--(ROW('04 变换后数据'!$D$5:$D$160)&lt;=ROW()),--ISNUMBER(OFFSET('04 变换后数据'!$D$5:$D$160,ROW()-5-$C$3+1,0,MIN($C$3,ROW()-4),1)),--ISNUMBER(OFFSET('04 变换后数据'!$H$5:$H$160,ROW()-5-$C$3+1,0,MIN($C$3,ROW()-4),1))))</f>
        <v/>
      </c>
      <c r="E9" s="31">
        <f>IF(5&lt;$E$3,"",IF(69=0,"",IF(69&lt;MAX(5,ROUND($E$3*0.8,0)),"样本不足",CORREL(OFFSET('04 变换后数据'!$D$5:$D$160,ROW()-5-$E$3+1,0,$E$3,1),OFFSET('04 变换后数据'!$H$5:$H$160,ROW()-5-$E$3+1,0,$E$3,1))))</f>
        <v/>
      </c>
      <c r="F9" s="8">
        <f>IF(5&lt;$E$3,0,SUMPRODUCT(--(ROW('04 变换后数据'!$D$5:$D$160)&lt;=ROW()),--ISNUMBER(OFFSET('04 变换后数据'!$D$5:$D$160,ROW()-5-$E$3+1,0,MIN($E$3,ROW()-4),1)),--ISNUMBER(OFFSET('04 变换后数据'!$H$5:$H$160,ROW()-5-$E$3+1,0,MIN($E$3,ROW()-4),1))))</f>
        <v/>
      </c>
      <c r="G9" s="31">
        <f>IF(5&lt;$G$3,"",IF(89=0,"",IF(89&lt;MAX(5,ROUND($G$3*0.8,0)),"样本不足",CORREL(OFFSET('04 变换后数据'!$D$5:$D$160,ROW()-5-$G$3+1,0,$G$3,1),OFFSET('04 变换后数据'!$H$5:$H$160,ROW()-5-$G$3+1,0,$G$3,1))))</f>
        <v/>
      </c>
      <c r="H9" s="8">
        <f>IF(5&lt;$G$3,0,SUMPRODUCT(--(ROW('04 变换后数据'!$D$5:$D$160)&lt;=ROW()),--ISNUMBER(OFFSET('04 变换后数据'!$D$5:$D$160,ROW()-5-$G$3+1,0,MIN($G$3,ROW()-4),1)),--ISNUMBER(OFFSET('04 变换后数据'!$H$5:$H$160,ROW()-5-$G$3+1,0,MIN($G$3,ROW()-4),1))))</f>
        <v/>
      </c>
      <c r="I9" s="8">
        <f>IF(ISNUMBER(E9),IF(ABS(E9)&gt;=0.7,"强",IF(ABS(E9)&gt;=0.4,"中","弱")),"-")</f>
        <v/>
      </c>
    </row>
    <row r="10">
      <c r="A10" s="8" t="n">
        <v>6</v>
      </c>
      <c r="B10" s="8">
        <f>'04 变换后数据'!B10</f>
        <v/>
      </c>
      <c r="C10" s="31">
        <f>IF(6&lt;$C$3,"",IF(410=0,"",IF(410&lt;MAX(5,ROUND($C$3*0.8,0)),"样本不足",CORREL(OFFSET('04 变换后数据'!$D$5:$D$160,ROW()-5-$C$3+1,0,$C$3,1),OFFSET('04 变换后数据'!$H$5:$H$160,ROW()-5-$C$3+1,0,$C$3,1))))</f>
        <v/>
      </c>
      <c r="D10" s="8">
        <f>IF(6&lt;$C$3,0,SUMPRODUCT(--(ROW('04 变换后数据'!$D$5:$D$160)&lt;=ROW()),--ISNUMBER(OFFSET('04 变换后数据'!$D$5:$D$160,ROW()-5-$C$3+1,0,MIN($C$3,ROW()-4),1)),--ISNUMBER(OFFSET('04 变换后数据'!$H$5:$H$160,ROW()-5-$C$3+1,0,MIN($C$3,ROW()-4),1))))</f>
        <v/>
      </c>
      <c r="E10" s="31">
        <f>IF(6&lt;$E$3,"",IF(610=0,"",IF(610&lt;MAX(5,ROUND($E$3*0.8,0)),"样本不足",CORREL(OFFSET('04 变换后数据'!$D$5:$D$160,ROW()-5-$E$3+1,0,$E$3,1),OFFSET('04 变换后数据'!$H$5:$H$160,ROW()-5-$E$3+1,0,$E$3,1))))</f>
        <v/>
      </c>
      <c r="F10" s="8">
        <f>IF(6&lt;$E$3,0,SUMPRODUCT(--(ROW('04 变换后数据'!$D$5:$D$160)&lt;=ROW()),--ISNUMBER(OFFSET('04 变换后数据'!$D$5:$D$160,ROW()-5-$E$3+1,0,MIN($E$3,ROW()-4),1)),--ISNUMBER(OFFSET('04 变换后数据'!$H$5:$H$160,ROW()-5-$E$3+1,0,MIN($E$3,ROW()-4),1))))</f>
        <v/>
      </c>
      <c r="G10" s="31">
        <f>IF(6&lt;$G$3,"",IF(810=0,"",IF(810&lt;MAX(5,ROUND($G$3*0.8,0)),"样本不足",CORREL(OFFSET('04 变换后数据'!$D$5:$D$160,ROW()-5-$G$3+1,0,$G$3,1),OFFSET('04 变换后数据'!$H$5:$H$160,ROW()-5-$G$3+1,0,$G$3,1))))</f>
        <v/>
      </c>
      <c r="H10" s="8">
        <f>IF(6&lt;$G$3,0,SUMPRODUCT(--(ROW('04 变换后数据'!$D$5:$D$160)&lt;=ROW()),--ISNUMBER(OFFSET('04 变换后数据'!$D$5:$D$160,ROW()-5-$G$3+1,0,MIN($G$3,ROW()-4),1)),--ISNUMBER(OFFSET('04 变换后数据'!$H$5:$H$160,ROW()-5-$G$3+1,0,MIN($G$3,ROW()-4),1))))</f>
        <v/>
      </c>
      <c r="I10" s="8">
        <f>IF(ISNUMBER(E10),IF(ABS(E10)&gt;=0.7,"强",IF(ABS(E10)&gt;=0.4,"中","弱")),"-")</f>
        <v/>
      </c>
    </row>
    <row r="11">
      <c r="A11" s="8" t="n">
        <v>7</v>
      </c>
      <c r="B11" s="8">
        <f>'04 变换后数据'!B11</f>
        <v/>
      </c>
      <c r="C11" s="31">
        <f>IF(7&lt;$C$3,"",IF(411=0,"",IF(411&lt;MAX(5,ROUND($C$3*0.8,0)),"样本不足",CORREL(OFFSET('04 变换后数据'!$D$5:$D$160,ROW()-5-$C$3+1,0,$C$3,1),OFFSET('04 变换后数据'!$H$5:$H$160,ROW()-5-$C$3+1,0,$C$3,1))))</f>
        <v/>
      </c>
      <c r="D11" s="8">
        <f>IF(7&lt;$C$3,0,SUMPRODUCT(--(ROW('04 变换后数据'!$D$5:$D$160)&lt;=ROW()),--ISNUMBER(OFFSET('04 变换后数据'!$D$5:$D$160,ROW()-5-$C$3+1,0,MIN($C$3,ROW()-4),1)),--ISNUMBER(OFFSET('04 变换后数据'!$H$5:$H$160,ROW()-5-$C$3+1,0,MIN($C$3,ROW()-4),1))))</f>
        <v/>
      </c>
      <c r="E11" s="31">
        <f>IF(7&lt;$E$3,"",IF(611=0,"",IF(611&lt;MAX(5,ROUND($E$3*0.8,0)),"样本不足",CORREL(OFFSET('04 变换后数据'!$D$5:$D$160,ROW()-5-$E$3+1,0,$E$3,1),OFFSET('04 变换后数据'!$H$5:$H$160,ROW()-5-$E$3+1,0,$E$3,1))))</f>
        <v/>
      </c>
      <c r="F11" s="8">
        <f>IF(7&lt;$E$3,0,SUMPRODUCT(--(ROW('04 变换后数据'!$D$5:$D$160)&lt;=ROW()),--ISNUMBER(OFFSET('04 变换后数据'!$D$5:$D$160,ROW()-5-$E$3+1,0,MIN($E$3,ROW()-4),1)),--ISNUMBER(OFFSET('04 变换后数据'!$H$5:$H$160,ROW()-5-$E$3+1,0,MIN($E$3,ROW()-4),1))))</f>
        <v/>
      </c>
      <c r="G11" s="31">
        <f>IF(7&lt;$G$3,"",IF(811=0,"",IF(811&lt;MAX(5,ROUND($G$3*0.8,0)),"样本不足",CORREL(OFFSET('04 变换后数据'!$D$5:$D$160,ROW()-5-$G$3+1,0,$G$3,1),OFFSET('04 变换后数据'!$H$5:$H$160,ROW()-5-$G$3+1,0,$G$3,1))))</f>
        <v/>
      </c>
      <c r="H11" s="8">
        <f>IF(7&lt;$G$3,0,SUMPRODUCT(--(ROW('04 变换后数据'!$D$5:$D$160)&lt;=ROW()),--ISNUMBER(OFFSET('04 变换后数据'!$D$5:$D$160,ROW()-5-$G$3+1,0,MIN($G$3,ROW()-4),1)),--ISNUMBER(OFFSET('04 变换后数据'!$H$5:$H$160,ROW()-5-$G$3+1,0,MIN($G$3,ROW()-4),1))))</f>
        <v/>
      </c>
      <c r="I11" s="8">
        <f>IF(ISNUMBER(E11),IF(ABS(E11)&gt;=0.7,"强",IF(ABS(E11)&gt;=0.4,"中","弱")),"-")</f>
        <v/>
      </c>
    </row>
    <row r="12">
      <c r="A12" s="8" t="n">
        <v>8</v>
      </c>
      <c r="B12" s="8">
        <f>'04 变换后数据'!B12</f>
        <v/>
      </c>
      <c r="C12" s="31">
        <f>IF(8&lt;$C$3,"",IF(412=0,"",IF(412&lt;MAX(5,ROUND($C$3*0.8,0)),"样本不足",CORREL(OFFSET('04 变换后数据'!$D$5:$D$160,ROW()-5-$C$3+1,0,$C$3,1),OFFSET('04 变换后数据'!$H$5:$H$160,ROW()-5-$C$3+1,0,$C$3,1))))</f>
        <v/>
      </c>
      <c r="D12" s="8">
        <f>IF(8&lt;$C$3,0,SUMPRODUCT(--(ROW('04 变换后数据'!$D$5:$D$160)&lt;=ROW()),--ISNUMBER(OFFSET('04 变换后数据'!$D$5:$D$160,ROW()-5-$C$3+1,0,MIN($C$3,ROW()-4),1)),--ISNUMBER(OFFSET('04 变换后数据'!$H$5:$H$160,ROW()-5-$C$3+1,0,MIN($C$3,ROW()-4),1))))</f>
        <v/>
      </c>
      <c r="E12" s="31">
        <f>IF(8&lt;$E$3,"",IF(612=0,"",IF(612&lt;MAX(5,ROUND($E$3*0.8,0)),"样本不足",CORREL(OFFSET('04 变换后数据'!$D$5:$D$160,ROW()-5-$E$3+1,0,$E$3,1),OFFSET('04 变换后数据'!$H$5:$H$160,ROW()-5-$E$3+1,0,$E$3,1))))</f>
        <v/>
      </c>
      <c r="F12" s="8">
        <f>IF(8&lt;$E$3,0,SUMPRODUCT(--(ROW('04 变换后数据'!$D$5:$D$160)&lt;=ROW()),--ISNUMBER(OFFSET('04 变换后数据'!$D$5:$D$160,ROW()-5-$E$3+1,0,MIN($E$3,ROW()-4),1)),--ISNUMBER(OFFSET('04 变换后数据'!$H$5:$H$160,ROW()-5-$E$3+1,0,MIN($E$3,ROW()-4),1))))</f>
        <v/>
      </c>
      <c r="G12" s="31">
        <f>IF(8&lt;$G$3,"",IF(812=0,"",IF(812&lt;MAX(5,ROUND($G$3*0.8,0)),"样本不足",CORREL(OFFSET('04 变换后数据'!$D$5:$D$160,ROW()-5-$G$3+1,0,$G$3,1),OFFSET('04 变换后数据'!$H$5:$H$160,ROW()-5-$G$3+1,0,$G$3,1))))</f>
        <v/>
      </c>
      <c r="H12" s="8">
        <f>IF(8&lt;$G$3,0,SUMPRODUCT(--(ROW('04 变换后数据'!$D$5:$D$160)&lt;=ROW()),--ISNUMBER(OFFSET('04 变换后数据'!$D$5:$D$160,ROW()-5-$G$3+1,0,MIN($G$3,ROW()-4),1)),--ISNUMBER(OFFSET('04 变换后数据'!$H$5:$H$160,ROW()-5-$G$3+1,0,MIN($G$3,ROW()-4),1))))</f>
        <v/>
      </c>
      <c r="I12" s="8">
        <f>IF(ISNUMBER(E12),IF(ABS(E12)&gt;=0.7,"强",IF(ABS(E12)&gt;=0.4,"中","弱")),"-")</f>
        <v/>
      </c>
    </row>
    <row r="13">
      <c r="A13" s="8" t="n">
        <v>9</v>
      </c>
      <c r="B13" s="8">
        <f>'04 变换后数据'!B13</f>
        <v/>
      </c>
      <c r="C13" s="31">
        <f>IF(9&lt;$C$3,"",IF(413=0,"",IF(413&lt;MAX(5,ROUND($C$3*0.8,0)),"样本不足",CORREL(OFFSET('04 变换后数据'!$D$5:$D$160,ROW()-5-$C$3+1,0,$C$3,1),OFFSET('04 变换后数据'!$H$5:$H$160,ROW()-5-$C$3+1,0,$C$3,1))))</f>
        <v/>
      </c>
      <c r="D13" s="8">
        <f>IF(9&lt;$C$3,0,SUMPRODUCT(--(ROW('04 变换后数据'!$D$5:$D$160)&lt;=ROW()),--ISNUMBER(OFFSET('04 变换后数据'!$D$5:$D$160,ROW()-5-$C$3+1,0,MIN($C$3,ROW()-4),1)),--ISNUMBER(OFFSET('04 变换后数据'!$H$5:$H$160,ROW()-5-$C$3+1,0,MIN($C$3,ROW()-4),1))))</f>
        <v/>
      </c>
      <c r="E13" s="31">
        <f>IF(9&lt;$E$3,"",IF(613=0,"",IF(613&lt;MAX(5,ROUND($E$3*0.8,0)),"样本不足",CORREL(OFFSET('04 变换后数据'!$D$5:$D$160,ROW()-5-$E$3+1,0,$E$3,1),OFFSET('04 变换后数据'!$H$5:$H$160,ROW()-5-$E$3+1,0,$E$3,1))))</f>
        <v/>
      </c>
      <c r="F13" s="8">
        <f>IF(9&lt;$E$3,0,SUMPRODUCT(--(ROW('04 变换后数据'!$D$5:$D$160)&lt;=ROW()),--ISNUMBER(OFFSET('04 变换后数据'!$D$5:$D$160,ROW()-5-$E$3+1,0,MIN($E$3,ROW()-4),1)),--ISNUMBER(OFFSET('04 变换后数据'!$H$5:$H$160,ROW()-5-$E$3+1,0,MIN($E$3,ROW()-4),1))))</f>
        <v/>
      </c>
      <c r="G13" s="31">
        <f>IF(9&lt;$G$3,"",IF(813=0,"",IF(813&lt;MAX(5,ROUND($G$3*0.8,0)),"样本不足",CORREL(OFFSET('04 变换后数据'!$D$5:$D$160,ROW()-5-$G$3+1,0,$G$3,1),OFFSET('04 变换后数据'!$H$5:$H$160,ROW()-5-$G$3+1,0,$G$3,1))))</f>
        <v/>
      </c>
      <c r="H13" s="8">
        <f>IF(9&lt;$G$3,0,SUMPRODUCT(--(ROW('04 变换后数据'!$D$5:$D$160)&lt;=ROW()),--ISNUMBER(OFFSET('04 变换后数据'!$D$5:$D$160,ROW()-5-$G$3+1,0,MIN($G$3,ROW()-4),1)),--ISNUMBER(OFFSET('04 变换后数据'!$H$5:$H$160,ROW()-5-$G$3+1,0,MIN($G$3,ROW()-4),1))))</f>
        <v/>
      </c>
      <c r="I13" s="8">
        <f>IF(ISNUMBER(E13),IF(ABS(E13)&gt;=0.7,"强",IF(ABS(E13)&gt;=0.4,"中","弱")),"-")</f>
        <v/>
      </c>
    </row>
    <row r="14">
      <c r="A14" s="8" t="n">
        <v>10</v>
      </c>
      <c r="B14" s="8">
        <f>'04 变换后数据'!B14</f>
        <v/>
      </c>
      <c r="C14" s="31">
        <f>IF(10&lt;$C$3,"",IF(414=0,"",IF(414&lt;MAX(5,ROUND($C$3*0.8,0)),"样本不足",CORREL(OFFSET('04 变换后数据'!$D$5:$D$160,ROW()-5-$C$3+1,0,$C$3,1),OFFSET('04 变换后数据'!$H$5:$H$160,ROW()-5-$C$3+1,0,$C$3,1))))</f>
        <v/>
      </c>
      <c r="D14" s="8">
        <f>IF(10&lt;$C$3,0,SUMPRODUCT(--(ROW('04 变换后数据'!$D$5:$D$160)&lt;=ROW()),--ISNUMBER(OFFSET('04 变换后数据'!$D$5:$D$160,ROW()-5-$C$3+1,0,MIN($C$3,ROW()-4),1)),--ISNUMBER(OFFSET('04 变换后数据'!$H$5:$H$160,ROW()-5-$C$3+1,0,MIN($C$3,ROW()-4),1))))</f>
        <v/>
      </c>
      <c r="E14" s="31">
        <f>IF(10&lt;$E$3,"",IF(614=0,"",IF(614&lt;MAX(5,ROUND($E$3*0.8,0)),"样本不足",CORREL(OFFSET('04 变换后数据'!$D$5:$D$160,ROW()-5-$E$3+1,0,$E$3,1),OFFSET('04 变换后数据'!$H$5:$H$160,ROW()-5-$E$3+1,0,$E$3,1))))</f>
        <v/>
      </c>
      <c r="F14" s="8">
        <f>IF(10&lt;$E$3,0,SUMPRODUCT(--(ROW('04 变换后数据'!$D$5:$D$160)&lt;=ROW()),--ISNUMBER(OFFSET('04 变换后数据'!$D$5:$D$160,ROW()-5-$E$3+1,0,MIN($E$3,ROW()-4),1)),--ISNUMBER(OFFSET('04 变换后数据'!$H$5:$H$160,ROW()-5-$E$3+1,0,MIN($E$3,ROW()-4),1))))</f>
        <v/>
      </c>
      <c r="G14" s="31">
        <f>IF(10&lt;$G$3,"",IF(814=0,"",IF(814&lt;MAX(5,ROUND($G$3*0.8,0)),"样本不足",CORREL(OFFSET('04 变换后数据'!$D$5:$D$160,ROW()-5-$G$3+1,0,$G$3,1),OFFSET('04 变换后数据'!$H$5:$H$160,ROW()-5-$G$3+1,0,$G$3,1))))</f>
        <v/>
      </c>
      <c r="H14" s="8">
        <f>IF(10&lt;$G$3,0,SUMPRODUCT(--(ROW('04 变换后数据'!$D$5:$D$160)&lt;=ROW()),--ISNUMBER(OFFSET('04 变换后数据'!$D$5:$D$160,ROW()-5-$G$3+1,0,MIN($G$3,ROW()-4),1)),--ISNUMBER(OFFSET('04 变换后数据'!$H$5:$H$160,ROW()-5-$G$3+1,0,MIN($G$3,ROW()-4),1))))</f>
        <v/>
      </c>
      <c r="I14" s="8">
        <f>IF(ISNUMBER(E14),IF(ABS(E14)&gt;=0.7,"强",IF(ABS(E14)&gt;=0.4,"中","弱")),"-")</f>
        <v/>
      </c>
    </row>
    <row r="15">
      <c r="A15" s="8" t="n">
        <v>11</v>
      </c>
      <c r="B15" s="8">
        <f>'04 变换后数据'!B15</f>
        <v/>
      </c>
      <c r="C15" s="31">
        <f>IF(11&lt;$C$3,"",IF(415=0,"",IF(415&lt;MAX(5,ROUND($C$3*0.8,0)),"样本不足",CORREL(OFFSET('04 变换后数据'!$D$5:$D$160,ROW()-5-$C$3+1,0,$C$3,1),OFFSET('04 变换后数据'!$H$5:$H$160,ROW()-5-$C$3+1,0,$C$3,1))))</f>
        <v/>
      </c>
      <c r="D15" s="8">
        <f>IF(11&lt;$C$3,0,SUMPRODUCT(--(ROW('04 变换后数据'!$D$5:$D$160)&lt;=ROW()),--ISNUMBER(OFFSET('04 变换后数据'!$D$5:$D$160,ROW()-5-$C$3+1,0,MIN($C$3,ROW()-4),1)),--ISNUMBER(OFFSET('04 变换后数据'!$H$5:$H$160,ROW()-5-$C$3+1,0,MIN($C$3,ROW()-4),1))))</f>
        <v/>
      </c>
      <c r="E15" s="31">
        <f>IF(11&lt;$E$3,"",IF(615=0,"",IF(615&lt;MAX(5,ROUND($E$3*0.8,0)),"样本不足",CORREL(OFFSET('04 变换后数据'!$D$5:$D$160,ROW()-5-$E$3+1,0,$E$3,1),OFFSET('04 变换后数据'!$H$5:$H$160,ROW()-5-$E$3+1,0,$E$3,1))))</f>
        <v/>
      </c>
      <c r="F15" s="8">
        <f>IF(11&lt;$E$3,0,SUMPRODUCT(--(ROW('04 变换后数据'!$D$5:$D$160)&lt;=ROW()),--ISNUMBER(OFFSET('04 变换后数据'!$D$5:$D$160,ROW()-5-$E$3+1,0,MIN($E$3,ROW()-4),1)),--ISNUMBER(OFFSET('04 变换后数据'!$H$5:$H$160,ROW()-5-$E$3+1,0,MIN($E$3,ROW()-4),1))))</f>
        <v/>
      </c>
      <c r="G15" s="31">
        <f>IF(11&lt;$G$3,"",IF(815=0,"",IF(815&lt;MAX(5,ROUND($G$3*0.8,0)),"样本不足",CORREL(OFFSET('04 变换后数据'!$D$5:$D$160,ROW()-5-$G$3+1,0,$G$3,1),OFFSET('04 变换后数据'!$H$5:$H$160,ROW()-5-$G$3+1,0,$G$3,1))))</f>
        <v/>
      </c>
      <c r="H15" s="8">
        <f>IF(11&lt;$G$3,0,SUMPRODUCT(--(ROW('04 变换后数据'!$D$5:$D$160)&lt;=ROW()),--ISNUMBER(OFFSET('04 变换后数据'!$D$5:$D$160,ROW()-5-$G$3+1,0,MIN($G$3,ROW()-4),1)),--ISNUMBER(OFFSET('04 变换后数据'!$H$5:$H$160,ROW()-5-$G$3+1,0,MIN($G$3,ROW()-4),1))))</f>
        <v/>
      </c>
      <c r="I15" s="8">
        <f>IF(ISNUMBER(E15),IF(ABS(E15)&gt;=0.7,"强",IF(ABS(E15)&gt;=0.4,"中","弱")),"-")</f>
        <v/>
      </c>
    </row>
    <row r="16">
      <c r="A16" s="8" t="n">
        <v>12</v>
      </c>
      <c r="B16" s="8">
        <f>'04 变换后数据'!B16</f>
        <v/>
      </c>
      <c r="C16" s="31">
        <f>IF(12&lt;$C$3,"",IF(416=0,"",IF(416&lt;MAX(5,ROUND($C$3*0.8,0)),"样本不足",CORREL(OFFSET('04 变换后数据'!$D$5:$D$160,ROW()-5-$C$3+1,0,$C$3,1),OFFSET('04 变换后数据'!$H$5:$H$160,ROW()-5-$C$3+1,0,$C$3,1))))</f>
        <v/>
      </c>
      <c r="D16" s="8">
        <f>IF(12&lt;$C$3,0,SUMPRODUCT(--(ROW('04 变换后数据'!$D$5:$D$160)&lt;=ROW()),--ISNUMBER(OFFSET('04 变换后数据'!$D$5:$D$160,ROW()-5-$C$3+1,0,MIN($C$3,ROW()-4),1)),--ISNUMBER(OFFSET('04 变换后数据'!$H$5:$H$160,ROW()-5-$C$3+1,0,MIN($C$3,ROW()-4),1))))</f>
        <v/>
      </c>
      <c r="E16" s="31">
        <f>IF(12&lt;$E$3,"",IF(616=0,"",IF(616&lt;MAX(5,ROUND($E$3*0.8,0)),"样本不足",CORREL(OFFSET('04 变换后数据'!$D$5:$D$160,ROW()-5-$E$3+1,0,$E$3,1),OFFSET('04 变换后数据'!$H$5:$H$160,ROW()-5-$E$3+1,0,$E$3,1))))</f>
        <v/>
      </c>
      <c r="F16" s="8">
        <f>IF(12&lt;$E$3,0,SUMPRODUCT(--(ROW('04 变换后数据'!$D$5:$D$160)&lt;=ROW()),--ISNUMBER(OFFSET('04 变换后数据'!$D$5:$D$160,ROW()-5-$E$3+1,0,MIN($E$3,ROW()-4),1)),--ISNUMBER(OFFSET('04 变换后数据'!$H$5:$H$160,ROW()-5-$E$3+1,0,MIN($E$3,ROW()-4),1))))</f>
        <v/>
      </c>
      <c r="G16" s="31">
        <f>IF(12&lt;$G$3,"",IF(816=0,"",IF(816&lt;MAX(5,ROUND($G$3*0.8,0)),"样本不足",CORREL(OFFSET('04 变换后数据'!$D$5:$D$160,ROW()-5-$G$3+1,0,$G$3,1),OFFSET('04 变换后数据'!$H$5:$H$160,ROW()-5-$G$3+1,0,$G$3,1))))</f>
        <v/>
      </c>
      <c r="H16" s="8">
        <f>IF(12&lt;$G$3,0,SUMPRODUCT(--(ROW('04 变换后数据'!$D$5:$D$160)&lt;=ROW()),--ISNUMBER(OFFSET('04 变换后数据'!$D$5:$D$160,ROW()-5-$G$3+1,0,MIN($G$3,ROW()-4),1)),--ISNUMBER(OFFSET('04 变换后数据'!$H$5:$H$160,ROW()-5-$G$3+1,0,MIN($G$3,ROW()-4),1))))</f>
        <v/>
      </c>
      <c r="I16" s="8">
        <f>IF(ISNUMBER(E16),IF(ABS(E16)&gt;=0.7,"强",IF(ABS(E16)&gt;=0.4,"中","弱")),"-")</f>
        <v/>
      </c>
    </row>
    <row r="17">
      <c r="A17" s="8" t="n">
        <v>13</v>
      </c>
      <c r="B17" s="8">
        <f>'04 变换后数据'!B17</f>
        <v/>
      </c>
      <c r="C17" s="31">
        <f>IF(13&lt;$C$3,"",IF(417=0,"",IF(417&lt;MAX(5,ROUND($C$3*0.8,0)),"样本不足",CORREL(OFFSET('04 变换后数据'!$D$5:$D$160,ROW()-5-$C$3+1,0,$C$3,1),OFFSET('04 变换后数据'!$H$5:$H$160,ROW()-5-$C$3+1,0,$C$3,1))))</f>
        <v/>
      </c>
      <c r="D17" s="8">
        <f>IF(13&lt;$C$3,0,SUMPRODUCT(--(ROW('04 变换后数据'!$D$5:$D$160)&lt;=ROW()),--ISNUMBER(OFFSET('04 变换后数据'!$D$5:$D$160,ROW()-5-$C$3+1,0,MIN($C$3,ROW()-4),1)),--ISNUMBER(OFFSET('04 变换后数据'!$H$5:$H$160,ROW()-5-$C$3+1,0,MIN($C$3,ROW()-4),1))))</f>
        <v/>
      </c>
      <c r="E17" s="31">
        <f>IF(13&lt;$E$3,"",IF(617=0,"",IF(617&lt;MAX(5,ROUND($E$3*0.8,0)),"样本不足",CORREL(OFFSET('04 变换后数据'!$D$5:$D$160,ROW()-5-$E$3+1,0,$E$3,1),OFFSET('04 变换后数据'!$H$5:$H$160,ROW()-5-$E$3+1,0,$E$3,1))))</f>
        <v/>
      </c>
      <c r="F17" s="8">
        <f>IF(13&lt;$E$3,0,SUMPRODUCT(--(ROW('04 变换后数据'!$D$5:$D$160)&lt;=ROW()),--ISNUMBER(OFFSET('04 变换后数据'!$D$5:$D$160,ROW()-5-$E$3+1,0,MIN($E$3,ROW()-4),1)),--ISNUMBER(OFFSET('04 变换后数据'!$H$5:$H$160,ROW()-5-$E$3+1,0,MIN($E$3,ROW()-4),1))))</f>
        <v/>
      </c>
      <c r="G17" s="31">
        <f>IF(13&lt;$G$3,"",IF(817=0,"",IF(817&lt;MAX(5,ROUND($G$3*0.8,0)),"样本不足",CORREL(OFFSET('04 变换后数据'!$D$5:$D$160,ROW()-5-$G$3+1,0,$G$3,1),OFFSET('04 变换后数据'!$H$5:$H$160,ROW()-5-$G$3+1,0,$G$3,1))))</f>
        <v/>
      </c>
      <c r="H17" s="8">
        <f>IF(13&lt;$G$3,0,SUMPRODUCT(--(ROW('04 变换后数据'!$D$5:$D$160)&lt;=ROW()),--ISNUMBER(OFFSET('04 变换后数据'!$D$5:$D$160,ROW()-5-$G$3+1,0,MIN($G$3,ROW()-4),1)),--ISNUMBER(OFFSET('04 变换后数据'!$H$5:$H$160,ROW()-5-$G$3+1,0,MIN($G$3,ROW()-4),1))))</f>
        <v/>
      </c>
      <c r="I17" s="8">
        <f>IF(ISNUMBER(E17),IF(ABS(E17)&gt;=0.7,"强",IF(ABS(E17)&gt;=0.4,"中","弱")),"-")</f>
        <v/>
      </c>
    </row>
    <row r="18">
      <c r="A18" s="8" t="n">
        <v>14</v>
      </c>
      <c r="B18" s="8">
        <f>'04 变换后数据'!B18</f>
        <v/>
      </c>
      <c r="C18" s="31">
        <f>IF(14&lt;$C$3,"",IF(418=0,"",IF(418&lt;MAX(5,ROUND($C$3*0.8,0)),"样本不足",CORREL(OFFSET('04 变换后数据'!$D$5:$D$160,ROW()-5-$C$3+1,0,$C$3,1),OFFSET('04 变换后数据'!$H$5:$H$160,ROW()-5-$C$3+1,0,$C$3,1))))</f>
        <v/>
      </c>
      <c r="D18" s="8">
        <f>IF(14&lt;$C$3,0,SUMPRODUCT(--(ROW('04 变换后数据'!$D$5:$D$160)&lt;=ROW()),--ISNUMBER(OFFSET('04 变换后数据'!$D$5:$D$160,ROW()-5-$C$3+1,0,MIN($C$3,ROW()-4),1)),--ISNUMBER(OFFSET('04 变换后数据'!$H$5:$H$160,ROW()-5-$C$3+1,0,MIN($C$3,ROW()-4),1))))</f>
        <v/>
      </c>
      <c r="E18" s="31">
        <f>IF(14&lt;$E$3,"",IF(618=0,"",IF(618&lt;MAX(5,ROUND($E$3*0.8,0)),"样本不足",CORREL(OFFSET('04 变换后数据'!$D$5:$D$160,ROW()-5-$E$3+1,0,$E$3,1),OFFSET('04 变换后数据'!$H$5:$H$160,ROW()-5-$E$3+1,0,$E$3,1))))</f>
        <v/>
      </c>
      <c r="F18" s="8">
        <f>IF(14&lt;$E$3,0,SUMPRODUCT(--(ROW('04 变换后数据'!$D$5:$D$160)&lt;=ROW()),--ISNUMBER(OFFSET('04 变换后数据'!$D$5:$D$160,ROW()-5-$E$3+1,0,MIN($E$3,ROW()-4),1)),--ISNUMBER(OFFSET('04 变换后数据'!$H$5:$H$160,ROW()-5-$E$3+1,0,MIN($E$3,ROW()-4),1))))</f>
        <v/>
      </c>
      <c r="G18" s="31">
        <f>IF(14&lt;$G$3,"",IF(818=0,"",IF(818&lt;MAX(5,ROUND($G$3*0.8,0)),"样本不足",CORREL(OFFSET('04 变换后数据'!$D$5:$D$160,ROW()-5-$G$3+1,0,$G$3,1),OFFSET('04 变换后数据'!$H$5:$H$160,ROW()-5-$G$3+1,0,$G$3,1))))</f>
        <v/>
      </c>
      <c r="H18" s="8">
        <f>IF(14&lt;$G$3,0,SUMPRODUCT(--(ROW('04 变换后数据'!$D$5:$D$160)&lt;=ROW()),--ISNUMBER(OFFSET('04 变换后数据'!$D$5:$D$160,ROW()-5-$G$3+1,0,MIN($G$3,ROW()-4),1)),--ISNUMBER(OFFSET('04 变换后数据'!$H$5:$H$160,ROW()-5-$G$3+1,0,MIN($G$3,ROW()-4),1))))</f>
        <v/>
      </c>
      <c r="I18" s="8">
        <f>IF(ISNUMBER(E18),IF(ABS(E18)&gt;=0.7,"强",IF(ABS(E18)&gt;=0.4,"中","弱")),"-")</f>
        <v/>
      </c>
    </row>
    <row r="19">
      <c r="A19" s="8" t="n">
        <v>15</v>
      </c>
      <c r="B19" s="8">
        <f>'04 变换后数据'!B19</f>
        <v/>
      </c>
      <c r="C19" s="31">
        <f>IF(15&lt;$C$3,"",IF(419=0,"",IF(419&lt;MAX(5,ROUND($C$3*0.8,0)),"样本不足",CORREL(OFFSET('04 变换后数据'!$D$5:$D$160,ROW()-5-$C$3+1,0,$C$3,1),OFFSET('04 变换后数据'!$H$5:$H$160,ROW()-5-$C$3+1,0,$C$3,1))))</f>
        <v/>
      </c>
      <c r="D19" s="8">
        <f>IF(15&lt;$C$3,0,SUMPRODUCT(--(ROW('04 变换后数据'!$D$5:$D$160)&lt;=ROW()),--ISNUMBER(OFFSET('04 变换后数据'!$D$5:$D$160,ROW()-5-$C$3+1,0,MIN($C$3,ROW()-4),1)),--ISNUMBER(OFFSET('04 变换后数据'!$H$5:$H$160,ROW()-5-$C$3+1,0,MIN($C$3,ROW()-4),1))))</f>
        <v/>
      </c>
      <c r="E19" s="31">
        <f>IF(15&lt;$E$3,"",IF(619=0,"",IF(619&lt;MAX(5,ROUND($E$3*0.8,0)),"样本不足",CORREL(OFFSET('04 变换后数据'!$D$5:$D$160,ROW()-5-$E$3+1,0,$E$3,1),OFFSET('04 变换后数据'!$H$5:$H$160,ROW()-5-$E$3+1,0,$E$3,1))))</f>
        <v/>
      </c>
      <c r="F19" s="8">
        <f>IF(15&lt;$E$3,0,SUMPRODUCT(--(ROW('04 变换后数据'!$D$5:$D$160)&lt;=ROW()),--ISNUMBER(OFFSET('04 变换后数据'!$D$5:$D$160,ROW()-5-$E$3+1,0,MIN($E$3,ROW()-4),1)),--ISNUMBER(OFFSET('04 变换后数据'!$H$5:$H$160,ROW()-5-$E$3+1,0,MIN($E$3,ROW()-4),1))))</f>
        <v/>
      </c>
      <c r="G19" s="31">
        <f>IF(15&lt;$G$3,"",IF(819=0,"",IF(819&lt;MAX(5,ROUND($G$3*0.8,0)),"样本不足",CORREL(OFFSET('04 变换后数据'!$D$5:$D$160,ROW()-5-$G$3+1,0,$G$3,1),OFFSET('04 变换后数据'!$H$5:$H$160,ROW()-5-$G$3+1,0,$G$3,1))))</f>
        <v/>
      </c>
      <c r="H19" s="8">
        <f>IF(15&lt;$G$3,0,SUMPRODUCT(--(ROW('04 变换后数据'!$D$5:$D$160)&lt;=ROW()),--ISNUMBER(OFFSET('04 变换后数据'!$D$5:$D$160,ROW()-5-$G$3+1,0,MIN($G$3,ROW()-4),1)),--ISNUMBER(OFFSET('04 变换后数据'!$H$5:$H$160,ROW()-5-$G$3+1,0,MIN($G$3,ROW()-4),1))))</f>
        <v/>
      </c>
      <c r="I19" s="8">
        <f>IF(ISNUMBER(E19),IF(ABS(E19)&gt;=0.7,"强",IF(ABS(E19)&gt;=0.4,"中","弱")),"-")</f>
        <v/>
      </c>
    </row>
    <row r="20">
      <c r="A20" s="8" t="n">
        <v>16</v>
      </c>
      <c r="B20" s="8">
        <f>'04 变换后数据'!B20</f>
        <v/>
      </c>
      <c r="C20" s="31">
        <f>IF(16&lt;$C$3,"",IF(420=0,"",IF(420&lt;MAX(5,ROUND($C$3*0.8,0)),"样本不足",CORREL(OFFSET('04 变换后数据'!$D$5:$D$160,ROW()-5-$C$3+1,0,$C$3,1),OFFSET('04 变换后数据'!$H$5:$H$160,ROW()-5-$C$3+1,0,$C$3,1))))</f>
        <v/>
      </c>
      <c r="D20" s="8">
        <f>IF(16&lt;$C$3,0,SUMPRODUCT(--(ROW('04 变换后数据'!$D$5:$D$160)&lt;=ROW()),--ISNUMBER(OFFSET('04 变换后数据'!$D$5:$D$160,ROW()-5-$C$3+1,0,MIN($C$3,ROW()-4),1)),--ISNUMBER(OFFSET('04 变换后数据'!$H$5:$H$160,ROW()-5-$C$3+1,0,MIN($C$3,ROW()-4),1))))</f>
        <v/>
      </c>
      <c r="E20" s="31">
        <f>IF(16&lt;$E$3,"",IF(620=0,"",IF(620&lt;MAX(5,ROUND($E$3*0.8,0)),"样本不足",CORREL(OFFSET('04 变换后数据'!$D$5:$D$160,ROW()-5-$E$3+1,0,$E$3,1),OFFSET('04 变换后数据'!$H$5:$H$160,ROW()-5-$E$3+1,0,$E$3,1))))</f>
        <v/>
      </c>
      <c r="F20" s="8">
        <f>IF(16&lt;$E$3,0,SUMPRODUCT(--(ROW('04 变换后数据'!$D$5:$D$160)&lt;=ROW()),--ISNUMBER(OFFSET('04 变换后数据'!$D$5:$D$160,ROW()-5-$E$3+1,0,MIN($E$3,ROW()-4),1)),--ISNUMBER(OFFSET('04 变换后数据'!$H$5:$H$160,ROW()-5-$E$3+1,0,MIN($E$3,ROW()-4),1))))</f>
        <v/>
      </c>
      <c r="G20" s="31">
        <f>IF(16&lt;$G$3,"",IF(820=0,"",IF(820&lt;MAX(5,ROUND($G$3*0.8,0)),"样本不足",CORREL(OFFSET('04 变换后数据'!$D$5:$D$160,ROW()-5-$G$3+1,0,$G$3,1),OFFSET('04 变换后数据'!$H$5:$H$160,ROW()-5-$G$3+1,0,$G$3,1))))</f>
        <v/>
      </c>
      <c r="H20" s="8">
        <f>IF(16&lt;$G$3,0,SUMPRODUCT(--(ROW('04 变换后数据'!$D$5:$D$160)&lt;=ROW()),--ISNUMBER(OFFSET('04 变换后数据'!$D$5:$D$160,ROW()-5-$G$3+1,0,MIN($G$3,ROW()-4),1)),--ISNUMBER(OFFSET('04 变换后数据'!$H$5:$H$160,ROW()-5-$G$3+1,0,MIN($G$3,ROW()-4),1))))</f>
        <v/>
      </c>
      <c r="I20" s="8">
        <f>IF(ISNUMBER(E20),IF(ABS(E20)&gt;=0.7,"强",IF(ABS(E20)&gt;=0.4,"中","弱")),"-")</f>
        <v/>
      </c>
    </row>
    <row r="21">
      <c r="A21" s="8" t="n">
        <v>17</v>
      </c>
      <c r="B21" s="8">
        <f>'04 变换后数据'!B21</f>
        <v/>
      </c>
      <c r="C21" s="31">
        <f>IF(17&lt;$C$3,"",IF(421=0,"",IF(421&lt;MAX(5,ROUND($C$3*0.8,0)),"样本不足",CORREL(OFFSET('04 变换后数据'!$D$5:$D$160,ROW()-5-$C$3+1,0,$C$3,1),OFFSET('04 变换后数据'!$H$5:$H$160,ROW()-5-$C$3+1,0,$C$3,1))))</f>
        <v/>
      </c>
      <c r="D21" s="8">
        <f>IF(17&lt;$C$3,0,SUMPRODUCT(--(ROW('04 变换后数据'!$D$5:$D$160)&lt;=ROW()),--ISNUMBER(OFFSET('04 变换后数据'!$D$5:$D$160,ROW()-5-$C$3+1,0,MIN($C$3,ROW()-4),1)),--ISNUMBER(OFFSET('04 变换后数据'!$H$5:$H$160,ROW()-5-$C$3+1,0,MIN($C$3,ROW()-4),1))))</f>
        <v/>
      </c>
      <c r="E21" s="31">
        <f>IF(17&lt;$E$3,"",IF(621=0,"",IF(621&lt;MAX(5,ROUND($E$3*0.8,0)),"样本不足",CORREL(OFFSET('04 变换后数据'!$D$5:$D$160,ROW()-5-$E$3+1,0,$E$3,1),OFFSET('04 变换后数据'!$H$5:$H$160,ROW()-5-$E$3+1,0,$E$3,1))))</f>
        <v/>
      </c>
      <c r="F21" s="8">
        <f>IF(17&lt;$E$3,0,SUMPRODUCT(--(ROW('04 变换后数据'!$D$5:$D$160)&lt;=ROW()),--ISNUMBER(OFFSET('04 变换后数据'!$D$5:$D$160,ROW()-5-$E$3+1,0,MIN($E$3,ROW()-4),1)),--ISNUMBER(OFFSET('04 变换后数据'!$H$5:$H$160,ROW()-5-$E$3+1,0,MIN($E$3,ROW()-4),1))))</f>
        <v/>
      </c>
      <c r="G21" s="31">
        <f>IF(17&lt;$G$3,"",IF(821=0,"",IF(821&lt;MAX(5,ROUND($G$3*0.8,0)),"样本不足",CORREL(OFFSET('04 变换后数据'!$D$5:$D$160,ROW()-5-$G$3+1,0,$G$3,1),OFFSET('04 变换后数据'!$H$5:$H$160,ROW()-5-$G$3+1,0,$G$3,1))))</f>
        <v/>
      </c>
      <c r="H21" s="8">
        <f>IF(17&lt;$G$3,0,SUMPRODUCT(--(ROW('04 变换后数据'!$D$5:$D$160)&lt;=ROW()),--ISNUMBER(OFFSET('04 变换后数据'!$D$5:$D$160,ROW()-5-$G$3+1,0,MIN($G$3,ROW()-4),1)),--ISNUMBER(OFFSET('04 变换后数据'!$H$5:$H$160,ROW()-5-$G$3+1,0,MIN($G$3,ROW()-4),1))))</f>
        <v/>
      </c>
      <c r="I21" s="8">
        <f>IF(ISNUMBER(E21),IF(ABS(E21)&gt;=0.7,"强",IF(ABS(E21)&gt;=0.4,"中","弱")),"-")</f>
        <v/>
      </c>
    </row>
    <row r="22">
      <c r="A22" s="8" t="n">
        <v>18</v>
      </c>
      <c r="B22" s="8">
        <f>'04 变换后数据'!B22</f>
        <v/>
      </c>
      <c r="C22" s="31">
        <f>IF(18&lt;$C$3,"",IF(422=0,"",IF(422&lt;MAX(5,ROUND($C$3*0.8,0)),"样本不足",CORREL(OFFSET('04 变换后数据'!$D$5:$D$160,ROW()-5-$C$3+1,0,$C$3,1),OFFSET('04 变换后数据'!$H$5:$H$160,ROW()-5-$C$3+1,0,$C$3,1))))</f>
        <v/>
      </c>
      <c r="D22" s="8">
        <f>IF(18&lt;$C$3,0,SUMPRODUCT(--(ROW('04 变换后数据'!$D$5:$D$160)&lt;=ROW()),--ISNUMBER(OFFSET('04 变换后数据'!$D$5:$D$160,ROW()-5-$C$3+1,0,MIN($C$3,ROW()-4),1)),--ISNUMBER(OFFSET('04 变换后数据'!$H$5:$H$160,ROW()-5-$C$3+1,0,MIN($C$3,ROW()-4),1))))</f>
        <v/>
      </c>
      <c r="E22" s="31">
        <f>IF(18&lt;$E$3,"",IF(622=0,"",IF(622&lt;MAX(5,ROUND($E$3*0.8,0)),"样本不足",CORREL(OFFSET('04 变换后数据'!$D$5:$D$160,ROW()-5-$E$3+1,0,$E$3,1),OFFSET('04 变换后数据'!$H$5:$H$160,ROW()-5-$E$3+1,0,$E$3,1))))</f>
        <v/>
      </c>
      <c r="F22" s="8">
        <f>IF(18&lt;$E$3,0,SUMPRODUCT(--(ROW('04 变换后数据'!$D$5:$D$160)&lt;=ROW()),--ISNUMBER(OFFSET('04 变换后数据'!$D$5:$D$160,ROW()-5-$E$3+1,0,MIN($E$3,ROW()-4),1)),--ISNUMBER(OFFSET('04 变换后数据'!$H$5:$H$160,ROW()-5-$E$3+1,0,MIN($E$3,ROW()-4),1))))</f>
        <v/>
      </c>
      <c r="G22" s="31">
        <f>IF(18&lt;$G$3,"",IF(822=0,"",IF(822&lt;MAX(5,ROUND($G$3*0.8,0)),"样本不足",CORREL(OFFSET('04 变换后数据'!$D$5:$D$160,ROW()-5-$G$3+1,0,$G$3,1),OFFSET('04 变换后数据'!$H$5:$H$160,ROW()-5-$G$3+1,0,$G$3,1))))</f>
        <v/>
      </c>
      <c r="H22" s="8">
        <f>IF(18&lt;$G$3,0,SUMPRODUCT(--(ROW('04 变换后数据'!$D$5:$D$160)&lt;=ROW()),--ISNUMBER(OFFSET('04 变换后数据'!$D$5:$D$160,ROW()-5-$G$3+1,0,MIN($G$3,ROW()-4),1)),--ISNUMBER(OFFSET('04 变换后数据'!$H$5:$H$160,ROW()-5-$G$3+1,0,MIN($G$3,ROW()-4),1))))</f>
        <v/>
      </c>
      <c r="I22" s="8">
        <f>IF(ISNUMBER(E22),IF(ABS(E22)&gt;=0.7,"强",IF(ABS(E22)&gt;=0.4,"中","弱")),"-")</f>
        <v/>
      </c>
    </row>
    <row r="23">
      <c r="A23" s="8" t="n">
        <v>19</v>
      </c>
      <c r="B23" s="8">
        <f>'04 变换后数据'!B23</f>
        <v/>
      </c>
      <c r="C23" s="31">
        <f>IF(19&lt;$C$3,"",IF(423=0,"",IF(423&lt;MAX(5,ROUND($C$3*0.8,0)),"样本不足",CORREL(OFFSET('04 变换后数据'!$D$5:$D$160,ROW()-5-$C$3+1,0,$C$3,1),OFFSET('04 变换后数据'!$H$5:$H$160,ROW()-5-$C$3+1,0,$C$3,1))))</f>
        <v/>
      </c>
      <c r="D23" s="8">
        <f>IF(19&lt;$C$3,0,SUMPRODUCT(--(ROW('04 变换后数据'!$D$5:$D$160)&lt;=ROW()),--ISNUMBER(OFFSET('04 变换后数据'!$D$5:$D$160,ROW()-5-$C$3+1,0,MIN($C$3,ROW()-4),1)),--ISNUMBER(OFFSET('04 变换后数据'!$H$5:$H$160,ROW()-5-$C$3+1,0,MIN($C$3,ROW()-4),1))))</f>
        <v/>
      </c>
      <c r="E23" s="31">
        <f>IF(19&lt;$E$3,"",IF(623=0,"",IF(623&lt;MAX(5,ROUND($E$3*0.8,0)),"样本不足",CORREL(OFFSET('04 变换后数据'!$D$5:$D$160,ROW()-5-$E$3+1,0,$E$3,1),OFFSET('04 变换后数据'!$H$5:$H$160,ROW()-5-$E$3+1,0,$E$3,1))))</f>
        <v/>
      </c>
      <c r="F23" s="8">
        <f>IF(19&lt;$E$3,0,SUMPRODUCT(--(ROW('04 变换后数据'!$D$5:$D$160)&lt;=ROW()),--ISNUMBER(OFFSET('04 变换后数据'!$D$5:$D$160,ROW()-5-$E$3+1,0,MIN($E$3,ROW()-4),1)),--ISNUMBER(OFFSET('04 变换后数据'!$H$5:$H$160,ROW()-5-$E$3+1,0,MIN($E$3,ROW()-4),1))))</f>
        <v/>
      </c>
      <c r="G23" s="31">
        <f>IF(19&lt;$G$3,"",IF(823=0,"",IF(823&lt;MAX(5,ROUND($G$3*0.8,0)),"样本不足",CORREL(OFFSET('04 变换后数据'!$D$5:$D$160,ROW()-5-$G$3+1,0,$G$3,1),OFFSET('04 变换后数据'!$H$5:$H$160,ROW()-5-$G$3+1,0,$G$3,1))))</f>
        <v/>
      </c>
      <c r="H23" s="8">
        <f>IF(19&lt;$G$3,0,SUMPRODUCT(--(ROW('04 变换后数据'!$D$5:$D$160)&lt;=ROW()),--ISNUMBER(OFFSET('04 变换后数据'!$D$5:$D$160,ROW()-5-$G$3+1,0,MIN($G$3,ROW()-4),1)),--ISNUMBER(OFFSET('04 变换后数据'!$H$5:$H$160,ROW()-5-$G$3+1,0,MIN($G$3,ROW()-4),1))))</f>
        <v/>
      </c>
      <c r="I23" s="8">
        <f>IF(ISNUMBER(E23),IF(ABS(E23)&gt;=0.7,"强",IF(ABS(E23)&gt;=0.4,"中","弱")),"-")</f>
        <v/>
      </c>
    </row>
    <row r="24">
      <c r="A24" s="8" t="n">
        <v>20</v>
      </c>
      <c r="B24" s="8">
        <f>'04 变换后数据'!B24</f>
        <v/>
      </c>
      <c r="C24" s="31">
        <f>IF(20&lt;$C$3,"",IF(424=0,"",IF(424&lt;MAX(5,ROUND($C$3*0.8,0)),"样本不足",CORREL(OFFSET('04 变换后数据'!$D$5:$D$160,ROW()-5-$C$3+1,0,$C$3,1),OFFSET('04 变换后数据'!$H$5:$H$160,ROW()-5-$C$3+1,0,$C$3,1))))</f>
        <v/>
      </c>
      <c r="D24" s="8">
        <f>IF(20&lt;$C$3,0,SUMPRODUCT(--(ROW('04 变换后数据'!$D$5:$D$160)&lt;=ROW()),--ISNUMBER(OFFSET('04 变换后数据'!$D$5:$D$160,ROW()-5-$C$3+1,0,MIN($C$3,ROW()-4),1)),--ISNUMBER(OFFSET('04 变换后数据'!$H$5:$H$160,ROW()-5-$C$3+1,0,MIN($C$3,ROW()-4),1))))</f>
        <v/>
      </c>
      <c r="E24" s="31">
        <f>IF(20&lt;$E$3,"",IF(624=0,"",IF(624&lt;MAX(5,ROUND($E$3*0.8,0)),"样本不足",CORREL(OFFSET('04 变换后数据'!$D$5:$D$160,ROW()-5-$E$3+1,0,$E$3,1),OFFSET('04 变换后数据'!$H$5:$H$160,ROW()-5-$E$3+1,0,$E$3,1))))</f>
        <v/>
      </c>
      <c r="F24" s="8">
        <f>IF(20&lt;$E$3,0,SUMPRODUCT(--(ROW('04 变换后数据'!$D$5:$D$160)&lt;=ROW()),--ISNUMBER(OFFSET('04 变换后数据'!$D$5:$D$160,ROW()-5-$E$3+1,0,MIN($E$3,ROW()-4),1)),--ISNUMBER(OFFSET('04 变换后数据'!$H$5:$H$160,ROW()-5-$E$3+1,0,MIN($E$3,ROW()-4),1))))</f>
        <v/>
      </c>
      <c r="G24" s="31">
        <f>IF(20&lt;$G$3,"",IF(824=0,"",IF(824&lt;MAX(5,ROUND($G$3*0.8,0)),"样本不足",CORREL(OFFSET('04 变换后数据'!$D$5:$D$160,ROW()-5-$G$3+1,0,$G$3,1),OFFSET('04 变换后数据'!$H$5:$H$160,ROW()-5-$G$3+1,0,$G$3,1))))</f>
        <v/>
      </c>
      <c r="H24" s="8">
        <f>IF(20&lt;$G$3,0,SUMPRODUCT(--(ROW('04 变换后数据'!$D$5:$D$160)&lt;=ROW()),--ISNUMBER(OFFSET('04 变换后数据'!$D$5:$D$160,ROW()-5-$G$3+1,0,MIN($G$3,ROW()-4),1)),--ISNUMBER(OFFSET('04 变换后数据'!$H$5:$H$160,ROW()-5-$G$3+1,0,MIN($G$3,ROW()-4),1))))</f>
        <v/>
      </c>
      <c r="I24" s="8">
        <f>IF(ISNUMBER(E24),IF(ABS(E24)&gt;=0.7,"强",IF(ABS(E24)&gt;=0.4,"中","弱")),"-")</f>
        <v/>
      </c>
    </row>
    <row r="25">
      <c r="A25" s="8" t="n">
        <v>21</v>
      </c>
      <c r="B25" s="8">
        <f>'04 变换后数据'!B25</f>
        <v/>
      </c>
      <c r="C25" s="31">
        <f>IF(21&lt;$C$3,"",IF(425=0,"",IF(425&lt;MAX(5,ROUND($C$3*0.8,0)),"样本不足",CORREL(OFFSET('04 变换后数据'!$D$5:$D$160,ROW()-5-$C$3+1,0,$C$3,1),OFFSET('04 变换后数据'!$H$5:$H$160,ROW()-5-$C$3+1,0,$C$3,1))))</f>
        <v/>
      </c>
      <c r="D25" s="8">
        <f>IF(21&lt;$C$3,0,SUMPRODUCT(--(ROW('04 变换后数据'!$D$5:$D$160)&lt;=ROW()),--ISNUMBER(OFFSET('04 变换后数据'!$D$5:$D$160,ROW()-5-$C$3+1,0,MIN($C$3,ROW()-4),1)),--ISNUMBER(OFFSET('04 变换后数据'!$H$5:$H$160,ROW()-5-$C$3+1,0,MIN($C$3,ROW()-4),1))))</f>
        <v/>
      </c>
      <c r="E25" s="31">
        <f>IF(21&lt;$E$3,"",IF(625=0,"",IF(625&lt;MAX(5,ROUND($E$3*0.8,0)),"样本不足",CORREL(OFFSET('04 变换后数据'!$D$5:$D$160,ROW()-5-$E$3+1,0,$E$3,1),OFFSET('04 变换后数据'!$H$5:$H$160,ROW()-5-$E$3+1,0,$E$3,1))))</f>
        <v/>
      </c>
      <c r="F25" s="8">
        <f>IF(21&lt;$E$3,0,SUMPRODUCT(--(ROW('04 变换后数据'!$D$5:$D$160)&lt;=ROW()),--ISNUMBER(OFFSET('04 变换后数据'!$D$5:$D$160,ROW()-5-$E$3+1,0,MIN($E$3,ROW()-4),1)),--ISNUMBER(OFFSET('04 变换后数据'!$H$5:$H$160,ROW()-5-$E$3+1,0,MIN($E$3,ROW()-4),1))))</f>
        <v/>
      </c>
      <c r="G25" s="31">
        <f>IF(21&lt;$G$3,"",IF(825=0,"",IF(825&lt;MAX(5,ROUND($G$3*0.8,0)),"样本不足",CORREL(OFFSET('04 变换后数据'!$D$5:$D$160,ROW()-5-$G$3+1,0,$G$3,1),OFFSET('04 变换后数据'!$H$5:$H$160,ROW()-5-$G$3+1,0,$G$3,1))))</f>
        <v/>
      </c>
      <c r="H25" s="8">
        <f>IF(21&lt;$G$3,0,SUMPRODUCT(--(ROW('04 变换后数据'!$D$5:$D$160)&lt;=ROW()),--ISNUMBER(OFFSET('04 变换后数据'!$D$5:$D$160,ROW()-5-$G$3+1,0,MIN($G$3,ROW()-4),1)),--ISNUMBER(OFFSET('04 变换后数据'!$H$5:$H$160,ROW()-5-$G$3+1,0,MIN($G$3,ROW()-4),1))))</f>
        <v/>
      </c>
      <c r="I25" s="8">
        <f>IF(ISNUMBER(E25),IF(ABS(E25)&gt;=0.7,"强",IF(ABS(E25)&gt;=0.4,"中","弱")),"-")</f>
        <v/>
      </c>
    </row>
    <row r="26">
      <c r="A26" s="8" t="n">
        <v>22</v>
      </c>
      <c r="B26" s="8">
        <f>'04 变换后数据'!B26</f>
        <v/>
      </c>
      <c r="C26" s="31">
        <f>IF(22&lt;$C$3,"",IF(426=0,"",IF(426&lt;MAX(5,ROUND($C$3*0.8,0)),"样本不足",CORREL(OFFSET('04 变换后数据'!$D$5:$D$160,ROW()-5-$C$3+1,0,$C$3,1),OFFSET('04 变换后数据'!$H$5:$H$160,ROW()-5-$C$3+1,0,$C$3,1))))</f>
        <v/>
      </c>
      <c r="D26" s="8">
        <f>IF(22&lt;$C$3,0,SUMPRODUCT(--(ROW('04 变换后数据'!$D$5:$D$160)&lt;=ROW()),--ISNUMBER(OFFSET('04 变换后数据'!$D$5:$D$160,ROW()-5-$C$3+1,0,MIN($C$3,ROW()-4),1)),--ISNUMBER(OFFSET('04 变换后数据'!$H$5:$H$160,ROW()-5-$C$3+1,0,MIN($C$3,ROW()-4),1))))</f>
        <v/>
      </c>
      <c r="E26" s="31">
        <f>IF(22&lt;$E$3,"",IF(626=0,"",IF(626&lt;MAX(5,ROUND($E$3*0.8,0)),"样本不足",CORREL(OFFSET('04 变换后数据'!$D$5:$D$160,ROW()-5-$E$3+1,0,$E$3,1),OFFSET('04 变换后数据'!$H$5:$H$160,ROW()-5-$E$3+1,0,$E$3,1))))</f>
        <v/>
      </c>
      <c r="F26" s="8">
        <f>IF(22&lt;$E$3,0,SUMPRODUCT(--(ROW('04 变换后数据'!$D$5:$D$160)&lt;=ROW()),--ISNUMBER(OFFSET('04 变换后数据'!$D$5:$D$160,ROW()-5-$E$3+1,0,MIN($E$3,ROW()-4),1)),--ISNUMBER(OFFSET('04 变换后数据'!$H$5:$H$160,ROW()-5-$E$3+1,0,MIN($E$3,ROW()-4),1))))</f>
        <v/>
      </c>
      <c r="G26" s="31">
        <f>IF(22&lt;$G$3,"",IF(826=0,"",IF(826&lt;MAX(5,ROUND($G$3*0.8,0)),"样本不足",CORREL(OFFSET('04 变换后数据'!$D$5:$D$160,ROW()-5-$G$3+1,0,$G$3,1),OFFSET('04 变换后数据'!$H$5:$H$160,ROW()-5-$G$3+1,0,$G$3,1))))</f>
        <v/>
      </c>
      <c r="H26" s="8">
        <f>IF(22&lt;$G$3,0,SUMPRODUCT(--(ROW('04 变换后数据'!$D$5:$D$160)&lt;=ROW()),--ISNUMBER(OFFSET('04 变换后数据'!$D$5:$D$160,ROW()-5-$G$3+1,0,MIN($G$3,ROW()-4),1)),--ISNUMBER(OFFSET('04 变换后数据'!$H$5:$H$160,ROW()-5-$G$3+1,0,MIN($G$3,ROW()-4),1))))</f>
        <v/>
      </c>
      <c r="I26" s="8">
        <f>IF(ISNUMBER(E26),IF(ABS(E26)&gt;=0.7,"强",IF(ABS(E26)&gt;=0.4,"中","弱")),"-")</f>
        <v/>
      </c>
    </row>
    <row r="27">
      <c r="A27" s="8" t="n">
        <v>23</v>
      </c>
      <c r="B27" s="8">
        <f>'04 变换后数据'!B27</f>
        <v/>
      </c>
      <c r="C27" s="31">
        <f>IF(23&lt;$C$3,"",IF(427=0,"",IF(427&lt;MAX(5,ROUND($C$3*0.8,0)),"样本不足",CORREL(OFFSET('04 变换后数据'!$D$5:$D$160,ROW()-5-$C$3+1,0,$C$3,1),OFFSET('04 变换后数据'!$H$5:$H$160,ROW()-5-$C$3+1,0,$C$3,1))))</f>
        <v/>
      </c>
      <c r="D27" s="8">
        <f>IF(23&lt;$C$3,0,SUMPRODUCT(--(ROW('04 变换后数据'!$D$5:$D$160)&lt;=ROW()),--ISNUMBER(OFFSET('04 变换后数据'!$D$5:$D$160,ROW()-5-$C$3+1,0,MIN($C$3,ROW()-4),1)),--ISNUMBER(OFFSET('04 变换后数据'!$H$5:$H$160,ROW()-5-$C$3+1,0,MIN($C$3,ROW()-4),1))))</f>
        <v/>
      </c>
      <c r="E27" s="31">
        <f>IF(23&lt;$E$3,"",IF(627=0,"",IF(627&lt;MAX(5,ROUND($E$3*0.8,0)),"样本不足",CORREL(OFFSET('04 变换后数据'!$D$5:$D$160,ROW()-5-$E$3+1,0,$E$3,1),OFFSET('04 变换后数据'!$H$5:$H$160,ROW()-5-$E$3+1,0,$E$3,1))))</f>
        <v/>
      </c>
      <c r="F27" s="8">
        <f>IF(23&lt;$E$3,0,SUMPRODUCT(--(ROW('04 变换后数据'!$D$5:$D$160)&lt;=ROW()),--ISNUMBER(OFFSET('04 变换后数据'!$D$5:$D$160,ROW()-5-$E$3+1,0,MIN($E$3,ROW()-4),1)),--ISNUMBER(OFFSET('04 变换后数据'!$H$5:$H$160,ROW()-5-$E$3+1,0,MIN($E$3,ROW()-4),1))))</f>
        <v/>
      </c>
      <c r="G27" s="31">
        <f>IF(23&lt;$G$3,"",IF(827=0,"",IF(827&lt;MAX(5,ROUND($G$3*0.8,0)),"样本不足",CORREL(OFFSET('04 变换后数据'!$D$5:$D$160,ROW()-5-$G$3+1,0,$G$3,1),OFFSET('04 变换后数据'!$H$5:$H$160,ROW()-5-$G$3+1,0,$G$3,1))))</f>
        <v/>
      </c>
      <c r="H27" s="8">
        <f>IF(23&lt;$G$3,0,SUMPRODUCT(--(ROW('04 变换后数据'!$D$5:$D$160)&lt;=ROW()),--ISNUMBER(OFFSET('04 变换后数据'!$D$5:$D$160,ROW()-5-$G$3+1,0,MIN($G$3,ROW()-4),1)),--ISNUMBER(OFFSET('04 变换后数据'!$H$5:$H$160,ROW()-5-$G$3+1,0,MIN($G$3,ROW()-4),1))))</f>
        <v/>
      </c>
      <c r="I27" s="8">
        <f>IF(ISNUMBER(E27),IF(ABS(E27)&gt;=0.7,"强",IF(ABS(E27)&gt;=0.4,"中","弱")),"-")</f>
        <v/>
      </c>
    </row>
    <row r="28">
      <c r="A28" s="8" t="n">
        <v>24</v>
      </c>
      <c r="B28" s="8">
        <f>'04 变换后数据'!B28</f>
        <v/>
      </c>
      <c r="C28" s="31">
        <f>IF(24&lt;$C$3,"",IF(428=0,"",IF(428&lt;MAX(5,ROUND($C$3*0.8,0)),"样本不足",CORREL(OFFSET('04 变换后数据'!$D$5:$D$160,ROW()-5-$C$3+1,0,$C$3,1),OFFSET('04 变换后数据'!$H$5:$H$160,ROW()-5-$C$3+1,0,$C$3,1))))</f>
        <v/>
      </c>
      <c r="D28" s="8">
        <f>IF(24&lt;$C$3,0,SUMPRODUCT(--(ROW('04 变换后数据'!$D$5:$D$160)&lt;=ROW()),--ISNUMBER(OFFSET('04 变换后数据'!$D$5:$D$160,ROW()-5-$C$3+1,0,MIN($C$3,ROW()-4),1)),--ISNUMBER(OFFSET('04 变换后数据'!$H$5:$H$160,ROW()-5-$C$3+1,0,MIN($C$3,ROW()-4),1))))</f>
        <v/>
      </c>
      <c r="E28" s="31">
        <f>IF(24&lt;$E$3,"",IF(628=0,"",IF(628&lt;MAX(5,ROUND($E$3*0.8,0)),"样本不足",CORREL(OFFSET('04 变换后数据'!$D$5:$D$160,ROW()-5-$E$3+1,0,$E$3,1),OFFSET('04 变换后数据'!$H$5:$H$160,ROW()-5-$E$3+1,0,$E$3,1))))</f>
        <v/>
      </c>
      <c r="F28" s="8">
        <f>IF(24&lt;$E$3,0,SUMPRODUCT(--(ROW('04 变换后数据'!$D$5:$D$160)&lt;=ROW()),--ISNUMBER(OFFSET('04 变换后数据'!$D$5:$D$160,ROW()-5-$E$3+1,0,MIN($E$3,ROW()-4),1)),--ISNUMBER(OFFSET('04 变换后数据'!$H$5:$H$160,ROW()-5-$E$3+1,0,MIN($E$3,ROW()-4),1))))</f>
        <v/>
      </c>
      <c r="G28" s="31">
        <f>IF(24&lt;$G$3,"",IF(828=0,"",IF(828&lt;MAX(5,ROUND($G$3*0.8,0)),"样本不足",CORREL(OFFSET('04 变换后数据'!$D$5:$D$160,ROW()-5-$G$3+1,0,$G$3,1),OFFSET('04 变换后数据'!$H$5:$H$160,ROW()-5-$G$3+1,0,$G$3,1))))</f>
        <v/>
      </c>
      <c r="H28" s="8">
        <f>IF(24&lt;$G$3,0,SUMPRODUCT(--(ROW('04 变换后数据'!$D$5:$D$160)&lt;=ROW()),--ISNUMBER(OFFSET('04 变换后数据'!$D$5:$D$160,ROW()-5-$G$3+1,0,MIN($G$3,ROW()-4),1)),--ISNUMBER(OFFSET('04 变换后数据'!$H$5:$H$160,ROW()-5-$G$3+1,0,MIN($G$3,ROW()-4),1))))</f>
        <v/>
      </c>
      <c r="I28" s="8">
        <f>IF(ISNUMBER(E28),IF(ABS(E28)&gt;=0.7,"强",IF(ABS(E28)&gt;=0.4,"中","弱")),"-")</f>
        <v/>
      </c>
    </row>
    <row r="29">
      <c r="A29" s="8" t="n">
        <v>25</v>
      </c>
      <c r="B29" s="8">
        <f>'04 变换后数据'!B29</f>
        <v/>
      </c>
      <c r="C29" s="31">
        <f>IF(25&lt;$C$3,"",IF(429=0,"",IF(429&lt;MAX(5,ROUND($C$3*0.8,0)),"样本不足",CORREL(OFFSET('04 变换后数据'!$D$5:$D$160,ROW()-5-$C$3+1,0,$C$3,1),OFFSET('04 变换后数据'!$H$5:$H$160,ROW()-5-$C$3+1,0,$C$3,1))))</f>
        <v/>
      </c>
      <c r="D29" s="8">
        <f>IF(25&lt;$C$3,0,SUMPRODUCT(--(ROW('04 变换后数据'!$D$5:$D$160)&lt;=ROW()),--ISNUMBER(OFFSET('04 变换后数据'!$D$5:$D$160,ROW()-5-$C$3+1,0,MIN($C$3,ROW()-4),1)),--ISNUMBER(OFFSET('04 变换后数据'!$H$5:$H$160,ROW()-5-$C$3+1,0,MIN($C$3,ROW()-4),1))))</f>
        <v/>
      </c>
      <c r="E29" s="31">
        <f>IF(25&lt;$E$3,"",IF(629=0,"",IF(629&lt;MAX(5,ROUND($E$3*0.8,0)),"样本不足",CORREL(OFFSET('04 变换后数据'!$D$5:$D$160,ROW()-5-$E$3+1,0,$E$3,1),OFFSET('04 变换后数据'!$H$5:$H$160,ROW()-5-$E$3+1,0,$E$3,1))))</f>
        <v/>
      </c>
      <c r="F29" s="8">
        <f>IF(25&lt;$E$3,0,SUMPRODUCT(--(ROW('04 变换后数据'!$D$5:$D$160)&lt;=ROW()),--ISNUMBER(OFFSET('04 变换后数据'!$D$5:$D$160,ROW()-5-$E$3+1,0,MIN($E$3,ROW()-4),1)),--ISNUMBER(OFFSET('04 变换后数据'!$H$5:$H$160,ROW()-5-$E$3+1,0,MIN($E$3,ROW()-4),1))))</f>
        <v/>
      </c>
      <c r="G29" s="31">
        <f>IF(25&lt;$G$3,"",IF(829=0,"",IF(829&lt;MAX(5,ROUND($G$3*0.8,0)),"样本不足",CORREL(OFFSET('04 变换后数据'!$D$5:$D$160,ROW()-5-$G$3+1,0,$G$3,1),OFFSET('04 变换后数据'!$H$5:$H$160,ROW()-5-$G$3+1,0,$G$3,1))))</f>
        <v/>
      </c>
      <c r="H29" s="8">
        <f>IF(25&lt;$G$3,0,SUMPRODUCT(--(ROW('04 变换后数据'!$D$5:$D$160)&lt;=ROW()),--ISNUMBER(OFFSET('04 变换后数据'!$D$5:$D$160,ROW()-5-$G$3+1,0,MIN($G$3,ROW()-4),1)),--ISNUMBER(OFFSET('04 变换后数据'!$H$5:$H$160,ROW()-5-$G$3+1,0,MIN($G$3,ROW()-4),1))))</f>
        <v/>
      </c>
      <c r="I29" s="8">
        <f>IF(ISNUMBER(E29),IF(ABS(E29)&gt;=0.7,"强",IF(ABS(E29)&gt;=0.4,"中","弱")),"-")</f>
        <v/>
      </c>
    </row>
    <row r="30">
      <c r="A30" s="8" t="n">
        <v>26</v>
      </c>
      <c r="B30" s="8">
        <f>'04 变换后数据'!B30</f>
        <v/>
      </c>
      <c r="C30" s="31">
        <f>IF(26&lt;$C$3,"",IF(430=0,"",IF(430&lt;MAX(5,ROUND($C$3*0.8,0)),"样本不足",CORREL(OFFSET('04 变换后数据'!$D$5:$D$160,ROW()-5-$C$3+1,0,$C$3,1),OFFSET('04 变换后数据'!$H$5:$H$160,ROW()-5-$C$3+1,0,$C$3,1))))</f>
        <v/>
      </c>
      <c r="D30" s="8">
        <f>IF(26&lt;$C$3,0,SUMPRODUCT(--(ROW('04 变换后数据'!$D$5:$D$160)&lt;=ROW()),--ISNUMBER(OFFSET('04 变换后数据'!$D$5:$D$160,ROW()-5-$C$3+1,0,MIN($C$3,ROW()-4),1)),--ISNUMBER(OFFSET('04 变换后数据'!$H$5:$H$160,ROW()-5-$C$3+1,0,MIN($C$3,ROW()-4),1))))</f>
        <v/>
      </c>
      <c r="E30" s="31">
        <f>IF(26&lt;$E$3,"",IF(630=0,"",IF(630&lt;MAX(5,ROUND($E$3*0.8,0)),"样本不足",CORREL(OFFSET('04 变换后数据'!$D$5:$D$160,ROW()-5-$E$3+1,0,$E$3,1),OFFSET('04 变换后数据'!$H$5:$H$160,ROW()-5-$E$3+1,0,$E$3,1))))</f>
        <v/>
      </c>
      <c r="F30" s="8">
        <f>IF(26&lt;$E$3,0,SUMPRODUCT(--(ROW('04 变换后数据'!$D$5:$D$160)&lt;=ROW()),--ISNUMBER(OFFSET('04 变换后数据'!$D$5:$D$160,ROW()-5-$E$3+1,0,MIN($E$3,ROW()-4),1)),--ISNUMBER(OFFSET('04 变换后数据'!$H$5:$H$160,ROW()-5-$E$3+1,0,MIN($E$3,ROW()-4),1))))</f>
        <v/>
      </c>
      <c r="G30" s="31">
        <f>IF(26&lt;$G$3,"",IF(830=0,"",IF(830&lt;MAX(5,ROUND($G$3*0.8,0)),"样本不足",CORREL(OFFSET('04 变换后数据'!$D$5:$D$160,ROW()-5-$G$3+1,0,$G$3,1),OFFSET('04 变换后数据'!$H$5:$H$160,ROW()-5-$G$3+1,0,$G$3,1))))</f>
        <v/>
      </c>
      <c r="H30" s="8">
        <f>IF(26&lt;$G$3,0,SUMPRODUCT(--(ROW('04 变换后数据'!$D$5:$D$160)&lt;=ROW()),--ISNUMBER(OFFSET('04 变换后数据'!$D$5:$D$160,ROW()-5-$G$3+1,0,MIN($G$3,ROW()-4),1)),--ISNUMBER(OFFSET('04 变换后数据'!$H$5:$H$160,ROW()-5-$G$3+1,0,MIN($G$3,ROW()-4),1))))</f>
        <v/>
      </c>
      <c r="I30" s="8">
        <f>IF(ISNUMBER(E30),IF(ABS(E30)&gt;=0.7,"强",IF(ABS(E30)&gt;=0.4,"中","弱")),"-")</f>
        <v/>
      </c>
    </row>
    <row r="31">
      <c r="A31" s="8" t="n">
        <v>27</v>
      </c>
      <c r="B31" s="8">
        <f>'04 变换后数据'!B31</f>
        <v/>
      </c>
      <c r="C31" s="31">
        <f>IF(27&lt;$C$3,"",IF(431=0,"",IF(431&lt;MAX(5,ROUND($C$3*0.8,0)),"样本不足",CORREL(OFFSET('04 变换后数据'!$D$5:$D$160,ROW()-5-$C$3+1,0,$C$3,1),OFFSET('04 变换后数据'!$H$5:$H$160,ROW()-5-$C$3+1,0,$C$3,1))))</f>
        <v/>
      </c>
      <c r="D31" s="8">
        <f>IF(27&lt;$C$3,0,SUMPRODUCT(--(ROW('04 变换后数据'!$D$5:$D$160)&lt;=ROW()),--ISNUMBER(OFFSET('04 变换后数据'!$D$5:$D$160,ROW()-5-$C$3+1,0,MIN($C$3,ROW()-4),1)),--ISNUMBER(OFFSET('04 变换后数据'!$H$5:$H$160,ROW()-5-$C$3+1,0,MIN($C$3,ROW()-4),1))))</f>
        <v/>
      </c>
      <c r="E31" s="31">
        <f>IF(27&lt;$E$3,"",IF(631=0,"",IF(631&lt;MAX(5,ROUND($E$3*0.8,0)),"样本不足",CORREL(OFFSET('04 变换后数据'!$D$5:$D$160,ROW()-5-$E$3+1,0,$E$3,1),OFFSET('04 变换后数据'!$H$5:$H$160,ROW()-5-$E$3+1,0,$E$3,1))))</f>
        <v/>
      </c>
      <c r="F31" s="8">
        <f>IF(27&lt;$E$3,0,SUMPRODUCT(--(ROW('04 变换后数据'!$D$5:$D$160)&lt;=ROW()),--ISNUMBER(OFFSET('04 变换后数据'!$D$5:$D$160,ROW()-5-$E$3+1,0,MIN($E$3,ROW()-4),1)),--ISNUMBER(OFFSET('04 变换后数据'!$H$5:$H$160,ROW()-5-$E$3+1,0,MIN($E$3,ROW()-4),1))))</f>
        <v/>
      </c>
      <c r="G31" s="31">
        <f>IF(27&lt;$G$3,"",IF(831=0,"",IF(831&lt;MAX(5,ROUND($G$3*0.8,0)),"样本不足",CORREL(OFFSET('04 变换后数据'!$D$5:$D$160,ROW()-5-$G$3+1,0,$G$3,1),OFFSET('04 变换后数据'!$H$5:$H$160,ROW()-5-$G$3+1,0,$G$3,1))))</f>
        <v/>
      </c>
      <c r="H31" s="8">
        <f>IF(27&lt;$G$3,0,SUMPRODUCT(--(ROW('04 变换后数据'!$D$5:$D$160)&lt;=ROW()),--ISNUMBER(OFFSET('04 变换后数据'!$D$5:$D$160,ROW()-5-$G$3+1,0,MIN($G$3,ROW()-4),1)),--ISNUMBER(OFFSET('04 变换后数据'!$H$5:$H$160,ROW()-5-$G$3+1,0,MIN($G$3,ROW()-4),1))))</f>
        <v/>
      </c>
      <c r="I31" s="8">
        <f>IF(ISNUMBER(E31),IF(ABS(E31)&gt;=0.7,"强",IF(ABS(E31)&gt;=0.4,"中","弱")),"-")</f>
        <v/>
      </c>
    </row>
    <row r="32">
      <c r="A32" s="8" t="n">
        <v>28</v>
      </c>
      <c r="B32" s="8">
        <f>'04 变换后数据'!B32</f>
        <v/>
      </c>
      <c r="C32" s="31">
        <f>IF(28&lt;$C$3,"",IF(432=0,"",IF(432&lt;MAX(5,ROUND($C$3*0.8,0)),"样本不足",CORREL(OFFSET('04 变换后数据'!$D$5:$D$160,ROW()-5-$C$3+1,0,$C$3,1),OFFSET('04 变换后数据'!$H$5:$H$160,ROW()-5-$C$3+1,0,$C$3,1))))</f>
        <v/>
      </c>
      <c r="D32" s="8">
        <f>IF(28&lt;$C$3,0,SUMPRODUCT(--(ROW('04 变换后数据'!$D$5:$D$160)&lt;=ROW()),--ISNUMBER(OFFSET('04 变换后数据'!$D$5:$D$160,ROW()-5-$C$3+1,0,MIN($C$3,ROW()-4),1)),--ISNUMBER(OFFSET('04 变换后数据'!$H$5:$H$160,ROW()-5-$C$3+1,0,MIN($C$3,ROW()-4),1))))</f>
        <v/>
      </c>
      <c r="E32" s="31">
        <f>IF(28&lt;$E$3,"",IF(632=0,"",IF(632&lt;MAX(5,ROUND($E$3*0.8,0)),"样本不足",CORREL(OFFSET('04 变换后数据'!$D$5:$D$160,ROW()-5-$E$3+1,0,$E$3,1),OFFSET('04 变换后数据'!$H$5:$H$160,ROW()-5-$E$3+1,0,$E$3,1))))</f>
        <v/>
      </c>
      <c r="F32" s="8">
        <f>IF(28&lt;$E$3,0,SUMPRODUCT(--(ROW('04 变换后数据'!$D$5:$D$160)&lt;=ROW()),--ISNUMBER(OFFSET('04 变换后数据'!$D$5:$D$160,ROW()-5-$E$3+1,0,MIN($E$3,ROW()-4),1)),--ISNUMBER(OFFSET('04 变换后数据'!$H$5:$H$160,ROW()-5-$E$3+1,0,MIN($E$3,ROW()-4),1))))</f>
        <v/>
      </c>
      <c r="G32" s="31">
        <f>IF(28&lt;$G$3,"",IF(832=0,"",IF(832&lt;MAX(5,ROUND($G$3*0.8,0)),"样本不足",CORREL(OFFSET('04 变换后数据'!$D$5:$D$160,ROW()-5-$G$3+1,0,$G$3,1),OFFSET('04 变换后数据'!$H$5:$H$160,ROW()-5-$G$3+1,0,$G$3,1))))</f>
        <v/>
      </c>
      <c r="H32" s="8">
        <f>IF(28&lt;$G$3,0,SUMPRODUCT(--(ROW('04 变换后数据'!$D$5:$D$160)&lt;=ROW()),--ISNUMBER(OFFSET('04 变换后数据'!$D$5:$D$160,ROW()-5-$G$3+1,0,MIN($G$3,ROW()-4),1)),--ISNUMBER(OFFSET('04 变换后数据'!$H$5:$H$160,ROW()-5-$G$3+1,0,MIN($G$3,ROW()-4),1))))</f>
        <v/>
      </c>
      <c r="I32" s="8">
        <f>IF(ISNUMBER(E32),IF(ABS(E32)&gt;=0.7,"强",IF(ABS(E32)&gt;=0.4,"中","弱")),"-")</f>
        <v/>
      </c>
    </row>
    <row r="33">
      <c r="A33" s="8" t="n">
        <v>29</v>
      </c>
      <c r="B33" s="8">
        <f>'04 变换后数据'!B33</f>
        <v/>
      </c>
      <c r="C33" s="31">
        <f>IF(29&lt;$C$3,"",IF(433=0,"",IF(433&lt;MAX(5,ROUND($C$3*0.8,0)),"样本不足",CORREL(OFFSET('04 变换后数据'!$D$5:$D$160,ROW()-5-$C$3+1,0,$C$3,1),OFFSET('04 变换后数据'!$H$5:$H$160,ROW()-5-$C$3+1,0,$C$3,1))))</f>
        <v/>
      </c>
      <c r="D33" s="8">
        <f>IF(29&lt;$C$3,0,SUMPRODUCT(--(ROW('04 变换后数据'!$D$5:$D$160)&lt;=ROW()),--ISNUMBER(OFFSET('04 变换后数据'!$D$5:$D$160,ROW()-5-$C$3+1,0,MIN($C$3,ROW()-4),1)),--ISNUMBER(OFFSET('04 变换后数据'!$H$5:$H$160,ROW()-5-$C$3+1,0,MIN($C$3,ROW()-4),1))))</f>
        <v/>
      </c>
      <c r="E33" s="31">
        <f>IF(29&lt;$E$3,"",IF(633=0,"",IF(633&lt;MAX(5,ROUND($E$3*0.8,0)),"样本不足",CORREL(OFFSET('04 变换后数据'!$D$5:$D$160,ROW()-5-$E$3+1,0,$E$3,1),OFFSET('04 变换后数据'!$H$5:$H$160,ROW()-5-$E$3+1,0,$E$3,1))))</f>
        <v/>
      </c>
      <c r="F33" s="8">
        <f>IF(29&lt;$E$3,0,SUMPRODUCT(--(ROW('04 变换后数据'!$D$5:$D$160)&lt;=ROW()),--ISNUMBER(OFFSET('04 变换后数据'!$D$5:$D$160,ROW()-5-$E$3+1,0,MIN($E$3,ROW()-4),1)),--ISNUMBER(OFFSET('04 变换后数据'!$H$5:$H$160,ROW()-5-$E$3+1,0,MIN($E$3,ROW()-4),1))))</f>
        <v/>
      </c>
      <c r="G33" s="31">
        <f>IF(29&lt;$G$3,"",IF(833=0,"",IF(833&lt;MAX(5,ROUND($G$3*0.8,0)),"样本不足",CORREL(OFFSET('04 变换后数据'!$D$5:$D$160,ROW()-5-$G$3+1,0,$G$3,1),OFFSET('04 变换后数据'!$H$5:$H$160,ROW()-5-$G$3+1,0,$G$3,1))))</f>
        <v/>
      </c>
      <c r="H33" s="8">
        <f>IF(29&lt;$G$3,0,SUMPRODUCT(--(ROW('04 变换后数据'!$D$5:$D$160)&lt;=ROW()),--ISNUMBER(OFFSET('04 变换后数据'!$D$5:$D$160,ROW()-5-$G$3+1,0,MIN($G$3,ROW()-4),1)),--ISNUMBER(OFFSET('04 变换后数据'!$H$5:$H$160,ROW()-5-$G$3+1,0,MIN($G$3,ROW()-4),1))))</f>
        <v/>
      </c>
      <c r="I33" s="8">
        <f>IF(ISNUMBER(E33),IF(ABS(E33)&gt;=0.7,"强",IF(ABS(E33)&gt;=0.4,"中","弱")),"-")</f>
        <v/>
      </c>
    </row>
    <row r="34">
      <c r="A34" s="8" t="n">
        <v>30</v>
      </c>
      <c r="B34" s="8">
        <f>'04 变换后数据'!B34</f>
        <v/>
      </c>
      <c r="C34" s="31">
        <f>IF(30&lt;$C$3,"",IF(434=0,"",IF(434&lt;MAX(5,ROUND($C$3*0.8,0)),"样本不足",CORREL(OFFSET('04 变换后数据'!$D$5:$D$160,ROW()-5-$C$3+1,0,$C$3,1),OFFSET('04 变换后数据'!$H$5:$H$160,ROW()-5-$C$3+1,0,$C$3,1))))</f>
        <v/>
      </c>
      <c r="D34" s="8">
        <f>IF(30&lt;$C$3,0,SUMPRODUCT(--(ROW('04 变换后数据'!$D$5:$D$160)&lt;=ROW()),--ISNUMBER(OFFSET('04 变换后数据'!$D$5:$D$160,ROW()-5-$C$3+1,0,MIN($C$3,ROW()-4),1)),--ISNUMBER(OFFSET('04 变换后数据'!$H$5:$H$160,ROW()-5-$C$3+1,0,MIN($C$3,ROW()-4),1))))</f>
        <v/>
      </c>
      <c r="E34" s="31">
        <f>IF(30&lt;$E$3,"",IF(634=0,"",IF(634&lt;MAX(5,ROUND($E$3*0.8,0)),"样本不足",CORREL(OFFSET('04 变换后数据'!$D$5:$D$160,ROW()-5-$E$3+1,0,$E$3,1),OFFSET('04 变换后数据'!$H$5:$H$160,ROW()-5-$E$3+1,0,$E$3,1))))</f>
        <v/>
      </c>
      <c r="F34" s="8">
        <f>IF(30&lt;$E$3,0,SUMPRODUCT(--(ROW('04 变换后数据'!$D$5:$D$160)&lt;=ROW()),--ISNUMBER(OFFSET('04 变换后数据'!$D$5:$D$160,ROW()-5-$E$3+1,0,MIN($E$3,ROW()-4),1)),--ISNUMBER(OFFSET('04 变换后数据'!$H$5:$H$160,ROW()-5-$E$3+1,0,MIN($E$3,ROW()-4),1))))</f>
        <v/>
      </c>
      <c r="G34" s="31">
        <f>IF(30&lt;$G$3,"",IF(834=0,"",IF(834&lt;MAX(5,ROUND($G$3*0.8,0)),"样本不足",CORREL(OFFSET('04 变换后数据'!$D$5:$D$160,ROW()-5-$G$3+1,0,$G$3,1),OFFSET('04 变换后数据'!$H$5:$H$160,ROW()-5-$G$3+1,0,$G$3,1))))</f>
        <v/>
      </c>
      <c r="H34" s="8">
        <f>IF(30&lt;$G$3,0,SUMPRODUCT(--(ROW('04 变换后数据'!$D$5:$D$160)&lt;=ROW()),--ISNUMBER(OFFSET('04 变换后数据'!$D$5:$D$160,ROW()-5-$G$3+1,0,MIN($G$3,ROW()-4),1)),--ISNUMBER(OFFSET('04 变换后数据'!$H$5:$H$160,ROW()-5-$G$3+1,0,MIN($G$3,ROW()-4),1))))</f>
        <v/>
      </c>
      <c r="I34" s="8">
        <f>IF(ISNUMBER(E34),IF(ABS(E34)&gt;=0.7,"强",IF(ABS(E34)&gt;=0.4,"中","弱")),"-")</f>
        <v/>
      </c>
    </row>
    <row r="35">
      <c r="A35" s="8" t="n">
        <v>31</v>
      </c>
      <c r="B35" s="8">
        <f>'04 变换后数据'!B35</f>
        <v/>
      </c>
      <c r="C35" s="31">
        <f>IF(31&lt;$C$3,"",IF(435=0,"",IF(435&lt;MAX(5,ROUND($C$3*0.8,0)),"样本不足",CORREL(OFFSET('04 变换后数据'!$D$5:$D$160,ROW()-5-$C$3+1,0,$C$3,1),OFFSET('04 变换后数据'!$H$5:$H$160,ROW()-5-$C$3+1,0,$C$3,1))))</f>
        <v/>
      </c>
      <c r="D35" s="8">
        <f>IF(31&lt;$C$3,0,SUMPRODUCT(--(ROW('04 变换后数据'!$D$5:$D$160)&lt;=ROW()),--ISNUMBER(OFFSET('04 变换后数据'!$D$5:$D$160,ROW()-5-$C$3+1,0,MIN($C$3,ROW()-4),1)),--ISNUMBER(OFFSET('04 变换后数据'!$H$5:$H$160,ROW()-5-$C$3+1,0,MIN($C$3,ROW()-4),1))))</f>
        <v/>
      </c>
      <c r="E35" s="31">
        <f>IF(31&lt;$E$3,"",IF(635=0,"",IF(635&lt;MAX(5,ROUND($E$3*0.8,0)),"样本不足",CORREL(OFFSET('04 变换后数据'!$D$5:$D$160,ROW()-5-$E$3+1,0,$E$3,1),OFFSET('04 变换后数据'!$H$5:$H$160,ROW()-5-$E$3+1,0,$E$3,1))))</f>
        <v/>
      </c>
      <c r="F35" s="8">
        <f>IF(31&lt;$E$3,0,SUMPRODUCT(--(ROW('04 变换后数据'!$D$5:$D$160)&lt;=ROW()),--ISNUMBER(OFFSET('04 变换后数据'!$D$5:$D$160,ROW()-5-$E$3+1,0,MIN($E$3,ROW()-4),1)),--ISNUMBER(OFFSET('04 变换后数据'!$H$5:$H$160,ROW()-5-$E$3+1,0,MIN($E$3,ROW()-4),1))))</f>
        <v/>
      </c>
      <c r="G35" s="31">
        <f>IF(31&lt;$G$3,"",IF(835=0,"",IF(835&lt;MAX(5,ROUND($G$3*0.8,0)),"样本不足",CORREL(OFFSET('04 变换后数据'!$D$5:$D$160,ROW()-5-$G$3+1,0,$G$3,1),OFFSET('04 变换后数据'!$H$5:$H$160,ROW()-5-$G$3+1,0,$G$3,1))))</f>
        <v/>
      </c>
      <c r="H35" s="8">
        <f>IF(31&lt;$G$3,0,SUMPRODUCT(--(ROW('04 变换后数据'!$D$5:$D$160)&lt;=ROW()),--ISNUMBER(OFFSET('04 变换后数据'!$D$5:$D$160,ROW()-5-$G$3+1,0,MIN($G$3,ROW()-4),1)),--ISNUMBER(OFFSET('04 变换后数据'!$H$5:$H$160,ROW()-5-$G$3+1,0,MIN($G$3,ROW()-4),1))))</f>
        <v/>
      </c>
      <c r="I35" s="8">
        <f>IF(ISNUMBER(E35),IF(ABS(E35)&gt;=0.7,"强",IF(ABS(E35)&gt;=0.4,"中","弱")),"-")</f>
        <v/>
      </c>
    </row>
    <row r="36">
      <c r="A36" s="8" t="n">
        <v>32</v>
      </c>
      <c r="B36" s="8">
        <f>'04 变换后数据'!B36</f>
        <v/>
      </c>
      <c r="C36" s="31">
        <f>IF(32&lt;$C$3,"",IF(436=0,"",IF(436&lt;MAX(5,ROUND($C$3*0.8,0)),"样本不足",CORREL(OFFSET('04 变换后数据'!$D$5:$D$160,ROW()-5-$C$3+1,0,$C$3,1),OFFSET('04 变换后数据'!$H$5:$H$160,ROW()-5-$C$3+1,0,$C$3,1))))</f>
        <v/>
      </c>
      <c r="D36" s="8">
        <f>IF(32&lt;$C$3,0,SUMPRODUCT(--(ROW('04 变换后数据'!$D$5:$D$160)&lt;=ROW()),--ISNUMBER(OFFSET('04 变换后数据'!$D$5:$D$160,ROW()-5-$C$3+1,0,MIN($C$3,ROW()-4),1)),--ISNUMBER(OFFSET('04 变换后数据'!$H$5:$H$160,ROW()-5-$C$3+1,0,MIN($C$3,ROW()-4),1))))</f>
        <v/>
      </c>
      <c r="E36" s="31">
        <f>IF(32&lt;$E$3,"",IF(636=0,"",IF(636&lt;MAX(5,ROUND($E$3*0.8,0)),"样本不足",CORREL(OFFSET('04 变换后数据'!$D$5:$D$160,ROW()-5-$E$3+1,0,$E$3,1),OFFSET('04 变换后数据'!$H$5:$H$160,ROW()-5-$E$3+1,0,$E$3,1))))</f>
        <v/>
      </c>
      <c r="F36" s="8">
        <f>IF(32&lt;$E$3,0,SUMPRODUCT(--(ROW('04 变换后数据'!$D$5:$D$160)&lt;=ROW()),--ISNUMBER(OFFSET('04 变换后数据'!$D$5:$D$160,ROW()-5-$E$3+1,0,MIN($E$3,ROW()-4),1)),--ISNUMBER(OFFSET('04 变换后数据'!$H$5:$H$160,ROW()-5-$E$3+1,0,MIN($E$3,ROW()-4),1))))</f>
        <v/>
      </c>
      <c r="G36" s="31">
        <f>IF(32&lt;$G$3,"",IF(836=0,"",IF(836&lt;MAX(5,ROUND($G$3*0.8,0)),"样本不足",CORREL(OFFSET('04 变换后数据'!$D$5:$D$160,ROW()-5-$G$3+1,0,$G$3,1),OFFSET('04 变换后数据'!$H$5:$H$160,ROW()-5-$G$3+1,0,$G$3,1))))</f>
        <v/>
      </c>
      <c r="H36" s="8">
        <f>IF(32&lt;$G$3,0,SUMPRODUCT(--(ROW('04 变换后数据'!$D$5:$D$160)&lt;=ROW()),--ISNUMBER(OFFSET('04 变换后数据'!$D$5:$D$160,ROW()-5-$G$3+1,0,MIN($G$3,ROW()-4),1)),--ISNUMBER(OFFSET('04 变换后数据'!$H$5:$H$160,ROW()-5-$G$3+1,0,MIN($G$3,ROW()-4),1))))</f>
        <v/>
      </c>
      <c r="I36" s="8">
        <f>IF(ISNUMBER(E36),IF(ABS(E36)&gt;=0.7,"强",IF(ABS(E36)&gt;=0.4,"中","弱")),"-")</f>
        <v/>
      </c>
    </row>
    <row r="37">
      <c r="A37" s="8" t="n">
        <v>33</v>
      </c>
      <c r="B37" s="8">
        <f>'04 变换后数据'!B37</f>
        <v/>
      </c>
      <c r="C37" s="31">
        <f>IF(33&lt;$C$3,"",IF(437=0,"",IF(437&lt;MAX(5,ROUND($C$3*0.8,0)),"样本不足",CORREL(OFFSET('04 变换后数据'!$D$5:$D$160,ROW()-5-$C$3+1,0,$C$3,1),OFFSET('04 变换后数据'!$H$5:$H$160,ROW()-5-$C$3+1,0,$C$3,1))))</f>
        <v/>
      </c>
      <c r="D37" s="8">
        <f>IF(33&lt;$C$3,0,SUMPRODUCT(--(ROW('04 变换后数据'!$D$5:$D$160)&lt;=ROW()),--ISNUMBER(OFFSET('04 变换后数据'!$D$5:$D$160,ROW()-5-$C$3+1,0,MIN($C$3,ROW()-4),1)),--ISNUMBER(OFFSET('04 变换后数据'!$H$5:$H$160,ROW()-5-$C$3+1,0,MIN($C$3,ROW()-4),1))))</f>
        <v/>
      </c>
      <c r="E37" s="31">
        <f>IF(33&lt;$E$3,"",IF(637=0,"",IF(637&lt;MAX(5,ROUND($E$3*0.8,0)),"样本不足",CORREL(OFFSET('04 变换后数据'!$D$5:$D$160,ROW()-5-$E$3+1,0,$E$3,1),OFFSET('04 变换后数据'!$H$5:$H$160,ROW()-5-$E$3+1,0,$E$3,1))))</f>
        <v/>
      </c>
      <c r="F37" s="8">
        <f>IF(33&lt;$E$3,0,SUMPRODUCT(--(ROW('04 变换后数据'!$D$5:$D$160)&lt;=ROW()),--ISNUMBER(OFFSET('04 变换后数据'!$D$5:$D$160,ROW()-5-$E$3+1,0,MIN($E$3,ROW()-4),1)),--ISNUMBER(OFFSET('04 变换后数据'!$H$5:$H$160,ROW()-5-$E$3+1,0,MIN($E$3,ROW()-4),1))))</f>
        <v/>
      </c>
      <c r="G37" s="31">
        <f>IF(33&lt;$G$3,"",IF(837=0,"",IF(837&lt;MAX(5,ROUND($G$3*0.8,0)),"样本不足",CORREL(OFFSET('04 变换后数据'!$D$5:$D$160,ROW()-5-$G$3+1,0,$G$3,1),OFFSET('04 变换后数据'!$H$5:$H$160,ROW()-5-$G$3+1,0,$G$3,1))))</f>
        <v/>
      </c>
      <c r="H37" s="8">
        <f>IF(33&lt;$G$3,0,SUMPRODUCT(--(ROW('04 变换后数据'!$D$5:$D$160)&lt;=ROW()),--ISNUMBER(OFFSET('04 变换后数据'!$D$5:$D$160,ROW()-5-$G$3+1,0,MIN($G$3,ROW()-4),1)),--ISNUMBER(OFFSET('04 变换后数据'!$H$5:$H$160,ROW()-5-$G$3+1,0,MIN($G$3,ROW()-4),1))))</f>
        <v/>
      </c>
      <c r="I37" s="8">
        <f>IF(ISNUMBER(E37),IF(ABS(E37)&gt;=0.7,"强",IF(ABS(E37)&gt;=0.4,"中","弱")),"-")</f>
        <v/>
      </c>
    </row>
    <row r="38">
      <c r="A38" s="8" t="n">
        <v>34</v>
      </c>
      <c r="B38" s="8">
        <f>'04 变换后数据'!B38</f>
        <v/>
      </c>
      <c r="C38" s="31">
        <f>IF(34&lt;$C$3,"",IF(438=0,"",IF(438&lt;MAX(5,ROUND($C$3*0.8,0)),"样本不足",CORREL(OFFSET('04 变换后数据'!$D$5:$D$160,ROW()-5-$C$3+1,0,$C$3,1),OFFSET('04 变换后数据'!$H$5:$H$160,ROW()-5-$C$3+1,0,$C$3,1))))</f>
        <v/>
      </c>
      <c r="D38" s="8">
        <f>IF(34&lt;$C$3,0,SUMPRODUCT(--(ROW('04 变换后数据'!$D$5:$D$160)&lt;=ROW()),--ISNUMBER(OFFSET('04 变换后数据'!$D$5:$D$160,ROW()-5-$C$3+1,0,MIN($C$3,ROW()-4),1)),--ISNUMBER(OFFSET('04 变换后数据'!$H$5:$H$160,ROW()-5-$C$3+1,0,MIN($C$3,ROW()-4),1))))</f>
        <v/>
      </c>
      <c r="E38" s="31">
        <f>IF(34&lt;$E$3,"",IF(638=0,"",IF(638&lt;MAX(5,ROUND($E$3*0.8,0)),"样本不足",CORREL(OFFSET('04 变换后数据'!$D$5:$D$160,ROW()-5-$E$3+1,0,$E$3,1),OFFSET('04 变换后数据'!$H$5:$H$160,ROW()-5-$E$3+1,0,$E$3,1))))</f>
        <v/>
      </c>
      <c r="F38" s="8">
        <f>IF(34&lt;$E$3,0,SUMPRODUCT(--(ROW('04 变换后数据'!$D$5:$D$160)&lt;=ROW()),--ISNUMBER(OFFSET('04 变换后数据'!$D$5:$D$160,ROW()-5-$E$3+1,0,MIN($E$3,ROW()-4),1)),--ISNUMBER(OFFSET('04 变换后数据'!$H$5:$H$160,ROW()-5-$E$3+1,0,MIN($E$3,ROW()-4),1))))</f>
        <v/>
      </c>
      <c r="G38" s="31">
        <f>IF(34&lt;$G$3,"",IF(838=0,"",IF(838&lt;MAX(5,ROUND($G$3*0.8,0)),"样本不足",CORREL(OFFSET('04 变换后数据'!$D$5:$D$160,ROW()-5-$G$3+1,0,$G$3,1),OFFSET('04 变换后数据'!$H$5:$H$160,ROW()-5-$G$3+1,0,$G$3,1))))</f>
        <v/>
      </c>
      <c r="H38" s="8">
        <f>IF(34&lt;$G$3,0,SUMPRODUCT(--(ROW('04 变换后数据'!$D$5:$D$160)&lt;=ROW()),--ISNUMBER(OFFSET('04 变换后数据'!$D$5:$D$160,ROW()-5-$G$3+1,0,MIN($G$3,ROW()-4),1)),--ISNUMBER(OFFSET('04 变换后数据'!$H$5:$H$160,ROW()-5-$G$3+1,0,MIN($G$3,ROW()-4),1))))</f>
        <v/>
      </c>
      <c r="I38" s="8">
        <f>IF(ISNUMBER(E38),IF(ABS(E38)&gt;=0.7,"强",IF(ABS(E38)&gt;=0.4,"中","弱")),"-")</f>
        <v/>
      </c>
    </row>
    <row r="39">
      <c r="A39" s="8" t="n">
        <v>35</v>
      </c>
      <c r="B39" s="8">
        <f>'04 变换后数据'!B39</f>
        <v/>
      </c>
      <c r="C39" s="31">
        <f>IF(35&lt;$C$3,"",IF(439=0,"",IF(439&lt;MAX(5,ROUND($C$3*0.8,0)),"样本不足",CORREL(OFFSET('04 变换后数据'!$D$5:$D$160,ROW()-5-$C$3+1,0,$C$3,1),OFFSET('04 变换后数据'!$H$5:$H$160,ROW()-5-$C$3+1,0,$C$3,1))))</f>
        <v/>
      </c>
      <c r="D39" s="8">
        <f>IF(35&lt;$C$3,0,SUMPRODUCT(--(ROW('04 变换后数据'!$D$5:$D$160)&lt;=ROW()),--ISNUMBER(OFFSET('04 变换后数据'!$D$5:$D$160,ROW()-5-$C$3+1,0,MIN($C$3,ROW()-4),1)),--ISNUMBER(OFFSET('04 变换后数据'!$H$5:$H$160,ROW()-5-$C$3+1,0,MIN($C$3,ROW()-4),1))))</f>
        <v/>
      </c>
      <c r="E39" s="31">
        <f>IF(35&lt;$E$3,"",IF(639=0,"",IF(639&lt;MAX(5,ROUND($E$3*0.8,0)),"样本不足",CORREL(OFFSET('04 变换后数据'!$D$5:$D$160,ROW()-5-$E$3+1,0,$E$3,1),OFFSET('04 变换后数据'!$H$5:$H$160,ROW()-5-$E$3+1,0,$E$3,1))))</f>
        <v/>
      </c>
      <c r="F39" s="8">
        <f>IF(35&lt;$E$3,0,SUMPRODUCT(--(ROW('04 变换后数据'!$D$5:$D$160)&lt;=ROW()),--ISNUMBER(OFFSET('04 变换后数据'!$D$5:$D$160,ROW()-5-$E$3+1,0,MIN($E$3,ROW()-4),1)),--ISNUMBER(OFFSET('04 变换后数据'!$H$5:$H$160,ROW()-5-$E$3+1,0,MIN($E$3,ROW()-4),1))))</f>
        <v/>
      </c>
      <c r="G39" s="31">
        <f>IF(35&lt;$G$3,"",IF(839=0,"",IF(839&lt;MAX(5,ROUND($G$3*0.8,0)),"样本不足",CORREL(OFFSET('04 变换后数据'!$D$5:$D$160,ROW()-5-$G$3+1,0,$G$3,1),OFFSET('04 变换后数据'!$H$5:$H$160,ROW()-5-$G$3+1,0,$G$3,1))))</f>
        <v/>
      </c>
      <c r="H39" s="8">
        <f>IF(35&lt;$G$3,0,SUMPRODUCT(--(ROW('04 变换后数据'!$D$5:$D$160)&lt;=ROW()),--ISNUMBER(OFFSET('04 变换后数据'!$D$5:$D$160,ROW()-5-$G$3+1,0,MIN($G$3,ROW()-4),1)),--ISNUMBER(OFFSET('04 变换后数据'!$H$5:$H$160,ROW()-5-$G$3+1,0,MIN($G$3,ROW()-4),1))))</f>
        <v/>
      </c>
      <c r="I39" s="8">
        <f>IF(ISNUMBER(E39),IF(ABS(E39)&gt;=0.7,"强",IF(ABS(E39)&gt;=0.4,"中","弱")),"-")</f>
        <v/>
      </c>
    </row>
    <row r="40">
      <c r="A40" s="8" t="n">
        <v>36</v>
      </c>
      <c r="B40" s="8">
        <f>'04 变换后数据'!B40</f>
        <v/>
      </c>
      <c r="C40" s="31">
        <f>IF(36&lt;$C$3,"",IF(440=0,"",IF(440&lt;MAX(5,ROUND($C$3*0.8,0)),"样本不足",CORREL(OFFSET('04 变换后数据'!$D$5:$D$160,ROW()-5-$C$3+1,0,$C$3,1),OFFSET('04 变换后数据'!$H$5:$H$160,ROW()-5-$C$3+1,0,$C$3,1))))</f>
        <v/>
      </c>
      <c r="D40" s="8">
        <f>IF(36&lt;$C$3,0,SUMPRODUCT(--(ROW('04 变换后数据'!$D$5:$D$160)&lt;=ROW()),--ISNUMBER(OFFSET('04 变换后数据'!$D$5:$D$160,ROW()-5-$C$3+1,0,MIN($C$3,ROW()-4),1)),--ISNUMBER(OFFSET('04 变换后数据'!$H$5:$H$160,ROW()-5-$C$3+1,0,MIN($C$3,ROW()-4),1))))</f>
        <v/>
      </c>
      <c r="E40" s="31">
        <f>IF(36&lt;$E$3,"",IF(640=0,"",IF(640&lt;MAX(5,ROUND($E$3*0.8,0)),"样本不足",CORREL(OFFSET('04 变换后数据'!$D$5:$D$160,ROW()-5-$E$3+1,0,$E$3,1),OFFSET('04 变换后数据'!$H$5:$H$160,ROW()-5-$E$3+1,0,$E$3,1))))</f>
        <v/>
      </c>
      <c r="F40" s="8">
        <f>IF(36&lt;$E$3,0,SUMPRODUCT(--(ROW('04 变换后数据'!$D$5:$D$160)&lt;=ROW()),--ISNUMBER(OFFSET('04 变换后数据'!$D$5:$D$160,ROW()-5-$E$3+1,0,MIN($E$3,ROW()-4),1)),--ISNUMBER(OFFSET('04 变换后数据'!$H$5:$H$160,ROW()-5-$E$3+1,0,MIN($E$3,ROW()-4),1))))</f>
        <v/>
      </c>
      <c r="G40" s="31">
        <f>IF(36&lt;$G$3,"",IF(840=0,"",IF(840&lt;MAX(5,ROUND($G$3*0.8,0)),"样本不足",CORREL(OFFSET('04 变换后数据'!$D$5:$D$160,ROW()-5-$G$3+1,0,$G$3,1),OFFSET('04 变换后数据'!$H$5:$H$160,ROW()-5-$G$3+1,0,$G$3,1))))</f>
        <v/>
      </c>
      <c r="H40" s="8">
        <f>IF(36&lt;$G$3,0,SUMPRODUCT(--(ROW('04 变换后数据'!$D$5:$D$160)&lt;=ROW()),--ISNUMBER(OFFSET('04 变换后数据'!$D$5:$D$160,ROW()-5-$G$3+1,0,MIN($G$3,ROW()-4),1)),--ISNUMBER(OFFSET('04 变换后数据'!$H$5:$H$160,ROW()-5-$G$3+1,0,MIN($G$3,ROW()-4),1))))</f>
        <v/>
      </c>
      <c r="I40" s="8">
        <f>IF(ISNUMBER(E40),IF(ABS(E40)&gt;=0.7,"强",IF(ABS(E40)&gt;=0.4,"中","弱")),"-")</f>
        <v/>
      </c>
    </row>
    <row r="41">
      <c r="A41" s="8" t="n">
        <v>37</v>
      </c>
      <c r="B41" s="8">
        <f>'04 变换后数据'!B41</f>
        <v/>
      </c>
      <c r="C41" s="31">
        <f>IF(37&lt;$C$3,"",IF(441=0,"",IF(441&lt;MAX(5,ROUND($C$3*0.8,0)),"样本不足",CORREL(OFFSET('04 变换后数据'!$D$5:$D$160,ROW()-5-$C$3+1,0,$C$3,1),OFFSET('04 变换后数据'!$H$5:$H$160,ROW()-5-$C$3+1,0,$C$3,1))))</f>
        <v/>
      </c>
      <c r="D41" s="8">
        <f>IF(37&lt;$C$3,0,SUMPRODUCT(--(ROW('04 变换后数据'!$D$5:$D$160)&lt;=ROW()),--ISNUMBER(OFFSET('04 变换后数据'!$D$5:$D$160,ROW()-5-$C$3+1,0,MIN($C$3,ROW()-4),1)),--ISNUMBER(OFFSET('04 变换后数据'!$H$5:$H$160,ROW()-5-$C$3+1,0,MIN($C$3,ROW()-4),1))))</f>
        <v/>
      </c>
      <c r="E41" s="31">
        <f>IF(37&lt;$E$3,"",IF(641=0,"",IF(641&lt;MAX(5,ROUND($E$3*0.8,0)),"样本不足",CORREL(OFFSET('04 变换后数据'!$D$5:$D$160,ROW()-5-$E$3+1,0,$E$3,1),OFFSET('04 变换后数据'!$H$5:$H$160,ROW()-5-$E$3+1,0,$E$3,1))))</f>
        <v/>
      </c>
      <c r="F41" s="8">
        <f>IF(37&lt;$E$3,0,SUMPRODUCT(--(ROW('04 变换后数据'!$D$5:$D$160)&lt;=ROW()),--ISNUMBER(OFFSET('04 变换后数据'!$D$5:$D$160,ROW()-5-$E$3+1,0,MIN($E$3,ROW()-4),1)),--ISNUMBER(OFFSET('04 变换后数据'!$H$5:$H$160,ROW()-5-$E$3+1,0,MIN($E$3,ROW()-4),1))))</f>
        <v/>
      </c>
      <c r="G41" s="31">
        <f>IF(37&lt;$G$3,"",IF(841=0,"",IF(841&lt;MAX(5,ROUND($G$3*0.8,0)),"样本不足",CORREL(OFFSET('04 变换后数据'!$D$5:$D$160,ROW()-5-$G$3+1,0,$G$3,1),OFFSET('04 变换后数据'!$H$5:$H$160,ROW()-5-$G$3+1,0,$G$3,1))))</f>
        <v/>
      </c>
      <c r="H41" s="8">
        <f>IF(37&lt;$G$3,0,SUMPRODUCT(--(ROW('04 变换后数据'!$D$5:$D$160)&lt;=ROW()),--ISNUMBER(OFFSET('04 变换后数据'!$D$5:$D$160,ROW()-5-$G$3+1,0,MIN($G$3,ROW()-4),1)),--ISNUMBER(OFFSET('04 变换后数据'!$H$5:$H$160,ROW()-5-$G$3+1,0,MIN($G$3,ROW()-4),1))))</f>
        <v/>
      </c>
      <c r="I41" s="8">
        <f>IF(ISNUMBER(E41),IF(ABS(E41)&gt;=0.7,"强",IF(ABS(E41)&gt;=0.4,"中","弱")),"-")</f>
        <v/>
      </c>
    </row>
    <row r="42">
      <c r="A42" s="8" t="n">
        <v>38</v>
      </c>
      <c r="B42" s="8">
        <f>'04 变换后数据'!B42</f>
        <v/>
      </c>
      <c r="C42" s="31">
        <f>IF(38&lt;$C$3,"",IF(442=0,"",IF(442&lt;MAX(5,ROUND($C$3*0.8,0)),"样本不足",CORREL(OFFSET('04 变换后数据'!$D$5:$D$160,ROW()-5-$C$3+1,0,$C$3,1),OFFSET('04 变换后数据'!$H$5:$H$160,ROW()-5-$C$3+1,0,$C$3,1))))</f>
        <v/>
      </c>
      <c r="D42" s="8">
        <f>IF(38&lt;$C$3,0,SUMPRODUCT(--(ROW('04 变换后数据'!$D$5:$D$160)&lt;=ROW()),--ISNUMBER(OFFSET('04 变换后数据'!$D$5:$D$160,ROW()-5-$C$3+1,0,MIN($C$3,ROW()-4),1)),--ISNUMBER(OFFSET('04 变换后数据'!$H$5:$H$160,ROW()-5-$C$3+1,0,MIN($C$3,ROW()-4),1))))</f>
        <v/>
      </c>
      <c r="E42" s="31">
        <f>IF(38&lt;$E$3,"",IF(642=0,"",IF(642&lt;MAX(5,ROUND($E$3*0.8,0)),"样本不足",CORREL(OFFSET('04 变换后数据'!$D$5:$D$160,ROW()-5-$E$3+1,0,$E$3,1),OFFSET('04 变换后数据'!$H$5:$H$160,ROW()-5-$E$3+1,0,$E$3,1))))</f>
        <v/>
      </c>
      <c r="F42" s="8">
        <f>IF(38&lt;$E$3,0,SUMPRODUCT(--(ROW('04 变换后数据'!$D$5:$D$160)&lt;=ROW()),--ISNUMBER(OFFSET('04 变换后数据'!$D$5:$D$160,ROW()-5-$E$3+1,0,MIN($E$3,ROW()-4),1)),--ISNUMBER(OFFSET('04 变换后数据'!$H$5:$H$160,ROW()-5-$E$3+1,0,MIN($E$3,ROW()-4),1))))</f>
        <v/>
      </c>
      <c r="G42" s="31">
        <f>IF(38&lt;$G$3,"",IF(842=0,"",IF(842&lt;MAX(5,ROUND($G$3*0.8,0)),"样本不足",CORREL(OFFSET('04 变换后数据'!$D$5:$D$160,ROW()-5-$G$3+1,0,$G$3,1),OFFSET('04 变换后数据'!$H$5:$H$160,ROW()-5-$G$3+1,0,$G$3,1))))</f>
        <v/>
      </c>
      <c r="H42" s="8">
        <f>IF(38&lt;$G$3,0,SUMPRODUCT(--(ROW('04 变换后数据'!$D$5:$D$160)&lt;=ROW()),--ISNUMBER(OFFSET('04 变换后数据'!$D$5:$D$160,ROW()-5-$G$3+1,0,MIN($G$3,ROW()-4),1)),--ISNUMBER(OFFSET('04 变换后数据'!$H$5:$H$160,ROW()-5-$G$3+1,0,MIN($G$3,ROW()-4),1))))</f>
        <v/>
      </c>
      <c r="I42" s="8">
        <f>IF(ISNUMBER(E42),IF(ABS(E42)&gt;=0.7,"强",IF(ABS(E42)&gt;=0.4,"中","弱")),"-")</f>
        <v/>
      </c>
    </row>
    <row r="43">
      <c r="A43" s="8" t="n">
        <v>39</v>
      </c>
      <c r="B43" s="8">
        <f>'04 变换后数据'!B43</f>
        <v/>
      </c>
      <c r="C43" s="31">
        <f>IF(39&lt;$C$3,"",IF(443=0,"",IF(443&lt;MAX(5,ROUND($C$3*0.8,0)),"样本不足",CORREL(OFFSET('04 变换后数据'!$D$5:$D$160,ROW()-5-$C$3+1,0,$C$3,1),OFFSET('04 变换后数据'!$H$5:$H$160,ROW()-5-$C$3+1,0,$C$3,1))))</f>
        <v/>
      </c>
      <c r="D43" s="8">
        <f>IF(39&lt;$C$3,0,SUMPRODUCT(--(ROW('04 变换后数据'!$D$5:$D$160)&lt;=ROW()),--ISNUMBER(OFFSET('04 变换后数据'!$D$5:$D$160,ROW()-5-$C$3+1,0,MIN($C$3,ROW()-4),1)),--ISNUMBER(OFFSET('04 变换后数据'!$H$5:$H$160,ROW()-5-$C$3+1,0,MIN($C$3,ROW()-4),1))))</f>
        <v/>
      </c>
      <c r="E43" s="31">
        <f>IF(39&lt;$E$3,"",IF(643=0,"",IF(643&lt;MAX(5,ROUND($E$3*0.8,0)),"样本不足",CORREL(OFFSET('04 变换后数据'!$D$5:$D$160,ROW()-5-$E$3+1,0,$E$3,1),OFFSET('04 变换后数据'!$H$5:$H$160,ROW()-5-$E$3+1,0,$E$3,1))))</f>
        <v/>
      </c>
      <c r="F43" s="8">
        <f>IF(39&lt;$E$3,0,SUMPRODUCT(--(ROW('04 变换后数据'!$D$5:$D$160)&lt;=ROW()),--ISNUMBER(OFFSET('04 变换后数据'!$D$5:$D$160,ROW()-5-$E$3+1,0,MIN($E$3,ROW()-4),1)),--ISNUMBER(OFFSET('04 变换后数据'!$H$5:$H$160,ROW()-5-$E$3+1,0,MIN($E$3,ROW()-4),1))))</f>
        <v/>
      </c>
      <c r="G43" s="31">
        <f>IF(39&lt;$G$3,"",IF(843=0,"",IF(843&lt;MAX(5,ROUND($G$3*0.8,0)),"样本不足",CORREL(OFFSET('04 变换后数据'!$D$5:$D$160,ROW()-5-$G$3+1,0,$G$3,1),OFFSET('04 变换后数据'!$H$5:$H$160,ROW()-5-$G$3+1,0,$G$3,1))))</f>
        <v/>
      </c>
      <c r="H43" s="8">
        <f>IF(39&lt;$G$3,0,SUMPRODUCT(--(ROW('04 变换后数据'!$D$5:$D$160)&lt;=ROW()),--ISNUMBER(OFFSET('04 变换后数据'!$D$5:$D$160,ROW()-5-$G$3+1,0,MIN($G$3,ROW()-4),1)),--ISNUMBER(OFFSET('04 变换后数据'!$H$5:$H$160,ROW()-5-$G$3+1,0,MIN($G$3,ROW()-4),1))))</f>
        <v/>
      </c>
      <c r="I43" s="8">
        <f>IF(ISNUMBER(E43),IF(ABS(E43)&gt;=0.7,"强",IF(ABS(E43)&gt;=0.4,"中","弱")),"-")</f>
        <v/>
      </c>
    </row>
    <row r="44">
      <c r="A44" s="8" t="n">
        <v>40</v>
      </c>
      <c r="B44" s="8">
        <f>'04 变换后数据'!B44</f>
        <v/>
      </c>
      <c r="C44" s="31">
        <f>IF(40&lt;$C$3,"",IF(444=0,"",IF(444&lt;MAX(5,ROUND($C$3*0.8,0)),"样本不足",CORREL(OFFSET('04 变换后数据'!$D$5:$D$160,ROW()-5-$C$3+1,0,$C$3,1),OFFSET('04 变换后数据'!$H$5:$H$160,ROW()-5-$C$3+1,0,$C$3,1))))</f>
        <v/>
      </c>
      <c r="D44" s="8">
        <f>IF(40&lt;$C$3,0,SUMPRODUCT(--(ROW('04 变换后数据'!$D$5:$D$160)&lt;=ROW()),--ISNUMBER(OFFSET('04 变换后数据'!$D$5:$D$160,ROW()-5-$C$3+1,0,MIN($C$3,ROW()-4),1)),--ISNUMBER(OFFSET('04 变换后数据'!$H$5:$H$160,ROW()-5-$C$3+1,0,MIN($C$3,ROW()-4),1))))</f>
        <v/>
      </c>
      <c r="E44" s="31">
        <f>IF(40&lt;$E$3,"",IF(644=0,"",IF(644&lt;MAX(5,ROUND($E$3*0.8,0)),"样本不足",CORREL(OFFSET('04 变换后数据'!$D$5:$D$160,ROW()-5-$E$3+1,0,$E$3,1),OFFSET('04 变换后数据'!$H$5:$H$160,ROW()-5-$E$3+1,0,$E$3,1))))</f>
        <v/>
      </c>
      <c r="F44" s="8">
        <f>IF(40&lt;$E$3,0,SUMPRODUCT(--(ROW('04 变换后数据'!$D$5:$D$160)&lt;=ROW()),--ISNUMBER(OFFSET('04 变换后数据'!$D$5:$D$160,ROW()-5-$E$3+1,0,MIN($E$3,ROW()-4),1)),--ISNUMBER(OFFSET('04 变换后数据'!$H$5:$H$160,ROW()-5-$E$3+1,0,MIN($E$3,ROW()-4),1))))</f>
        <v/>
      </c>
      <c r="G44" s="31">
        <f>IF(40&lt;$G$3,"",IF(844=0,"",IF(844&lt;MAX(5,ROUND($G$3*0.8,0)),"样本不足",CORREL(OFFSET('04 变换后数据'!$D$5:$D$160,ROW()-5-$G$3+1,0,$G$3,1),OFFSET('04 变换后数据'!$H$5:$H$160,ROW()-5-$G$3+1,0,$G$3,1))))</f>
        <v/>
      </c>
      <c r="H44" s="8">
        <f>IF(40&lt;$G$3,0,SUMPRODUCT(--(ROW('04 变换后数据'!$D$5:$D$160)&lt;=ROW()),--ISNUMBER(OFFSET('04 变换后数据'!$D$5:$D$160,ROW()-5-$G$3+1,0,MIN($G$3,ROW()-4),1)),--ISNUMBER(OFFSET('04 变换后数据'!$H$5:$H$160,ROW()-5-$G$3+1,0,MIN($G$3,ROW()-4),1))))</f>
        <v/>
      </c>
      <c r="I44" s="8">
        <f>IF(ISNUMBER(E44),IF(ABS(E44)&gt;=0.7,"强",IF(ABS(E44)&gt;=0.4,"中","弱")),"-")</f>
        <v/>
      </c>
    </row>
    <row r="45">
      <c r="A45" s="8" t="n">
        <v>41</v>
      </c>
      <c r="B45" s="8">
        <f>'04 变换后数据'!B45</f>
        <v/>
      </c>
      <c r="C45" s="31">
        <f>IF(41&lt;$C$3,"",IF(445=0,"",IF(445&lt;MAX(5,ROUND($C$3*0.8,0)),"样本不足",CORREL(OFFSET('04 变换后数据'!$D$5:$D$160,ROW()-5-$C$3+1,0,$C$3,1),OFFSET('04 变换后数据'!$H$5:$H$160,ROW()-5-$C$3+1,0,$C$3,1))))</f>
        <v/>
      </c>
      <c r="D45" s="8">
        <f>IF(41&lt;$C$3,0,SUMPRODUCT(--(ROW('04 变换后数据'!$D$5:$D$160)&lt;=ROW()),--ISNUMBER(OFFSET('04 变换后数据'!$D$5:$D$160,ROW()-5-$C$3+1,0,MIN($C$3,ROW()-4),1)),--ISNUMBER(OFFSET('04 变换后数据'!$H$5:$H$160,ROW()-5-$C$3+1,0,MIN($C$3,ROW()-4),1))))</f>
        <v/>
      </c>
      <c r="E45" s="31">
        <f>IF(41&lt;$E$3,"",IF(645=0,"",IF(645&lt;MAX(5,ROUND($E$3*0.8,0)),"样本不足",CORREL(OFFSET('04 变换后数据'!$D$5:$D$160,ROW()-5-$E$3+1,0,$E$3,1),OFFSET('04 变换后数据'!$H$5:$H$160,ROW()-5-$E$3+1,0,$E$3,1))))</f>
        <v/>
      </c>
      <c r="F45" s="8">
        <f>IF(41&lt;$E$3,0,SUMPRODUCT(--(ROW('04 变换后数据'!$D$5:$D$160)&lt;=ROW()),--ISNUMBER(OFFSET('04 变换后数据'!$D$5:$D$160,ROW()-5-$E$3+1,0,MIN($E$3,ROW()-4),1)),--ISNUMBER(OFFSET('04 变换后数据'!$H$5:$H$160,ROW()-5-$E$3+1,0,MIN($E$3,ROW()-4),1))))</f>
        <v/>
      </c>
      <c r="G45" s="31">
        <f>IF(41&lt;$G$3,"",IF(845=0,"",IF(845&lt;MAX(5,ROUND($G$3*0.8,0)),"样本不足",CORREL(OFFSET('04 变换后数据'!$D$5:$D$160,ROW()-5-$G$3+1,0,$G$3,1),OFFSET('04 变换后数据'!$H$5:$H$160,ROW()-5-$G$3+1,0,$G$3,1))))</f>
        <v/>
      </c>
      <c r="H45" s="8">
        <f>IF(41&lt;$G$3,0,SUMPRODUCT(--(ROW('04 变换后数据'!$D$5:$D$160)&lt;=ROW()),--ISNUMBER(OFFSET('04 变换后数据'!$D$5:$D$160,ROW()-5-$G$3+1,0,MIN($G$3,ROW()-4),1)),--ISNUMBER(OFFSET('04 变换后数据'!$H$5:$H$160,ROW()-5-$G$3+1,0,MIN($G$3,ROW()-4),1))))</f>
        <v/>
      </c>
      <c r="I45" s="8">
        <f>IF(ISNUMBER(E45),IF(ABS(E45)&gt;=0.7,"强",IF(ABS(E45)&gt;=0.4,"中","弱")),"-")</f>
        <v/>
      </c>
    </row>
    <row r="46">
      <c r="A46" s="8" t="n">
        <v>42</v>
      </c>
      <c r="B46" s="8">
        <f>'04 变换后数据'!B46</f>
        <v/>
      </c>
      <c r="C46" s="31">
        <f>IF(42&lt;$C$3,"",IF(446=0,"",IF(446&lt;MAX(5,ROUND($C$3*0.8,0)),"样本不足",CORREL(OFFSET('04 变换后数据'!$D$5:$D$160,ROW()-5-$C$3+1,0,$C$3,1),OFFSET('04 变换后数据'!$H$5:$H$160,ROW()-5-$C$3+1,0,$C$3,1))))</f>
        <v/>
      </c>
      <c r="D46" s="8">
        <f>IF(42&lt;$C$3,0,SUMPRODUCT(--(ROW('04 变换后数据'!$D$5:$D$160)&lt;=ROW()),--ISNUMBER(OFFSET('04 变换后数据'!$D$5:$D$160,ROW()-5-$C$3+1,0,MIN($C$3,ROW()-4),1)),--ISNUMBER(OFFSET('04 变换后数据'!$H$5:$H$160,ROW()-5-$C$3+1,0,MIN($C$3,ROW()-4),1))))</f>
        <v/>
      </c>
      <c r="E46" s="31">
        <f>IF(42&lt;$E$3,"",IF(646=0,"",IF(646&lt;MAX(5,ROUND($E$3*0.8,0)),"样本不足",CORREL(OFFSET('04 变换后数据'!$D$5:$D$160,ROW()-5-$E$3+1,0,$E$3,1),OFFSET('04 变换后数据'!$H$5:$H$160,ROW()-5-$E$3+1,0,$E$3,1))))</f>
        <v/>
      </c>
      <c r="F46" s="8">
        <f>IF(42&lt;$E$3,0,SUMPRODUCT(--(ROW('04 变换后数据'!$D$5:$D$160)&lt;=ROW()),--ISNUMBER(OFFSET('04 变换后数据'!$D$5:$D$160,ROW()-5-$E$3+1,0,MIN($E$3,ROW()-4),1)),--ISNUMBER(OFFSET('04 变换后数据'!$H$5:$H$160,ROW()-5-$E$3+1,0,MIN($E$3,ROW()-4),1))))</f>
        <v/>
      </c>
      <c r="G46" s="31">
        <f>IF(42&lt;$G$3,"",IF(846=0,"",IF(846&lt;MAX(5,ROUND($G$3*0.8,0)),"样本不足",CORREL(OFFSET('04 变换后数据'!$D$5:$D$160,ROW()-5-$G$3+1,0,$G$3,1),OFFSET('04 变换后数据'!$H$5:$H$160,ROW()-5-$G$3+1,0,$G$3,1))))</f>
        <v/>
      </c>
      <c r="H46" s="8">
        <f>IF(42&lt;$G$3,0,SUMPRODUCT(--(ROW('04 变换后数据'!$D$5:$D$160)&lt;=ROW()),--ISNUMBER(OFFSET('04 变换后数据'!$D$5:$D$160,ROW()-5-$G$3+1,0,MIN($G$3,ROW()-4),1)),--ISNUMBER(OFFSET('04 变换后数据'!$H$5:$H$160,ROW()-5-$G$3+1,0,MIN($G$3,ROW()-4),1))))</f>
        <v/>
      </c>
      <c r="I46" s="8">
        <f>IF(ISNUMBER(E46),IF(ABS(E46)&gt;=0.7,"强",IF(ABS(E46)&gt;=0.4,"中","弱")),"-")</f>
        <v/>
      </c>
    </row>
    <row r="47">
      <c r="A47" s="8" t="n">
        <v>43</v>
      </c>
      <c r="B47" s="8">
        <f>'04 变换后数据'!B47</f>
        <v/>
      </c>
      <c r="C47" s="31">
        <f>IF(43&lt;$C$3,"",IF(447=0,"",IF(447&lt;MAX(5,ROUND($C$3*0.8,0)),"样本不足",CORREL(OFFSET('04 变换后数据'!$D$5:$D$160,ROW()-5-$C$3+1,0,$C$3,1),OFFSET('04 变换后数据'!$H$5:$H$160,ROW()-5-$C$3+1,0,$C$3,1))))</f>
        <v/>
      </c>
      <c r="D47" s="8">
        <f>IF(43&lt;$C$3,0,SUMPRODUCT(--(ROW('04 变换后数据'!$D$5:$D$160)&lt;=ROW()),--ISNUMBER(OFFSET('04 变换后数据'!$D$5:$D$160,ROW()-5-$C$3+1,0,MIN($C$3,ROW()-4),1)),--ISNUMBER(OFFSET('04 变换后数据'!$H$5:$H$160,ROW()-5-$C$3+1,0,MIN($C$3,ROW()-4),1))))</f>
        <v/>
      </c>
      <c r="E47" s="31">
        <f>IF(43&lt;$E$3,"",IF(647=0,"",IF(647&lt;MAX(5,ROUND($E$3*0.8,0)),"样本不足",CORREL(OFFSET('04 变换后数据'!$D$5:$D$160,ROW()-5-$E$3+1,0,$E$3,1),OFFSET('04 变换后数据'!$H$5:$H$160,ROW()-5-$E$3+1,0,$E$3,1))))</f>
        <v/>
      </c>
      <c r="F47" s="8">
        <f>IF(43&lt;$E$3,0,SUMPRODUCT(--(ROW('04 变换后数据'!$D$5:$D$160)&lt;=ROW()),--ISNUMBER(OFFSET('04 变换后数据'!$D$5:$D$160,ROW()-5-$E$3+1,0,MIN($E$3,ROW()-4),1)),--ISNUMBER(OFFSET('04 变换后数据'!$H$5:$H$160,ROW()-5-$E$3+1,0,MIN($E$3,ROW()-4),1))))</f>
        <v/>
      </c>
      <c r="G47" s="31">
        <f>IF(43&lt;$G$3,"",IF(847=0,"",IF(847&lt;MAX(5,ROUND($G$3*0.8,0)),"样本不足",CORREL(OFFSET('04 变换后数据'!$D$5:$D$160,ROW()-5-$G$3+1,0,$G$3,1),OFFSET('04 变换后数据'!$H$5:$H$160,ROW()-5-$G$3+1,0,$G$3,1))))</f>
        <v/>
      </c>
      <c r="H47" s="8">
        <f>IF(43&lt;$G$3,0,SUMPRODUCT(--(ROW('04 变换后数据'!$D$5:$D$160)&lt;=ROW()),--ISNUMBER(OFFSET('04 变换后数据'!$D$5:$D$160,ROW()-5-$G$3+1,0,MIN($G$3,ROW()-4),1)),--ISNUMBER(OFFSET('04 变换后数据'!$H$5:$H$160,ROW()-5-$G$3+1,0,MIN($G$3,ROW()-4),1))))</f>
        <v/>
      </c>
      <c r="I47" s="8">
        <f>IF(ISNUMBER(E47),IF(ABS(E47)&gt;=0.7,"强",IF(ABS(E47)&gt;=0.4,"中","弱")),"-")</f>
        <v/>
      </c>
    </row>
    <row r="48">
      <c r="A48" s="8" t="n">
        <v>44</v>
      </c>
      <c r="B48" s="8">
        <f>'04 变换后数据'!B48</f>
        <v/>
      </c>
      <c r="C48" s="31">
        <f>IF(44&lt;$C$3,"",IF(448=0,"",IF(448&lt;MAX(5,ROUND($C$3*0.8,0)),"样本不足",CORREL(OFFSET('04 变换后数据'!$D$5:$D$160,ROW()-5-$C$3+1,0,$C$3,1),OFFSET('04 变换后数据'!$H$5:$H$160,ROW()-5-$C$3+1,0,$C$3,1))))</f>
        <v/>
      </c>
      <c r="D48" s="8">
        <f>IF(44&lt;$C$3,0,SUMPRODUCT(--(ROW('04 变换后数据'!$D$5:$D$160)&lt;=ROW()),--ISNUMBER(OFFSET('04 变换后数据'!$D$5:$D$160,ROW()-5-$C$3+1,0,MIN($C$3,ROW()-4),1)),--ISNUMBER(OFFSET('04 变换后数据'!$H$5:$H$160,ROW()-5-$C$3+1,0,MIN($C$3,ROW()-4),1))))</f>
        <v/>
      </c>
      <c r="E48" s="31">
        <f>IF(44&lt;$E$3,"",IF(648=0,"",IF(648&lt;MAX(5,ROUND($E$3*0.8,0)),"样本不足",CORREL(OFFSET('04 变换后数据'!$D$5:$D$160,ROW()-5-$E$3+1,0,$E$3,1),OFFSET('04 变换后数据'!$H$5:$H$160,ROW()-5-$E$3+1,0,$E$3,1))))</f>
        <v/>
      </c>
      <c r="F48" s="8">
        <f>IF(44&lt;$E$3,0,SUMPRODUCT(--(ROW('04 变换后数据'!$D$5:$D$160)&lt;=ROW()),--ISNUMBER(OFFSET('04 变换后数据'!$D$5:$D$160,ROW()-5-$E$3+1,0,MIN($E$3,ROW()-4),1)),--ISNUMBER(OFFSET('04 变换后数据'!$H$5:$H$160,ROW()-5-$E$3+1,0,MIN($E$3,ROW()-4),1))))</f>
        <v/>
      </c>
      <c r="G48" s="31">
        <f>IF(44&lt;$G$3,"",IF(848=0,"",IF(848&lt;MAX(5,ROUND($G$3*0.8,0)),"样本不足",CORREL(OFFSET('04 变换后数据'!$D$5:$D$160,ROW()-5-$G$3+1,0,$G$3,1),OFFSET('04 变换后数据'!$H$5:$H$160,ROW()-5-$G$3+1,0,$G$3,1))))</f>
        <v/>
      </c>
      <c r="H48" s="8">
        <f>IF(44&lt;$G$3,0,SUMPRODUCT(--(ROW('04 变换后数据'!$D$5:$D$160)&lt;=ROW()),--ISNUMBER(OFFSET('04 变换后数据'!$D$5:$D$160,ROW()-5-$G$3+1,0,MIN($G$3,ROW()-4),1)),--ISNUMBER(OFFSET('04 变换后数据'!$H$5:$H$160,ROW()-5-$G$3+1,0,MIN($G$3,ROW()-4),1))))</f>
        <v/>
      </c>
      <c r="I48" s="8">
        <f>IF(ISNUMBER(E48),IF(ABS(E48)&gt;=0.7,"强",IF(ABS(E48)&gt;=0.4,"中","弱")),"-")</f>
        <v/>
      </c>
    </row>
    <row r="49">
      <c r="A49" s="8" t="n">
        <v>45</v>
      </c>
      <c r="B49" s="8">
        <f>'04 变换后数据'!B49</f>
        <v/>
      </c>
      <c r="C49" s="31">
        <f>IF(45&lt;$C$3,"",IF(449=0,"",IF(449&lt;MAX(5,ROUND($C$3*0.8,0)),"样本不足",CORREL(OFFSET('04 变换后数据'!$D$5:$D$160,ROW()-5-$C$3+1,0,$C$3,1),OFFSET('04 变换后数据'!$H$5:$H$160,ROW()-5-$C$3+1,0,$C$3,1))))</f>
        <v/>
      </c>
      <c r="D49" s="8">
        <f>IF(45&lt;$C$3,0,SUMPRODUCT(--(ROW('04 变换后数据'!$D$5:$D$160)&lt;=ROW()),--ISNUMBER(OFFSET('04 变换后数据'!$D$5:$D$160,ROW()-5-$C$3+1,0,MIN($C$3,ROW()-4),1)),--ISNUMBER(OFFSET('04 变换后数据'!$H$5:$H$160,ROW()-5-$C$3+1,0,MIN($C$3,ROW()-4),1))))</f>
        <v/>
      </c>
      <c r="E49" s="31">
        <f>IF(45&lt;$E$3,"",IF(649=0,"",IF(649&lt;MAX(5,ROUND($E$3*0.8,0)),"样本不足",CORREL(OFFSET('04 变换后数据'!$D$5:$D$160,ROW()-5-$E$3+1,0,$E$3,1),OFFSET('04 变换后数据'!$H$5:$H$160,ROW()-5-$E$3+1,0,$E$3,1))))</f>
        <v/>
      </c>
      <c r="F49" s="8">
        <f>IF(45&lt;$E$3,0,SUMPRODUCT(--(ROW('04 变换后数据'!$D$5:$D$160)&lt;=ROW()),--ISNUMBER(OFFSET('04 变换后数据'!$D$5:$D$160,ROW()-5-$E$3+1,0,MIN($E$3,ROW()-4),1)),--ISNUMBER(OFFSET('04 变换后数据'!$H$5:$H$160,ROW()-5-$E$3+1,0,MIN($E$3,ROW()-4),1))))</f>
        <v/>
      </c>
      <c r="G49" s="31">
        <f>IF(45&lt;$G$3,"",IF(849=0,"",IF(849&lt;MAX(5,ROUND($G$3*0.8,0)),"样本不足",CORREL(OFFSET('04 变换后数据'!$D$5:$D$160,ROW()-5-$G$3+1,0,$G$3,1),OFFSET('04 变换后数据'!$H$5:$H$160,ROW()-5-$G$3+1,0,$G$3,1))))</f>
        <v/>
      </c>
      <c r="H49" s="8">
        <f>IF(45&lt;$G$3,0,SUMPRODUCT(--(ROW('04 变换后数据'!$D$5:$D$160)&lt;=ROW()),--ISNUMBER(OFFSET('04 变换后数据'!$D$5:$D$160,ROW()-5-$G$3+1,0,MIN($G$3,ROW()-4),1)),--ISNUMBER(OFFSET('04 变换后数据'!$H$5:$H$160,ROW()-5-$G$3+1,0,MIN($G$3,ROW()-4),1))))</f>
        <v/>
      </c>
      <c r="I49" s="8">
        <f>IF(ISNUMBER(E49),IF(ABS(E49)&gt;=0.7,"强",IF(ABS(E49)&gt;=0.4,"中","弱")),"-")</f>
        <v/>
      </c>
    </row>
    <row r="50">
      <c r="A50" s="8" t="n">
        <v>46</v>
      </c>
      <c r="B50" s="8">
        <f>'04 变换后数据'!B50</f>
        <v/>
      </c>
      <c r="C50" s="31">
        <f>IF(46&lt;$C$3,"",IF(450=0,"",IF(450&lt;MAX(5,ROUND($C$3*0.8,0)),"样本不足",CORREL(OFFSET('04 变换后数据'!$D$5:$D$160,ROW()-5-$C$3+1,0,$C$3,1),OFFSET('04 变换后数据'!$H$5:$H$160,ROW()-5-$C$3+1,0,$C$3,1))))</f>
        <v/>
      </c>
      <c r="D50" s="8">
        <f>IF(46&lt;$C$3,0,SUMPRODUCT(--(ROW('04 变换后数据'!$D$5:$D$160)&lt;=ROW()),--ISNUMBER(OFFSET('04 变换后数据'!$D$5:$D$160,ROW()-5-$C$3+1,0,MIN($C$3,ROW()-4),1)),--ISNUMBER(OFFSET('04 变换后数据'!$H$5:$H$160,ROW()-5-$C$3+1,0,MIN($C$3,ROW()-4),1))))</f>
        <v/>
      </c>
      <c r="E50" s="31">
        <f>IF(46&lt;$E$3,"",IF(650=0,"",IF(650&lt;MAX(5,ROUND($E$3*0.8,0)),"样本不足",CORREL(OFFSET('04 变换后数据'!$D$5:$D$160,ROW()-5-$E$3+1,0,$E$3,1),OFFSET('04 变换后数据'!$H$5:$H$160,ROW()-5-$E$3+1,0,$E$3,1))))</f>
        <v/>
      </c>
      <c r="F50" s="8">
        <f>IF(46&lt;$E$3,0,SUMPRODUCT(--(ROW('04 变换后数据'!$D$5:$D$160)&lt;=ROW()),--ISNUMBER(OFFSET('04 变换后数据'!$D$5:$D$160,ROW()-5-$E$3+1,0,MIN($E$3,ROW()-4),1)),--ISNUMBER(OFFSET('04 变换后数据'!$H$5:$H$160,ROW()-5-$E$3+1,0,MIN($E$3,ROW()-4),1))))</f>
        <v/>
      </c>
      <c r="G50" s="31">
        <f>IF(46&lt;$G$3,"",IF(850=0,"",IF(850&lt;MAX(5,ROUND($G$3*0.8,0)),"样本不足",CORREL(OFFSET('04 变换后数据'!$D$5:$D$160,ROW()-5-$G$3+1,0,$G$3,1),OFFSET('04 变换后数据'!$H$5:$H$160,ROW()-5-$G$3+1,0,$G$3,1))))</f>
        <v/>
      </c>
      <c r="H50" s="8">
        <f>IF(46&lt;$G$3,0,SUMPRODUCT(--(ROW('04 变换后数据'!$D$5:$D$160)&lt;=ROW()),--ISNUMBER(OFFSET('04 变换后数据'!$D$5:$D$160,ROW()-5-$G$3+1,0,MIN($G$3,ROW()-4),1)),--ISNUMBER(OFFSET('04 变换后数据'!$H$5:$H$160,ROW()-5-$G$3+1,0,MIN($G$3,ROW()-4),1))))</f>
        <v/>
      </c>
      <c r="I50" s="8">
        <f>IF(ISNUMBER(E50),IF(ABS(E50)&gt;=0.7,"强",IF(ABS(E50)&gt;=0.4,"中","弱")),"-")</f>
        <v/>
      </c>
    </row>
    <row r="51">
      <c r="A51" s="8" t="n">
        <v>47</v>
      </c>
      <c r="B51" s="8">
        <f>'04 变换后数据'!B51</f>
        <v/>
      </c>
      <c r="C51" s="31">
        <f>IF(47&lt;$C$3,"",IF(451=0,"",IF(451&lt;MAX(5,ROUND($C$3*0.8,0)),"样本不足",CORREL(OFFSET('04 变换后数据'!$D$5:$D$160,ROW()-5-$C$3+1,0,$C$3,1),OFFSET('04 变换后数据'!$H$5:$H$160,ROW()-5-$C$3+1,0,$C$3,1))))</f>
        <v/>
      </c>
      <c r="D51" s="8">
        <f>IF(47&lt;$C$3,0,SUMPRODUCT(--(ROW('04 变换后数据'!$D$5:$D$160)&lt;=ROW()),--ISNUMBER(OFFSET('04 变换后数据'!$D$5:$D$160,ROW()-5-$C$3+1,0,MIN($C$3,ROW()-4),1)),--ISNUMBER(OFFSET('04 变换后数据'!$H$5:$H$160,ROW()-5-$C$3+1,0,MIN($C$3,ROW()-4),1))))</f>
        <v/>
      </c>
      <c r="E51" s="31">
        <f>IF(47&lt;$E$3,"",IF(651=0,"",IF(651&lt;MAX(5,ROUND($E$3*0.8,0)),"样本不足",CORREL(OFFSET('04 变换后数据'!$D$5:$D$160,ROW()-5-$E$3+1,0,$E$3,1),OFFSET('04 变换后数据'!$H$5:$H$160,ROW()-5-$E$3+1,0,$E$3,1))))</f>
        <v/>
      </c>
      <c r="F51" s="8">
        <f>IF(47&lt;$E$3,0,SUMPRODUCT(--(ROW('04 变换后数据'!$D$5:$D$160)&lt;=ROW()),--ISNUMBER(OFFSET('04 变换后数据'!$D$5:$D$160,ROW()-5-$E$3+1,0,MIN($E$3,ROW()-4),1)),--ISNUMBER(OFFSET('04 变换后数据'!$H$5:$H$160,ROW()-5-$E$3+1,0,MIN($E$3,ROW()-4),1))))</f>
        <v/>
      </c>
      <c r="G51" s="31">
        <f>IF(47&lt;$G$3,"",IF(851=0,"",IF(851&lt;MAX(5,ROUND($G$3*0.8,0)),"样本不足",CORREL(OFFSET('04 变换后数据'!$D$5:$D$160,ROW()-5-$G$3+1,0,$G$3,1),OFFSET('04 变换后数据'!$H$5:$H$160,ROW()-5-$G$3+1,0,$G$3,1))))</f>
        <v/>
      </c>
      <c r="H51" s="8">
        <f>IF(47&lt;$G$3,0,SUMPRODUCT(--(ROW('04 变换后数据'!$D$5:$D$160)&lt;=ROW()),--ISNUMBER(OFFSET('04 变换后数据'!$D$5:$D$160,ROW()-5-$G$3+1,0,MIN($G$3,ROW()-4),1)),--ISNUMBER(OFFSET('04 变换后数据'!$H$5:$H$160,ROW()-5-$G$3+1,0,MIN($G$3,ROW()-4),1))))</f>
        <v/>
      </c>
      <c r="I51" s="8">
        <f>IF(ISNUMBER(E51),IF(ABS(E51)&gt;=0.7,"强",IF(ABS(E51)&gt;=0.4,"中","弱")),"-")</f>
        <v/>
      </c>
    </row>
    <row r="52">
      <c r="A52" s="8" t="n">
        <v>48</v>
      </c>
      <c r="B52" s="8">
        <f>'04 变换后数据'!B52</f>
        <v/>
      </c>
      <c r="C52" s="31">
        <f>IF(48&lt;$C$3,"",IF(452=0,"",IF(452&lt;MAX(5,ROUND($C$3*0.8,0)),"样本不足",CORREL(OFFSET('04 变换后数据'!$D$5:$D$160,ROW()-5-$C$3+1,0,$C$3,1),OFFSET('04 变换后数据'!$H$5:$H$160,ROW()-5-$C$3+1,0,$C$3,1))))</f>
        <v/>
      </c>
      <c r="D52" s="8">
        <f>IF(48&lt;$C$3,0,SUMPRODUCT(--(ROW('04 变换后数据'!$D$5:$D$160)&lt;=ROW()),--ISNUMBER(OFFSET('04 变换后数据'!$D$5:$D$160,ROW()-5-$C$3+1,0,MIN($C$3,ROW()-4),1)),--ISNUMBER(OFFSET('04 变换后数据'!$H$5:$H$160,ROW()-5-$C$3+1,0,MIN($C$3,ROW()-4),1))))</f>
        <v/>
      </c>
      <c r="E52" s="31">
        <f>IF(48&lt;$E$3,"",IF(652=0,"",IF(652&lt;MAX(5,ROUND($E$3*0.8,0)),"样本不足",CORREL(OFFSET('04 变换后数据'!$D$5:$D$160,ROW()-5-$E$3+1,0,$E$3,1),OFFSET('04 变换后数据'!$H$5:$H$160,ROW()-5-$E$3+1,0,$E$3,1))))</f>
        <v/>
      </c>
      <c r="F52" s="8">
        <f>IF(48&lt;$E$3,0,SUMPRODUCT(--(ROW('04 变换后数据'!$D$5:$D$160)&lt;=ROW()),--ISNUMBER(OFFSET('04 变换后数据'!$D$5:$D$160,ROW()-5-$E$3+1,0,MIN($E$3,ROW()-4),1)),--ISNUMBER(OFFSET('04 变换后数据'!$H$5:$H$160,ROW()-5-$E$3+1,0,MIN($E$3,ROW()-4),1))))</f>
        <v/>
      </c>
      <c r="G52" s="31">
        <f>IF(48&lt;$G$3,"",IF(852=0,"",IF(852&lt;MAX(5,ROUND($G$3*0.8,0)),"样本不足",CORREL(OFFSET('04 变换后数据'!$D$5:$D$160,ROW()-5-$G$3+1,0,$G$3,1),OFFSET('04 变换后数据'!$H$5:$H$160,ROW()-5-$G$3+1,0,$G$3,1))))</f>
        <v/>
      </c>
      <c r="H52" s="8">
        <f>IF(48&lt;$G$3,0,SUMPRODUCT(--(ROW('04 变换后数据'!$D$5:$D$160)&lt;=ROW()),--ISNUMBER(OFFSET('04 变换后数据'!$D$5:$D$160,ROW()-5-$G$3+1,0,MIN($G$3,ROW()-4),1)),--ISNUMBER(OFFSET('04 变换后数据'!$H$5:$H$160,ROW()-5-$G$3+1,0,MIN($G$3,ROW()-4),1))))</f>
        <v/>
      </c>
      <c r="I52" s="8">
        <f>IF(ISNUMBER(E52),IF(ABS(E52)&gt;=0.7,"强",IF(ABS(E52)&gt;=0.4,"中","弱")),"-")</f>
        <v/>
      </c>
    </row>
    <row r="53">
      <c r="A53" s="8" t="n">
        <v>49</v>
      </c>
      <c r="B53" s="8">
        <f>'04 变换后数据'!B53</f>
        <v/>
      </c>
      <c r="C53" s="31">
        <f>IF(49&lt;$C$3,"",IF(453=0,"",IF(453&lt;MAX(5,ROUND($C$3*0.8,0)),"样本不足",CORREL(OFFSET('04 变换后数据'!$D$5:$D$160,ROW()-5-$C$3+1,0,$C$3,1),OFFSET('04 变换后数据'!$H$5:$H$160,ROW()-5-$C$3+1,0,$C$3,1))))</f>
        <v/>
      </c>
      <c r="D53" s="8">
        <f>IF(49&lt;$C$3,0,SUMPRODUCT(--(ROW('04 变换后数据'!$D$5:$D$160)&lt;=ROW()),--ISNUMBER(OFFSET('04 变换后数据'!$D$5:$D$160,ROW()-5-$C$3+1,0,MIN($C$3,ROW()-4),1)),--ISNUMBER(OFFSET('04 变换后数据'!$H$5:$H$160,ROW()-5-$C$3+1,0,MIN($C$3,ROW()-4),1))))</f>
        <v/>
      </c>
      <c r="E53" s="31">
        <f>IF(49&lt;$E$3,"",IF(653=0,"",IF(653&lt;MAX(5,ROUND($E$3*0.8,0)),"样本不足",CORREL(OFFSET('04 变换后数据'!$D$5:$D$160,ROW()-5-$E$3+1,0,$E$3,1),OFFSET('04 变换后数据'!$H$5:$H$160,ROW()-5-$E$3+1,0,$E$3,1))))</f>
        <v/>
      </c>
      <c r="F53" s="8">
        <f>IF(49&lt;$E$3,0,SUMPRODUCT(--(ROW('04 变换后数据'!$D$5:$D$160)&lt;=ROW()),--ISNUMBER(OFFSET('04 变换后数据'!$D$5:$D$160,ROW()-5-$E$3+1,0,MIN($E$3,ROW()-4),1)),--ISNUMBER(OFFSET('04 变换后数据'!$H$5:$H$160,ROW()-5-$E$3+1,0,MIN($E$3,ROW()-4),1))))</f>
        <v/>
      </c>
      <c r="G53" s="31">
        <f>IF(49&lt;$G$3,"",IF(853=0,"",IF(853&lt;MAX(5,ROUND($G$3*0.8,0)),"样本不足",CORREL(OFFSET('04 变换后数据'!$D$5:$D$160,ROW()-5-$G$3+1,0,$G$3,1),OFFSET('04 变换后数据'!$H$5:$H$160,ROW()-5-$G$3+1,0,$G$3,1))))</f>
        <v/>
      </c>
      <c r="H53" s="8">
        <f>IF(49&lt;$G$3,0,SUMPRODUCT(--(ROW('04 变换后数据'!$D$5:$D$160)&lt;=ROW()),--ISNUMBER(OFFSET('04 变换后数据'!$D$5:$D$160,ROW()-5-$G$3+1,0,MIN($G$3,ROW()-4),1)),--ISNUMBER(OFFSET('04 变换后数据'!$H$5:$H$160,ROW()-5-$G$3+1,0,MIN($G$3,ROW()-4),1))))</f>
        <v/>
      </c>
      <c r="I53" s="8">
        <f>IF(ISNUMBER(E53),IF(ABS(E53)&gt;=0.7,"强",IF(ABS(E53)&gt;=0.4,"中","弱")),"-")</f>
        <v/>
      </c>
    </row>
    <row r="54">
      <c r="A54" s="8" t="n">
        <v>50</v>
      </c>
      <c r="B54" s="8">
        <f>'04 变换后数据'!B54</f>
        <v/>
      </c>
      <c r="C54" s="31">
        <f>IF(50&lt;$C$3,"",IF(454=0,"",IF(454&lt;MAX(5,ROUND($C$3*0.8,0)),"样本不足",CORREL(OFFSET('04 变换后数据'!$D$5:$D$160,ROW()-5-$C$3+1,0,$C$3,1),OFFSET('04 变换后数据'!$H$5:$H$160,ROW()-5-$C$3+1,0,$C$3,1))))</f>
        <v/>
      </c>
      <c r="D54" s="8">
        <f>IF(50&lt;$C$3,0,SUMPRODUCT(--(ROW('04 变换后数据'!$D$5:$D$160)&lt;=ROW()),--ISNUMBER(OFFSET('04 变换后数据'!$D$5:$D$160,ROW()-5-$C$3+1,0,MIN($C$3,ROW()-4),1)),--ISNUMBER(OFFSET('04 变换后数据'!$H$5:$H$160,ROW()-5-$C$3+1,0,MIN($C$3,ROW()-4),1))))</f>
        <v/>
      </c>
      <c r="E54" s="31">
        <f>IF(50&lt;$E$3,"",IF(654=0,"",IF(654&lt;MAX(5,ROUND($E$3*0.8,0)),"样本不足",CORREL(OFFSET('04 变换后数据'!$D$5:$D$160,ROW()-5-$E$3+1,0,$E$3,1),OFFSET('04 变换后数据'!$H$5:$H$160,ROW()-5-$E$3+1,0,$E$3,1))))</f>
        <v/>
      </c>
      <c r="F54" s="8">
        <f>IF(50&lt;$E$3,0,SUMPRODUCT(--(ROW('04 变换后数据'!$D$5:$D$160)&lt;=ROW()),--ISNUMBER(OFFSET('04 变换后数据'!$D$5:$D$160,ROW()-5-$E$3+1,0,MIN($E$3,ROW()-4),1)),--ISNUMBER(OFFSET('04 变换后数据'!$H$5:$H$160,ROW()-5-$E$3+1,0,MIN($E$3,ROW()-4),1))))</f>
        <v/>
      </c>
      <c r="G54" s="31">
        <f>IF(50&lt;$G$3,"",IF(854=0,"",IF(854&lt;MAX(5,ROUND($G$3*0.8,0)),"样本不足",CORREL(OFFSET('04 变换后数据'!$D$5:$D$160,ROW()-5-$G$3+1,0,$G$3,1),OFFSET('04 变换后数据'!$H$5:$H$160,ROW()-5-$G$3+1,0,$G$3,1))))</f>
        <v/>
      </c>
      <c r="H54" s="8">
        <f>IF(50&lt;$G$3,0,SUMPRODUCT(--(ROW('04 变换后数据'!$D$5:$D$160)&lt;=ROW()),--ISNUMBER(OFFSET('04 变换后数据'!$D$5:$D$160,ROW()-5-$G$3+1,0,MIN($G$3,ROW()-4),1)),--ISNUMBER(OFFSET('04 变换后数据'!$H$5:$H$160,ROW()-5-$G$3+1,0,MIN($G$3,ROW()-4),1))))</f>
        <v/>
      </c>
      <c r="I54" s="8">
        <f>IF(ISNUMBER(E54),IF(ABS(E54)&gt;=0.7,"强",IF(ABS(E54)&gt;=0.4,"中","弱")),"-")</f>
        <v/>
      </c>
    </row>
    <row r="55">
      <c r="A55" s="8" t="n">
        <v>51</v>
      </c>
      <c r="B55" s="8">
        <f>'04 变换后数据'!B55</f>
        <v/>
      </c>
      <c r="C55" s="31">
        <f>IF(51&lt;$C$3,"",IF(455=0,"",IF(455&lt;MAX(5,ROUND($C$3*0.8,0)),"样本不足",CORREL(OFFSET('04 变换后数据'!$D$5:$D$160,ROW()-5-$C$3+1,0,$C$3,1),OFFSET('04 变换后数据'!$H$5:$H$160,ROW()-5-$C$3+1,0,$C$3,1))))</f>
        <v/>
      </c>
      <c r="D55" s="8">
        <f>IF(51&lt;$C$3,0,SUMPRODUCT(--(ROW('04 变换后数据'!$D$5:$D$160)&lt;=ROW()),--ISNUMBER(OFFSET('04 变换后数据'!$D$5:$D$160,ROW()-5-$C$3+1,0,MIN($C$3,ROW()-4),1)),--ISNUMBER(OFFSET('04 变换后数据'!$H$5:$H$160,ROW()-5-$C$3+1,0,MIN($C$3,ROW()-4),1))))</f>
        <v/>
      </c>
      <c r="E55" s="31">
        <f>IF(51&lt;$E$3,"",IF(655=0,"",IF(655&lt;MAX(5,ROUND($E$3*0.8,0)),"样本不足",CORREL(OFFSET('04 变换后数据'!$D$5:$D$160,ROW()-5-$E$3+1,0,$E$3,1),OFFSET('04 变换后数据'!$H$5:$H$160,ROW()-5-$E$3+1,0,$E$3,1))))</f>
        <v/>
      </c>
      <c r="F55" s="8">
        <f>IF(51&lt;$E$3,0,SUMPRODUCT(--(ROW('04 变换后数据'!$D$5:$D$160)&lt;=ROW()),--ISNUMBER(OFFSET('04 变换后数据'!$D$5:$D$160,ROW()-5-$E$3+1,0,MIN($E$3,ROW()-4),1)),--ISNUMBER(OFFSET('04 变换后数据'!$H$5:$H$160,ROW()-5-$E$3+1,0,MIN($E$3,ROW()-4),1))))</f>
        <v/>
      </c>
      <c r="G55" s="31">
        <f>IF(51&lt;$G$3,"",IF(855=0,"",IF(855&lt;MAX(5,ROUND($G$3*0.8,0)),"样本不足",CORREL(OFFSET('04 变换后数据'!$D$5:$D$160,ROW()-5-$G$3+1,0,$G$3,1),OFFSET('04 变换后数据'!$H$5:$H$160,ROW()-5-$G$3+1,0,$G$3,1))))</f>
        <v/>
      </c>
      <c r="H55" s="8">
        <f>IF(51&lt;$G$3,0,SUMPRODUCT(--(ROW('04 变换后数据'!$D$5:$D$160)&lt;=ROW()),--ISNUMBER(OFFSET('04 变换后数据'!$D$5:$D$160,ROW()-5-$G$3+1,0,MIN($G$3,ROW()-4),1)),--ISNUMBER(OFFSET('04 变换后数据'!$H$5:$H$160,ROW()-5-$G$3+1,0,MIN($G$3,ROW()-4),1))))</f>
        <v/>
      </c>
      <c r="I55" s="8">
        <f>IF(ISNUMBER(E55),IF(ABS(E55)&gt;=0.7,"强",IF(ABS(E55)&gt;=0.4,"中","弱")),"-")</f>
        <v/>
      </c>
    </row>
    <row r="56">
      <c r="A56" s="8" t="n">
        <v>52</v>
      </c>
      <c r="B56" s="8">
        <f>'04 变换后数据'!B56</f>
        <v/>
      </c>
      <c r="C56" s="31">
        <f>IF(52&lt;$C$3,"",IF(456=0,"",IF(456&lt;MAX(5,ROUND($C$3*0.8,0)),"样本不足",CORREL(OFFSET('04 变换后数据'!$D$5:$D$160,ROW()-5-$C$3+1,0,$C$3,1),OFFSET('04 变换后数据'!$H$5:$H$160,ROW()-5-$C$3+1,0,$C$3,1))))</f>
        <v/>
      </c>
      <c r="D56" s="8">
        <f>IF(52&lt;$C$3,0,SUMPRODUCT(--(ROW('04 变换后数据'!$D$5:$D$160)&lt;=ROW()),--ISNUMBER(OFFSET('04 变换后数据'!$D$5:$D$160,ROW()-5-$C$3+1,0,MIN($C$3,ROW()-4),1)),--ISNUMBER(OFFSET('04 变换后数据'!$H$5:$H$160,ROW()-5-$C$3+1,0,MIN($C$3,ROW()-4),1))))</f>
        <v/>
      </c>
      <c r="E56" s="31">
        <f>IF(52&lt;$E$3,"",IF(656=0,"",IF(656&lt;MAX(5,ROUND($E$3*0.8,0)),"样本不足",CORREL(OFFSET('04 变换后数据'!$D$5:$D$160,ROW()-5-$E$3+1,0,$E$3,1),OFFSET('04 变换后数据'!$H$5:$H$160,ROW()-5-$E$3+1,0,$E$3,1))))</f>
        <v/>
      </c>
      <c r="F56" s="8">
        <f>IF(52&lt;$E$3,0,SUMPRODUCT(--(ROW('04 变换后数据'!$D$5:$D$160)&lt;=ROW()),--ISNUMBER(OFFSET('04 变换后数据'!$D$5:$D$160,ROW()-5-$E$3+1,0,MIN($E$3,ROW()-4),1)),--ISNUMBER(OFFSET('04 变换后数据'!$H$5:$H$160,ROW()-5-$E$3+1,0,MIN($E$3,ROW()-4),1))))</f>
        <v/>
      </c>
      <c r="G56" s="31">
        <f>IF(52&lt;$G$3,"",IF(856=0,"",IF(856&lt;MAX(5,ROUND($G$3*0.8,0)),"样本不足",CORREL(OFFSET('04 变换后数据'!$D$5:$D$160,ROW()-5-$G$3+1,0,$G$3,1),OFFSET('04 变换后数据'!$H$5:$H$160,ROW()-5-$G$3+1,0,$G$3,1))))</f>
        <v/>
      </c>
      <c r="H56" s="8">
        <f>IF(52&lt;$G$3,0,SUMPRODUCT(--(ROW('04 变换后数据'!$D$5:$D$160)&lt;=ROW()),--ISNUMBER(OFFSET('04 变换后数据'!$D$5:$D$160,ROW()-5-$G$3+1,0,MIN($G$3,ROW()-4),1)),--ISNUMBER(OFFSET('04 变换后数据'!$H$5:$H$160,ROW()-5-$G$3+1,0,MIN($G$3,ROW()-4),1))))</f>
        <v/>
      </c>
      <c r="I56" s="8">
        <f>IF(ISNUMBER(E56),IF(ABS(E56)&gt;=0.7,"强",IF(ABS(E56)&gt;=0.4,"中","弱")),"-")</f>
        <v/>
      </c>
    </row>
    <row r="57">
      <c r="A57" s="8" t="n">
        <v>53</v>
      </c>
      <c r="B57" s="8">
        <f>'04 变换后数据'!B57</f>
        <v/>
      </c>
      <c r="C57" s="31">
        <f>IF(53&lt;$C$3,"",IF(457=0,"",IF(457&lt;MAX(5,ROUND($C$3*0.8,0)),"样本不足",CORREL(OFFSET('04 变换后数据'!$D$5:$D$160,ROW()-5-$C$3+1,0,$C$3,1),OFFSET('04 变换后数据'!$H$5:$H$160,ROW()-5-$C$3+1,0,$C$3,1))))</f>
        <v/>
      </c>
      <c r="D57" s="8">
        <f>IF(53&lt;$C$3,0,SUMPRODUCT(--(ROW('04 变换后数据'!$D$5:$D$160)&lt;=ROW()),--ISNUMBER(OFFSET('04 变换后数据'!$D$5:$D$160,ROW()-5-$C$3+1,0,MIN($C$3,ROW()-4),1)),--ISNUMBER(OFFSET('04 变换后数据'!$H$5:$H$160,ROW()-5-$C$3+1,0,MIN($C$3,ROW()-4),1))))</f>
        <v/>
      </c>
      <c r="E57" s="31">
        <f>IF(53&lt;$E$3,"",IF(657=0,"",IF(657&lt;MAX(5,ROUND($E$3*0.8,0)),"样本不足",CORREL(OFFSET('04 变换后数据'!$D$5:$D$160,ROW()-5-$E$3+1,0,$E$3,1),OFFSET('04 变换后数据'!$H$5:$H$160,ROW()-5-$E$3+1,0,$E$3,1))))</f>
        <v/>
      </c>
      <c r="F57" s="8">
        <f>IF(53&lt;$E$3,0,SUMPRODUCT(--(ROW('04 变换后数据'!$D$5:$D$160)&lt;=ROW()),--ISNUMBER(OFFSET('04 变换后数据'!$D$5:$D$160,ROW()-5-$E$3+1,0,MIN($E$3,ROW()-4),1)),--ISNUMBER(OFFSET('04 变换后数据'!$H$5:$H$160,ROW()-5-$E$3+1,0,MIN($E$3,ROW()-4),1))))</f>
        <v/>
      </c>
      <c r="G57" s="31">
        <f>IF(53&lt;$G$3,"",IF(857=0,"",IF(857&lt;MAX(5,ROUND($G$3*0.8,0)),"样本不足",CORREL(OFFSET('04 变换后数据'!$D$5:$D$160,ROW()-5-$G$3+1,0,$G$3,1),OFFSET('04 变换后数据'!$H$5:$H$160,ROW()-5-$G$3+1,0,$G$3,1))))</f>
        <v/>
      </c>
      <c r="H57" s="8">
        <f>IF(53&lt;$G$3,0,SUMPRODUCT(--(ROW('04 变换后数据'!$D$5:$D$160)&lt;=ROW()),--ISNUMBER(OFFSET('04 变换后数据'!$D$5:$D$160,ROW()-5-$G$3+1,0,MIN($G$3,ROW()-4),1)),--ISNUMBER(OFFSET('04 变换后数据'!$H$5:$H$160,ROW()-5-$G$3+1,0,MIN($G$3,ROW()-4),1))))</f>
        <v/>
      </c>
      <c r="I57" s="8">
        <f>IF(ISNUMBER(E57),IF(ABS(E57)&gt;=0.7,"强",IF(ABS(E57)&gt;=0.4,"中","弱")),"-")</f>
        <v/>
      </c>
    </row>
    <row r="58">
      <c r="A58" s="8" t="n">
        <v>54</v>
      </c>
      <c r="B58" s="8">
        <f>'04 变换后数据'!B58</f>
        <v/>
      </c>
      <c r="C58" s="31">
        <f>IF(54&lt;$C$3,"",IF(458=0,"",IF(458&lt;MAX(5,ROUND($C$3*0.8,0)),"样本不足",CORREL(OFFSET('04 变换后数据'!$D$5:$D$160,ROW()-5-$C$3+1,0,$C$3,1),OFFSET('04 变换后数据'!$H$5:$H$160,ROW()-5-$C$3+1,0,$C$3,1))))</f>
        <v/>
      </c>
      <c r="D58" s="8">
        <f>IF(54&lt;$C$3,0,SUMPRODUCT(--(ROW('04 变换后数据'!$D$5:$D$160)&lt;=ROW()),--ISNUMBER(OFFSET('04 变换后数据'!$D$5:$D$160,ROW()-5-$C$3+1,0,MIN($C$3,ROW()-4),1)),--ISNUMBER(OFFSET('04 变换后数据'!$H$5:$H$160,ROW()-5-$C$3+1,0,MIN($C$3,ROW()-4),1))))</f>
        <v/>
      </c>
      <c r="E58" s="31">
        <f>IF(54&lt;$E$3,"",IF(658=0,"",IF(658&lt;MAX(5,ROUND($E$3*0.8,0)),"样本不足",CORREL(OFFSET('04 变换后数据'!$D$5:$D$160,ROW()-5-$E$3+1,0,$E$3,1),OFFSET('04 变换后数据'!$H$5:$H$160,ROW()-5-$E$3+1,0,$E$3,1))))</f>
        <v/>
      </c>
      <c r="F58" s="8">
        <f>IF(54&lt;$E$3,0,SUMPRODUCT(--(ROW('04 变换后数据'!$D$5:$D$160)&lt;=ROW()),--ISNUMBER(OFFSET('04 变换后数据'!$D$5:$D$160,ROW()-5-$E$3+1,0,MIN($E$3,ROW()-4),1)),--ISNUMBER(OFFSET('04 变换后数据'!$H$5:$H$160,ROW()-5-$E$3+1,0,MIN($E$3,ROW()-4),1))))</f>
        <v/>
      </c>
      <c r="G58" s="31">
        <f>IF(54&lt;$G$3,"",IF(858=0,"",IF(858&lt;MAX(5,ROUND($G$3*0.8,0)),"样本不足",CORREL(OFFSET('04 变换后数据'!$D$5:$D$160,ROW()-5-$G$3+1,0,$G$3,1),OFFSET('04 变换后数据'!$H$5:$H$160,ROW()-5-$G$3+1,0,$G$3,1))))</f>
        <v/>
      </c>
      <c r="H58" s="8">
        <f>IF(54&lt;$G$3,0,SUMPRODUCT(--(ROW('04 变换后数据'!$D$5:$D$160)&lt;=ROW()),--ISNUMBER(OFFSET('04 变换后数据'!$D$5:$D$160,ROW()-5-$G$3+1,0,MIN($G$3,ROW()-4),1)),--ISNUMBER(OFFSET('04 变换后数据'!$H$5:$H$160,ROW()-5-$G$3+1,0,MIN($G$3,ROW()-4),1))))</f>
        <v/>
      </c>
      <c r="I58" s="8">
        <f>IF(ISNUMBER(E58),IF(ABS(E58)&gt;=0.7,"强",IF(ABS(E58)&gt;=0.4,"中","弱")),"-")</f>
        <v/>
      </c>
    </row>
    <row r="59">
      <c r="A59" s="8" t="n">
        <v>55</v>
      </c>
      <c r="B59" s="8">
        <f>'04 变换后数据'!B59</f>
        <v/>
      </c>
      <c r="C59" s="31">
        <f>IF(55&lt;$C$3,"",IF(459=0,"",IF(459&lt;MAX(5,ROUND($C$3*0.8,0)),"样本不足",CORREL(OFFSET('04 变换后数据'!$D$5:$D$160,ROW()-5-$C$3+1,0,$C$3,1),OFFSET('04 变换后数据'!$H$5:$H$160,ROW()-5-$C$3+1,0,$C$3,1))))</f>
        <v/>
      </c>
      <c r="D59" s="8">
        <f>IF(55&lt;$C$3,0,SUMPRODUCT(--(ROW('04 变换后数据'!$D$5:$D$160)&lt;=ROW()),--ISNUMBER(OFFSET('04 变换后数据'!$D$5:$D$160,ROW()-5-$C$3+1,0,MIN($C$3,ROW()-4),1)),--ISNUMBER(OFFSET('04 变换后数据'!$H$5:$H$160,ROW()-5-$C$3+1,0,MIN($C$3,ROW()-4),1))))</f>
        <v/>
      </c>
      <c r="E59" s="31">
        <f>IF(55&lt;$E$3,"",IF(659=0,"",IF(659&lt;MAX(5,ROUND($E$3*0.8,0)),"样本不足",CORREL(OFFSET('04 变换后数据'!$D$5:$D$160,ROW()-5-$E$3+1,0,$E$3,1),OFFSET('04 变换后数据'!$H$5:$H$160,ROW()-5-$E$3+1,0,$E$3,1))))</f>
        <v/>
      </c>
      <c r="F59" s="8">
        <f>IF(55&lt;$E$3,0,SUMPRODUCT(--(ROW('04 变换后数据'!$D$5:$D$160)&lt;=ROW()),--ISNUMBER(OFFSET('04 变换后数据'!$D$5:$D$160,ROW()-5-$E$3+1,0,MIN($E$3,ROW()-4),1)),--ISNUMBER(OFFSET('04 变换后数据'!$H$5:$H$160,ROW()-5-$E$3+1,0,MIN($E$3,ROW()-4),1))))</f>
        <v/>
      </c>
      <c r="G59" s="31">
        <f>IF(55&lt;$G$3,"",IF(859=0,"",IF(859&lt;MAX(5,ROUND($G$3*0.8,0)),"样本不足",CORREL(OFFSET('04 变换后数据'!$D$5:$D$160,ROW()-5-$G$3+1,0,$G$3,1),OFFSET('04 变换后数据'!$H$5:$H$160,ROW()-5-$G$3+1,0,$G$3,1))))</f>
        <v/>
      </c>
      <c r="H59" s="8">
        <f>IF(55&lt;$G$3,0,SUMPRODUCT(--(ROW('04 变换后数据'!$D$5:$D$160)&lt;=ROW()),--ISNUMBER(OFFSET('04 变换后数据'!$D$5:$D$160,ROW()-5-$G$3+1,0,MIN($G$3,ROW()-4),1)),--ISNUMBER(OFFSET('04 变换后数据'!$H$5:$H$160,ROW()-5-$G$3+1,0,MIN($G$3,ROW()-4),1))))</f>
        <v/>
      </c>
      <c r="I59" s="8">
        <f>IF(ISNUMBER(E59),IF(ABS(E59)&gt;=0.7,"强",IF(ABS(E59)&gt;=0.4,"中","弱")),"-")</f>
        <v/>
      </c>
    </row>
    <row r="60">
      <c r="A60" s="8" t="n">
        <v>56</v>
      </c>
      <c r="B60" s="8">
        <f>'04 变换后数据'!B60</f>
        <v/>
      </c>
      <c r="C60" s="31">
        <f>IF(56&lt;$C$3,"",IF(460=0,"",IF(460&lt;MAX(5,ROUND($C$3*0.8,0)),"样本不足",CORREL(OFFSET('04 变换后数据'!$D$5:$D$160,ROW()-5-$C$3+1,0,$C$3,1),OFFSET('04 变换后数据'!$H$5:$H$160,ROW()-5-$C$3+1,0,$C$3,1))))</f>
        <v/>
      </c>
      <c r="D60" s="8">
        <f>IF(56&lt;$C$3,0,SUMPRODUCT(--(ROW('04 变换后数据'!$D$5:$D$160)&lt;=ROW()),--ISNUMBER(OFFSET('04 变换后数据'!$D$5:$D$160,ROW()-5-$C$3+1,0,MIN($C$3,ROW()-4),1)),--ISNUMBER(OFFSET('04 变换后数据'!$H$5:$H$160,ROW()-5-$C$3+1,0,MIN($C$3,ROW()-4),1))))</f>
        <v/>
      </c>
      <c r="E60" s="31">
        <f>IF(56&lt;$E$3,"",IF(660=0,"",IF(660&lt;MAX(5,ROUND($E$3*0.8,0)),"样本不足",CORREL(OFFSET('04 变换后数据'!$D$5:$D$160,ROW()-5-$E$3+1,0,$E$3,1),OFFSET('04 变换后数据'!$H$5:$H$160,ROW()-5-$E$3+1,0,$E$3,1))))</f>
        <v/>
      </c>
      <c r="F60" s="8">
        <f>IF(56&lt;$E$3,0,SUMPRODUCT(--(ROW('04 变换后数据'!$D$5:$D$160)&lt;=ROW()),--ISNUMBER(OFFSET('04 变换后数据'!$D$5:$D$160,ROW()-5-$E$3+1,0,MIN($E$3,ROW()-4),1)),--ISNUMBER(OFFSET('04 变换后数据'!$H$5:$H$160,ROW()-5-$E$3+1,0,MIN($E$3,ROW()-4),1))))</f>
        <v/>
      </c>
      <c r="G60" s="31">
        <f>IF(56&lt;$G$3,"",IF(860=0,"",IF(860&lt;MAX(5,ROUND($G$3*0.8,0)),"样本不足",CORREL(OFFSET('04 变换后数据'!$D$5:$D$160,ROW()-5-$G$3+1,0,$G$3,1),OFFSET('04 变换后数据'!$H$5:$H$160,ROW()-5-$G$3+1,0,$G$3,1))))</f>
        <v/>
      </c>
      <c r="H60" s="8">
        <f>IF(56&lt;$G$3,0,SUMPRODUCT(--(ROW('04 变换后数据'!$D$5:$D$160)&lt;=ROW()),--ISNUMBER(OFFSET('04 变换后数据'!$D$5:$D$160,ROW()-5-$G$3+1,0,MIN($G$3,ROW()-4),1)),--ISNUMBER(OFFSET('04 变换后数据'!$H$5:$H$160,ROW()-5-$G$3+1,0,MIN($G$3,ROW()-4),1))))</f>
        <v/>
      </c>
      <c r="I60" s="8">
        <f>IF(ISNUMBER(E60),IF(ABS(E60)&gt;=0.7,"强",IF(ABS(E60)&gt;=0.4,"中","弱")),"-")</f>
        <v/>
      </c>
    </row>
    <row r="61">
      <c r="A61" s="8" t="n">
        <v>57</v>
      </c>
      <c r="B61" s="8">
        <f>'04 变换后数据'!B61</f>
        <v/>
      </c>
      <c r="C61" s="31">
        <f>IF(57&lt;$C$3,"",IF(461=0,"",IF(461&lt;MAX(5,ROUND($C$3*0.8,0)),"样本不足",CORREL(OFFSET('04 变换后数据'!$D$5:$D$160,ROW()-5-$C$3+1,0,$C$3,1),OFFSET('04 变换后数据'!$H$5:$H$160,ROW()-5-$C$3+1,0,$C$3,1))))</f>
        <v/>
      </c>
      <c r="D61" s="8">
        <f>IF(57&lt;$C$3,0,SUMPRODUCT(--(ROW('04 变换后数据'!$D$5:$D$160)&lt;=ROW()),--ISNUMBER(OFFSET('04 变换后数据'!$D$5:$D$160,ROW()-5-$C$3+1,0,MIN($C$3,ROW()-4),1)),--ISNUMBER(OFFSET('04 变换后数据'!$H$5:$H$160,ROW()-5-$C$3+1,0,MIN($C$3,ROW()-4),1))))</f>
        <v/>
      </c>
      <c r="E61" s="31">
        <f>IF(57&lt;$E$3,"",IF(661=0,"",IF(661&lt;MAX(5,ROUND($E$3*0.8,0)),"样本不足",CORREL(OFFSET('04 变换后数据'!$D$5:$D$160,ROW()-5-$E$3+1,0,$E$3,1),OFFSET('04 变换后数据'!$H$5:$H$160,ROW()-5-$E$3+1,0,$E$3,1))))</f>
        <v/>
      </c>
      <c r="F61" s="8">
        <f>IF(57&lt;$E$3,0,SUMPRODUCT(--(ROW('04 变换后数据'!$D$5:$D$160)&lt;=ROW()),--ISNUMBER(OFFSET('04 变换后数据'!$D$5:$D$160,ROW()-5-$E$3+1,0,MIN($E$3,ROW()-4),1)),--ISNUMBER(OFFSET('04 变换后数据'!$H$5:$H$160,ROW()-5-$E$3+1,0,MIN($E$3,ROW()-4),1))))</f>
        <v/>
      </c>
      <c r="G61" s="31">
        <f>IF(57&lt;$G$3,"",IF(861=0,"",IF(861&lt;MAX(5,ROUND($G$3*0.8,0)),"样本不足",CORREL(OFFSET('04 变换后数据'!$D$5:$D$160,ROW()-5-$G$3+1,0,$G$3,1),OFFSET('04 变换后数据'!$H$5:$H$160,ROW()-5-$G$3+1,0,$G$3,1))))</f>
        <v/>
      </c>
      <c r="H61" s="8">
        <f>IF(57&lt;$G$3,0,SUMPRODUCT(--(ROW('04 变换后数据'!$D$5:$D$160)&lt;=ROW()),--ISNUMBER(OFFSET('04 变换后数据'!$D$5:$D$160,ROW()-5-$G$3+1,0,MIN($G$3,ROW()-4),1)),--ISNUMBER(OFFSET('04 变换后数据'!$H$5:$H$160,ROW()-5-$G$3+1,0,MIN($G$3,ROW()-4),1))))</f>
        <v/>
      </c>
      <c r="I61" s="8">
        <f>IF(ISNUMBER(E61),IF(ABS(E61)&gt;=0.7,"强",IF(ABS(E61)&gt;=0.4,"中","弱")),"-")</f>
        <v/>
      </c>
    </row>
    <row r="62">
      <c r="A62" s="8" t="n">
        <v>58</v>
      </c>
      <c r="B62" s="8">
        <f>'04 变换后数据'!B62</f>
        <v/>
      </c>
      <c r="C62" s="31">
        <f>IF(58&lt;$C$3,"",IF(462=0,"",IF(462&lt;MAX(5,ROUND($C$3*0.8,0)),"样本不足",CORREL(OFFSET('04 变换后数据'!$D$5:$D$160,ROW()-5-$C$3+1,0,$C$3,1),OFFSET('04 变换后数据'!$H$5:$H$160,ROW()-5-$C$3+1,0,$C$3,1))))</f>
        <v/>
      </c>
      <c r="D62" s="8">
        <f>IF(58&lt;$C$3,0,SUMPRODUCT(--(ROW('04 变换后数据'!$D$5:$D$160)&lt;=ROW()),--ISNUMBER(OFFSET('04 变换后数据'!$D$5:$D$160,ROW()-5-$C$3+1,0,MIN($C$3,ROW()-4),1)),--ISNUMBER(OFFSET('04 变换后数据'!$H$5:$H$160,ROW()-5-$C$3+1,0,MIN($C$3,ROW()-4),1))))</f>
        <v/>
      </c>
      <c r="E62" s="31">
        <f>IF(58&lt;$E$3,"",IF(662=0,"",IF(662&lt;MAX(5,ROUND($E$3*0.8,0)),"样本不足",CORREL(OFFSET('04 变换后数据'!$D$5:$D$160,ROW()-5-$E$3+1,0,$E$3,1),OFFSET('04 变换后数据'!$H$5:$H$160,ROW()-5-$E$3+1,0,$E$3,1))))</f>
        <v/>
      </c>
      <c r="F62" s="8">
        <f>IF(58&lt;$E$3,0,SUMPRODUCT(--(ROW('04 变换后数据'!$D$5:$D$160)&lt;=ROW()),--ISNUMBER(OFFSET('04 变换后数据'!$D$5:$D$160,ROW()-5-$E$3+1,0,MIN($E$3,ROW()-4),1)),--ISNUMBER(OFFSET('04 变换后数据'!$H$5:$H$160,ROW()-5-$E$3+1,0,MIN($E$3,ROW()-4),1))))</f>
        <v/>
      </c>
      <c r="G62" s="31">
        <f>IF(58&lt;$G$3,"",IF(862=0,"",IF(862&lt;MAX(5,ROUND($G$3*0.8,0)),"样本不足",CORREL(OFFSET('04 变换后数据'!$D$5:$D$160,ROW()-5-$G$3+1,0,$G$3,1),OFFSET('04 变换后数据'!$H$5:$H$160,ROW()-5-$G$3+1,0,$G$3,1))))</f>
        <v/>
      </c>
      <c r="H62" s="8">
        <f>IF(58&lt;$G$3,0,SUMPRODUCT(--(ROW('04 变换后数据'!$D$5:$D$160)&lt;=ROW()),--ISNUMBER(OFFSET('04 变换后数据'!$D$5:$D$160,ROW()-5-$G$3+1,0,MIN($G$3,ROW()-4),1)),--ISNUMBER(OFFSET('04 变换后数据'!$H$5:$H$160,ROW()-5-$G$3+1,0,MIN($G$3,ROW()-4),1))))</f>
        <v/>
      </c>
      <c r="I62" s="8">
        <f>IF(ISNUMBER(E62),IF(ABS(E62)&gt;=0.7,"强",IF(ABS(E62)&gt;=0.4,"中","弱")),"-")</f>
        <v/>
      </c>
    </row>
    <row r="63">
      <c r="A63" s="8" t="n">
        <v>59</v>
      </c>
      <c r="B63" s="8">
        <f>'04 变换后数据'!B63</f>
        <v/>
      </c>
      <c r="C63" s="31">
        <f>IF(59&lt;$C$3,"",IF(463=0,"",IF(463&lt;MAX(5,ROUND($C$3*0.8,0)),"样本不足",CORREL(OFFSET('04 变换后数据'!$D$5:$D$160,ROW()-5-$C$3+1,0,$C$3,1),OFFSET('04 变换后数据'!$H$5:$H$160,ROW()-5-$C$3+1,0,$C$3,1))))</f>
        <v/>
      </c>
      <c r="D63" s="8">
        <f>IF(59&lt;$C$3,0,SUMPRODUCT(--(ROW('04 变换后数据'!$D$5:$D$160)&lt;=ROW()),--ISNUMBER(OFFSET('04 变换后数据'!$D$5:$D$160,ROW()-5-$C$3+1,0,MIN($C$3,ROW()-4),1)),--ISNUMBER(OFFSET('04 变换后数据'!$H$5:$H$160,ROW()-5-$C$3+1,0,MIN($C$3,ROW()-4),1))))</f>
        <v/>
      </c>
      <c r="E63" s="31">
        <f>IF(59&lt;$E$3,"",IF(663=0,"",IF(663&lt;MAX(5,ROUND($E$3*0.8,0)),"样本不足",CORREL(OFFSET('04 变换后数据'!$D$5:$D$160,ROW()-5-$E$3+1,0,$E$3,1),OFFSET('04 变换后数据'!$H$5:$H$160,ROW()-5-$E$3+1,0,$E$3,1))))</f>
        <v/>
      </c>
      <c r="F63" s="8">
        <f>IF(59&lt;$E$3,0,SUMPRODUCT(--(ROW('04 变换后数据'!$D$5:$D$160)&lt;=ROW()),--ISNUMBER(OFFSET('04 变换后数据'!$D$5:$D$160,ROW()-5-$E$3+1,0,MIN($E$3,ROW()-4),1)),--ISNUMBER(OFFSET('04 变换后数据'!$H$5:$H$160,ROW()-5-$E$3+1,0,MIN($E$3,ROW()-4),1))))</f>
        <v/>
      </c>
      <c r="G63" s="31">
        <f>IF(59&lt;$G$3,"",IF(863=0,"",IF(863&lt;MAX(5,ROUND($G$3*0.8,0)),"样本不足",CORREL(OFFSET('04 变换后数据'!$D$5:$D$160,ROW()-5-$G$3+1,0,$G$3,1),OFFSET('04 变换后数据'!$H$5:$H$160,ROW()-5-$G$3+1,0,$G$3,1))))</f>
        <v/>
      </c>
      <c r="H63" s="8">
        <f>IF(59&lt;$G$3,0,SUMPRODUCT(--(ROW('04 变换后数据'!$D$5:$D$160)&lt;=ROW()),--ISNUMBER(OFFSET('04 变换后数据'!$D$5:$D$160,ROW()-5-$G$3+1,0,MIN($G$3,ROW()-4),1)),--ISNUMBER(OFFSET('04 变换后数据'!$H$5:$H$160,ROW()-5-$G$3+1,0,MIN($G$3,ROW()-4),1))))</f>
        <v/>
      </c>
      <c r="I63" s="8">
        <f>IF(ISNUMBER(E63),IF(ABS(E63)&gt;=0.7,"强",IF(ABS(E63)&gt;=0.4,"中","弱")),"-")</f>
        <v/>
      </c>
    </row>
    <row r="64">
      <c r="A64" s="8" t="n">
        <v>60</v>
      </c>
      <c r="B64" s="8">
        <f>'04 变换后数据'!B64</f>
        <v/>
      </c>
      <c r="C64" s="31">
        <f>IF(60&lt;$C$3,"",IF(464=0,"",IF(464&lt;MAX(5,ROUND($C$3*0.8,0)),"样本不足",CORREL(OFFSET('04 变换后数据'!$D$5:$D$160,ROW()-5-$C$3+1,0,$C$3,1),OFFSET('04 变换后数据'!$H$5:$H$160,ROW()-5-$C$3+1,0,$C$3,1))))</f>
        <v/>
      </c>
      <c r="D64" s="8">
        <f>IF(60&lt;$C$3,0,SUMPRODUCT(--(ROW('04 变换后数据'!$D$5:$D$160)&lt;=ROW()),--ISNUMBER(OFFSET('04 变换后数据'!$D$5:$D$160,ROW()-5-$C$3+1,0,MIN($C$3,ROW()-4),1)),--ISNUMBER(OFFSET('04 变换后数据'!$H$5:$H$160,ROW()-5-$C$3+1,0,MIN($C$3,ROW()-4),1))))</f>
        <v/>
      </c>
      <c r="E64" s="31">
        <f>IF(60&lt;$E$3,"",IF(664=0,"",IF(664&lt;MAX(5,ROUND($E$3*0.8,0)),"样本不足",CORREL(OFFSET('04 变换后数据'!$D$5:$D$160,ROW()-5-$E$3+1,0,$E$3,1),OFFSET('04 变换后数据'!$H$5:$H$160,ROW()-5-$E$3+1,0,$E$3,1))))</f>
        <v/>
      </c>
      <c r="F64" s="8">
        <f>IF(60&lt;$E$3,0,SUMPRODUCT(--(ROW('04 变换后数据'!$D$5:$D$160)&lt;=ROW()),--ISNUMBER(OFFSET('04 变换后数据'!$D$5:$D$160,ROW()-5-$E$3+1,0,MIN($E$3,ROW()-4),1)),--ISNUMBER(OFFSET('04 变换后数据'!$H$5:$H$160,ROW()-5-$E$3+1,0,MIN($E$3,ROW()-4),1))))</f>
        <v/>
      </c>
      <c r="G64" s="31">
        <f>IF(60&lt;$G$3,"",IF(864=0,"",IF(864&lt;MAX(5,ROUND($G$3*0.8,0)),"样本不足",CORREL(OFFSET('04 变换后数据'!$D$5:$D$160,ROW()-5-$G$3+1,0,$G$3,1),OFFSET('04 变换后数据'!$H$5:$H$160,ROW()-5-$G$3+1,0,$G$3,1))))</f>
        <v/>
      </c>
      <c r="H64" s="8">
        <f>IF(60&lt;$G$3,0,SUMPRODUCT(--(ROW('04 变换后数据'!$D$5:$D$160)&lt;=ROW()),--ISNUMBER(OFFSET('04 变换后数据'!$D$5:$D$160,ROW()-5-$G$3+1,0,MIN($G$3,ROW()-4),1)),--ISNUMBER(OFFSET('04 变换后数据'!$H$5:$H$160,ROW()-5-$G$3+1,0,MIN($G$3,ROW()-4),1))))</f>
        <v/>
      </c>
      <c r="I64" s="8">
        <f>IF(ISNUMBER(E64),IF(ABS(E64)&gt;=0.7,"强",IF(ABS(E64)&gt;=0.4,"中","弱")),"-")</f>
        <v/>
      </c>
    </row>
    <row r="65">
      <c r="A65" s="8" t="n">
        <v>61</v>
      </c>
      <c r="B65" s="8">
        <f>'04 变换后数据'!B65</f>
        <v/>
      </c>
      <c r="C65" s="31">
        <f>IF(61&lt;$C$3,"",IF(465=0,"",IF(465&lt;MAX(5,ROUND($C$3*0.8,0)),"样本不足",CORREL(OFFSET('04 变换后数据'!$D$5:$D$160,ROW()-5-$C$3+1,0,$C$3,1),OFFSET('04 变换后数据'!$H$5:$H$160,ROW()-5-$C$3+1,0,$C$3,1))))</f>
        <v/>
      </c>
      <c r="D65" s="8">
        <f>IF(61&lt;$C$3,0,SUMPRODUCT(--(ROW('04 变换后数据'!$D$5:$D$160)&lt;=ROW()),--ISNUMBER(OFFSET('04 变换后数据'!$D$5:$D$160,ROW()-5-$C$3+1,0,MIN($C$3,ROW()-4),1)),--ISNUMBER(OFFSET('04 变换后数据'!$H$5:$H$160,ROW()-5-$C$3+1,0,MIN($C$3,ROW()-4),1))))</f>
        <v/>
      </c>
      <c r="E65" s="31">
        <f>IF(61&lt;$E$3,"",IF(665=0,"",IF(665&lt;MAX(5,ROUND($E$3*0.8,0)),"样本不足",CORREL(OFFSET('04 变换后数据'!$D$5:$D$160,ROW()-5-$E$3+1,0,$E$3,1),OFFSET('04 变换后数据'!$H$5:$H$160,ROW()-5-$E$3+1,0,$E$3,1))))</f>
        <v/>
      </c>
      <c r="F65" s="8">
        <f>IF(61&lt;$E$3,0,SUMPRODUCT(--(ROW('04 变换后数据'!$D$5:$D$160)&lt;=ROW()),--ISNUMBER(OFFSET('04 变换后数据'!$D$5:$D$160,ROW()-5-$E$3+1,0,MIN($E$3,ROW()-4),1)),--ISNUMBER(OFFSET('04 变换后数据'!$H$5:$H$160,ROW()-5-$E$3+1,0,MIN($E$3,ROW()-4),1))))</f>
        <v/>
      </c>
      <c r="G65" s="31">
        <f>IF(61&lt;$G$3,"",IF(865=0,"",IF(865&lt;MAX(5,ROUND($G$3*0.8,0)),"样本不足",CORREL(OFFSET('04 变换后数据'!$D$5:$D$160,ROW()-5-$G$3+1,0,$G$3,1),OFFSET('04 变换后数据'!$H$5:$H$160,ROW()-5-$G$3+1,0,$G$3,1))))</f>
        <v/>
      </c>
      <c r="H65" s="8">
        <f>IF(61&lt;$G$3,0,SUMPRODUCT(--(ROW('04 变换后数据'!$D$5:$D$160)&lt;=ROW()),--ISNUMBER(OFFSET('04 变换后数据'!$D$5:$D$160,ROW()-5-$G$3+1,0,MIN($G$3,ROW()-4),1)),--ISNUMBER(OFFSET('04 变换后数据'!$H$5:$H$160,ROW()-5-$G$3+1,0,MIN($G$3,ROW()-4),1))))</f>
        <v/>
      </c>
      <c r="I65" s="8">
        <f>IF(ISNUMBER(E65),IF(ABS(E65)&gt;=0.7,"强",IF(ABS(E65)&gt;=0.4,"中","弱")),"-")</f>
        <v/>
      </c>
    </row>
    <row r="66">
      <c r="A66" s="8" t="n">
        <v>62</v>
      </c>
      <c r="B66" s="8">
        <f>'04 变换后数据'!B66</f>
        <v/>
      </c>
      <c r="C66" s="31">
        <f>IF(62&lt;$C$3,"",IF(466=0,"",IF(466&lt;MAX(5,ROUND($C$3*0.8,0)),"样本不足",CORREL(OFFSET('04 变换后数据'!$D$5:$D$160,ROW()-5-$C$3+1,0,$C$3,1),OFFSET('04 变换后数据'!$H$5:$H$160,ROW()-5-$C$3+1,0,$C$3,1))))</f>
        <v/>
      </c>
      <c r="D66" s="8">
        <f>IF(62&lt;$C$3,0,SUMPRODUCT(--(ROW('04 变换后数据'!$D$5:$D$160)&lt;=ROW()),--ISNUMBER(OFFSET('04 变换后数据'!$D$5:$D$160,ROW()-5-$C$3+1,0,MIN($C$3,ROW()-4),1)),--ISNUMBER(OFFSET('04 变换后数据'!$H$5:$H$160,ROW()-5-$C$3+1,0,MIN($C$3,ROW()-4),1))))</f>
        <v/>
      </c>
      <c r="E66" s="31">
        <f>IF(62&lt;$E$3,"",IF(666=0,"",IF(666&lt;MAX(5,ROUND($E$3*0.8,0)),"样本不足",CORREL(OFFSET('04 变换后数据'!$D$5:$D$160,ROW()-5-$E$3+1,0,$E$3,1),OFFSET('04 变换后数据'!$H$5:$H$160,ROW()-5-$E$3+1,0,$E$3,1))))</f>
        <v/>
      </c>
      <c r="F66" s="8">
        <f>IF(62&lt;$E$3,0,SUMPRODUCT(--(ROW('04 变换后数据'!$D$5:$D$160)&lt;=ROW()),--ISNUMBER(OFFSET('04 变换后数据'!$D$5:$D$160,ROW()-5-$E$3+1,0,MIN($E$3,ROW()-4),1)),--ISNUMBER(OFFSET('04 变换后数据'!$H$5:$H$160,ROW()-5-$E$3+1,0,MIN($E$3,ROW()-4),1))))</f>
        <v/>
      </c>
      <c r="G66" s="31">
        <f>IF(62&lt;$G$3,"",IF(866=0,"",IF(866&lt;MAX(5,ROUND($G$3*0.8,0)),"样本不足",CORREL(OFFSET('04 变换后数据'!$D$5:$D$160,ROW()-5-$G$3+1,0,$G$3,1),OFFSET('04 变换后数据'!$H$5:$H$160,ROW()-5-$G$3+1,0,$G$3,1))))</f>
        <v/>
      </c>
      <c r="H66" s="8">
        <f>IF(62&lt;$G$3,0,SUMPRODUCT(--(ROW('04 变换后数据'!$D$5:$D$160)&lt;=ROW()),--ISNUMBER(OFFSET('04 变换后数据'!$D$5:$D$160,ROW()-5-$G$3+1,0,MIN($G$3,ROW()-4),1)),--ISNUMBER(OFFSET('04 变换后数据'!$H$5:$H$160,ROW()-5-$G$3+1,0,MIN($G$3,ROW()-4),1))))</f>
        <v/>
      </c>
      <c r="I66" s="8">
        <f>IF(ISNUMBER(E66),IF(ABS(E66)&gt;=0.7,"强",IF(ABS(E66)&gt;=0.4,"中","弱")),"-")</f>
        <v/>
      </c>
    </row>
    <row r="67">
      <c r="A67" s="8" t="n">
        <v>63</v>
      </c>
      <c r="B67" s="8">
        <f>'04 变换后数据'!B67</f>
        <v/>
      </c>
      <c r="C67" s="31">
        <f>IF(63&lt;$C$3,"",IF(467=0,"",IF(467&lt;MAX(5,ROUND($C$3*0.8,0)),"样本不足",CORREL(OFFSET('04 变换后数据'!$D$5:$D$160,ROW()-5-$C$3+1,0,$C$3,1),OFFSET('04 变换后数据'!$H$5:$H$160,ROW()-5-$C$3+1,0,$C$3,1))))</f>
        <v/>
      </c>
      <c r="D67" s="8">
        <f>IF(63&lt;$C$3,0,SUMPRODUCT(--(ROW('04 变换后数据'!$D$5:$D$160)&lt;=ROW()),--ISNUMBER(OFFSET('04 变换后数据'!$D$5:$D$160,ROW()-5-$C$3+1,0,MIN($C$3,ROW()-4),1)),--ISNUMBER(OFFSET('04 变换后数据'!$H$5:$H$160,ROW()-5-$C$3+1,0,MIN($C$3,ROW()-4),1))))</f>
        <v/>
      </c>
      <c r="E67" s="31">
        <f>IF(63&lt;$E$3,"",IF(667=0,"",IF(667&lt;MAX(5,ROUND($E$3*0.8,0)),"样本不足",CORREL(OFFSET('04 变换后数据'!$D$5:$D$160,ROW()-5-$E$3+1,0,$E$3,1),OFFSET('04 变换后数据'!$H$5:$H$160,ROW()-5-$E$3+1,0,$E$3,1))))</f>
        <v/>
      </c>
      <c r="F67" s="8">
        <f>IF(63&lt;$E$3,0,SUMPRODUCT(--(ROW('04 变换后数据'!$D$5:$D$160)&lt;=ROW()),--ISNUMBER(OFFSET('04 变换后数据'!$D$5:$D$160,ROW()-5-$E$3+1,0,MIN($E$3,ROW()-4),1)),--ISNUMBER(OFFSET('04 变换后数据'!$H$5:$H$160,ROW()-5-$E$3+1,0,MIN($E$3,ROW()-4),1))))</f>
        <v/>
      </c>
      <c r="G67" s="31">
        <f>IF(63&lt;$G$3,"",IF(867=0,"",IF(867&lt;MAX(5,ROUND($G$3*0.8,0)),"样本不足",CORREL(OFFSET('04 变换后数据'!$D$5:$D$160,ROW()-5-$G$3+1,0,$G$3,1),OFFSET('04 变换后数据'!$H$5:$H$160,ROW()-5-$G$3+1,0,$G$3,1))))</f>
        <v/>
      </c>
      <c r="H67" s="8">
        <f>IF(63&lt;$G$3,0,SUMPRODUCT(--(ROW('04 变换后数据'!$D$5:$D$160)&lt;=ROW()),--ISNUMBER(OFFSET('04 变换后数据'!$D$5:$D$160,ROW()-5-$G$3+1,0,MIN($G$3,ROW()-4),1)),--ISNUMBER(OFFSET('04 变换后数据'!$H$5:$H$160,ROW()-5-$G$3+1,0,MIN($G$3,ROW()-4),1))))</f>
        <v/>
      </c>
      <c r="I67" s="8">
        <f>IF(ISNUMBER(E67),IF(ABS(E67)&gt;=0.7,"强",IF(ABS(E67)&gt;=0.4,"中","弱")),"-")</f>
        <v/>
      </c>
    </row>
    <row r="68">
      <c r="A68" s="8" t="n">
        <v>64</v>
      </c>
      <c r="B68" s="8">
        <f>'04 变换后数据'!B68</f>
        <v/>
      </c>
      <c r="C68" s="31">
        <f>IF(64&lt;$C$3,"",IF(468=0,"",IF(468&lt;MAX(5,ROUND($C$3*0.8,0)),"样本不足",CORREL(OFFSET('04 变换后数据'!$D$5:$D$160,ROW()-5-$C$3+1,0,$C$3,1),OFFSET('04 变换后数据'!$H$5:$H$160,ROW()-5-$C$3+1,0,$C$3,1))))</f>
        <v/>
      </c>
      <c r="D68" s="8">
        <f>IF(64&lt;$C$3,0,SUMPRODUCT(--(ROW('04 变换后数据'!$D$5:$D$160)&lt;=ROW()),--ISNUMBER(OFFSET('04 变换后数据'!$D$5:$D$160,ROW()-5-$C$3+1,0,MIN($C$3,ROW()-4),1)),--ISNUMBER(OFFSET('04 变换后数据'!$H$5:$H$160,ROW()-5-$C$3+1,0,MIN($C$3,ROW()-4),1))))</f>
        <v/>
      </c>
      <c r="E68" s="31">
        <f>IF(64&lt;$E$3,"",IF(668=0,"",IF(668&lt;MAX(5,ROUND($E$3*0.8,0)),"样本不足",CORREL(OFFSET('04 变换后数据'!$D$5:$D$160,ROW()-5-$E$3+1,0,$E$3,1),OFFSET('04 变换后数据'!$H$5:$H$160,ROW()-5-$E$3+1,0,$E$3,1))))</f>
        <v/>
      </c>
      <c r="F68" s="8">
        <f>IF(64&lt;$E$3,0,SUMPRODUCT(--(ROW('04 变换后数据'!$D$5:$D$160)&lt;=ROW()),--ISNUMBER(OFFSET('04 变换后数据'!$D$5:$D$160,ROW()-5-$E$3+1,0,MIN($E$3,ROW()-4),1)),--ISNUMBER(OFFSET('04 变换后数据'!$H$5:$H$160,ROW()-5-$E$3+1,0,MIN($E$3,ROW()-4),1))))</f>
        <v/>
      </c>
      <c r="G68" s="31">
        <f>IF(64&lt;$G$3,"",IF(868=0,"",IF(868&lt;MAX(5,ROUND($G$3*0.8,0)),"样本不足",CORREL(OFFSET('04 变换后数据'!$D$5:$D$160,ROW()-5-$G$3+1,0,$G$3,1),OFFSET('04 变换后数据'!$H$5:$H$160,ROW()-5-$G$3+1,0,$G$3,1))))</f>
        <v/>
      </c>
      <c r="H68" s="8">
        <f>IF(64&lt;$G$3,0,SUMPRODUCT(--(ROW('04 变换后数据'!$D$5:$D$160)&lt;=ROW()),--ISNUMBER(OFFSET('04 变换后数据'!$D$5:$D$160,ROW()-5-$G$3+1,0,MIN($G$3,ROW()-4),1)),--ISNUMBER(OFFSET('04 变换后数据'!$H$5:$H$160,ROW()-5-$G$3+1,0,MIN($G$3,ROW()-4),1))))</f>
        <v/>
      </c>
      <c r="I68" s="8">
        <f>IF(ISNUMBER(E68),IF(ABS(E68)&gt;=0.7,"强",IF(ABS(E68)&gt;=0.4,"中","弱")),"-")</f>
        <v/>
      </c>
    </row>
    <row r="69">
      <c r="A69" s="8" t="n">
        <v>65</v>
      </c>
      <c r="B69" s="8">
        <f>'04 变换后数据'!B69</f>
        <v/>
      </c>
      <c r="C69" s="31">
        <f>IF(65&lt;$C$3,"",IF(469=0,"",IF(469&lt;MAX(5,ROUND($C$3*0.8,0)),"样本不足",CORREL(OFFSET('04 变换后数据'!$D$5:$D$160,ROW()-5-$C$3+1,0,$C$3,1),OFFSET('04 变换后数据'!$H$5:$H$160,ROW()-5-$C$3+1,0,$C$3,1))))</f>
        <v/>
      </c>
      <c r="D69" s="8">
        <f>IF(65&lt;$C$3,0,SUMPRODUCT(--(ROW('04 变换后数据'!$D$5:$D$160)&lt;=ROW()),--ISNUMBER(OFFSET('04 变换后数据'!$D$5:$D$160,ROW()-5-$C$3+1,0,MIN($C$3,ROW()-4),1)),--ISNUMBER(OFFSET('04 变换后数据'!$H$5:$H$160,ROW()-5-$C$3+1,0,MIN($C$3,ROW()-4),1))))</f>
        <v/>
      </c>
      <c r="E69" s="31">
        <f>IF(65&lt;$E$3,"",IF(669=0,"",IF(669&lt;MAX(5,ROUND($E$3*0.8,0)),"样本不足",CORREL(OFFSET('04 变换后数据'!$D$5:$D$160,ROW()-5-$E$3+1,0,$E$3,1),OFFSET('04 变换后数据'!$H$5:$H$160,ROW()-5-$E$3+1,0,$E$3,1))))</f>
        <v/>
      </c>
      <c r="F69" s="8">
        <f>IF(65&lt;$E$3,0,SUMPRODUCT(--(ROW('04 变换后数据'!$D$5:$D$160)&lt;=ROW()),--ISNUMBER(OFFSET('04 变换后数据'!$D$5:$D$160,ROW()-5-$E$3+1,0,MIN($E$3,ROW()-4),1)),--ISNUMBER(OFFSET('04 变换后数据'!$H$5:$H$160,ROW()-5-$E$3+1,0,MIN($E$3,ROW()-4),1))))</f>
        <v/>
      </c>
      <c r="G69" s="31">
        <f>IF(65&lt;$G$3,"",IF(869=0,"",IF(869&lt;MAX(5,ROUND($G$3*0.8,0)),"样本不足",CORREL(OFFSET('04 变换后数据'!$D$5:$D$160,ROW()-5-$G$3+1,0,$G$3,1),OFFSET('04 变换后数据'!$H$5:$H$160,ROW()-5-$G$3+1,0,$G$3,1))))</f>
        <v/>
      </c>
      <c r="H69" s="8">
        <f>IF(65&lt;$G$3,0,SUMPRODUCT(--(ROW('04 变换后数据'!$D$5:$D$160)&lt;=ROW()),--ISNUMBER(OFFSET('04 变换后数据'!$D$5:$D$160,ROW()-5-$G$3+1,0,MIN($G$3,ROW()-4),1)),--ISNUMBER(OFFSET('04 变换后数据'!$H$5:$H$160,ROW()-5-$G$3+1,0,MIN($G$3,ROW()-4),1))))</f>
        <v/>
      </c>
      <c r="I69" s="8">
        <f>IF(ISNUMBER(E69),IF(ABS(E69)&gt;=0.7,"强",IF(ABS(E69)&gt;=0.4,"中","弱")),"-")</f>
        <v/>
      </c>
    </row>
    <row r="70">
      <c r="A70" s="8" t="n">
        <v>66</v>
      </c>
      <c r="B70" s="8">
        <f>'04 变换后数据'!B70</f>
        <v/>
      </c>
      <c r="C70" s="31">
        <f>IF(66&lt;$C$3,"",IF(470=0,"",IF(470&lt;MAX(5,ROUND($C$3*0.8,0)),"样本不足",CORREL(OFFSET('04 变换后数据'!$D$5:$D$160,ROW()-5-$C$3+1,0,$C$3,1),OFFSET('04 变换后数据'!$H$5:$H$160,ROW()-5-$C$3+1,0,$C$3,1))))</f>
        <v/>
      </c>
      <c r="D70" s="8">
        <f>IF(66&lt;$C$3,0,SUMPRODUCT(--(ROW('04 变换后数据'!$D$5:$D$160)&lt;=ROW()),--ISNUMBER(OFFSET('04 变换后数据'!$D$5:$D$160,ROW()-5-$C$3+1,0,MIN($C$3,ROW()-4),1)),--ISNUMBER(OFFSET('04 变换后数据'!$H$5:$H$160,ROW()-5-$C$3+1,0,MIN($C$3,ROW()-4),1))))</f>
        <v/>
      </c>
      <c r="E70" s="31">
        <f>IF(66&lt;$E$3,"",IF(670=0,"",IF(670&lt;MAX(5,ROUND($E$3*0.8,0)),"样本不足",CORREL(OFFSET('04 变换后数据'!$D$5:$D$160,ROW()-5-$E$3+1,0,$E$3,1),OFFSET('04 变换后数据'!$H$5:$H$160,ROW()-5-$E$3+1,0,$E$3,1))))</f>
        <v/>
      </c>
      <c r="F70" s="8">
        <f>IF(66&lt;$E$3,0,SUMPRODUCT(--(ROW('04 变换后数据'!$D$5:$D$160)&lt;=ROW()),--ISNUMBER(OFFSET('04 变换后数据'!$D$5:$D$160,ROW()-5-$E$3+1,0,MIN($E$3,ROW()-4),1)),--ISNUMBER(OFFSET('04 变换后数据'!$H$5:$H$160,ROW()-5-$E$3+1,0,MIN($E$3,ROW()-4),1))))</f>
        <v/>
      </c>
      <c r="G70" s="31">
        <f>IF(66&lt;$G$3,"",IF(870=0,"",IF(870&lt;MAX(5,ROUND($G$3*0.8,0)),"样本不足",CORREL(OFFSET('04 变换后数据'!$D$5:$D$160,ROW()-5-$G$3+1,0,$G$3,1),OFFSET('04 变换后数据'!$H$5:$H$160,ROW()-5-$G$3+1,0,$G$3,1))))</f>
        <v/>
      </c>
      <c r="H70" s="8">
        <f>IF(66&lt;$G$3,0,SUMPRODUCT(--(ROW('04 变换后数据'!$D$5:$D$160)&lt;=ROW()),--ISNUMBER(OFFSET('04 变换后数据'!$D$5:$D$160,ROW()-5-$G$3+1,0,MIN($G$3,ROW()-4),1)),--ISNUMBER(OFFSET('04 变换后数据'!$H$5:$H$160,ROW()-5-$G$3+1,0,MIN($G$3,ROW()-4),1))))</f>
        <v/>
      </c>
      <c r="I70" s="8">
        <f>IF(ISNUMBER(E70),IF(ABS(E70)&gt;=0.7,"强",IF(ABS(E70)&gt;=0.4,"中","弱")),"-")</f>
        <v/>
      </c>
    </row>
    <row r="71">
      <c r="A71" s="8" t="n">
        <v>67</v>
      </c>
      <c r="B71" s="8">
        <f>'04 变换后数据'!B71</f>
        <v/>
      </c>
      <c r="C71" s="31">
        <f>IF(67&lt;$C$3,"",IF(471=0,"",IF(471&lt;MAX(5,ROUND($C$3*0.8,0)),"样本不足",CORREL(OFFSET('04 变换后数据'!$D$5:$D$160,ROW()-5-$C$3+1,0,$C$3,1),OFFSET('04 变换后数据'!$H$5:$H$160,ROW()-5-$C$3+1,0,$C$3,1))))</f>
        <v/>
      </c>
      <c r="D71" s="8">
        <f>IF(67&lt;$C$3,0,SUMPRODUCT(--(ROW('04 变换后数据'!$D$5:$D$160)&lt;=ROW()),--ISNUMBER(OFFSET('04 变换后数据'!$D$5:$D$160,ROW()-5-$C$3+1,0,MIN($C$3,ROW()-4),1)),--ISNUMBER(OFFSET('04 变换后数据'!$H$5:$H$160,ROW()-5-$C$3+1,0,MIN($C$3,ROW()-4),1))))</f>
        <v/>
      </c>
      <c r="E71" s="31">
        <f>IF(67&lt;$E$3,"",IF(671=0,"",IF(671&lt;MAX(5,ROUND($E$3*0.8,0)),"样本不足",CORREL(OFFSET('04 变换后数据'!$D$5:$D$160,ROW()-5-$E$3+1,0,$E$3,1),OFFSET('04 变换后数据'!$H$5:$H$160,ROW()-5-$E$3+1,0,$E$3,1))))</f>
        <v/>
      </c>
      <c r="F71" s="8">
        <f>IF(67&lt;$E$3,0,SUMPRODUCT(--(ROW('04 变换后数据'!$D$5:$D$160)&lt;=ROW()),--ISNUMBER(OFFSET('04 变换后数据'!$D$5:$D$160,ROW()-5-$E$3+1,0,MIN($E$3,ROW()-4),1)),--ISNUMBER(OFFSET('04 变换后数据'!$H$5:$H$160,ROW()-5-$E$3+1,0,MIN($E$3,ROW()-4),1))))</f>
        <v/>
      </c>
      <c r="G71" s="31">
        <f>IF(67&lt;$G$3,"",IF(871=0,"",IF(871&lt;MAX(5,ROUND($G$3*0.8,0)),"样本不足",CORREL(OFFSET('04 变换后数据'!$D$5:$D$160,ROW()-5-$G$3+1,0,$G$3,1),OFFSET('04 变换后数据'!$H$5:$H$160,ROW()-5-$G$3+1,0,$G$3,1))))</f>
        <v/>
      </c>
      <c r="H71" s="8">
        <f>IF(67&lt;$G$3,0,SUMPRODUCT(--(ROW('04 变换后数据'!$D$5:$D$160)&lt;=ROW()),--ISNUMBER(OFFSET('04 变换后数据'!$D$5:$D$160,ROW()-5-$G$3+1,0,MIN($G$3,ROW()-4),1)),--ISNUMBER(OFFSET('04 变换后数据'!$H$5:$H$160,ROW()-5-$G$3+1,0,MIN($G$3,ROW()-4),1))))</f>
        <v/>
      </c>
      <c r="I71" s="8">
        <f>IF(ISNUMBER(E71),IF(ABS(E71)&gt;=0.7,"强",IF(ABS(E71)&gt;=0.4,"中","弱")),"-")</f>
        <v/>
      </c>
    </row>
    <row r="72">
      <c r="A72" s="8" t="n">
        <v>68</v>
      </c>
      <c r="B72" s="8">
        <f>'04 变换后数据'!B72</f>
        <v/>
      </c>
      <c r="C72" s="31">
        <f>IF(68&lt;$C$3,"",IF(472=0,"",IF(472&lt;MAX(5,ROUND($C$3*0.8,0)),"样本不足",CORREL(OFFSET('04 变换后数据'!$D$5:$D$160,ROW()-5-$C$3+1,0,$C$3,1),OFFSET('04 变换后数据'!$H$5:$H$160,ROW()-5-$C$3+1,0,$C$3,1))))</f>
        <v/>
      </c>
      <c r="D72" s="8">
        <f>IF(68&lt;$C$3,0,SUMPRODUCT(--(ROW('04 变换后数据'!$D$5:$D$160)&lt;=ROW()),--ISNUMBER(OFFSET('04 变换后数据'!$D$5:$D$160,ROW()-5-$C$3+1,0,MIN($C$3,ROW()-4),1)),--ISNUMBER(OFFSET('04 变换后数据'!$H$5:$H$160,ROW()-5-$C$3+1,0,MIN($C$3,ROW()-4),1))))</f>
        <v/>
      </c>
      <c r="E72" s="31">
        <f>IF(68&lt;$E$3,"",IF(672=0,"",IF(672&lt;MAX(5,ROUND($E$3*0.8,0)),"样本不足",CORREL(OFFSET('04 变换后数据'!$D$5:$D$160,ROW()-5-$E$3+1,0,$E$3,1),OFFSET('04 变换后数据'!$H$5:$H$160,ROW()-5-$E$3+1,0,$E$3,1))))</f>
        <v/>
      </c>
      <c r="F72" s="8">
        <f>IF(68&lt;$E$3,0,SUMPRODUCT(--(ROW('04 变换后数据'!$D$5:$D$160)&lt;=ROW()),--ISNUMBER(OFFSET('04 变换后数据'!$D$5:$D$160,ROW()-5-$E$3+1,0,MIN($E$3,ROW()-4),1)),--ISNUMBER(OFFSET('04 变换后数据'!$H$5:$H$160,ROW()-5-$E$3+1,0,MIN($E$3,ROW()-4),1))))</f>
        <v/>
      </c>
      <c r="G72" s="31">
        <f>IF(68&lt;$G$3,"",IF(872=0,"",IF(872&lt;MAX(5,ROUND($G$3*0.8,0)),"样本不足",CORREL(OFFSET('04 变换后数据'!$D$5:$D$160,ROW()-5-$G$3+1,0,$G$3,1),OFFSET('04 变换后数据'!$H$5:$H$160,ROW()-5-$G$3+1,0,$G$3,1))))</f>
        <v/>
      </c>
      <c r="H72" s="8">
        <f>IF(68&lt;$G$3,0,SUMPRODUCT(--(ROW('04 变换后数据'!$D$5:$D$160)&lt;=ROW()),--ISNUMBER(OFFSET('04 变换后数据'!$D$5:$D$160,ROW()-5-$G$3+1,0,MIN($G$3,ROW()-4),1)),--ISNUMBER(OFFSET('04 变换后数据'!$H$5:$H$160,ROW()-5-$G$3+1,0,MIN($G$3,ROW()-4),1))))</f>
        <v/>
      </c>
      <c r="I72" s="8">
        <f>IF(ISNUMBER(E72),IF(ABS(E72)&gt;=0.7,"强",IF(ABS(E72)&gt;=0.4,"中","弱")),"-")</f>
        <v/>
      </c>
    </row>
    <row r="73">
      <c r="A73" s="8" t="n">
        <v>69</v>
      </c>
      <c r="B73" s="8">
        <f>'04 变换后数据'!B73</f>
        <v/>
      </c>
      <c r="C73" s="31">
        <f>IF(69&lt;$C$3,"",IF(473=0,"",IF(473&lt;MAX(5,ROUND($C$3*0.8,0)),"样本不足",CORREL(OFFSET('04 变换后数据'!$D$5:$D$160,ROW()-5-$C$3+1,0,$C$3,1),OFFSET('04 变换后数据'!$H$5:$H$160,ROW()-5-$C$3+1,0,$C$3,1))))</f>
        <v/>
      </c>
      <c r="D73" s="8">
        <f>IF(69&lt;$C$3,0,SUMPRODUCT(--(ROW('04 变换后数据'!$D$5:$D$160)&lt;=ROW()),--ISNUMBER(OFFSET('04 变换后数据'!$D$5:$D$160,ROW()-5-$C$3+1,0,MIN($C$3,ROW()-4),1)),--ISNUMBER(OFFSET('04 变换后数据'!$H$5:$H$160,ROW()-5-$C$3+1,0,MIN($C$3,ROW()-4),1))))</f>
        <v/>
      </c>
      <c r="E73" s="31">
        <f>IF(69&lt;$E$3,"",IF(673=0,"",IF(673&lt;MAX(5,ROUND($E$3*0.8,0)),"样本不足",CORREL(OFFSET('04 变换后数据'!$D$5:$D$160,ROW()-5-$E$3+1,0,$E$3,1),OFFSET('04 变换后数据'!$H$5:$H$160,ROW()-5-$E$3+1,0,$E$3,1))))</f>
        <v/>
      </c>
      <c r="F73" s="8">
        <f>IF(69&lt;$E$3,0,SUMPRODUCT(--(ROW('04 变换后数据'!$D$5:$D$160)&lt;=ROW()),--ISNUMBER(OFFSET('04 变换后数据'!$D$5:$D$160,ROW()-5-$E$3+1,0,MIN($E$3,ROW()-4),1)),--ISNUMBER(OFFSET('04 变换后数据'!$H$5:$H$160,ROW()-5-$E$3+1,0,MIN($E$3,ROW()-4),1))))</f>
        <v/>
      </c>
      <c r="G73" s="31">
        <f>IF(69&lt;$G$3,"",IF(873=0,"",IF(873&lt;MAX(5,ROUND($G$3*0.8,0)),"样本不足",CORREL(OFFSET('04 变换后数据'!$D$5:$D$160,ROW()-5-$G$3+1,0,$G$3,1),OFFSET('04 变换后数据'!$H$5:$H$160,ROW()-5-$G$3+1,0,$G$3,1))))</f>
        <v/>
      </c>
      <c r="H73" s="8">
        <f>IF(69&lt;$G$3,0,SUMPRODUCT(--(ROW('04 变换后数据'!$D$5:$D$160)&lt;=ROW()),--ISNUMBER(OFFSET('04 变换后数据'!$D$5:$D$160,ROW()-5-$G$3+1,0,MIN($G$3,ROW()-4),1)),--ISNUMBER(OFFSET('04 变换后数据'!$H$5:$H$160,ROW()-5-$G$3+1,0,MIN($G$3,ROW()-4),1))))</f>
        <v/>
      </c>
      <c r="I73" s="8">
        <f>IF(ISNUMBER(E73),IF(ABS(E73)&gt;=0.7,"强",IF(ABS(E73)&gt;=0.4,"中","弱")),"-")</f>
        <v/>
      </c>
    </row>
    <row r="74">
      <c r="A74" s="8" t="n">
        <v>70</v>
      </c>
      <c r="B74" s="8">
        <f>'04 变换后数据'!B74</f>
        <v/>
      </c>
      <c r="C74" s="31">
        <f>IF(70&lt;$C$3,"",IF(474=0,"",IF(474&lt;MAX(5,ROUND($C$3*0.8,0)),"样本不足",CORREL(OFFSET('04 变换后数据'!$D$5:$D$160,ROW()-5-$C$3+1,0,$C$3,1),OFFSET('04 变换后数据'!$H$5:$H$160,ROW()-5-$C$3+1,0,$C$3,1))))</f>
        <v/>
      </c>
      <c r="D74" s="8">
        <f>IF(70&lt;$C$3,0,SUMPRODUCT(--(ROW('04 变换后数据'!$D$5:$D$160)&lt;=ROW()),--ISNUMBER(OFFSET('04 变换后数据'!$D$5:$D$160,ROW()-5-$C$3+1,0,MIN($C$3,ROW()-4),1)),--ISNUMBER(OFFSET('04 变换后数据'!$H$5:$H$160,ROW()-5-$C$3+1,0,MIN($C$3,ROW()-4),1))))</f>
        <v/>
      </c>
      <c r="E74" s="31">
        <f>IF(70&lt;$E$3,"",IF(674=0,"",IF(674&lt;MAX(5,ROUND($E$3*0.8,0)),"样本不足",CORREL(OFFSET('04 变换后数据'!$D$5:$D$160,ROW()-5-$E$3+1,0,$E$3,1),OFFSET('04 变换后数据'!$H$5:$H$160,ROW()-5-$E$3+1,0,$E$3,1))))</f>
        <v/>
      </c>
      <c r="F74" s="8">
        <f>IF(70&lt;$E$3,0,SUMPRODUCT(--(ROW('04 变换后数据'!$D$5:$D$160)&lt;=ROW()),--ISNUMBER(OFFSET('04 变换后数据'!$D$5:$D$160,ROW()-5-$E$3+1,0,MIN($E$3,ROW()-4),1)),--ISNUMBER(OFFSET('04 变换后数据'!$H$5:$H$160,ROW()-5-$E$3+1,0,MIN($E$3,ROW()-4),1))))</f>
        <v/>
      </c>
      <c r="G74" s="31">
        <f>IF(70&lt;$G$3,"",IF(874=0,"",IF(874&lt;MAX(5,ROUND($G$3*0.8,0)),"样本不足",CORREL(OFFSET('04 变换后数据'!$D$5:$D$160,ROW()-5-$G$3+1,0,$G$3,1),OFFSET('04 变换后数据'!$H$5:$H$160,ROW()-5-$G$3+1,0,$G$3,1))))</f>
        <v/>
      </c>
      <c r="H74" s="8">
        <f>IF(70&lt;$G$3,0,SUMPRODUCT(--(ROW('04 变换后数据'!$D$5:$D$160)&lt;=ROW()),--ISNUMBER(OFFSET('04 变换后数据'!$D$5:$D$160,ROW()-5-$G$3+1,0,MIN($G$3,ROW()-4),1)),--ISNUMBER(OFFSET('04 变换后数据'!$H$5:$H$160,ROW()-5-$G$3+1,0,MIN($G$3,ROW()-4),1))))</f>
        <v/>
      </c>
      <c r="I74" s="8">
        <f>IF(ISNUMBER(E74),IF(ABS(E74)&gt;=0.7,"强",IF(ABS(E74)&gt;=0.4,"中","弱")),"-")</f>
        <v/>
      </c>
    </row>
    <row r="75">
      <c r="A75" s="8" t="n">
        <v>71</v>
      </c>
      <c r="B75" s="8">
        <f>'04 变换后数据'!B75</f>
        <v/>
      </c>
      <c r="C75" s="31">
        <f>IF(71&lt;$C$3,"",IF(475=0,"",IF(475&lt;MAX(5,ROUND($C$3*0.8,0)),"样本不足",CORREL(OFFSET('04 变换后数据'!$D$5:$D$160,ROW()-5-$C$3+1,0,$C$3,1),OFFSET('04 变换后数据'!$H$5:$H$160,ROW()-5-$C$3+1,0,$C$3,1))))</f>
        <v/>
      </c>
      <c r="D75" s="8">
        <f>IF(71&lt;$C$3,0,SUMPRODUCT(--(ROW('04 变换后数据'!$D$5:$D$160)&lt;=ROW()),--ISNUMBER(OFFSET('04 变换后数据'!$D$5:$D$160,ROW()-5-$C$3+1,0,MIN($C$3,ROW()-4),1)),--ISNUMBER(OFFSET('04 变换后数据'!$H$5:$H$160,ROW()-5-$C$3+1,0,MIN($C$3,ROW()-4),1))))</f>
        <v/>
      </c>
      <c r="E75" s="31">
        <f>IF(71&lt;$E$3,"",IF(675=0,"",IF(675&lt;MAX(5,ROUND($E$3*0.8,0)),"样本不足",CORREL(OFFSET('04 变换后数据'!$D$5:$D$160,ROW()-5-$E$3+1,0,$E$3,1),OFFSET('04 变换后数据'!$H$5:$H$160,ROW()-5-$E$3+1,0,$E$3,1))))</f>
        <v/>
      </c>
      <c r="F75" s="8">
        <f>IF(71&lt;$E$3,0,SUMPRODUCT(--(ROW('04 变换后数据'!$D$5:$D$160)&lt;=ROW()),--ISNUMBER(OFFSET('04 变换后数据'!$D$5:$D$160,ROW()-5-$E$3+1,0,MIN($E$3,ROW()-4),1)),--ISNUMBER(OFFSET('04 变换后数据'!$H$5:$H$160,ROW()-5-$E$3+1,0,MIN($E$3,ROW()-4),1))))</f>
        <v/>
      </c>
      <c r="G75" s="31">
        <f>IF(71&lt;$G$3,"",IF(875=0,"",IF(875&lt;MAX(5,ROUND($G$3*0.8,0)),"样本不足",CORREL(OFFSET('04 变换后数据'!$D$5:$D$160,ROW()-5-$G$3+1,0,$G$3,1),OFFSET('04 变换后数据'!$H$5:$H$160,ROW()-5-$G$3+1,0,$G$3,1))))</f>
        <v/>
      </c>
      <c r="H75" s="8">
        <f>IF(71&lt;$G$3,0,SUMPRODUCT(--(ROW('04 变换后数据'!$D$5:$D$160)&lt;=ROW()),--ISNUMBER(OFFSET('04 变换后数据'!$D$5:$D$160,ROW()-5-$G$3+1,0,MIN($G$3,ROW()-4),1)),--ISNUMBER(OFFSET('04 变换后数据'!$H$5:$H$160,ROW()-5-$G$3+1,0,MIN($G$3,ROW()-4),1))))</f>
        <v/>
      </c>
      <c r="I75" s="8">
        <f>IF(ISNUMBER(E75),IF(ABS(E75)&gt;=0.7,"强",IF(ABS(E75)&gt;=0.4,"中","弱")),"-")</f>
        <v/>
      </c>
    </row>
    <row r="76">
      <c r="A76" s="8" t="n">
        <v>72</v>
      </c>
      <c r="B76" s="8">
        <f>'04 变换后数据'!B76</f>
        <v/>
      </c>
      <c r="C76" s="31">
        <f>IF(72&lt;$C$3,"",IF(476=0,"",IF(476&lt;MAX(5,ROUND($C$3*0.8,0)),"样本不足",CORREL(OFFSET('04 变换后数据'!$D$5:$D$160,ROW()-5-$C$3+1,0,$C$3,1),OFFSET('04 变换后数据'!$H$5:$H$160,ROW()-5-$C$3+1,0,$C$3,1))))</f>
        <v/>
      </c>
      <c r="D76" s="8">
        <f>IF(72&lt;$C$3,0,SUMPRODUCT(--(ROW('04 变换后数据'!$D$5:$D$160)&lt;=ROW()),--ISNUMBER(OFFSET('04 变换后数据'!$D$5:$D$160,ROW()-5-$C$3+1,0,MIN($C$3,ROW()-4),1)),--ISNUMBER(OFFSET('04 变换后数据'!$H$5:$H$160,ROW()-5-$C$3+1,0,MIN($C$3,ROW()-4),1))))</f>
        <v/>
      </c>
      <c r="E76" s="31">
        <f>IF(72&lt;$E$3,"",IF(676=0,"",IF(676&lt;MAX(5,ROUND($E$3*0.8,0)),"样本不足",CORREL(OFFSET('04 变换后数据'!$D$5:$D$160,ROW()-5-$E$3+1,0,$E$3,1),OFFSET('04 变换后数据'!$H$5:$H$160,ROW()-5-$E$3+1,0,$E$3,1))))</f>
        <v/>
      </c>
      <c r="F76" s="8">
        <f>IF(72&lt;$E$3,0,SUMPRODUCT(--(ROW('04 变换后数据'!$D$5:$D$160)&lt;=ROW()),--ISNUMBER(OFFSET('04 变换后数据'!$D$5:$D$160,ROW()-5-$E$3+1,0,MIN($E$3,ROW()-4),1)),--ISNUMBER(OFFSET('04 变换后数据'!$H$5:$H$160,ROW()-5-$E$3+1,0,MIN($E$3,ROW()-4),1))))</f>
        <v/>
      </c>
      <c r="G76" s="31">
        <f>IF(72&lt;$G$3,"",IF(876=0,"",IF(876&lt;MAX(5,ROUND($G$3*0.8,0)),"样本不足",CORREL(OFFSET('04 变换后数据'!$D$5:$D$160,ROW()-5-$G$3+1,0,$G$3,1),OFFSET('04 变换后数据'!$H$5:$H$160,ROW()-5-$G$3+1,0,$G$3,1))))</f>
        <v/>
      </c>
      <c r="H76" s="8">
        <f>IF(72&lt;$G$3,0,SUMPRODUCT(--(ROW('04 变换后数据'!$D$5:$D$160)&lt;=ROW()),--ISNUMBER(OFFSET('04 变换后数据'!$D$5:$D$160,ROW()-5-$G$3+1,0,MIN($G$3,ROW()-4),1)),--ISNUMBER(OFFSET('04 变换后数据'!$H$5:$H$160,ROW()-5-$G$3+1,0,MIN($G$3,ROW()-4),1))))</f>
        <v/>
      </c>
      <c r="I76" s="8">
        <f>IF(ISNUMBER(E76),IF(ABS(E76)&gt;=0.7,"强",IF(ABS(E76)&gt;=0.4,"中","弱")),"-")</f>
        <v/>
      </c>
    </row>
    <row r="77">
      <c r="A77" s="8" t="n">
        <v>73</v>
      </c>
      <c r="B77" s="8">
        <f>'04 变换后数据'!B77</f>
        <v/>
      </c>
      <c r="C77" s="31">
        <f>IF(73&lt;$C$3,"",IF(477=0,"",IF(477&lt;MAX(5,ROUND($C$3*0.8,0)),"样本不足",CORREL(OFFSET('04 变换后数据'!$D$5:$D$160,ROW()-5-$C$3+1,0,$C$3,1),OFFSET('04 变换后数据'!$H$5:$H$160,ROW()-5-$C$3+1,0,$C$3,1))))</f>
        <v/>
      </c>
      <c r="D77" s="8">
        <f>IF(73&lt;$C$3,0,SUMPRODUCT(--(ROW('04 变换后数据'!$D$5:$D$160)&lt;=ROW()),--ISNUMBER(OFFSET('04 变换后数据'!$D$5:$D$160,ROW()-5-$C$3+1,0,MIN($C$3,ROW()-4),1)),--ISNUMBER(OFFSET('04 变换后数据'!$H$5:$H$160,ROW()-5-$C$3+1,0,MIN($C$3,ROW()-4),1))))</f>
        <v/>
      </c>
      <c r="E77" s="31">
        <f>IF(73&lt;$E$3,"",IF(677=0,"",IF(677&lt;MAX(5,ROUND($E$3*0.8,0)),"样本不足",CORREL(OFFSET('04 变换后数据'!$D$5:$D$160,ROW()-5-$E$3+1,0,$E$3,1),OFFSET('04 变换后数据'!$H$5:$H$160,ROW()-5-$E$3+1,0,$E$3,1))))</f>
        <v/>
      </c>
      <c r="F77" s="8">
        <f>IF(73&lt;$E$3,0,SUMPRODUCT(--(ROW('04 变换后数据'!$D$5:$D$160)&lt;=ROW()),--ISNUMBER(OFFSET('04 变换后数据'!$D$5:$D$160,ROW()-5-$E$3+1,0,MIN($E$3,ROW()-4),1)),--ISNUMBER(OFFSET('04 变换后数据'!$H$5:$H$160,ROW()-5-$E$3+1,0,MIN($E$3,ROW()-4),1))))</f>
        <v/>
      </c>
      <c r="G77" s="31">
        <f>IF(73&lt;$G$3,"",IF(877=0,"",IF(877&lt;MAX(5,ROUND($G$3*0.8,0)),"样本不足",CORREL(OFFSET('04 变换后数据'!$D$5:$D$160,ROW()-5-$G$3+1,0,$G$3,1),OFFSET('04 变换后数据'!$H$5:$H$160,ROW()-5-$G$3+1,0,$G$3,1))))</f>
        <v/>
      </c>
      <c r="H77" s="8">
        <f>IF(73&lt;$G$3,0,SUMPRODUCT(--(ROW('04 变换后数据'!$D$5:$D$160)&lt;=ROW()),--ISNUMBER(OFFSET('04 变换后数据'!$D$5:$D$160,ROW()-5-$G$3+1,0,MIN($G$3,ROW()-4),1)),--ISNUMBER(OFFSET('04 变换后数据'!$H$5:$H$160,ROW()-5-$G$3+1,0,MIN($G$3,ROW()-4),1))))</f>
        <v/>
      </c>
      <c r="I77" s="8">
        <f>IF(ISNUMBER(E77),IF(ABS(E77)&gt;=0.7,"强",IF(ABS(E77)&gt;=0.4,"中","弱")),"-")</f>
        <v/>
      </c>
    </row>
    <row r="78">
      <c r="A78" s="8" t="n">
        <v>74</v>
      </c>
      <c r="B78" s="8">
        <f>'04 变换后数据'!B78</f>
        <v/>
      </c>
      <c r="C78" s="31">
        <f>IF(74&lt;$C$3,"",IF(478=0,"",IF(478&lt;MAX(5,ROUND($C$3*0.8,0)),"样本不足",CORREL(OFFSET('04 变换后数据'!$D$5:$D$160,ROW()-5-$C$3+1,0,$C$3,1),OFFSET('04 变换后数据'!$H$5:$H$160,ROW()-5-$C$3+1,0,$C$3,1))))</f>
        <v/>
      </c>
      <c r="D78" s="8">
        <f>IF(74&lt;$C$3,0,SUMPRODUCT(--(ROW('04 变换后数据'!$D$5:$D$160)&lt;=ROW()),--ISNUMBER(OFFSET('04 变换后数据'!$D$5:$D$160,ROW()-5-$C$3+1,0,MIN($C$3,ROW()-4),1)),--ISNUMBER(OFFSET('04 变换后数据'!$H$5:$H$160,ROW()-5-$C$3+1,0,MIN($C$3,ROW()-4),1))))</f>
        <v/>
      </c>
      <c r="E78" s="31">
        <f>IF(74&lt;$E$3,"",IF(678=0,"",IF(678&lt;MAX(5,ROUND($E$3*0.8,0)),"样本不足",CORREL(OFFSET('04 变换后数据'!$D$5:$D$160,ROW()-5-$E$3+1,0,$E$3,1),OFFSET('04 变换后数据'!$H$5:$H$160,ROW()-5-$E$3+1,0,$E$3,1))))</f>
        <v/>
      </c>
      <c r="F78" s="8">
        <f>IF(74&lt;$E$3,0,SUMPRODUCT(--(ROW('04 变换后数据'!$D$5:$D$160)&lt;=ROW()),--ISNUMBER(OFFSET('04 变换后数据'!$D$5:$D$160,ROW()-5-$E$3+1,0,MIN($E$3,ROW()-4),1)),--ISNUMBER(OFFSET('04 变换后数据'!$H$5:$H$160,ROW()-5-$E$3+1,0,MIN($E$3,ROW()-4),1))))</f>
        <v/>
      </c>
      <c r="G78" s="31">
        <f>IF(74&lt;$G$3,"",IF(878=0,"",IF(878&lt;MAX(5,ROUND($G$3*0.8,0)),"样本不足",CORREL(OFFSET('04 变换后数据'!$D$5:$D$160,ROW()-5-$G$3+1,0,$G$3,1),OFFSET('04 变换后数据'!$H$5:$H$160,ROW()-5-$G$3+1,0,$G$3,1))))</f>
        <v/>
      </c>
      <c r="H78" s="8">
        <f>IF(74&lt;$G$3,0,SUMPRODUCT(--(ROW('04 变换后数据'!$D$5:$D$160)&lt;=ROW()),--ISNUMBER(OFFSET('04 变换后数据'!$D$5:$D$160,ROW()-5-$G$3+1,0,MIN($G$3,ROW()-4),1)),--ISNUMBER(OFFSET('04 变换后数据'!$H$5:$H$160,ROW()-5-$G$3+1,0,MIN($G$3,ROW()-4),1))))</f>
        <v/>
      </c>
      <c r="I78" s="8">
        <f>IF(ISNUMBER(E78),IF(ABS(E78)&gt;=0.7,"强",IF(ABS(E78)&gt;=0.4,"中","弱")),"-")</f>
        <v/>
      </c>
    </row>
    <row r="79">
      <c r="A79" s="8" t="n">
        <v>75</v>
      </c>
      <c r="B79" s="8">
        <f>'04 变换后数据'!B79</f>
        <v/>
      </c>
      <c r="C79" s="31">
        <f>IF(75&lt;$C$3,"",IF(479=0,"",IF(479&lt;MAX(5,ROUND($C$3*0.8,0)),"样本不足",CORREL(OFFSET('04 变换后数据'!$D$5:$D$160,ROW()-5-$C$3+1,0,$C$3,1),OFFSET('04 变换后数据'!$H$5:$H$160,ROW()-5-$C$3+1,0,$C$3,1))))</f>
        <v/>
      </c>
      <c r="D79" s="8">
        <f>IF(75&lt;$C$3,0,SUMPRODUCT(--(ROW('04 变换后数据'!$D$5:$D$160)&lt;=ROW()),--ISNUMBER(OFFSET('04 变换后数据'!$D$5:$D$160,ROW()-5-$C$3+1,0,MIN($C$3,ROW()-4),1)),--ISNUMBER(OFFSET('04 变换后数据'!$H$5:$H$160,ROW()-5-$C$3+1,0,MIN($C$3,ROW()-4),1))))</f>
        <v/>
      </c>
      <c r="E79" s="31">
        <f>IF(75&lt;$E$3,"",IF(679=0,"",IF(679&lt;MAX(5,ROUND($E$3*0.8,0)),"样本不足",CORREL(OFFSET('04 变换后数据'!$D$5:$D$160,ROW()-5-$E$3+1,0,$E$3,1),OFFSET('04 变换后数据'!$H$5:$H$160,ROW()-5-$E$3+1,0,$E$3,1))))</f>
        <v/>
      </c>
      <c r="F79" s="8">
        <f>IF(75&lt;$E$3,0,SUMPRODUCT(--(ROW('04 变换后数据'!$D$5:$D$160)&lt;=ROW()),--ISNUMBER(OFFSET('04 变换后数据'!$D$5:$D$160,ROW()-5-$E$3+1,0,MIN($E$3,ROW()-4),1)),--ISNUMBER(OFFSET('04 变换后数据'!$H$5:$H$160,ROW()-5-$E$3+1,0,MIN($E$3,ROW()-4),1))))</f>
        <v/>
      </c>
      <c r="G79" s="31">
        <f>IF(75&lt;$G$3,"",IF(879=0,"",IF(879&lt;MAX(5,ROUND($G$3*0.8,0)),"样本不足",CORREL(OFFSET('04 变换后数据'!$D$5:$D$160,ROW()-5-$G$3+1,0,$G$3,1),OFFSET('04 变换后数据'!$H$5:$H$160,ROW()-5-$G$3+1,0,$G$3,1))))</f>
        <v/>
      </c>
      <c r="H79" s="8">
        <f>IF(75&lt;$G$3,0,SUMPRODUCT(--(ROW('04 变换后数据'!$D$5:$D$160)&lt;=ROW()),--ISNUMBER(OFFSET('04 变换后数据'!$D$5:$D$160,ROW()-5-$G$3+1,0,MIN($G$3,ROW()-4),1)),--ISNUMBER(OFFSET('04 变换后数据'!$H$5:$H$160,ROW()-5-$G$3+1,0,MIN($G$3,ROW()-4),1))))</f>
        <v/>
      </c>
      <c r="I79" s="8">
        <f>IF(ISNUMBER(E79),IF(ABS(E79)&gt;=0.7,"强",IF(ABS(E79)&gt;=0.4,"中","弱")),"-")</f>
        <v/>
      </c>
    </row>
    <row r="80">
      <c r="A80" s="8" t="n">
        <v>76</v>
      </c>
      <c r="B80" s="8">
        <f>'04 变换后数据'!B80</f>
        <v/>
      </c>
      <c r="C80" s="31">
        <f>IF(76&lt;$C$3,"",IF(480=0,"",IF(480&lt;MAX(5,ROUND($C$3*0.8,0)),"样本不足",CORREL(OFFSET('04 变换后数据'!$D$5:$D$160,ROW()-5-$C$3+1,0,$C$3,1),OFFSET('04 变换后数据'!$H$5:$H$160,ROW()-5-$C$3+1,0,$C$3,1))))</f>
        <v/>
      </c>
      <c r="D80" s="8">
        <f>IF(76&lt;$C$3,0,SUMPRODUCT(--(ROW('04 变换后数据'!$D$5:$D$160)&lt;=ROW()),--ISNUMBER(OFFSET('04 变换后数据'!$D$5:$D$160,ROW()-5-$C$3+1,0,MIN($C$3,ROW()-4),1)),--ISNUMBER(OFFSET('04 变换后数据'!$H$5:$H$160,ROW()-5-$C$3+1,0,MIN($C$3,ROW()-4),1))))</f>
        <v/>
      </c>
      <c r="E80" s="31">
        <f>IF(76&lt;$E$3,"",IF(680=0,"",IF(680&lt;MAX(5,ROUND($E$3*0.8,0)),"样本不足",CORREL(OFFSET('04 变换后数据'!$D$5:$D$160,ROW()-5-$E$3+1,0,$E$3,1),OFFSET('04 变换后数据'!$H$5:$H$160,ROW()-5-$E$3+1,0,$E$3,1))))</f>
        <v/>
      </c>
      <c r="F80" s="8">
        <f>IF(76&lt;$E$3,0,SUMPRODUCT(--(ROW('04 变换后数据'!$D$5:$D$160)&lt;=ROW()),--ISNUMBER(OFFSET('04 变换后数据'!$D$5:$D$160,ROW()-5-$E$3+1,0,MIN($E$3,ROW()-4),1)),--ISNUMBER(OFFSET('04 变换后数据'!$H$5:$H$160,ROW()-5-$E$3+1,0,MIN($E$3,ROW()-4),1))))</f>
        <v/>
      </c>
      <c r="G80" s="31">
        <f>IF(76&lt;$G$3,"",IF(880=0,"",IF(880&lt;MAX(5,ROUND($G$3*0.8,0)),"样本不足",CORREL(OFFSET('04 变换后数据'!$D$5:$D$160,ROW()-5-$G$3+1,0,$G$3,1),OFFSET('04 变换后数据'!$H$5:$H$160,ROW()-5-$G$3+1,0,$G$3,1))))</f>
        <v/>
      </c>
      <c r="H80" s="8">
        <f>IF(76&lt;$G$3,0,SUMPRODUCT(--(ROW('04 变换后数据'!$D$5:$D$160)&lt;=ROW()),--ISNUMBER(OFFSET('04 变换后数据'!$D$5:$D$160,ROW()-5-$G$3+1,0,MIN($G$3,ROW()-4),1)),--ISNUMBER(OFFSET('04 变换后数据'!$H$5:$H$160,ROW()-5-$G$3+1,0,MIN($G$3,ROW()-4),1))))</f>
        <v/>
      </c>
      <c r="I80" s="8">
        <f>IF(ISNUMBER(E80),IF(ABS(E80)&gt;=0.7,"强",IF(ABS(E80)&gt;=0.4,"中","弱")),"-")</f>
        <v/>
      </c>
    </row>
    <row r="81">
      <c r="A81" s="8" t="n">
        <v>77</v>
      </c>
      <c r="B81" s="8">
        <f>'04 变换后数据'!B81</f>
        <v/>
      </c>
      <c r="C81" s="31">
        <f>IF(77&lt;$C$3,"",IF(481=0,"",IF(481&lt;MAX(5,ROUND($C$3*0.8,0)),"样本不足",CORREL(OFFSET('04 变换后数据'!$D$5:$D$160,ROW()-5-$C$3+1,0,$C$3,1),OFFSET('04 变换后数据'!$H$5:$H$160,ROW()-5-$C$3+1,0,$C$3,1))))</f>
        <v/>
      </c>
      <c r="D81" s="8">
        <f>IF(77&lt;$C$3,0,SUMPRODUCT(--(ROW('04 变换后数据'!$D$5:$D$160)&lt;=ROW()),--ISNUMBER(OFFSET('04 变换后数据'!$D$5:$D$160,ROW()-5-$C$3+1,0,MIN($C$3,ROW()-4),1)),--ISNUMBER(OFFSET('04 变换后数据'!$H$5:$H$160,ROW()-5-$C$3+1,0,MIN($C$3,ROW()-4),1))))</f>
        <v/>
      </c>
      <c r="E81" s="31">
        <f>IF(77&lt;$E$3,"",IF(681=0,"",IF(681&lt;MAX(5,ROUND($E$3*0.8,0)),"样本不足",CORREL(OFFSET('04 变换后数据'!$D$5:$D$160,ROW()-5-$E$3+1,0,$E$3,1),OFFSET('04 变换后数据'!$H$5:$H$160,ROW()-5-$E$3+1,0,$E$3,1))))</f>
        <v/>
      </c>
      <c r="F81" s="8">
        <f>IF(77&lt;$E$3,0,SUMPRODUCT(--(ROW('04 变换后数据'!$D$5:$D$160)&lt;=ROW()),--ISNUMBER(OFFSET('04 变换后数据'!$D$5:$D$160,ROW()-5-$E$3+1,0,MIN($E$3,ROW()-4),1)),--ISNUMBER(OFFSET('04 变换后数据'!$H$5:$H$160,ROW()-5-$E$3+1,0,MIN($E$3,ROW()-4),1))))</f>
        <v/>
      </c>
      <c r="G81" s="31">
        <f>IF(77&lt;$G$3,"",IF(881=0,"",IF(881&lt;MAX(5,ROUND($G$3*0.8,0)),"样本不足",CORREL(OFFSET('04 变换后数据'!$D$5:$D$160,ROW()-5-$G$3+1,0,$G$3,1),OFFSET('04 变换后数据'!$H$5:$H$160,ROW()-5-$G$3+1,0,$G$3,1))))</f>
        <v/>
      </c>
      <c r="H81" s="8">
        <f>IF(77&lt;$G$3,0,SUMPRODUCT(--(ROW('04 变换后数据'!$D$5:$D$160)&lt;=ROW()),--ISNUMBER(OFFSET('04 变换后数据'!$D$5:$D$160,ROW()-5-$G$3+1,0,MIN($G$3,ROW()-4),1)),--ISNUMBER(OFFSET('04 变换后数据'!$H$5:$H$160,ROW()-5-$G$3+1,0,MIN($G$3,ROW()-4),1))))</f>
        <v/>
      </c>
      <c r="I81" s="8">
        <f>IF(ISNUMBER(E81),IF(ABS(E81)&gt;=0.7,"强",IF(ABS(E81)&gt;=0.4,"中","弱")),"-")</f>
        <v/>
      </c>
    </row>
    <row r="82">
      <c r="A82" s="8" t="n">
        <v>78</v>
      </c>
      <c r="B82" s="8">
        <f>'04 变换后数据'!B82</f>
        <v/>
      </c>
      <c r="C82" s="31">
        <f>IF(78&lt;$C$3,"",IF(482=0,"",IF(482&lt;MAX(5,ROUND($C$3*0.8,0)),"样本不足",CORREL(OFFSET('04 变换后数据'!$D$5:$D$160,ROW()-5-$C$3+1,0,$C$3,1),OFFSET('04 变换后数据'!$H$5:$H$160,ROW()-5-$C$3+1,0,$C$3,1))))</f>
        <v/>
      </c>
      <c r="D82" s="8">
        <f>IF(78&lt;$C$3,0,SUMPRODUCT(--(ROW('04 变换后数据'!$D$5:$D$160)&lt;=ROW()),--ISNUMBER(OFFSET('04 变换后数据'!$D$5:$D$160,ROW()-5-$C$3+1,0,MIN($C$3,ROW()-4),1)),--ISNUMBER(OFFSET('04 变换后数据'!$H$5:$H$160,ROW()-5-$C$3+1,0,MIN($C$3,ROW()-4),1))))</f>
        <v/>
      </c>
      <c r="E82" s="31">
        <f>IF(78&lt;$E$3,"",IF(682=0,"",IF(682&lt;MAX(5,ROUND($E$3*0.8,0)),"样本不足",CORREL(OFFSET('04 变换后数据'!$D$5:$D$160,ROW()-5-$E$3+1,0,$E$3,1),OFFSET('04 变换后数据'!$H$5:$H$160,ROW()-5-$E$3+1,0,$E$3,1))))</f>
        <v/>
      </c>
      <c r="F82" s="8">
        <f>IF(78&lt;$E$3,0,SUMPRODUCT(--(ROW('04 变换后数据'!$D$5:$D$160)&lt;=ROW()),--ISNUMBER(OFFSET('04 变换后数据'!$D$5:$D$160,ROW()-5-$E$3+1,0,MIN($E$3,ROW()-4),1)),--ISNUMBER(OFFSET('04 变换后数据'!$H$5:$H$160,ROW()-5-$E$3+1,0,MIN($E$3,ROW()-4),1))))</f>
        <v/>
      </c>
      <c r="G82" s="31">
        <f>IF(78&lt;$G$3,"",IF(882=0,"",IF(882&lt;MAX(5,ROUND($G$3*0.8,0)),"样本不足",CORREL(OFFSET('04 变换后数据'!$D$5:$D$160,ROW()-5-$G$3+1,0,$G$3,1),OFFSET('04 变换后数据'!$H$5:$H$160,ROW()-5-$G$3+1,0,$G$3,1))))</f>
        <v/>
      </c>
      <c r="H82" s="8">
        <f>IF(78&lt;$G$3,0,SUMPRODUCT(--(ROW('04 变换后数据'!$D$5:$D$160)&lt;=ROW()),--ISNUMBER(OFFSET('04 变换后数据'!$D$5:$D$160,ROW()-5-$G$3+1,0,MIN($G$3,ROW()-4),1)),--ISNUMBER(OFFSET('04 变换后数据'!$H$5:$H$160,ROW()-5-$G$3+1,0,MIN($G$3,ROW()-4),1))))</f>
        <v/>
      </c>
      <c r="I82" s="8">
        <f>IF(ISNUMBER(E82),IF(ABS(E82)&gt;=0.7,"强",IF(ABS(E82)&gt;=0.4,"中","弱")),"-")</f>
        <v/>
      </c>
    </row>
    <row r="83">
      <c r="A83" s="8" t="n">
        <v>79</v>
      </c>
      <c r="B83" s="8">
        <f>'04 变换后数据'!B83</f>
        <v/>
      </c>
      <c r="C83" s="31">
        <f>IF(79&lt;$C$3,"",IF(483=0,"",IF(483&lt;MAX(5,ROUND($C$3*0.8,0)),"样本不足",CORREL(OFFSET('04 变换后数据'!$D$5:$D$160,ROW()-5-$C$3+1,0,$C$3,1),OFFSET('04 变换后数据'!$H$5:$H$160,ROW()-5-$C$3+1,0,$C$3,1))))</f>
        <v/>
      </c>
      <c r="D83" s="8">
        <f>IF(79&lt;$C$3,0,SUMPRODUCT(--(ROW('04 变换后数据'!$D$5:$D$160)&lt;=ROW()),--ISNUMBER(OFFSET('04 变换后数据'!$D$5:$D$160,ROW()-5-$C$3+1,0,MIN($C$3,ROW()-4),1)),--ISNUMBER(OFFSET('04 变换后数据'!$H$5:$H$160,ROW()-5-$C$3+1,0,MIN($C$3,ROW()-4),1))))</f>
        <v/>
      </c>
      <c r="E83" s="31">
        <f>IF(79&lt;$E$3,"",IF(683=0,"",IF(683&lt;MAX(5,ROUND($E$3*0.8,0)),"样本不足",CORREL(OFFSET('04 变换后数据'!$D$5:$D$160,ROW()-5-$E$3+1,0,$E$3,1),OFFSET('04 变换后数据'!$H$5:$H$160,ROW()-5-$E$3+1,0,$E$3,1))))</f>
        <v/>
      </c>
      <c r="F83" s="8">
        <f>IF(79&lt;$E$3,0,SUMPRODUCT(--(ROW('04 变换后数据'!$D$5:$D$160)&lt;=ROW()),--ISNUMBER(OFFSET('04 变换后数据'!$D$5:$D$160,ROW()-5-$E$3+1,0,MIN($E$3,ROW()-4),1)),--ISNUMBER(OFFSET('04 变换后数据'!$H$5:$H$160,ROW()-5-$E$3+1,0,MIN($E$3,ROW()-4),1))))</f>
        <v/>
      </c>
      <c r="G83" s="31">
        <f>IF(79&lt;$G$3,"",IF(883=0,"",IF(883&lt;MAX(5,ROUND($G$3*0.8,0)),"样本不足",CORREL(OFFSET('04 变换后数据'!$D$5:$D$160,ROW()-5-$G$3+1,0,$G$3,1),OFFSET('04 变换后数据'!$H$5:$H$160,ROW()-5-$G$3+1,0,$G$3,1))))</f>
        <v/>
      </c>
      <c r="H83" s="8">
        <f>IF(79&lt;$G$3,0,SUMPRODUCT(--(ROW('04 变换后数据'!$D$5:$D$160)&lt;=ROW()),--ISNUMBER(OFFSET('04 变换后数据'!$D$5:$D$160,ROW()-5-$G$3+1,0,MIN($G$3,ROW()-4),1)),--ISNUMBER(OFFSET('04 变换后数据'!$H$5:$H$160,ROW()-5-$G$3+1,0,MIN($G$3,ROW()-4),1))))</f>
        <v/>
      </c>
      <c r="I83" s="8">
        <f>IF(ISNUMBER(E83),IF(ABS(E83)&gt;=0.7,"强",IF(ABS(E83)&gt;=0.4,"中","弱")),"-")</f>
        <v/>
      </c>
    </row>
    <row r="84">
      <c r="A84" s="8" t="n">
        <v>80</v>
      </c>
      <c r="B84" s="8">
        <f>'04 变换后数据'!B84</f>
        <v/>
      </c>
      <c r="C84" s="31">
        <f>IF(80&lt;$C$3,"",IF(484=0,"",IF(484&lt;MAX(5,ROUND($C$3*0.8,0)),"样本不足",CORREL(OFFSET('04 变换后数据'!$D$5:$D$160,ROW()-5-$C$3+1,0,$C$3,1),OFFSET('04 变换后数据'!$H$5:$H$160,ROW()-5-$C$3+1,0,$C$3,1))))</f>
        <v/>
      </c>
      <c r="D84" s="8">
        <f>IF(80&lt;$C$3,0,SUMPRODUCT(--(ROW('04 变换后数据'!$D$5:$D$160)&lt;=ROW()),--ISNUMBER(OFFSET('04 变换后数据'!$D$5:$D$160,ROW()-5-$C$3+1,0,MIN($C$3,ROW()-4),1)),--ISNUMBER(OFFSET('04 变换后数据'!$H$5:$H$160,ROW()-5-$C$3+1,0,MIN($C$3,ROW()-4),1))))</f>
        <v/>
      </c>
      <c r="E84" s="31">
        <f>IF(80&lt;$E$3,"",IF(684=0,"",IF(684&lt;MAX(5,ROUND($E$3*0.8,0)),"样本不足",CORREL(OFFSET('04 变换后数据'!$D$5:$D$160,ROW()-5-$E$3+1,0,$E$3,1),OFFSET('04 变换后数据'!$H$5:$H$160,ROW()-5-$E$3+1,0,$E$3,1))))</f>
        <v/>
      </c>
      <c r="F84" s="8">
        <f>IF(80&lt;$E$3,0,SUMPRODUCT(--(ROW('04 变换后数据'!$D$5:$D$160)&lt;=ROW()),--ISNUMBER(OFFSET('04 变换后数据'!$D$5:$D$160,ROW()-5-$E$3+1,0,MIN($E$3,ROW()-4),1)),--ISNUMBER(OFFSET('04 变换后数据'!$H$5:$H$160,ROW()-5-$E$3+1,0,MIN($E$3,ROW()-4),1))))</f>
        <v/>
      </c>
      <c r="G84" s="31">
        <f>IF(80&lt;$G$3,"",IF(884=0,"",IF(884&lt;MAX(5,ROUND($G$3*0.8,0)),"样本不足",CORREL(OFFSET('04 变换后数据'!$D$5:$D$160,ROW()-5-$G$3+1,0,$G$3,1),OFFSET('04 变换后数据'!$H$5:$H$160,ROW()-5-$G$3+1,0,$G$3,1))))</f>
        <v/>
      </c>
      <c r="H84" s="8">
        <f>IF(80&lt;$G$3,0,SUMPRODUCT(--(ROW('04 变换后数据'!$D$5:$D$160)&lt;=ROW()),--ISNUMBER(OFFSET('04 变换后数据'!$D$5:$D$160,ROW()-5-$G$3+1,0,MIN($G$3,ROW()-4),1)),--ISNUMBER(OFFSET('04 变换后数据'!$H$5:$H$160,ROW()-5-$G$3+1,0,MIN($G$3,ROW()-4),1))))</f>
        <v/>
      </c>
      <c r="I84" s="8">
        <f>IF(ISNUMBER(E84),IF(ABS(E84)&gt;=0.7,"强",IF(ABS(E84)&gt;=0.4,"中","弱")),"-")</f>
        <v/>
      </c>
    </row>
    <row r="85">
      <c r="A85" s="8" t="n">
        <v>81</v>
      </c>
      <c r="B85" s="8">
        <f>'04 变换后数据'!B85</f>
        <v/>
      </c>
      <c r="C85" s="31">
        <f>IF(81&lt;$C$3,"",IF(485=0,"",IF(485&lt;MAX(5,ROUND($C$3*0.8,0)),"样本不足",CORREL(OFFSET('04 变换后数据'!$D$5:$D$160,ROW()-5-$C$3+1,0,$C$3,1),OFFSET('04 变换后数据'!$H$5:$H$160,ROW()-5-$C$3+1,0,$C$3,1))))</f>
        <v/>
      </c>
      <c r="D85" s="8">
        <f>IF(81&lt;$C$3,0,SUMPRODUCT(--(ROW('04 变换后数据'!$D$5:$D$160)&lt;=ROW()),--ISNUMBER(OFFSET('04 变换后数据'!$D$5:$D$160,ROW()-5-$C$3+1,0,MIN($C$3,ROW()-4),1)),--ISNUMBER(OFFSET('04 变换后数据'!$H$5:$H$160,ROW()-5-$C$3+1,0,MIN($C$3,ROW()-4),1))))</f>
        <v/>
      </c>
      <c r="E85" s="31">
        <f>IF(81&lt;$E$3,"",IF(685=0,"",IF(685&lt;MAX(5,ROUND($E$3*0.8,0)),"样本不足",CORREL(OFFSET('04 变换后数据'!$D$5:$D$160,ROW()-5-$E$3+1,0,$E$3,1),OFFSET('04 变换后数据'!$H$5:$H$160,ROW()-5-$E$3+1,0,$E$3,1))))</f>
        <v/>
      </c>
      <c r="F85" s="8">
        <f>IF(81&lt;$E$3,0,SUMPRODUCT(--(ROW('04 变换后数据'!$D$5:$D$160)&lt;=ROW()),--ISNUMBER(OFFSET('04 变换后数据'!$D$5:$D$160,ROW()-5-$E$3+1,0,MIN($E$3,ROW()-4),1)),--ISNUMBER(OFFSET('04 变换后数据'!$H$5:$H$160,ROW()-5-$E$3+1,0,MIN($E$3,ROW()-4),1))))</f>
        <v/>
      </c>
      <c r="G85" s="31">
        <f>IF(81&lt;$G$3,"",IF(885=0,"",IF(885&lt;MAX(5,ROUND($G$3*0.8,0)),"样本不足",CORREL(OFFSET('04 变换后数据'!$D$5:$D$160,ROW()-5-$G$3+1,0,$G$3,1),OFFSET('04 变换后数据'!$H$5:$H$160,ROW()-5-$G$3+1,0,$G$3,1))))</f>
        <v/>
      </c>
      <c r="H85" s="8">
        <f>IF(81&lt;$G$3,0,SUMPRODUCT(--(ROW('04 变换后数据'!$D$5:$D$160)&lt;=ROW()),--ISNUMBER(OFFSET('04 变换后数据'!$D$5:$D$160,ROW()-5-$G$3+1,0,MIN($G$3,ROW()-4),1)),--ISNUMBER(OFFSET('04 变换后数据'!$H$5:$H$160,ROW()-5-$G$3+1,0,MIN($G$3,ROW()-4),1))))</f>
        <v/>
      </c>
      <c r="I85" s="8">
        <f>IF(ISNUMBER(E85),IF(ABS(E85)&gt;=0.7,"强",IF(ABS(E85)&gt;=0.4,"中","弱")),"-")</f>
        <v/>
      </c>
    </row>
    <row r="86">
      <c r="A86" s="8" t="n">
        <v>82</v>
      </c>
      <c r="B86" s="8">
        <f>'04 变换后数据'!B86</f>
        <v/>
      </c>
      <c r="C86" s="31">
        <f>IF(82&lt;$C$3,"",IF(486=0,"",IF(486&lt;MAX(5,ROUND($C$3*0.8,0)),"样本不足",CORREL(OFFSET('04 变换后数据'!$D$5:$D$160,ROW()-5-$C$3+1,0,$C$3,1),OFFSET('04 变换后数据'!$H$5:$H$160,ROW()-5-$C$3+1,0,$C$3,1))))</f>
        <v/>
      </c>
      <c r="D86" s="8">
        <f>IF(82&lt;$C$3,0,SUMPRODUCT(--(ROW('04 变换后数据'!$D$5:$D$160)&lt;=ROW()),--ISNUMBER(OFFSET('04 变换后数据'!$D$5:$D$160,ROW()-5-$C$3+1,0,MIN($C$3,ROW()-4),1)),--ISNUMBER(OFFSET('04 变换后数据'!$H$5:$H$160,ROW()-5-$C$3+1,0,MIN($C$3,ROW()-4),1))))</f>
        <v/>
      </c>
      <c r="E86" s="31">
        <f>IF(82&lt;$E$3,"",IF(686=0,"",IF(686&lt;MAX(5,ROUND($E$3*0.8,0)),"样本不足",CORREL(OFFSET('04 变换后数据'!$D$5:$D$160,ROW()-5-$E$3+1,0,$E$3,1),OFFSET('04 变换后数据'!$H$5:$H$160,ROW()-5-$E$3+1,0,$E$3,1))))</f>
        <v/>
      </c>
      <c r="F86" s="8">
        <f>IF(82&lt;$E$3,0,SUMPRODUCT(--(ROW('04 变换后数据'!$D$5:$D$160)&lt;=ROW()),--ISNUMBER(OFFSET('04 变换后数据'!$D$5:$D$160,ROW()-5-$E$3+1,0,MIN($E$3,ROW()-4),1)),--ISNUMBER(OFFSET('04 变换后数据'!$H$5:$H$160,ROW()-5-$E$3+1,0,MIN($E$3,ROW()-4),1))))</f>
        <v/>
      </c>
      <c r="G86" s="31">
        <f>IF(82&lt;$G$3,"",IF(886=0,"",IF(886&lt;MAX(5,ROUND($G$3*0.8,0)),"样本不足",CORREL(OFFSET('04 变换后数据'!$D$5:$D$160,ROW()-5-$G$3+1,0,$G$3,1),OFFSET('04 变换后数据'!$H$5:$H$160,ROW()-5-$G$3+1,0,$G$3,1))))</f>
        <v/>
      </c>
      <c r="H86" s="8">
        <f>IF(82&lt;$G$3,0,SUMPRODUCT(--(ROW('04 变换后数据'!$D$5:$D$160)&lt;=ROW()),--ISNUMBER(OFFSET('04 变换后数据'!$D$5:$D$160,ROW()-5-$G$3+1,0,MIN($G$3,ROW()-4),1)),--ISNUMBER(OFFSET('04 变换后数据'!$H$5:$H$160,ROW()-5-$G$3+1,0,MIN($G$3,ROW()-4),1))))</f>
        <v/>
      </c>
      <c r="I86" s="8">
        <f>IF(ISNUMBER(E86),IF(ABS(E86)&gt;=0.7,"强",IF(ABS(E86)&gt;=0.4,"中","弱")),"-")</f>
        <v/>
      </c>
    </row>
    <row r="87">
      <c r="A87" s="8" t="n">
        <v>83</v>
      </c>
      <c r="B87" s="8">
        <f>'04 变换后数据'!B87</f>
        <v/>
      </c>
      <c r="C87" s="31">
        <f>IF(83&lt;$C$3,"",IF(487=0,"",IF(487&lt;MAX(5,ROUND($C$3*0.8,0)),"样本不足",CORREL(OFFSET('04 变换后数据'!$D$5:$D$160,ROW()-5-$C$3+1,0,$C$3,1),OFFSET('04 变换后数据'!$H$5:$H$160,ROW()-5-$C$3+1,0,$C$3,1))))</f>
        <v/>
      </c>
      <c r="D87" s="8">
        <f>IF(83&lt;$C$3,0,SUMPRODUCT(--(ROW('04 变换后数据'!$D$5:$D$160)&lt;=ROW()),--ISNUMBER(OFFSET('04 变换后数据'!$D$5:$D$160,ROW()-5-$C$3+1,0,MIN($C$3,ROW()-4),1)),--ISNUMBER(OFFSET('04 变换后数据'!$H$5:$H$160,ROW()-5-$C$3+1,0,MIN($C$3,ROW()-4),1))))</f>
        <v/>
      </c>
      <c r="E87" s="31">
        <f>IF(83&lt;$E$3,"",IF(687=0,"",IF(687&lt;MAX(5,ROUND($E$3*0.8,0)),"样本不足",CORREL(OFFSET('04 变换后数据'!$D$5:$D$160,ROW()-5-$E$3+1,0,$E$3,1),OFFSET('04 变换后数据'!$H$5:$H$160,ROW()-5-$E$3+1,0,$E$3,1))))</f>
        <v/>
      </c>
      <c r="F87" s="8">
        <f>IF(83&lt;$E$3,0,SUMPRODUCT(--(ROW('04 变换后数据'!$D$5:$D$160)&lt;=ROW()),--ISNUMBER(OFFSET('04 变换后数据'!$D$5:$D$160,ROW()-5-$E$3+1,0,MIN($E$3,ROW()-4),1)),--ISNUMBER(OFFSET('04 变换后数据'!$H$5:$H$160,ROW()-5-$E$3+1,0,MIN($E$3,ROW()-4),1))))</f>
        <v/>
      </c>
      <c r="G87" s="31">
        <f>IF(83&lt;$G$3,"",IF(887=0,"",IF(887&lt;MAX(5,ROUND($G$3*0.8,0)),"样本不足",CORREL(OFFSET('04 变换后数据'!$D$5:$D$160,ROW()-5-$G$3+1,0,$G$3,1),OFFSET('04 变换后数据'!$H$5:$H$160,ROW()-5-$G$3+1,0,$G$3,1))))</f>
        <v/>
      </c>
      <c r="H87" s="8">
        <f>IF(83&lt;$G$3,0,SUMPRODUCT(--(ROW('04 变换后数据'!$D$5:$D$160)&lt;=ROW()),--ISNUMBER(OFFSET('04 变换后数据'!$D$5:$D$160,ROW()-5-$G$3+1,0,MIN($G$3,ROW()-4),1)),--ISNUMBER(OFFSET('04 变换后数据'!$H$5:$H$160,ROW()-5-$G$3+1,0,MIN($G$3,ROW()-4),1))))</f>
        <v/>
      </c>
      <c r="I87" s="8">
        <f>IF(ISNUMBER(E87),IF(ABS(E87)&gt;=0.7,"强",IF(ABS(E87)&gt;=0.4,"中","弱")),"-")</f>
        <v/>
      </c>
    </row>
    <row r="88">
      <c r="A88" s="8" t="n">
        <v>84</v>
      </c>
      <c r="B88" s="8">
        <f>'04 变换后数据'!B88</f>
        <v/>
      </c>
      <c r="C88" s="31">
        <f>IF(84&lt;$C$3,"",IF(488=0,"",IF(488&lt;MAX(5,ROUND($C$3*0.8,0)),"样本不足",CORREL(OFFSET('04 变换后数据'!$D$5:$D$160,ROW()-5-$C$3+1,0,$C$3,1),OFFSET('04 变换后数据'!$H$5:$H$160,ROW()-5-$C$3+1,0,$C$3,1))))</f>
        <v/>
      </c>
      <c r="D88" s="8">
        <f>IF(84&lt;$C$3,0,SUMPRODUCT(--(ROW('04 变换后数据'!$D$5:$D$160)&lt;=ROW()),--ISNUMBER(OFFSET('04 变换后数据'!$D$5:$D$160,ROW()-5-$C$3+1,0,MIN($C$3,ROW()-4),1)),--ISNUMBER(OFFSET('04 变换后数据'!$H$5:$H$160,ROW()-5-$C$3+1,0,MIN($C$3,ROW()-4),1))))</f>
        <v/>
      </c>
      <c r="E88" s="31">
        <f>IF(84&lt;$E$3,"",IF(688=0,"",IF(688&lt;MAX(5,ROUND($E$3*0.8,0)),"样本不足",CORREL(OFFSET('04 变换后数据'!$D$5:$D$160,ROW()-5-$E$3+1,0,$E$3,1),OFFSET('04 变换后数据'!$H$5:$H$160,ROW()-5-$E$3+1,0,$E$3,1))))</f>
        <v/>
      </c>
      <c r="F88" s="8">
        <f>IF(84&lt;$E$3,0,SUMPRODUCT(--(ROW('04 变换后数据'!$D$5:$D$160)&lt;=ROW()),--ISNUMBER(OFFSET('04 变换后数据'!$D$5:$D$160,ROW()-5-$E$3+1,0,MIN($E$3,ROW()-4),1)),--ISNUMBER(OFFSET('04 变换后数据'!$H$5:$H$160,ROW()-5-$E$3+1,0,MIN($E$3,ROW()-4),1))))</f>
        <v/>
      </c>
      <c r="G88" s="31">
        <f>IF(84&lt;$G$3,"",IF(888=0,"",IF(888&lt;MAX(5,ROUND($G$3*0.8,0)),"样本不足",CORREL(OFFSET('04 变换后数据'!$D$5:$D$160,ROW()-5-$G$3+1,0,$G$3,1),OFFSET('04 变换后数据'!$H$5:$H$160,ROW()-5-$G$3+1,0,$G$3,1))))</f>
        <v/>
      </c>
      <c r="H88" s="8">
        <f>IF(84&lt;$G$3,0,SUMPRODUCT(--(ROW('04 变换后数据'!$D$5:$D$160)&lt;=ROW()),--ISNUMBER(OFFSET('04 变换后数据'!$D$5:$D$160,ROW()-5-$G$3+1,0,MIN($G$3,ROW()-4),1)),--ISNUMBER(OFFSET('04 变换后数据'!$H$5:$H$160,ROW()-5-$G$3+1,0,MIN($G$3,ROW()-4),1))))</f>
        <v/>
      </c>
      <c r="I88" s="8">
        <f>IF(ISNUMBER(E88),IF(ABS(E88)&gt;=0.7,"强",IF(ABS(E88)&gt;=0.4,"中","弱")),"-")</f>
        <v/>
      </c>
    </row>
    <row r="89">
      <c r="A89" s="8" t="n">
        <v>85</v>
      </c>
      <c r="B89" s="8">
        <f>'04 变换后数据'!B89</f>
        <v/>
      </c>
      <c r="C89" s="31">
        <f>IF(85&lt;$C$3,"",IF(489=0,"",IF(489&lt;MAX(5,ROUND($C$3*0.8,0)),"样本不足",CORREL(OFFSET('04 变换后数据'!$D$5:$D$160,ROW()-5-$C$3+1,0,$C$3,1),OFFSET('04 变换后数据'!$H$5:$H$160,ROW()-5-$C$3+1,0,$C$3,1))))</f>
        <v/>
      </c>
      <c r="D89" s="8">
        <f>IF(85&lt;$C$3,0,SUMPRODUCT(--(ROW('04 变换后数据'!$D$5:$D$160)&lt;=ROW()),--ISNUMBER(OFFSET('04 变换后数据'!$D$5:$D$160,ROW()-5-$C$3+1,0,MIN($C$3,ROW()-4),1)),--ISNUMBER(OFFSET('04 变换后数据'!$H$5:$H$160,ROW()-5-$C$3+1,0,MIN($C$3,ROW()-4),1))))</f>
        <v/>
      </c>
      <c r="E89" s="31">
        <f>IF(85&lt;$E$3,"",IF(689=0,"",IF(689&lt;MAX(5,ROUND($E$3*0.8,0)),"样本不足",CORREL(OFFSET('04 变换后数据'!$D$5:$D$160,ROW()-5-$E$3+1,0,$E$3,1),OFFSET('04 变换后数据'!$H$5:$H$160,ROW()-5-$E$3+1,0,$E$3,1))))</f>
        <v/>
      </c>
      <c r="F89" s="8">
        <f>IF(85&lt;$E$3,0,SUMPRODUCT(--(ROW('04 变换后数据'!$D$5:$D$160)&lt;=ROW()),--ISNUMBER(OFFSET('04 变换后数据'!$D$5:$D$160,ROW()-5-$E$3+1,0,MIN($E$3,ROW()-4),1)),--ISNUMBER(OFFSET('04 变换后数据'!$H$5:$H$160,ROW()-5-$E$3+1,0,MIN($E$3,ROW()-4),1))))</f>
        <v/>
      </c>
      <c r="G89" s="31">
        <f>IF(85&lt;$G$3,"",IF(889=0,"",IF(889&lt;MAX(5,ROUND($G$3*0.8,0)),"样本不足",CORREL(OFFSET('04 变换后数据'!$D$5:$D$160,ROW()-5-$G$3+1,0,$G$3,1),OFFSET('04 变换后数据'!$H$5:$H$160,ROW()-5-$G$3+1,0,$G$3,1))))</f>
        <v/>
      </c>
      <c r="H89" s="8">
        <f>IF(85&lt;$G$3,0,SUMPRODUCT(--(ROW('04 变换后数据'!$D$5:$D$160)&lt;=ROW()),--ISNUMBER(OFFSET('04 变换后数据'!$D$5:$D$160,ROW()-5-$G$3+1,0,MIN($G$3,ROW()-4),1)),--ISNUMBER(OFFSET('04 变换后数据'!$H$5:$H$160,ROW()-5-$G$3+1,0,MIN($G$3,ROW()-4),1))))</f>
        <v/>
      </c>
      <c r="I89" s="8">
        <f>IF(ISNUMBER(E89),IF(ABS(E89)&gt;=0.7,"强",IF(ABS(E89)&gt;=0.4,"中","弱")),"-")</f>
        <v/>
      </c>
    </row>
    <row r="90">
      <c r="A90" s="8" t="n">
        <v>86</v>
      </c>
      <c r="B90" s="8">
        <f>'04 变换后数据'!B90</f>
        <v/>
      </c>
      <c r="C90" s="31">
        <f>IF(86&lt;$C$3,"",IF(490=0,"",IF(490&lt;MAX(5,ROUND($C$3*0.8,0)),"样本不足",CORREL(OFFSET('04 变换后数据'!$D$5:$D$160,ROW()-5-$C$3+1,0,$C$3,1),OFFSET('04 变换后数据'!$H$5:$H$160,ROW()-5-$C$3+1,0,$C$3,1))))</f>
        <v/>
      </c>
      <c r="D90" s="8">
        <f>IF(86&lt;$C$3,0,SUMPRODUCT(--(ROW('04 变换后数据'!$D$5:$D$160)&lt;=ROW()),--ISNUMBER(OFFSET('04 变换后数据'!$D$5:$D$160,ROW()-5-$C$3+1,0,MIN($C$3,ROW()-4),1)),--ISNUMBER(OFFSET('04 变换后数据'!$H$5:$H$160,ROW()-5-$C$3+1,0,MIN($C$3,ROW()-4),1))))</f>
        <v/>
      </c>
      <c r="E90" s="31">
        <f>IF(86&lt;$E$3,"",IF(690=0,"",IF(690&lt;MAX(5,ROUND($E$3*0.8,0)),"样本不足",CORREL(OFFSET('04 变换后数据'!$D$5:$D$160,ROW()-5-$E$3+1,0,$E$3,1),OFFSET('04 变换后数据'!$H$5:$H$160,ROW()-5-$E$3+1,0,$E$3,1))))</f>
        <v/>
      </c>
      <c r="F90" s="8">
        <f>IF(86&lt;$E$3,0,SUMPRODUCT(--(ROW('04 变换后数据'!$D$5:$D$160)&lt;=ROW()),--ISNUMBER(OFFSET('04 变换后数据'!$D$5:$D$160,ROW()-5-$E$3+1,0,MIN($E$3,ROW()-4),1)),--ISNUMBER(OFFSET('04 变换后数据'!$H$5:$H$160,ROW()-5-$E$3+1,0,MIN($E$3,ROW()-4),1))))</f>
        <v/>
      </c>
      <c r="G90" s="31">
        <f>IF(86&lt;$G$3,"",IF(890=0,"",IF(890&lt;MAX(5,ROUND($G$3*0.8,0)),"样本不足",CORREL(OFFSET('04 变换后数据'!$D$5:$D$160,ROW()-5-$G$3+1,0,$G$3,1),OFFSET('04 变换后数据'!$H$5:$H$160,ROW()-5-$G$3+1,0,$G$3,1))))</f>
        <v/>
      </c>
      <c r="H90" s="8">
        <f>IF(86&lt;$G$3,0,SUMPRODUCT(--(ROW('04 变换后数据'!$D$5:$D$160)&lt;=ROW()),--ISNUMBER(OFFSET('04 变换后数据'!$D$5:$D$160,ROW()-5-$G$3+1,0,MIN($G$3,ROW()-4),1)),--ISNUMBER(OFFSET('04 变换后数据'!$H$5:$H$160,ROW()-5-$G$3+1,0,MIN($G$3,ROW()-4),1))))</f>
        <v/>
      </c>
      <c r="I90" s="8">
        <f>IF(ISNUMBER(E90),IF(ABS(E90)&gt;=0.7,"强",IF(ABS(E90)&gt;=0.4,"中","弱")),"-")</f>
        <v/>
      </c>
    </row>
    <row r="91">
      <c r="A91" s="8" t="n">
        <v>87</v>
      </c>
      <c r="B91" s="8">
        <f>'04 变换后数据'!B91</f>
        <v/>
      </c>
      <c r="C91" s="31">
        <f>IF(87&lt;$C$3,"",IF(491=0,"",IF(491&lt;MAX(5,ROUND($C$3*0.8,0)),"样本不足",CORREL(OFFSET('04 变换后数据'!$D$5:$D$160,ROW()-5-$C$3+1,0,$C$3,1),OFFSET('04 变换后数据'!$H$5:$H$160,ROW()-5-$C$3+1,0,$C$3,1))))</f>
        <v/>
      </c>
      <c r="D91" s="8">
        <f>IF(87&lt;$C$3,0,SUMPRODUCT(--(ROW('04 变换后数据'!$D$5:$D$160)&lt;=ROW()),--ISNUMBER(OFFSET('04 变换后数据'!$D$5:$D$160,ROW()-5-$C$3+1,0,MIN($C$3,ROW()-4),1)),--ISNUMBER(OFFSET('04 变换后数据'!$H$5:$H$160,ROW()-5-$C$3+1,0,MIN($C$3,ROW()-4),1))))</f>
        <v/>
      </c>
      <c r="E91" s="31">
        <f>IF(87&lt;$E$3,"",IF(691=0,"",IF(691&lt;MAX(5,ROUND($E$3*0.8,0)),"样本不足",CORREL(OFFSET('04 变换后数据'!$D$5:$D$160,ROW()-5-$E$3+1,0,$E$3,1),OFFSET('04 变换后数据'!$H$5:$H$160,ROW()-5-$E$3+1,0,$E$3,1))))</f>
        <v/>
      </c>
      <c r="F91" s="8">
        <f>IF(87&lt;$E$3,0,SUMPRODUCT(--(ROW('04 变换后数据'!$D$5:$D$160)&lt;=ROW()),--ISNUMBER(OFFSET('04 变换后数据'!$D$5:$D$160,ROW()-5-$E$3+1,0,MIN($E$3,ROW()-4),1)),--ISNUMBER(OFFSET('04 变换后数据'!$H$5:$H$160,ROW()-5-$E$3+1,0,MIN($E$3,ROW()-4),1))))</f>
        <v/>
      </c>
      <c r="G91" s="31">
        <f>IF(87&lt;$G$3,"",IF(891=0,"",IF(891&lt;MAX(5,ROUND($G$3*0.8,0)),"样本不足",CORREL(OFFSET('04 变换后数据'!$D$5:$D$160,ROW()-5-$G$3+1,0,$G$3,1),OFFSET('04 变换后数据'!$H$5:$H$160,ROW()-5-$G$3+1,0,$G$3,1))))</f>
        <v/>
      </c>
      <c r="H91" s="8">
        <f>IF(87&lt;$G$3,0,SUMPRODUCT(--(ROW('04 变换后数据'!$D$5:$D$160)&lt;=ROW()),--ISNUMBER(OFFSET('04 变换后数据'!$D$5:$D$160,ROW()-5-$G$3+1,0,MIN($G$3,ROW()-4),1)),--ISNUMBER(OFFSET('04 变换后数据'!$H$5:$H$160,ROW()-5-$G$3+1,0,MIN($G$3,ROW()-4),1))))</f>
        <v/>
      </c>
      <c r="I91" s="8">
        <f>IF(ISNUMBER(E91),IF(ABS(E91)&gt;=0.7,"强",IF(ABS(E91)&gt;=0.4,"中","弱")),"-")</f>
        <v/>
      </c>
    </row>
    <row r="92">
      <c r="A92" s="8" t="n">
        <v>88</v>
      </c>
      <c r="B92" s="8">
        <f>'04 变换后数据'!B92</f>
        <v/>
      </c>
      <c r="C92" s="31">
        <f>IF(88&lt;$C$3,"",IF(492=0,"",IF(492&lt;MAX(5,ROUND($C$3*0.8,0)),"样本不足",CORREL(OFFSET('04 变换后数据'!$D$5:$D$160,ROW()-5-$C$3+1,0,$C$3,1),OFFSET('04 变换后数据'!$H$5:$H$160,ROW()-5-$C$3+1,0,$C$3,1))))</f>
        <v/>
      </c>
      <c r="D92" s="8">
        <f>IF(88&lt;$C$3,0,SUMPRODUCT(--(ROW('04 变换后数据'!$D$5:$D$160)&lt;=ROW()),--ISNUMBER(OFFSET('04 变换后数据'!$D$5:$D$160,ROW()-5-$C$3+1,0,MIN($C$3,ROW()-4),1)),--ISNUMBER(OFFSET('04 变换后数据'!$H$5:$H$160,ROW()-5-$C$3+1,0,MIN($C$3,ROW()-4),1))))</f>
        <v/>
      </c>
      <c r="E92" s="31">
        <f>IF(88&lt;$E$3,"",IF(692=0,"",IF(692&lt;MAX(5,ROUND($E$3*0.8,0)),"样本不足",CORREL(OFFSET('04 变换后数据'!$D$5:$D$160,ROW()-5-$E$3+1,0,$E$3,1),OFFSET('04 变换后数据'!$H$5:$H$160,ROW()-5-$E$3+1,0,$E$3,1))))</f>
        <v/>
      </c>
      <c r="F92" s="8">
        <f>IF(88&lt;$E$3,0,SUMPRODUCT(--(ROW('04 变换后数据'!$D$5:$D$160)&lt;=ROW()),--ISNUMBER(OFFSET('04 变换后数据'!$D$5:$D$160,ROW()-5-$E$3+1,0,MIN($E$3,ROW()-4),1)),--ISNUMBER(OFFSET('04 变换后数据'!$H$5:$H$160,ROW()-5-$E$3+1,0,MIN($E$3,ROW()-4),1))))</f>
        <v/>
      </c>
      <c r="G92" s="31">
        <f>IF(88&lt;$G$3,"",IF(892=0,"",IF(892&lt;MAX(5,ROUND($G$3*0.8,0)),"样本不足",CORREL(OFFSET('04 变换后数据'!$D$5:$D$160,ROW()-5-$G$3+1,0,$G$3,1),OFFSET('04 变换后数据'!$H$5:$H$160,ROW()-5-$G$3+1,0,$G$3,1))))</f>
        <v/>
      </c>
      <c r="H92" s="8">
        <f>IF(88&lt;$G$3,0,SUMPRODUCT(--(ROW('04 变换后数据'!$D$5:$D$160)&lt;=ROW()),--ISNUMBER(OFFSET('04 变换后数据'!$D$5:$D$160,ROW()-5-$G$3+1,0,MIN($G$3,ROW()-4),1)),--ISNUMBER(OFFSET('04 变换后数据'!$H$5:$H$160,ROW()-5-$G$3+1,0,MIN($G$3,ROW()-4),1))))</f>
        <v/>
      </c>
      <c r="I92" s="8">
        <f>IF(ISNUMBER(E92),IF(ABS(E92)&gt;=0.7,"强",IF(ABS(E92)&gt;=0.4,"中","弱")),"-")</f>
        <v/>
      </c>
    </row>
    <row r="93">
      <c r="A93" s="8" t="n">
        <v>89</v>
      </c>
      <c r="B93" s="8">
        <f>'04 变换后数据'!B93</f>
        <v/>
      </c>
      <c r="C93" s="31">
        <f>IF(89&lt;$C$3,"",IF(493=0,"",IF(493&lt;MAX(5,ROUND($C$3*0.8,0)),"样本不足",CORREL(OFFSET('04 变换后数据'!$D$5:$D$160,ROW()-5-$C$3+1,0,$C$3,1),OFFSET('04 变换后数据'!$H$5:$H$160,ROW()-5-$C$3+1,0,$C$3,1))))</f>
        <v/>
      </c>
      <c r="D93" s="8">
        <f>IF(89&lt;$C$3,0,SUMPRODUCT(--(ROW('04 变换后数据'!$D$5:$D$160)&lt;=ROW()),--ISNUMBER(OFFSET('04 变换后数据'!$D$5:$D$160,ROW()-5-$C$3+1,0,MIN($C$3,ROW()-4),1)),--ISNUMBER(OFFSET('04 变换后数据'!$H$5:$H$160,ROW()-5-$C$3+1,0,MIN($C$3,ROW()-4),1))))</f>
        <v/>
      </c>
      <c r="E93" s="31">
        <f>IF(89&lt;$E$3,"",IF(693=0,"",IF(693&lt;MAX(5,ROUND($E$3*0.8,0)),"样本不足",CORREL(OFFSET('04 变换后数据'!$D$5:$D$160,ROW()-5-$E$3+1,0,$E$3,1),OFFSET('04 变换后数据'!$H$5:$H$160,ROW()-5-$E$3+1,0,$E$3,1))))</f>
        <v/>
      </c>
      <c r="F93" s="8">
        <f>IF(89&lt;$E$3,0,SUMPRODUCT(--(ROW('04 变换后数据'!$D$5:$D$160)&lt;=ROW()),--ISNUMBER(OFFSET('04 变换后数据'!$D$5:$D$160,ROW()-5-$E$3+1,0,MIN($E$3,ROW()-4),1)),--ISNUMBER(OFFSET('04 变换后数据'!$H$5:$H$160,ROW()-5-$E$3+1,0,MIN($E$3,ROW()-4),1))))</f>
        <v/>
      </c>
      <c r="G93" s="31">
        <f>IF(89&lt;$G$3,"",IF(893=0,"",IF(893&lt;MAX(5,ROUND($G$3*0.8,0)),"样本不足",CORREL(OFFSET('04 变换后数据'!$D$5:$D$160,ROW()-5-$G$3+1,0,$G$3,1),OFFSET('04 变换后数据'!$H$5:$H$160,ROW()-5-$G$3+1,0,$G$3,1))))</f>
        <v/>
      </c>
      <c r="H93" s="8">
        <f>IF(89&lt;$G$3,0,SUMPRODUCT(--(ROW('04 变换后数据'!$D$5:$D$160)&lt;=ROW()),--ISNUMBER(OFFSET('04 变换后数据'!$D$5:$D$160,ROW()-5-$G$3+1,0,MIN($G$3,ROW()-4),1)),--ISNUMBER(OFFSET('04 变换后数据'!$H$5:$H$160,ROW()-5-$G$3+1,0,MIN($G$3,ROW()-4),1))))</f>
        <v/>
      </c>
      <c r="I93" s="8">
        <f>IF(ISNUMBER(E93),IF(ABS(E93)&gt;=0.7,"强",IF(ABS(E93)&gt;=0.4,"中","弱")),"-")</f>
        <v/>
      </c>
    </row>
    <row r="94">
      <c r="A94" s="8" t="n">
        <v>90</v>
      </c>
      <c r="B94" s="8">
        <f>'04 变换后数据'!B94</f>
        <v/>
      </c>
      <c r="C94" s="31">
        <f>IF(90&lt;$C$3,"",IF(494=0,"",IF(494&lt;MAX(5,ROUND($C$3*0.8,0)),"样本不足",CORREL(OFFSET('04 变换后数据'!$D$5:$D$160,ROW()-5-$C$3+1,0,$C$3,1),OFFSET('04 变换后数据'!$H$5:$H$160,ROW()-5-$C$3+1,0,$C$3,1))))</f>
        <v/>
      </c>
      <c r="D94" s="8">
        <f>IF(90&lt;$C$3,0,SUMPRODUCT(--(ROW('04 变换后数据'!$D$5:$D$160)&lt;=ROW()),--ISNUMBER(OFFSET('04 变换后数据'!$D$5:$D$160,ROW()-5-$C$3+1,0,MIN($C$3,ROW()-4),1)),--ISNUMBER(OFFSET('04 变换后数据'!$H$5:$H$160,ROW()-5-$C$3+1,0,MIN($C$3,ROW()-4),1))))</f>
        <v/>
      </c>
      <c r="E94" s="31">
        <f>IF(90&lt;$E$3,"",IF(694=0,"",IF(694&lt;MAX(5,ROUND($E$3*0.8,0)),"样本不足",CORREL(OFFSET('04 变换后数据'!$D$5:$D$160,ROW()-5-$E$3+1,0,$E$3,1),OFFSET('04 变换后数据'!$H$5:$H$160,ROW()-5-$E$3+1,0,$E$3,1))))</f>
        <v/>
      </c>
      <c r="F94" s="8">
        <f>IF(90&lt;$E$3,0,SUMPRODUCT(--(ROW('04 变换后数据'!$D$5:$D$160)&lt;=ROW()),--ISNUMBER(OFFSET('04 变换后数据'!$D$5:$D$160,ROW()-5-$E$3+1,0,MIN($E$3,ROW()-4),1)),--ISNUMBER(OFFSET('04 变换后数据'!$H$5:$H$160,ROW()-5-$E$3+1,0,MIN($E$3,ROW()-4),1))))</f>
        <v/>
      </c>
      <c r="G94" s="31">
        <f>IF(90&lt;$G$3,"",IF(894=0,"",IF(894&lt;MAX(5,ROUND($G$3*0.8,0)),"样本不足",CORREL(OFFSET('04 变换后数据'!$D$5:$D$160,ROW()-5-$G$3+1,0,$G$3,1),OFFSET('04 变换后数据'!$H$5:$H$160,ROW()-5-$G$3+1,0,$G$3,1))))</f>
        <v/>
      </c>
      <c r="H94" s="8">
        <f>IF(90&lt;$G$3,0,SUMPRODUCT(--(ROW('04 变换后数据'!$D$5:$D$160)&lt;=ROW()),--ISNUMBER(OFFSET('04 变换后数据'!$D$5:$D$160,ROW()-5-$G$3+1,0,MIN($G$3,ROW()-4),1)),--ISNUMBER(OFFSET('04 变换后数据'!$H$5:$H$160,ROW()-5-$G$3+1,0,MIN($G$3,ROW()-4),1))))</f>
        <v/>
      </c>
      <c r="I94" s="8">
        <f>IF(ISNUMBER(E94),IF(ABS(E94)&gt;=0.7,"强",IF(ABS(E94)&gt;=0.4,"中","弱")),"-")</f>
        <v/>
      </c>
    </row>
    <row r="95">
      <c r="A95" s="8" t="n">
        <v>91</v>
      </c>
      <c r="B95" s="8">
        <f>'04 变换后数据'!B95</f>
        <v/>
      </c>
      <c r="C95" s="31">
        <f>IF(91&lt;$C$3,"",IF(495=0,"",IF(495&lt;MAX(5,ROUND($C$3*0.8,0)),"样本不足",CORREL(OFFSET('04 变换后数据'!$D$5:$D$160,ROW()-5-$C$3+1,0,$C$3,1),OFFSET('04 变换后数据'!$H$5:$H$160,ROW()-5-$C$3+1,0,$C$3,1))))</f>
        <v/>
      </c>
      <c r="D95" s="8">
        <f>IF(91&lt;$C$3,0,SUMPRODUCT(--(ROW('04 变换后数据'!$D$5:$D$160)&lt;=ROW()),--ISNUMBER(OFFSET('04 变换后数据'!$D$5:$D$160,ROW()-5-$C$3+1,0,MIN($C$3,ROW()-4),1)),--ISNUMBER(OFFSET('04 变换后数据'!$H$5:$H$160,ROW()-5-$C$3+1,0,MIN($C$3,ROW()-4),1))))</f>
        <v/>
      </c>
      <c r="E95" s="31">
        <f>IF(91&lt;$E$3,"",IF(695=0,"",IF(695&lt;MAX(5,ROUND($E$3*0.8,0)),"样本不足",CORREL(OFFSET('04 变换后数据'!$D$5:$D$160,ROW()-5-$E$3+1,0,$E$3,1),OFFSET('04 变换后数据'!$H$5:$H$160,ROW()-5-$E$3+1,0,$E$3,1))))</f>
        <v/>
      </c>
      <c r="F95" s="8">
        <f>IF(91&lt;$E$3,0,SUMPRODUCT(--(ROW('04 变换后数据'!$D$5:$D$160)&lt;=ROW()),--ISNUMBER(OFFSET('04 变换后数据'!$D$5:$D$160,ROW()-5-$E$3+1,0,MIN($E$3,ROW()-4),1)),--ISNUMBER(OFFSET('04 变换后数据'!$H$5:$H$160,ROW()-5-$E$3+1,0,MIN($E$3,ROW()-4),1))))</f>
        <v/>
      </c>
      <c r="G95" s="31">
        <f>IF(91&lt;$G$3,"",IF(895=0,"",IF(895&lt;MAX(5,ROUND($G$3*0.8,0)),"样本不足",CORREL(OFFSET('04 变换后数据'!$D$5:$D$160,ROW()-5-$G$3+1,0,$G$3,1),OFFSET('04 变换后数据'!$H$5:$H$160,ROW()-5-$G$3+1,0,$G$3,1))))</f>
        <v/>
      </c>
      <c r="H95" s="8">
        <f>IF(91&lt;$G$3,0,SUMPRODUCT(--(ROW('04 变换后数据'!$D$5:$D$160)&lt;=ROW()),--ISNUMBER(OFFSET('04 变换后数据'!$D$5:$D$160,ROW()-5-$G$3+1,0,MIN($G$3,ROW()-4),1)),--ISNUMBER(OFFSET('04 变换后数据'!$H$5:$H$160,ROW()-5-$G$3+1,0,MIN($G$3,ROW()-4),1))))</f>
        <v/>
      </c>
      <c r="I95" s="8">
        <f>IF(ISNUMBER(E95),IF(ABS(E95)&gt;=0.7,"强",IF(ABS(E95)&gt;=0.4,"中","弱")),"-")</f>
        <v/>
      </c>
    </row>
    <row r="96">
      <c r="A96" s="8" t="n">
        <v>92</v>
      </c>
      <c r="B96" s="8">
        <f>'04 变换后数据'!B96</f>
        <v/>
      </c>
      <c r="C96" s="31">
        <f>IF(92&lt;$C$3,"",IF(496=0,"",IF(496&lt;MAX(5,ROUND($C$3*0.8,0)),"样本不足",CORREL(OFFSET('04 变换后数据'!$D$5:$D$160,ROW()-5-$C$3+1,0,$C$3,1),OFFSET('04 变换后数据'!$H$5:$H$160,ROW()-5-$C$3+1,0,$C$3,1))))</f>
        <v/>
      </c>
      <c r="D96" s="8">
        <f>IF(92&lt;$C$3,0,SUMPRODUCT(--(ROW('04 变换后数据'!$D$5:$D$160)&lt;=ROW()),--ISNUMBER(OFFSET('04 变换后数据'!$D$5:$D$160,ROW()-5-$C$3+1,0,MIN($C$3,ROW()-4),1)),--ISNUMBER(OFFSET('04 变换后数据'!$H$5:$H$160,ROW()-5-$C$3+1,0,MIN($C$3,ROW()-4),1))))</f>
        <v/>
      </c>
      <c r="E96" s="31">
        <f>IF(92&lt;$E$3,"",IF(696=0,"",IF(696&lt;MAX(5,ROUND($E$3*0.8,0)),"样本不足",CORREL(OFFSET('04 变换后数据'!$D$5:$D$160,ROW()-5-$E$3+1,0,$E$3,1),OFFSET('04 变换后数据'!$H$5:$H$160,ROW()-5-$E$3+1,0,$E$3,1))))</f>
        <v/>
      </c>
      <c r="F96" s="8">
        <f>IF(92&lt;$E$3,0,SUMPRODUCT(--(ROW('04 变换后数据'!$D$5:$D$160)&lt;=ROW()),--ISNUMBER(OFFSET('04 变换后数据'!$D$5:$D$160,ROW()-5-$E$3+1,0,MIN($E$3,ROW()-4),1)),--ISNUMBER(OFFSET('04 变换后数据'!$H$5:$H$160,ROW()-5-$E$3+1,0,MIN($E$3,ROW()-4),1))))</f>
        <v/>
      </c>
      <c r="G96" s="31">
        <f>IF(92&lt;$G$3,"",IF(896=0,"",IF(896&lt;MAX(5,ROUND($G$3*0.8,0)),"样本不足",CORREL(OFFSET('04 变换后数据'!$D$5:$D$160,ROW()-5-$G$3+1,0,$G$3,1),OFFSET('04 变换后数据'!$H$5:$H$160,ROW()-5-$G$3+1,0,$G$3,1))))</f>
        <v/>
      </c>
      <c r="H96" s="8">
        <f>IF(92&lt;$G$3,0,SUMPRODUCT(--(ROW('04 变换后数据'!$D$5:$D$160)&lt;=ROW()),--ISNUMBER(OFFSET('04 变换后数据'!$D$5:$D$160,ROW()-5-$G$3+1,0,MIN($G$3,ROW()-4),1)),--ISNUMBER(OFFSET('04 变换后数据'!$H$5:$H$160,ROW()-5-$G$3+1,0,MIN($G$3,ROW()-4),1))))</f>
        <v/>
      </c>
      <c r="I96" s="8">
        <f>IF(ISNUMBER(E96),IF(ABS(E96)&gt;=0.7,"强",IF(ABS(E96)&gt;=0.4,"中","弱")),"-")</f>
        <v/>
      </c>
    </row>
    <row r="97">
      <c r="A97" s="8" t="n">
        <v>93</v>
      </c>
      <c r="B97" s="8">
        <f>'04 变换后数据'!B97</f>
        <v/>
      </c>
      <c r="C97" s="31">
        <f>IF(93&lt;$C$3,"",IF(497=0,"",IF(497&lt;MAX(5,ROUND($C$3*0.8,0)),"样本不足",CORREL(OFFSET('04 变换后数据'!$D$5:$D$160,ROW()-5-$C$3+1,0,$C$3,1),OFFSET('04 变换后数据'!$H$5:$H$160,ROW()-5-$C$3+1,0,$C$3,1))))</f>
        <v/>
      </c>
      <c r="D97" s="8">
        <f>IF(93&lt;$C$3,0,SUMPRODUCT(--(ROW('04 变换后数据'!$D$5:$D$160)&lt;=ROW()),--ISNUMBER(OFFSET('04 变换后数据'!$D$5:$D$160,ROW()-5-$C$3+1,0,MIN($C$3,ROW()-4),1)),--ISNUMBER(OFFSET('04 变换后数据'!$H$5:$H$160,ROW()-5-$C$3+1,0,MIN($C$3,ROW()-4),1))))</f>
        <v/>
      </c>
      <c r="E97" s="31">
        <f>IF(93&lt;$E$3,"",IF(697=0,"",IF(697&lt;MAX(5,ROUND($E$3*0.8,0)),"样本不足",CORREL(OFFSET('04 变换后数据'!$D$5:$D$160,ROW()-5-$E$3+1,0,$E$3,1),OFFSET('04 变换后数据'!$H$5:$H$160,ROW()-5-$E$3+1,0,$E$3,1))))</f>
        <v/>
      </c>
      <c r="F97" s="8">
        <f>IF(93&lt;$E$3,0,SUMPRODUCT(--(ROW('04 变换后数据'!$D$5:$D$160)&lt;=ROW()),--ISNUMBER(OFFSET('04 变换后数据'!$D$5:$D$160,ROW()-5-$E$3+1,0,MIN($E$3,ROW()-4),1)),--ISNUMBER(OFFSET('04 变换后数据'!$H$5:$H$160,ROW()-5-$E$3+1,0,MIN($E$3,ROW()-4),1))))</f>
        <v/>
      </c>
      <c r="G97" s="31">
        <f>IF(93&lt;$G$3,"",IF(897=0,"",IF(897&lt;MAX(5,ROUND($G$3*0.8,0)),"样本不足",CORREL(OFFSET('04 变换后数据'!$D$5:$D$160,ROW()-5-$G$3+1,0,$G$3,1),OFFSET('04 变换后数据'!$H$5:$H$160,ROW()-5-$G$3+1,0,$G$3,1))))</f>
        <v/>
      </c>
      <c r="H97" s="8">
        <f>IF(93&lt;$G$3,0,SUMPRODUCT(--(ROW('04 变换后数据'!$D$5:$D$160)&lt;=ROW()),--ISNUMBER(OFFSET('04 变换后数据'!$D$5:$D$160,ROW()-5-$G$3+1,0,MIN($G$3,ROW()-4),1)),--ISNUMBER(OFFSET('04 变换后数据'!$H$5:$H$160,ROW()-5-$G$3+1,0,MIN($G$3,ROW()-4),1))))</f>
        <v/>
      </c>
      <c r="I97" s="8">
        <f>IF(ISNUMBER(E97),IF(ABS(E97)&gt;=0.7,"强",IF(ABS(E97)&gt;=0.4,"中","弱")),"-")</f>
        <v/>
      </c>
    </row>
    <row r="98">
      <c r="A98" s="8" t="n">
        <v>94</v>
      </c>
      <c r="B98" s="8">
        <f>'04 变换后数据'!B98</f>
        <v/>
      </c>
      <c r="C98" s="31">
        <f>IF(94&lt;$C$3,"",IF(498=0,"",IF(498&lt;MAX(5,ROUND($C$3*0.8,0)),"样本不足",CORREL(OFFSET('04 变换后数据'!$D$5:$D$160,ROW()-5-$C$3+1,0,$C$3,1),OFFSET('04 变换后数据'!$H$5:$H$160,ROW()-5-$C$3+1,0,$C$3,1))))</f>
        <v/>
      </c>
      <c r="D98" s="8">
        <f>IF(94&lt;$C$3,0,SUMPRODUCT(--(ROW('04 变换后数据'!$D$5:$D$160)&lt;=ROW()),--ISNUMBER(OFFSET('04 变换后数据'!$D$5:$D$160,ROW()-5-$C$3+1,0,MIN($C$3,ROW()-4),1)),--ISNUMBER(OFFSET('04 变换后数据'!$H$5:$H$160,ROW()-5-$C$3+1,0,MIN($C$3,ROW()-4),1))))</f>
        <v/>
      </c>
      <c r="E98" s="31">
        <f>IF(94&lt;$E$3,"",IF(698=0,"",IF(698&lt;MAX(5,ROUND($E$3*0.8,0)),"样本不足",CORREL(OFFSET('04 变换后数据'!$D$5:$D$160,ROW()-5-$E$3+1,0,$E$3,1),OFFSET('04 变换后数据'!$H$5:$H$160,ROW()-5-$E$3+1,0,$E$3,1))))</f>
        <v/>
      </c>
      <c r="F98" s="8">
        <f>IF(94&lt;$E$3,0,SUMPRODUCT(--(ROW('04 变换后数据'!$D$5:$D$160)&lt;=ROW()),--ISNUMBER(OFFSET('04 变换后数据'!$D$5:$D$160,ROW()-5-$E$3+1,0,MIN($E$3,ROW()-4),1)),--ISNUMBER(OFFSET('04 变换后数据'!$H$5:$H$160,ROW()-5-$E$3+1,0,MIN($E$3,ROW()-4),1))))</f>
        <v/>
      </c>
      <c r="G98" s="31">
        <f>IF(94&lt;$G$3,"",IF(898=0,"",IF(898&lt;MAX(5,ROUND($G$3*0.8,0)),"样本不足",CORREL(OFFSET('04 变换后数据'!$D$5:$D$160,ROW()-5-$G$3+1,0,$G$3,1),OFFSET('04 变换后数据'!$H$5:$H$160,ROW()-5-$G$3+1,0,$G$3,1))))</f>
        <v/>
      </c>
      <c r="H98" s="8">
        <f>IF(94&lt;$G$3,0,SUMPRODUCT(--(ROW('04 变换后数据'!$D$5:$D$160)&lt;=ROW()),--ISNUMBER(OFFSET('04 变换后数据'!$D$5:$D$160,ROW()-5-$G$3+1,0,MIN($G$3,ROW()-4),1)),--ISNUMBER(OFFSET('04 变换后数据'!$H$5:$H$160,ROW()-5-$G$3+1,0,MIN($G$3,ROW()-4),1))))</f>
        <v/>
      </c>
      <c r="I98" s="8">
        <f>IF(ISNUMBER(E98),IF(ABS(E98)&gt;=0.7,"强",IF(ABS(E98)&gt;=0.4,"中","弱")),"-")</f>
        <v/>
      </c>
    </row>
    <row r="99">
      <c r="A99" s="8" t="n">
        <v>95</v>
      </c>
      <c r="B99" s="8">
        <f>'04 变换后数据'!B99</f>
        <v/>
      </c>
      <c r="C99" s="31">
        <f>IF(95&lt;$C$3,"",IF(499=0,"",IF(499&lt;MAX(5,ROUND($C$3*0.8,0)),"样本不足",CORREL(OFFSET('04 变换后数据'!$D$5:$D$160,ROW()-5-$C$3+1,0,$C$3,1),OFFSET('04 变换后数据'!$H$5:$H$160,ROW()-5-$C$3+1,0,$C$3,1))))</f>
        <v/>
      </c>
      <c r="D99" s="8">
        <f>IF(95&lt;$C$3,0,SUMPRODUCT(--(ROW('04 变换后数据'!$D$5:$D$160)&lt;=ROW()),--ISNUMBER(OFFSET('04 变换后数据'!$D$5:$D$160,ROW()-5-$C$3+1,0,MIN($C$3,ROW()-4),1)),--ISNUMBER(OFFSET('04 变换后数据'!$H$5:$H$160,ROW()-5-$C$3+1,0,MIN($C$3,ROW()-4),1))))</f>
        <v/>
      </c>
      <c r="E99" s="31">
        <f>IF(95&lt;$E$3,"",IF(699=0,"",IF(699&lt;MAX(5,ROUND($E$3*0.8,0)),"样本不足",CORREL(OFFSET('04 变换后数据'!$D$5:$D$160,ROW()-5-$E$3+1,0,$E$3,1),OFFSET('04 变换后数据'!$H$5:$H$160,ROW()-5-$E$3+1,0,$E$3,1))))</f>
        <v/>
      </c>
      <c r="F99" s="8">
        <f>IF(95&lt;$E$3,0,SUMPRODUCT(--(ROW('04 变换后数据'!$D$5:$D$160)&lt;=ROW()),--ISNUMBER(OFFSET('04 变换后数据'!$D$5:$D$160,ROW()-5-$E$3+1,0,MIN($E$3,ROW()-4),1)),--ISNUMBER(OFFSET('04 变换后数据'!$H$5:$H$160,ROW()-5-$E$3+1,0,MIN($E$3,ROW()-4),1))))</f>
        <v/>
      </c>
      <c r="G99" s="31">
        <f>IF(95&lt;$G$3,"",IF(899=0,"",IF(899&lt;MAX(5,ROUND($G$3*0.8,0)),"样本不足",CORREL(OFFSET('04 变换后数据'!$D$5:$D$160,ROW()-5-$G$3+1,0,$G$3,1),OFFSET('04 变换后数据'!$H$5:$H$160,ROW()-5-$G$3+1,0,$G$3,1))))</f>
        <v/>
      </c>
      <c r="H99" s="8">
        <f>IF(95&lt;$G$3,0,SUMPRODUCT(--(ROW('04 变换后数据'!$D$5:$D$160)&lt;=ROW()),--ISNUMBER(OFFSET('04 变换后数据'!$D$5:$D$160,ROW()-5-$G$3+1,0,MIN($G$3,ROW()-4),1)),--ISNUMBER(OFFSET('04 变换后数据'!$H$5:$H$160,ROW()-5-$G$3+1,0,MIN($G$3,ROW()-4),1))))</f>
        <v/>
      </c>
      <c r="I99" s="8">
        <f>IF(ISNUMBER(E99),IF(ABS(E99)&gt;=0.7,"强",IF(ABS(E99)&gt;=0.4,"中","弱")),"-")</f>
        <v/>
      </c>
    </row>
    <row r="100">
      <c r="A100" s="8" t="n">
        <v>96</v>
      </c>
      <c r="B100" s="8">
        <f>'04 变换后数据'!B100</f>
        <v/>
      </c>
      <c r="C100" s="31">
        <f>IF(96&lt;$C$3,"",IF(4100=0,"",IF(4100&lt;MAX(5,ROUND($C$3*0.8,0)),"样本不足",CORREL(OFFSET('04 变换后数据'!$D$5:$D$160,ROW()-5-$C$3+1,0,$C$3,1),OFFSET('04 变换后数据'!$H$5:$H$160,ROW()-5-$C$3+1,0,$C$3,1))))</f>
        <v/>
      </c>
      <c r="D100" s="8">
        <f>IF(96&lt;$C$3,0,SUMPRODUCT(--(ROW('04 变换后数据'!$D$5:$D$160)&lt;=ROW()),--ISNUMBER(OFFSET('04 变换后数据'!$D$5:$D$160,ROW()-5-$C$3+1,0,MIN($C$3,ROW()-4),1)),--ISNUMBER(OFFSET('04 变换后数据'!$H$5:$H$160,ROW()-5-$C$3+1,0,MIN($C$3,ROW()-4),1))))</f>
        <v/>
      </c>
      <c r="E100" s="31">
        <f>IF(96&lt;$E$3,"",IF(6100=0,"",IF(6100&lt;MAX(5,ROUND($E$3*0.8,0)),"样本不足",CORREL(OFFSET('04 变换后数据'!$D$5:$D$160,ROW()-5-$E$3+1,0,$E$3,1),OFFSET('04 变换后数据'!$H$5:$H$160,ROW()-5-$E$3+1,0,$E$3,1))))</f>
        <v/>
      </c>
      <c r="F100" s="8">
        <f>IF(96&lt;$E$3,0,SUMPRODUCT(--(ROW('04 变换后数据'!$D$5:$D$160)&lt;=ROW()),--ISNUMBER(OFFSET('04 变换后数据'!$D$5:$D$160,ROW()-5-$E$3+1,0,MIN($E$3,ROW()-4),1)),--ISNUMBER(OFFSET('04 变换后数据'!$H$5:$H$160,ROW()-5-$E$3+1,0,MIN($E$3,ROW()-4),1))))</f>
        <v/>
      </c>
      <c r="G100" s="31">
        <f>IF(96&lt;$G$3,"",IF(8100=0,"",IF(8100&lt;MAX(5,ROUND($G$3*0.8,0)),"样本不足",CORREL(OFFSET('04 变换后数据'!$D$5:$D$160,ROW()-5-$G$3+1,0,$G$3,1),OFFSET('04 变换后数据'!$H$5:$H$160,ROW()-5-$G$3+1,0,$G$3,1))))</f>
        <v/>
      </c>
      <c r="H100" s="8">
        <f>IF(96&lt;$G$3,0,SUMPRODUCT(--(ROW('04 变换后数据'!$D$5:$D$160)&lt;=ROW()),--ISNUMBER(OFFSET('04 变换后数据'!$D$5:$D$160,ROW()-5-$G$3+1,0,MIN($G$3,ROW()-4),1)),--ISNUMBER(OFFSET('04 变换后数据'!$H$5:$H$160,ROW()-5-$G$3+1,0,MIN($G$3,ROW()-4),1))))</f>
        <v/>
      </c>
      <c r="I100" s="8">
        <f>IF(ISNUMBER(E100),IF(ABS(E100)&gt;=0.7,"强",IF(ABS(E100)&gt;=0.4,"中","弱")),"-")</f>
        <v/>
      </c>
    </row>
    <row r="101">
      <c r="A101" s="8" t="n">
        <v>97</v>
      </c>
      <c r="B101" s="8">
        <f>'04 变换后数据'!B101</f>
        <v/>
      </c>
      <c r="C101" s="31">
        <f>IF(97&lt;$C$3,"",IF(4101=0,"",IF(4101&lt;MAX(5,ROUND($C$3*0.8,0)),"样本不足",CORREL(OFFSET('04 变换后数据'!$D$5:$D$160,ROW()-5-$C$3+1,0,$C$3,1),OFFSET('04 变换后数据'!$H$5:$H$160,ROW()-5-$C$3+1,0,$C$3,1))))</f>
        <v/>
      </c>
      <c r="D101" s="8">
        <f>IF(97&lt;$C$3,0,SUMPRODUCT(--(ROW('04 变换后数据'!$D$5:$D$160)&lt;=ROW()),--ISNUMBER(OFFSET('04 变换后数据'!$D$5:$D$160,ROW()-5-$C$3+1,0,MIN($C$3,ROW()-4),1)),--ISNUMBER(OFFSET('04 变换后数据'!$H$5:$H$160,ROW()-5-$C$3+1,0,MIN($C$3,ROW()-4),1))))</f>
        <v/>
      </c>
      <c r="E101" s="31">
        <f>IF(97&lt;$E$3,"",IF(6101=0,"",IF(6101&lt;MAX(5,ROUND($E$3*0.8,0)),"样本不足",CORREL(OFFSET('04 变换后数据'!$D$5:$D$160,ROW()-5-$E$3+1,0,$E$3,1),OFFSET('04 变换后数据'!$H$5:$H$160,ROW()-5-$E$3+1,0,$E$3,1))))</f>
        <v/>
      </c>
      <c r="F101" s="8">
        <f>IF(97&lt;$E$3,0,SUMPRODUCT(--(ROW('04 变换后数据'!$D$5:$D$160)&lt;=ROW()),--ISNUMBER(OFFSET('04 变换后数据'!$D$5:$D$160,ROW()-5-$E$3+1,0,MIN($E$3,ROW()-4),1)),--ISNUMBER(OFFSET('04 变换后数据'!$H$5:$H$160,ROW()-5-$E$3+1,0,MIN($E$3,ROW()-4),1))))</f>
        <v/>
      </c>
      <c r="G101" s="31">
        <f>IF(97&lt;$G$3,"",IF(8101=0,"",IF(8101&lt;MAX(5,ROUND($G$3*0.8,0)),"样本不足",CORREL(OFFSET('04 变换后数据'!$D$5:$D$160,ROW()-5-$G$3+1,0,$G$3,1),OFFSET('04 变换后数据'!$H$5:$H$160,ROW()-5-$G$3+1,0,$G$3,1))))</f>
        <v/>
      </c>
      <c r="H101" s="8">
        <f>IF(97&lt;$G$3,0,SUMPRODUCT(--(ROW('04 变换后数据'!$D$5:$D$160)&lt;=ROW()),--ISNUMBER(OFFSET('04 变换后数据'!$D$5:$D$160,ROW()-5-$G$3+1,0,MIN($G$3,ROW()-4),1)),--ISNUMBER(OFFSET('04 变换后数据'!$H$5:$H$160,ROW()-5-$G$3+1,0,MIN($G$3,ROW()-4),1))))</f>
        <v/>
      </c>
      <c r="I101" s="8">
        <f>IF(ISNUMBER(E101),IF(ABS(E101)&gt;=0.7,"强",IF(ABS(E101)&gt;=0.4,"中","弱")),"-")</f>
        <v/>
      </c>
    </row>
    <row r="102">
      <c r="A102" s="8" t="n">
        <v>98</v>
      </c>
      <c r="B102" s="8">
        <f>'04 变换后数据'!B102</f>
        <v/>
      </c>
      <c r="C102" s="31">
        <f>IF(98&lt;$C$3,"",IF(4102=0,"",IF(4102&lt;MAX(5,ROUND($C$3*0.8,0)),"样本不足",CORREL(OFFSET('04 变换后数据'!$D$5:$D$160,ROW()-5-$C$3+1,0,$C$3,1),OFFSET('04 变换后数据'!$H$5:$H$160,ROW()-5-$C$3+1,0,$C$3,1))))</f>
        <v/>
      </c>
      <c r="D102" s="8">
        <f>IF(98&lt;$C$3,0,SUMPRODUCT(--(ROW('04 变换后数据'!$D$5:$D$160)&lt;=ROW()),--ISNUMBER(OFFSET('04 变换后数据'!$D$5:$D$160,ROW()-5-$C$3+1,0,MIN($C$3,ROW()-4),1)),--ISNUMBER(OFFSET('04 变换后数据'!$H$5:$H$160,ROW()-5-$C$3+1,0,MIN($C$3,ROW()-4),1))))</f>
        <v/>
      </c>
      <c r="E102" s="31">
        <f>IF(98&lt;$E$3,"",IF(6102=0,"",IF(6102&lt;MAX(5,ROUND($E$3*0.8,0)),"样本不足",CORREL(OFFSET('04 变换后数据'!$D$5:$D$160,ROW()-5-$E$3+1,0,$E$3,1),OFFSET('04 变换后数据'!$H$5:$H$160,ROW()-5-$E$3+1,0,$E$3,1))))</f>
        <v/>
      </c>
      <c r="F102" s="8">
        <f>IF(98&lt;$E$3,0,SUMPRODUCT(--(ROW('04 变换后数据'!$D$5:$D$160)&lt;=ROW()),--ISNUMBER(OFFSET('04 变换后数据'!$D$5:$D$160,ROW()-5-$E$3+1,0,MIN($E$3,ROW()-4),1)),--ISNUMBER(OFFSET('04 变换后数据'!$H$5:$H$160,ROW()-5-$E$3+1,0,MIN($E$3,ROW()-4),1))))</f>
        <v/>
      </c>
      <c r="G102" s="31">
        <f>IF(98&lt;$G$3,"",IF(8102=0,"",IF(8102&lt;MAX(5,ROUND($G$3*0.8,0)),"样本不足",CORREL(OFFSET('04 变换后数据'!$D$5:$D$160,ROW()-5-$G$3+1,0,$G$3,1),OFFSET('04 变换后数据'!$H$5:$H$160,ROW()-5-$G$3+1,0,$G$3,1))))</f>
        <v/>
      </c>
      <c r="H102" s="8">
        <f>IF(98&lt;$G$3,0,SUMPRODUCT(--(ROW('04 变换后数据'!$D$5:$D$160)&lt;=ROW()),--ISNUMBER(OFFSET('04 变换后数据'!$D$5:$D$160,ROW()-5-$G$3+1,0,MIN($G$3,ROW()-4),1)),--ISNUMBER(OFFSET('04 变换后数据'!$H$5:$H$160,ROW()-5-$G$3+1,0,MIN($G$3,ROW()-4),1))))</f>
        <v/>
      </c>
      <c r="I102" s="8">
        <f>IF(ISNUMBER(E102),IF(ABS(E102)&gt;=0.7,"强",IF(ABS(E102)&gt;=0.4,"中","弱")),"-")</f>
        <v/>
      </c>
    </row>
    <row r="103">
      <c r="A103" s="8" t="n">
        <v>99</v>
      </c>
      <c r="B103" s="8">
        <f>'04 变换后数据'!B103</f>
        <v/>
      </c>
      <c r="C103" s="31">
        <f>IF(99&lt;$C$3,"",IF(4103=0,"",IF(4103&lt;MAX(5,ROUND($C$3*0.8,0)),"样本不足",CORREL(OFFSET('04 变换后数据'!$D$5:$D$160,ROW()-5-$C$3+1,0,$C$3,1),OFFSET('04 变换后数据'!$H$5:$H$160,ROW()-5-$C$3+1,0,$C$3,1))))</f>
        <v/>
      </c>
      <c r="D103" s="8">
        <f>IF(99&lt;$C$3,0,SUMPRODUCT(--(ROW('04 变换后数据'!$D$5:$D$160)&lt;=ROW()),--ISNUMBER(OFFSET('04 变换后数据'!$D$5:$D$160,ROW()-5-$C$3+1,0,MIN($C$3,ROW()-4),1)),--ISNUMBER(OFFSET('04 变换后数据'!$H$5:$H$160,ROW()-5-$C$3+1,0,MIN($C$3,ROW()-4),1))))</f>
        <v/>
      </c>
      <c r="E103" s="31">
        <f>IF(99&lt;$E$3,"",IF(6103=0,"",IF(6103&lt;MAX(5,ROUND($E$3*0.8,0)),"样本不足",CORREL(OFFSET('04 变换后数据'!$D$5:$D$160,ROW()-5-$E$3+1,0,$E$3,1),OFFSET('04 变换后数据'!$H$5:$H$160,ROW()-5-$E$3+1,0,$E$3,1))))</f>
        <v/>
      </c>
      <c r="F103" s="8">
        <f>IF(99&lt;$E$3,0,SUMPRODUCT(--(ROW('04 变换后数据'!$D$5:$D$160)&lt;=ROW()),--ISNUMBER(OFFSET('04 变换后数据'!$D$5:$D$160,ROW()-5-$E$3+1,0,MIN($E$3,ROW()-4),1)),--ISNUMBER(OFFSET('04 变换后数据'!$H$5:$H$160,ROW()-5-$E$3+1,0,MIN($E$3,ROW()-4),1))))</f>
        <v/>
      </c>
      <c r="G103" s="31">
        <f>IF(99&lt;$G$3,"",IF(8103=0,"",IF(8103&lt;MAX(5,ROUND($G$3*0.8,0)),"样本不足",CORREL(OFFSET('04 变换后数据'!$D$5:$D$160,ROW()-5-$G$3+1,0,$G$3,1),OFFSET('04 变换后数据'!$H$5:$H$160,ROW()-5-$G$3+1,0,$G$3,1))))</f>
        <v/>
      </c>
      <c r="H103" s="8">
        <f>IF(99&lt;$G$3,0,SUMPRODUCT(--(ROW('04 变换后数据'!$D$5:$D$160)&lt;=ROW()),--ISNUMBER(OFFSET('04 变换后数据'!$D$5:$D$160,ROW()-5-$G$3+1,0,MIN($G$3,ROW()-4),1)),--ISNUMBER(OFFSET('04 变换后数据'!$H$5:$H$160,ROW()-5-$G$3+1,0,MIN($G$3,ROW()-4),1))))</f>
        <v/>
      </c>
      <c r="I103" s="8">
        <f>IF(ISNUMBER(E103),IF(ABS(E103)&gt;=0.7,"强",IF(ABS(E103)&gt;=0.4,"中","弱")),"-")</f>
        <v/>
      </c>
    </row>
    <row r="104">
      <c r="A104" s="8" t="n">
        <v>100</v>
      </c>
      <c r="B104" s="8">
        <f>'04 变换后数据'!B104</f>
        <v/>
      </c>
      <c r="C104" s="31">
        <f>IF(100&lt;$C$3,"",IF(4104=0,"",IF(4104&lt;MAX(5,ROUND($C$3*0.8,0)),"样本不足",CORREL(OFFSET('04 变换后数据'!$D$5:$D$160,ROW()-5-$C$3+1,0,$C$3,1),OFFSET('04 变换后数据'!$H$5:$H$160,ROW()-5-$C$3+1,0,$C$3,1))))</f>
        <v/>
      </c>
      <c r="D104" s="8">
        <f>IF(100&lt;$C$3,0,SUMPRODUCT(--(ROW('04 变换后数据'!$D$5:$D$160)&lt;=ROW()),--ISNUMBER(OFFSET('04 变换后数据'!$D$5:$D$160,ROW()-5-$C$3+1,0,MIN($C$3,ROW()-4),1)),--ISNUMBER(OFFSET('04 变换后数据'!$H$5:$H$160,ROW()-5-$C$3+1,0,MIN($C$3,ROW()-4),1))))</f>
        <v/>
      </c>
      <c r="E104" s="31">
        <f>IF(100&lt;$E$3,"",IF(6104=0,"",IF(6104&lt;MAX(5,ROUND($E$3*0.8,0)),"样本不足",CORREL(OFFSET('04 变换后数据'!$D$5:$D$160,ROW()-5-$E$3+1,0,$E$3,1),OFFSET('04 变换后数据'!$H$5:$H$160,ROW()-5-$E$3+1,0,$E$3,1))))</f>
        <v/>
      </c>
      <c r="F104" s="8">
        <f>IF(100&lt;$E$3,0,SUMPRODUCT(--(ROW('04 变换后数据'!$D$5:$D$160)&lt;=ROW()),--ISNUMBER(OFFSET('04 变换后数据'!$D$5:$D$160,ROW()-5-$E$3+1,0,MIN($E$3,ROW()-4),1)),--ISNUMBER(OFFSET('04 变换后数据'!$H$5:$H$160,ROW()-5-$E$3+1,0,MIN($E$3,ROW()-4),1))))</f>
        <v/>
      </c>
      <c r="G104" s="31">
        <f>IF(100&lt;$G$3,"",IF(8104=0,"",IF(8104&lt;MAX(5,ROUND($G$3*0.8,0)),"样本不足",CORREL(OFFSET('04 变换后数据'!$D$5:$D$160,ROW()-5-$G$3+1,0,$G$3,1),OFFSET('04 变换后数据'!$H$5:$H$160,ROW()-5-$G$3+1,0,$G$3,1))))</f>
        <v/>
      </c>
      <c r="H104" s="8">
        <f>IF(100&lt;$G$3,0,SUMPRODUCT(--(ROW('04 变换后数据'!$D$5:$D$160)&lt;=ROW()),--ISNUMBER(OFFSET('04 变换后数据'!$D$5:$D$160,ROW()-5-$G$3+1,0,MIN($G$3,ROW()-4),1)),--ISNUMBER(OFFSET('04 变换后数据'!$H$5:$H$160,ROW()-5-$G$3+1,0,MIN($G$3,ROW()-4),1))))</f>
        <v/>
      </c>
      <c r="I104" s="8">
        <f>IF(ISNUMBER(E104),IF(ABS(E104)&gt;=0.7,"强",IF(ABS(E104)&gt;=0.4,"中","弱")),"-")</f>
        <v/>
      </c>
    </row>
    <row r="105">
      <c r="A105" s="8" t="n">
        <v>101</v>
      </c>
      <c r="B105" s="8">
        <f>'04 变换后数据'!B105</f>
        <v/>
      </c>
      <c r="C105" s="31">
        <f>IF(101&lt;$C$3,"",IF(4105=0,"",IF(4105&lt;MAX(5,ROUND($C$3*0.8,0)),"样本不足",CORREL(OFFSET('04 变换后数据'!$D$5:$D$160,ROW()-5-$C$3+1,0,$C$3,1),OFFSET('04 变换后数据'!$H$5:$H$160,ROW()-5-$C$3+1,0,$C$3,1))))</f>
        <v/>
      </c>
      <c r="D105" s="8">
        <f>IF(101&lt;$C$3,0,SUMPRODUCT(--(ROW('04 变换后数据'!$D$5:$D$160)&lt;=ROW()),--ISNUMBER(OFFSET('04 变换后数据'!$D$5:$D$160,ROW()-5-$C$3+1,0,MIN($C$3,ROW()-4),1)),--ISNUMBER(OFFSET('04 变换后数据'!$H$5:$H$160,ROW()-5-$C$3+1,0,MIN($C$3,ROW()-4),1))))</f>
        <v/>
      </c>
      <c r="E105" s="31">
        <f>IF(101&lt;$E$3,"",IF(6105=0,"",IF(6105&lt;MAX(5,ROUND($E$3*0.8,0)),"样本不足",CORREL(OFFSET('04 变换后数据'!$D$5:$D$160,ROW()-5-$E$3+1,0,$E$3,1),OFFSET('04 变换后数据'!$H$5:$H$160,ROW()-5-$E$3+1,0,$E$3,1))))</f>
        <v/>
      </c>
      <c r="F105" s="8">
        <f>IF(101&lt;$E$3,0,SUMPRODUCT(--(ROW('04 变换后数据'!$D$5:$D$160)&lt;=ROW()),--ISNUMBER(OFFSET('04 变换后数据'!$D$5:$D$160,ROW()-5-$E$3+1,0,MIN($E$3,ROW()-4),1)),--ISNUMBER(OFFSET('04 变换后数据'!$H$5:$H$160,ROW()-5-$E$3+1,0,MIN($E$3,ROW()-4),1))))</f>
        <v/>
      </c>
      <c r="G105" s="31">
        <f>IF(101&lt;$G$3,"",IF(8105=0,"",IF(8105&lt;MAX(5,ROUND($G$3*0.8,0)),"样本不足",CORREL(OFFSET('04 变换后数据'!$D$5:$D$160,ROW()-5-$G$3+1,0,$G$3,1),OFFSET('04 变换后数据'!$H$5:$H$160,ROW()-5-$G$3+1,0,$G$3,1))))</f>
        <v/>
      </c>
      <c r="H105" s="8">
        <f>IF(101&lt;$G$3,0,SUMPRODUCT(--(ROW('04 变换后数据'!$D$5:$D$160)&lt;=ROW()),--ISNUMBER(OFFSET('04 变换后数据'!$D$5:$D$160,ROW()-5-$G$3+1,0,MIN($G$3,ROW()-4),1)),--ISNUMBER(OFFSET('04 变换后数据'!$H$5:$H$160,ROW()-5-$G$3+1,0,MIN($G$3,ROW()-4),1))))</f>
        <v/>
      </c>
      <c r="I105" s="8">
        <f>IF(ISNUMBER(E105),IF(ABS(E105)&gt;=0.7,"强",IF(ABS(E105)&gt;=0.4,"中","弱")),"-")</f>
        <v/>
      </c>
    </row>
    <row r="106">
      <c r="A106" s="8" t="n">
        <v>102</v>
      </c>
      <c r="B106" s="8">
        <f>'04 变换后数据'!B106</f>
        <v/>
      </c>
      <c r="C106" s="31">
        <f>IF(102&lt;$C$3,"",IF(4106=0,"",IF(4106&lt;MAX(5,ROUND($C$3*0.8,0)),"样本不足",CORREL(OFFSET('04 变换后数据'!$D$5:$D$160,ROW()-5-$C$3+1,0,$C$3,1),OFFSET('04 变换后数据'!$H$5:$H$160,ROW()-5-$C$3+1,0,$C$3,1))))</f>
        <v/>
      </c>
      <c r="D106" s="8">
        <f>IF(102&lt;$C$3,0,SUMPRODUCT(--(ROW('04 变换后数据'!$D$5:$D$160)&lt;=ROW()),--ISNUMBER(OFFSET('04 变换后数据'!$D$5:$D$160,ROW()-5-$C$3+1,0,MIN($C$3,ROW()-4),1)),--ISNUMBER(OFFSET('04 变换后数据'!$H$5:$H$160,ROW()-5-$C$3+1,0,MIN($C$3,ROW()-4),1))))</f>
        <v/>
      </c>
      <c r="E106" s="31">
        <f>IF(102&lt;$E$3,"",IF(6106=0,"",IF(6106&lt;MAX(5,ROUND($E$3*0.8,0)),"样本不足",CORREL(OFFSET('04 变换后数据'!$D$5:$D$160,ROW()-5-$E$3+1,0,$E$3,1),OFFSET('04 变换后数据'!$H$5:$H$160,ROW()-5-$E$3+1,0,$E$3,1))))</f>
        <v/>
      </c>
      <c r="F106" s="8">
        <f>IF(102&lt;$E$3,0,SUMPRODUCT(--(ROW('04 变换后数据'!$D$5:$D$160)&lt;=ROW()),--ISNUMBER(OFFSET('04 变换后数据'!$D$5:$D$160,ROW()-5-$E$3+1,0,MIN($E$3,ROW()-4),1)),--ISNUMBER(OFFSET('04 变换后数据'!$H$5:$H$160,ROW()-5-$E$3+1,0,MIN($E$3,ROW()-4),1))))</f>
        <v/>
      </c>
      <c r="G106" s="31">
        <f>IF(102&lt;$G$3,"",IF(8106=0,"",IF(8106&lt;MAX(5,ROUND($G$3*0.8,0)),"样本不足",CORREL(OFFSET('04 变换后数据'!$D$5:$D$160,ROW()-5-$G$3+1,0,$G$3,1),OFFSET('04 变换后数据'!$H$5:$H$160,ROW()-5-$G$3+1,0,$G$3,1))))</f>
        <v/>
      </c>
      <c r="H106" s="8">
        <f>IF(102&lt;$G$3,0,SUMPRODUCT(--(ROW('04 变换后数据'!$D$5:$D$160)&lt;=ROW()),--ISNUMBER(OFFSET('04 变换后数据'!$D$5:$D$160,ROW()-5-$G$3+1,0,MIN($G$3,ROW()-4),1)),--ISNUMBER(OFFSET('04 变换后数据'!$H$5:$H$160,ROW()-5-$G$3+1,0,MIN($G$3,ROW()-4),1))))</f>
        <v/>
      </c>
      <c r="I106" s="8">
        <f>IF(ISNUMBER(E106),IF(ABS(E106)&gt;=0.7,"强",IF(ABS(E106)&gt;=0.4,"中","弱")),"-")</f>
        <v/>
      </c>
    </row>
    <row r="107">
      <c r="A107" s="8" t="n">
        <v>103</v>
      </c>
      <c r="B107" s="8">
        <f>'04 变换后数据'!B107</f>
        <v/>
      </c>
      <c r="C107" s="31">
        <f>IF(103&lt;$C$3,"",IF(4107=0,"",IF(4107&lt;MAX(5,ROUND($C$3*0.8,0)),"样本不足",CORREL(OFFSET('04 变换后数据'!$D$5:$D$160,ROW()-5-$C$3+1,0,$C$3,1),OFFSET('04 变换后数据'!$H$5:$H$160,ROW()-5-$C$3+1,0,$C$3,1))))</f>
        <v/>
      </c>
      <c r="D107" s="8">
        <f>IF(103&lt;$C$3,0,SUMPRODUCT(--(ROW('04 变换后数据'!$D$5:$D$160)&lt;=ROW()),--ISNUMBER(OFFSET('04 变换后数据'!$D$5:$D$160,ROW()-5-$C$3+1,0,MIN($C$3,ROW()-4),1)),--ISNUMBER(OFFSET('04 变换后数据'!$H$5:$H$160,ROW()-5-$C$3+1,0,MIN($C$3,ROW()-4),1))))</f>
        <v/>
      </c>
      <c r="E107" s="31">
        <f>IF(103&lt;$E$3,"",IF(6107=0,"",IF(6107&lt;MAX(5,ROUND($E$3*0.8,0)),"样本不足",CORREL(OFFSET('04 变换后数据'!$D$5:$D$160,ROW()-5-$E$3+1,0,$E$3,1),OFFSET('04 变换后数据'!$H$5:$H$160,ROW()-5-$E$3+1,0,$E$3,1))))</f>
        <v/>
      </c>
      <c r="F107" s="8">
        <f>IF(103&lt;$E$3,0,SUMPRODUCT(--(ROW('04 变换后数据'!$D$5:$D$160)&lt;=ROW()),--ISNUMBER(OFFSET('04 变换后数据'!$D$5:$D$160,ROW()-5-$E$3+1,0,MIN($E$3,ROW()-4),1)),--ISNUMBER(OFFSET('04 变换后数据'!$H$5:$H$160,ROW()-5-$E$3+1,0,MIN($E$3,ROW()-4),1))))</f>
        <v/>
      </c>
      <c r="G107" s="31">
        <f>IF(103&lt;$G$3,"",IF(8107=0,"",IF(8107&lt;MAX(5,ROUND($G$3*0.8,0)),"样本不足",CORREL(OFFSET('04 变换后数据'!$D$5:$D$160,ROW()-5-$G$3+1,0,$G$3,1),OFFSET('04 变换后数据'!$H$5:$H$160,ROW()-5-$G$3+1,0,$G$3,1))))</f>
        <v/>
      </c>
      <c r="H107" s="8">
        <f>IF(103&lt;$G$3,0,SUMPRODUCT(--(ROW('04 变换后数据'!$D$5:$D$160)&lt;=ROW()),--ISNUMBER(OFFSET('04 变换后数据'!$D$5:$D$160,ROW()-5-$G$3+1,0,MIN($G$3,ROW()-4),1)),--ISNUMBER(OFFSET('04 变换后数据'!$H$5:$H$160,ROW()-5-$G$3+1,0,MIN($G$3,ROW()-4),1))))</f>
        <v/>
      </c>
      <c r="I107" s="8">
        <f>IF(ISNUMBER(E107),IF(ABS(E107)&gt;=0.7,"强",IF(ABS(E107)&gt;=0.4,"中","弱")),"-")</f>
        <v/>
      </c>
    </row>
    <row r="108">
      <c r="A108" s="8" t="n">
        <v>104</v>
      </c>
      <c r="B108" s="8">
        <f>'04 变换后数据'!B108</f>
        <v/>
      </c>
      <c r="C108" s="31">
        <f>IF(104&lt;$C$3,"",IF(4108=0,"",IF(4108&lt;MAX(5,ROUND($C$3*0.8,0)),"样本不足",CORREL(OFFSET('04 变换后数据'!$D$5:$D$160,ROW()-5-$C$3+1,0,$C$3,1),OFFSET('04 变换后数据'!$H$5:$H$160,ROW()-5-$C$3+1,0,$C$3,1))))</f>
        <v/>
      </c>
      <c r="D108" s="8">
        <f>IF(104&lt;$C$3,0,SUMPRODUCT(--(ROW('04 变换后数据'!$D$5:$D$160)&lt;=ROW()),--ISNUMBER(OFFSET('04 变换后数据'!$D$5:$D$160,ROW()-5-$C$3+1,0,MIN($C$3,ROW()-4),1)),--ISNUMBER(OFFSET('04 变换后数据'!$H$5:$H$160,ROW()-5-$C$3+1,0,MIN($C$3,ROW()-4),1))))</f>
        <v/>
      </c>
      <c r="E108" s="31">
        <f>IF(104&lt;$E$3,"",IF(6108=0,"",IF(6108&lt;MAX(5,ROUND($E$3*0.8,0)),"样本不足",CORREL(OFFSET('04 变换后数据'!$D$5:$D$160,ROW()-5-$E$3+1,0,$E$3,1),OFFSET('04 变换后数据'!$H$5:$H$160,ROW()-5-$E$3+1,0,$E$3,1))))</f>
        <v/>
      </c>
      <c r="F108" s="8">
        <f>IF(104&lt;$E$3,0,SUMPRODUCT(--(ROW('04 变换后数据'!$D$5:$D$160)&lt;=ROW()),--ISNUMBER(OFFSET('04 变换后数据'!$D$5:$D$160,ROW()-5-$E$3+1,0,MIN($E$3,ROW()-4),1)),--ISNUMBER(OFFSET('04 变换后数据'!$H$5:$H$160,ROW()-5-$E$3+1,0,MIN($E$3,ROW()-4),1))))</f>
        <v/>
      </c>
      <c r="G108" s="31">
        <f>IF(104&lt;$G$3,"",IF(8108=0,"",IF(8108&lt;MAX(5,ROUND($G$3*0.8,0)),"样本不足",CORREL(OFFSET('04 变换后数据'!$D$5:$D$160,ROW()-5-$G$3+1,0,$G$3,1),OFFSET('04 变换后数据'!$H$5:$H$160,ROW()-5-$G$3+1,0,$G$3,1))))</f>
        <v/>
      </c>
      <c r="H108" s="8">
        <f>IF(104&lt;$G$3,0,SUMPRODUCT(--(ROW('04 变换后数据'!$D$5:$D$160)&lt;=ROW()),--ISNUMBER(OFFSET('04 变换后数据'!$D$5:$D$160,ROW()-5-$G$3+1,0,MIN($G$3,ROW()-4),1)),--ISNUMBER(OFFSET('04 变换后数据'!$H$5:$H$160,ROW()-5-$G$3+1,0,MIN($G$3,ROW()-4),1))))</f>
        <v/>
      </c>
      <c r="I108" s="8">
        <f>IF(ISNUMBER(E108),IF(ABS(E108)&gt;=0.7,"强",IF(ABS(E108)&gt;=0.4,"中","弱")),"-")</f>
        <v/>
      </c>
    </row>
    <row r="109">
      <c r="A109" s="8" t="n">
        <v>105</v>
      </c>
      <c r="B109" s="8">
        <f>'04 变换后数据'!B109</f>
        <v/>
      </c>
      <c r="C109" s="31">
        <f>IF(105&lt;$C$3,"",IF(4109=0,"",IF(4109&lt;MAX(5,ROUND($C$3*0.8,0)),"样本不足",CORREL(OFFSET('04 变换后数据'!$D$5:$D$160,ROW()-5-$C$3+1,0,$C$3,1),OFFSET('04 变换后数据'!$H$5:$H$160,ROW()-5-$C$3+1,0,$C$3,1))))</f>
        <v/>
      </c>
      <c r="D109" s="8">
        <f>IF(105&lt;$C$3,0,SUMPRODUCT(--(ROW('04 变换后数据'!$D$5:$D$160)&lt;=ROW()),--ISNUMBER(OFFSET('04 变换后数据'!$D$5:$D$160,ROW()-5-$C$3+1,0,MIN($C$3,ROW()-4),1)),--ISNUMBER(OFFSET('04 变换后数据'!$H$5:$H$160,ROW()-5-$C$3+1,0,MIN($C$3,ROW()-4),1))))</f>
        <v/>
      </c>
      <c r="E109" s="31">
        <f>IF(105&lt;$E$3,"",IF(6109=0,"",IF(6109&lt;MAX(5,ROUND($E$3*0.8,0)),"样本不足",CORREL(OFFSET('04 变换后数据'!$D$5:$D$160,ROW()-5-$E$3+1,0,$E$3,1),OFFSET('04 变换后数据'!$H$5:$H$160,ROW()-5-$E$3+1,0,$E$3,1))))</f>
        <v/>
      </c>
      <c r="F109" s="8">
        <f>IF(105&lt;$E$3,0,SUMPRODUCT(--(ROW('04 变换后数据'!$D$5:$D$160)&lt;=ROW()),--ISNUMBER(OFFSET('04 变换后数据'!$D$5:$D$160,ROW()-5-$E$3+1,0,MIN($E$3,ROW()-4),1)),--ISNUMBER(OFFSET('04 变换后数据'!$H$5:$H$160,ROW()-5-$E$3+1,0,MIN($E$3,ROW()-4),1))))</f>
        <v/>
      </c>
      <c r="G109" s="31">
        <f>IF(105&lt;$G$3,"",IF(8109=0,"",IF(8109&lt;MAX(5,ROUND($G$3*0.8,0)),"样本不足",CORREL(OFFSET('04 变换后数据'!$D$5:$D$160,ROW()-5-$G$3+1,0,$G$3,1),OFFSET('04 变换后数据'!$H$5:$H$160,ROW()-5-$G$3+1,0,$G$3,1))))</f>
        <v/>
      </c>
      <c r="H109" s="8">
        <f>IF(105&lt;$G$3,0,SUMPRODUCT(--(ROW('04 变换后数据'!$D$5:$D$160)&lt;=ROW()),--ISNUMBER(OFFSET('04 变换后数据'!$D$5:$D$160,ROW()-5-$G$3+1,0,MIN($G$3,ROW()-4),1)),--ISNUMBER(OFFSET('04 变换后数据'!$H$5:$H$160,ROW()-5-$G$3+1,0,MIN($G$3,ROW()-4),1))))</f>
        <v/>
      </c>
      <c r="I109" s="8">
        <f>IF(ISNUMBER(E109),IF(ABS(E109)&gt;=0.7,"强",IF(ABS(E109)&gt;=0.4,"中","弱")),"-")</f>
        <v/>
      </c>
    </row>
    <row r="110">
      <c r="A110" s="8" t="n">
        <v>106</v>
      </c>
      <c r="B110" s="8">
        <f>'04 变换后数据'!B110</f>
        <v/>
      </c>
      <c r="C110" s="31">
        <f>IF(106&lt;$C$3,"",IF(4110=0,"",IF(4110&lt;MAX(5,ROUND($C$3*0.8,0)),"样本不足",CORREL(OFFSET('04 变换后数据'!$D$5:$D$160,ROW()-5-$C$3+1,0,$C$3,1),OFFSET('04 变换后数据'!$H$5:$H$160,ROW()-5-$C$3+1,0,$C$3,1))))</f>
        <v/>
      </c>
      <c r="D110" s="8">
        <f>IF(106&lt;$C$3,0,SUMPRODUCT(--(ROW('04 变换后数据'!$D$5:$D$160)&lt;=ROW()),--ISNUMBER(OFFSET('04 变换后数据'!$D$5:$D$160,ROW()-5-$C$3+1,0,MIN($C$3,ROW()-4),1)),--ISNUMBER(OFFSET('04 变换后数据'!$H$5:$H$160,ROW()-5-$C$3+1,0,MIN($C$3,ROW()-4),1))))</f>
        <v/>
      </c>
      <c r="E110" s="31">
        <f>IF(106&lt;$E$3,"",IF(6110=0,"",IF(6110&lt;MAX(5,ROUND($E$3*0.8,0)),"样本不足",CORREL(OFFSET('04 变换后数据'!$D$5:$D$160,ROW()-5-$E$3+1,0,$E$3,1),OFFSET('04 变换后数据'!$H$5:$H$160,ROW()-5-$E$3+1,0,$E$3,1))))</f>
        <v/>
      </c>
      <c r="F110" s="8">
        <f>IF(106&lt;$E$3,0,SUMPRODUCT(--(ROW('04 变换后数据'!$D$5:$D$160)&lt;=ROW()),--ISNUMBER(OFFSET('04 变换后数据'!$D$5:$D$160,ROW()-5-$E$3+1,0,MIN($E$3,ROW()-4),1)),--ISNUMBER(OFFSET('04 变换后数据'!$H$5:$H$160,ROW()-5-$E$3+1,0,MIN($E$3,ROW()-4),1))))</f>
        <v/>
      </c>
      <c r="G110" s="31">
        <f>IF(106&lt;$G$3,"",IF(8110=0,"",IF(8110&lt;MAX(5,ROUND($G$3*0.8,0)),"样本不足",CORREL(OFFSET('04 变换后数据'!$D$5:$D$160,ROW()-5-$G$3+1,0,$G$3,1),OFFSET('04 变换后数据'!$H$5:$H$160,ROW()-5-$G$3+1,0,$G$3,1))))</f>
        <v/>
      </c>
      <c r="H110" s="8">
        <f>IF(106&lt;$G$3,0,SUMPRODUCT(--(ROW('04 变换后数据'!$D$5:$D$160)&lt;=ROW()),--ISNUMBER(OFFSET('04 变换后数据'!$D$5:$D$160,ROW()-5-$G$3+1,0,MIN($G$3,ROW()-4),1)),--ISNUMBER(OFFSET('04 变换后数据'!$H$5:$H$160,ROW()-5-$G$3+1,0,MIN($G$3,ROW()-4),1))))</f>
        <v/>
      </c>
      <c r="I110" s="8">
        <f>IF(ISNUMBER(E110),IF(ABS(E110)&gt;=0.7,"强",IF(ABS(E110)&gt;=0.4,"中","弱")),"-")</f>
        <v/>
      </c>
    </row>
    <row r="111">
      <c r="A111" s="8" t="n">
        <v>107</v>
      </c>
      <c r="B111" s="8">
        <f>'04 变换后数据'!B111</f>
        <v/>
      </c>
      <c r="C111" s="31">
        <f>IF(107&lt;$C$3,"",IF(4111=0,"",IF(4111&lt;MAX(5,ROUND($C$3*0.8,0)),"样本不足",CORREL(OFFSET('04 变换后数据'!$D$5:$D$160,ROW()-5-$C$3+1,0,$C$3,1),OFFSET('04 变换后数据'!$H$5:$H$160,ROW()-5-$C$3+1,0,$C$3,1))))</f>
        <v/>
      </c>
      <c r="D111" s="8">
        <f>IF(107&lt;$C$3,0,SUMPRODUCT(--(ROW('04 变换后数据'!$D$5:$D$160)&lt;=ROW()),--ISNUMBER(OFFSET('04 变换后数据'!$D$5:$D$160,ROW()-5-$C$3+1,0,MIN($C$3,ROW()-4),1)),--ISNUMBER(OFFSET('04 变换后数据'!$H$5:$H$160,ROW()-5-$C$3+1,0,MIN($C$3,ROW()-4),1))))</f>
        <v/>
      </c>
      <c r="E111" s="31">
        <f>IF(107&lt;$E$3,"",IF(6111=0,"",IF(6111&lt;MAX(5,ROUND($E$3*0.8,0)),"样本不足",CORREL(OFFSET('04 变换后数据'!$D$5:$D$160,ROW()-5-$E$3+1,0,$E$3,1),OFFSET('04 变换后数据'!$H$5:$H$160,ROW()-5-$E$3+1,0,$E$3,1))))</f>
        <v/>
      </c>
      <c r="F111" s="8">
        <f>IF(107&lt;$E$3,0,SUMPRODUCT(--(ROW('04 变换后数据'!$D$5:$D$160)&lt;=ROW()),--ISNUMBER(OFFSET('04 变换后数据'!$D$5:$D$160,ROW()-5-$E$3+1,0,MIN($E$3,ROW()-4),1)),--ISNUMBER(OFFSET('04 变换后数据'!$H$5:$H$160,ROW()-5-$E$3+1,0,MIN($E$3,ROW()-4),1))))</f>
        <v/>
      </c>
      <c r="G111" s="31">
        <f>IF(107&lt;$G$3,"",IF(8111=0,"",IF(8111&lt;MAX(5,ROUND($G$3*0.8,0)),"样本不足",CORREL(OFFSET('04 变换后数据'!$D$5:$D$160,ROW()-5-$G$3+1,0,$G$3,1),OFFSET('04 变换后数据'!$H$5:$H$160,ROW()-5-$G$3+1,0,$G$3,1))))</f>
        <v/>
      </c>
      <c r="H111" s="8">
        <f>IF(107&lt;$G$3,0,SUMPRODUCT(--(ROW('04 变换后数据'!$D$5:$D$160)&lt;=ROW()),--ISNUMBER(OFFSET('04 变换后数据'!$D$5:$D$160,ROW()-5-$G$3+1,0,MIN($G$3,ROW()-4),1)),--ISNUMBER(OFFSET('04 变换后数据'!$H$5:$H$160,ROW()-5-$G$3+1,0,MIN($G$3,ROW()-4),1))))</f>
        <v/>
      </c>
      <c r="I111" s="8">
        <f>IF(ISNUMBER(E111),IF(ABS(E111)&gt;=0.7,"强",IF(ABS(E111)&gt;=0.4,"中","弱")),"-")</f>
        <v/>
      </c>
    </row>
    <row r="112">
      <c r="A112" s="8" t="n">
        <v>108</v>
      </c>
      <c r="B112" s="8">
        <f>'04 变换后数据'!B112</f>
        <v/>
      </c>
      <c r="C112" s="31">
        <f>IF(108&lt;$C$3,"",IF(4112=0,"",IF(4112&lt;MAX(5,ROUND($C$3*0.8,0)),"样本不足",CORREL(OFFSET('04 变换后数据'!$D$5:$D$160,ROW()-5-$C$3+1,0,$C$3,1),OFFSET('04 变换后数据'!$H$5:$H$160,ROW()-5-$C$3+1,0,$C$3,1))))</f>
        <v/>
      </c>
      <c r="D112" s="8">
        <f>IF(108&lt;$C$3,0,SUMPRODUCT(--(ROW('04 变换后数据'!$D$5:$D$160)&lt;=ROW()),--ISNUMBER(OFFSET('04 变换后数据'!$D$5:$D$160,ROW()-5-$C$3+1,0,MIN($C$3,ROW()-4),1)),--ISNUMBER(OFFSET('04 变换后数据'!$H$5:$H$160,ROW()-5-$C$3+1,0,MIN($C$3,ROW()-4),1))))</f>
        <v/>
      </c>
      <c r="E112" s="31">
        <f>IF(108&lt;$E$3,"",IF(6112=0,"",IF(6112&lt;MAX(5,ROUND($E$3*0.8,0)),"样本不足",CORREL(OFFSET('04 变换后数据'!$D$5:$D$160,ROW()-5-$E$3+1,0,$E$3,1),OFFSET('04 变换后数据'!$H$5:$H$160,ROW()-5-$E$3+1,0,$E$3,1))))</f>
        <v/>
      </c>
      <c r="F112" s="8">
        <f>IF(108&lt;$E$3,0,SUMPRODUCT(--(ROW('04 变换后数据'!$D$5:$D$160)&lt;=ROW()),--ISNUMBER(OFFSET('04 变换后数据'!$D$5:$D$160,ROW()-5-$E$3+1,0,MIN($E$3,ROW()-4),1)),--ISNUMBER(OFFSET('04 变换后数据'!$H$5:$H$160,ROW()-5-$E$3+1,0,MIN($E$3,ROW()-4),1))))</f>
        <v/>
      </c>
      <c r="G112" s="31">
        <f>IF(108&lt;$G$3,"",IF(8112=0,"",IF(8112&lt;MAX(5,ROUND($G$3*0.8,0)),"样本不足",CORREL(OFFSET('04 变换后数据'!$D$5:$D$160,ROW()-5-$G$3+1,0,$G$3,1),OFFSET('04 变换后数据'!$H$5:$H$160,ROW()-5-$G$3+1,0,$G$3,1))))</f>
        <v/>
      </c>
      <c r="H112" s="8">
        <f>IF(108&lt;$G$3,0,SUMPRODUCT(--(ROW('04 变换后数据'!$D$5:$D$160)&lt;=ROW()),--ISNUMBER(OFFSET('04 变换后数据'!$D$5:$D$160,ROW()-5-$G$3+1,0,MIN($G$3,ROW()-4),1)),--ISNUMBER(OFFSET('04 变换后数据'!$H$5:$H$160,ROW()-5-$G$3+1,0,MIN($G$3,ROW()-4),1))))</f>
        <v/>
      </c>
      <c r="I112" s="8">
        <f>IF(ISNUMBER(E112),IF(ABS(E112)&gt;=0.7,"强",IF(ABS(E112)&gt;=0.4,"中","弱")),"-")</f>
        <v/>
      </c>
    </row>
    <row r="113">
      <c r="A113" s="8" t="n">
        <v>109</v>
      </c>
      <c r="B113" s="8">
        <f>'04 变换后数据'!B113</f>
        <v/>
      </c>
      <c r="C113" s="31">
        <f>IF(109&lt;$C$3,"",IF(4113=0,"",IF(4113&lt;MAX(5,ROUND($C$3*0.8,0)),"样本不足",CORREL(OFFSET('04 变换后数据'!$D$5:$D$160,ROW()-5-$C$3+1,0,$C$3,1),OFFSET('04 变换后数据'!$H$5:$H$160,ROW()-5-$C$3+1,0,$C$3,1))))</f>
        <v/>
      </c>
      <c r="D113" s="8">
        <f>IF(109&lt;$C$3,0,SUMPRODUCT(--(ROW('04 变换后数据'!$D$5:$D$160)&lt;=ROW()),--ISNUMBER(OFFSET('04 变换后数据'!$D$5:$D$160,ROW()-5-$C$3+1,0,MIN($C$3,ROW()-4),1)),--ISNUMBER(OFFSET('04 变换后数据'!$H$5:$H$160,ROW()-5-$C$3+1,0,MIN($C$3,ROW()-4),1))))</f>
        <v/>
      </c>
      <c r="E113" s="31">
        <f>IF(109&lt;$E$3,"",IF(6113=0,"",IF(6113&lt;MAX(5,ROUND($E$3*0.8,0)),"样本不足",CORREL(OFFSET('04 变换后数据'!$D$5:$D$160,ROW()-5-$E$3+1,0,$E$3,1),OFFSET('04 变换后数据'!$H$5:$H$160,ROW()-5-$E$3+1,0,$E$3,1))))</f>
        <v/>
      </c>
      <c r="F113" s="8">
        <f>IF(109&lt;$E$3,0,SUMPRODUCT(--(ROW('04 变换后数据'!$D$5:$D$160)&lt;=ROW()),--ISNUMBER(OFFSET('04 变换后数据'!$D$5:$D$160,ROW()-5-$E$3+1,0,MIN($E$3,ROW()-4),1)),--ISNUMBER(OFFSET('04 变换后数据'!$H$5:$H$160,ROW()-5-$E$3+1,0,MIN($E$3,ROW()-4),1))))</f>
        <v/>
      </c>
      <c r="G113" s="31">
        <f>IF(109&lt;$G$3,"",IF(8113=0,"",IF(8113&lt;MAX(5,ROUND($G$3*0.8,0)),"样本不足",CORREL(OFFSET('04 变换后数据'!$D$5:$D$160,ROW()-5-$G$3+1,0,$G$3,1),OFFSET('04 变换后数据'!$H$5:$H$160,ROW()-5-$G$3+1,0,$G$3,1))))</f>
        <v/>
      </c>
      <c r="H113" s="8">
        <f>IF(109&lt;$G$3,0,SUMPRODUCT(--(ROW('04 变换后数据'!$D$5:$D$160)&lt;=ROW()),--ISNUMBER(OFFSET('04 变换后数据'!$D$5:$D$160,ROW()-5-$G$3+1,0,MIN($G$3,ROW()-4),1)),--ISNUMBER(OFFSET('04 变换后数据'!$H$5:$H$160,ROW()-5-$G$3+1,0,MIN($G$3,ROW()-4),1))))</f>
        <v/>
      </c>
      <c r="I113" s="8">
        <f>IF(ISNUMBER(E113),IF(ABS(E113)&gt;=0.7,"强",IF(ABS(E113)&gt;=0.4,"中","弱")),"-")</f>
        <v/>
      </c>
    </row>
    <row r="114">
      <c r="A114" s="8" t="n">
        <v>110</v>
      </c>
      <c r="B114" s="8">
        <f>'04 变换后数据'!B114</f>
        <v/>
      </c>
      <c r="C114" s="31">
        <f>IF(110&lt;$C$3,"",IF(4114=0,"",IF(4114&lt;MAX(5,ROUND($C$3*0.8,0)),"样本不足",CORREL(OFFSET('04 变换后数据'!$D$5:$D$160,ROW()-5-$C$3+1,0,$C$3,1),OFFSET('04 变换后数据'!$H$5:$H$160,ROW()-5-$C$3+1,0,$C$3,1))))</f>
        <v/>
      </c>
      <c r="D114" s="8">
        <f>IF(110&lt;$C$3,0,SUMPRODUCT(--(ROW('04 变换后数据'!$D$5:$D$160)&lt;=ROW()),--ISNUMBER(OFFSET('04 变换后数据'!$D$5:$D$160,ROW()-5-$C$3+1,0,MIN($C$3,ROW()-4),1)),--ISNUMBER(OFFSET('04 变换后数据'!$H$5:$H$160,ROW()-5-$C$3+1,0,MIN($C$3,ROW()-4),1))))</f>
        <v/>
      </c>
      <c r="E114" s="31">
        <f>IF(110&lt;$E$3,"",IF(6114=0,"",IF(6114&lt;MAX(5,ROUND($E$3*0.8,0)),"样本不足",CORREL(OFFSET('04 变换后数据'!$D$5:$D$160,ROW()-5-$E$3+1,0,$E$3,1),OFFSET('04 变换后数据'!$H$5:$H$160,ROW()-5-$E$3+1,0,$E$3,1))))</f>
        <v/>
      </c>
      <c r="F114" s="8">
        <f>IF(110&lt;$E$3,0,SUMPRODUCT(--(ROW('04 变换后数据'!$D$5:$D$160)&lt;=ROW()),--ISNUMBER(OFFSET('04 变换后数据'!$D$5:$D$160,ROW()-5-$E$3+1,0,MIN($E$3,ROW()-4),1)),--ISNUMBER(OFFSET('04 变换后数据'!$H$5:$H$160,ROW()-5-$E$3+1,0,MIN($E$3,ROW()-4),1))))</f>
        <v/>
      </c>
      <c r="G114" s="31">
        <f>IF(110&lt;$G$3,"",IF(8114=0,"",IF(8114&lt;MAX(5,ROUND($G$3*0.8,0)),"样本不足",CORREL(OFFSET('04 变换后数据'!$D$5:$D$160,ROW()-5-$G$3+1,0,$G$3,1),OFFSET('04 变换后数据'!$H$5:$H$160,ROW()-5-$G$3+1,0,$G$3,1))))</f>
        <v/>
      </c>
      <c r="H114" s="8">
        <f>IF(110&lt;$G$3,0,SUMPRODUCT(--(ROW('04 变换后数据'!$D$5:$D$160)&lt;=ROW()),--ISNUMBER(OFFSET('04 变换后数据'!$D$5:$D$160,ROW()-5-$G$3+1,0,MIN($G$3,ROW()-4),1)),--ISNUMBER(OFFSET('04 变换后数据'!$H$5:$H$160,ROW()-5-$G$3+1,0,MIN($G$3,ROW()-4),1))))</f>
        <v/>
      </c>
      <c r="I114" s="8">
        <f>IF(ISNUMBER(E114),IF(ABS(E114)&gt;=0.7,"强",IF(ABS(E114)&gt;=0.4,"中","弱")),"-")</f>
        <v/>
      </c>
    </row>
    <row r="115">
      <c r="A115" s="8" t="n">
        <v>111</v>
      </c>
      <c r="B115" s="8">
        <f>'04 变换后数据'!B115</f>
        <v/>
      </c>
      <c r="C115" s="31">
        <f>IF(111&lt;$C$3,"",IF(4115=0,"",IF(4115&lt;MAX(5,ROUND($C$3*0.8,0)),"样本不足",CORREL(OFFSET('04 变换后数据'!$D$5:$D$160,ROW()-5-$C$3+1,0,$C$3,1),OFFSET('04 变换后数据'!$H$5:$H$160,ROW()-5-$C$3+1,0,$C$3,1))))</f>
        <v/>
      </c>
      <c r="D115" s="8">
        <f>IF(111&lt;$C$3,0,SUMPRODUCT(--(ROW('04 变换后数据'!$D$5:$D$160)&lt;=ROW()),--ISNUMBER(OFFSET('04 变换后数据'!$D$5:$D$160,ROW()-5-$C$3+1,0,MIN($C$3,ROW()-4),1)),--ISNUMBER(OFFSET('04 变换后数据'!$H$5:$H$160,ROW()-5-$C$3+1,0,MIN($C$3,ROW()-4),1))))</f>
        <v/>
      </c>
      <c r="E115" s="31">
        <f>IF(111&lt;$E$3,"",IF(6115=0,"",IF(6115&lt;MAX(5,ROUND($E$3*0.8,0)),"样本不足",CORREL(OFFSET('04 变换后数据'!$D$5:$D$160,ROW()-5-$E$3+1,0,$E$3,1),OFFSET('04 变换后数据'!$H$5:$H$160,ROW()-5-$E$3+1,0,$E$3,1))))</f>
        <v/>
      </c>
      <c r="F115" s="8">
        <f>IF(111&lt;$E$3,0,SUMPRODUCT(--(ROW('04 变换后数据'!$D$5:$D$160)&lt;=ROW()),--ISNUMBER(OFFSET('04 变换后数据'!$D$5:$D$160,ROW()-5-$E$3+1,0,MIN($E$3,ROW()-4),1)),--ISNUMBER(OFFSET('04 变换后数据'!$H$5:$H$160,ROW()-5-$E$3+1,0,MIN($E$3,ROW()-4),1))))</f>
        <v/>
      </c>
      <c r="G115" s="31">
        <f>IF(111&lt;$G$3,"",IF(8115=0,"",IF(8115&lt;MAX(5,ROUND($G$3*0.8,0)),"样本不足",CORREL(OFFSET('04 变换后数据'!$D$5:$D$160,ROW()-5-$G$3+1,0,$G$3,1),OFFSET('04 变换后数据'!$H$5:$H$160,ROW()-5-$G$3+1,0,$G$3,1))))</f>
        <v/>
      </c>
      <c r="H115" s="8">
        <f>IF(111&lt;$G$3,0,SUMPRODUCT(--(ROW('04 变换后数据'!$D$5:$D$160)&lt;=ROW()),--ISNUMBER(OFFSET('04 变换后数据'!$D$5:$D$160,ROW()-5-$G$3+1,0,MIN($G$3,ROW()-4),1)),--ISNUMBER(OFFSET('04 变换后数据'!$H$5:$H$160,ROW()-5-$G$3+1,0,MIN($G$3,ROW()-4),1))))</f>
        <v/>
      </c>
      <c r="I115" s="8">
        <f>IF(ISNUMBER(E115),IF(ABS(E115)&gt;=0.7,"强",IF(ABS(E115)&gt;=0.4,"中","弱")),"-")</f>
        <v/>
      </c>
    </row>
    <row r="116">
      <c r="A116" s="8" t="n">
        <v>112</v>
      </c>
      <c r="B116" s="8">
        <f>'04 变换后数据'!B116</f>
        <v/>
      </c>
      <c r="C116" s="31">
        <f>IF(112&lt;$C$3,"",IF(4116=0,"",IF(4116&lt;MAX(5,ROUND($C$3*0.8,0)),"样本不足",CORREL(OFFSET('04 变换后数据'!$D$5:$D$160,ROW()-5-$C$3+1,0,$C$3,1),OFFSET('04 变换后数据'!$H$5:$H$160,ROW()-5-$C$3+1,0,$C$3,1))))</f>
        <v/>
      </c>
      <c r="D116" s="8">
        <f>IF(112&lt;$C$3,0,SUMPRODUCT(--(ROW('04 变换后数据'!$D$5:$D$160)&lt;=ROW()),--ISNUMBER(OFFSET('04 变换后数据'!$D$5:$D$160,ROW()-5-$C$3+1,0,MIN($C$3,ROW()-4),1)),--ISNUMBER(OFFSET('04 变换后数据'!$H$5:$H$160,ROW()-5-$C$3+1,0,MIN($C$3,ROW()-4),1))))</f>
        <v/>
      </c>
      <c r="E116" s="31">
        <f>IF(112&lt;$E$3,"",IF(6116=0,"",IF(6116&lt;MAX(5,ROUND($E$3*0.8,0)),"样本不足",CORREL(OFFSET('04 变换后数据'!$D$5:$D$160,ROW()-5-$E$3+1,0,$E$3,1),OFFSET('04 变换后数据'!$H$5:$H$160,ROW()-5-$E$3+1,0,$E$3,1))))</f>
        <v/>
      </c>
      <c r="F116" s="8">
        <f>IF(112&lt;$E$3,0,SUMPRODUCT(--(ROW('04 变换后数据'!$D$5:$D$160)&lt;=ROW()),--ISNUMBER(OFFSET('04 变换后数据'!$D$5:$D$160,ROW()-5-$E$3+1,0,MIN($E$3,ROW()-4),1)),--ISNUMBER(OFFSET('04 变换后数据'!$H$5:$H$160,ROW()-5-$E$3+1,0,MIN($E$3,ROW()-4),1))))</f>
        <v/>
      </c>
      <c r="G116" s="31">
        <f>IF(112&lt;$G$3,"",IF(8116=0,"",IF(8116&lt;MAX(5,ROUND($G$3*0.8,0)),"样本不足",CORREL(OFFSET('04 变换后数据'!$D$5:$D$160,ROW()-5-$G$3+1,0,$G$3,1),OFFSET('04 变换后数据'!$H$5:$H$160,ROW()-5-$G$3+1,0,$G$3,1))))</f>
        <v/>
      </c>
      <c r="H116" s="8">
        <f>IF(112&lt;$G$3,0,SUMPRODUCT(--(ROW('04 变换后数据'!$D$5:$D$160)&lt;=ROW()),--ISNUMBER(OFFSET('04 变换后数据'!$D$5:$D$160,ROW()-5-$G$3+1,0,MIN($G$3,ROW()-4),1)),--ISNUMBER(OFFSET('04 变换后数据'!$H$5:$H$160,ROW()-5-$G$3+1,0,MIN($G$3,ROW()-4),1))))</f>
        <v/>
      </c>
      <c r="I116" s="8">
        <f>IF(ISNUMBER(E116),IF(ABS(E116)&gt;=0.7,"强",IF(ABS(E116)&gt;=0.4,"中","弱")),"-")</f>
        <v/>
      </c>
    </row>
    <row r="117">
      <c r="A117" s="8" t="n">
        <v>113</v>
      </c>
      <c r="B117" s="8">
        <f>'04 变换后数据'!B117</f>
        <v/>
      </c>
      <c r="C117" s="31">
        <f>IF(113&lt;$C$3,"",IF(4117=0,"",IF(4117&lt;MAX(5,ROUND($C$3*0.8,0)),"样本不足",CORREL(OFFSET('04 变换后数据'!$D$5:$D$160,ROW()-5-$C$3+1,0,$C$3,1),OFFSET('04 变换后数据'!$H$5:$H$160,ROW()-5-$C$3+1,0,$C$3,1))))</f>
        <v/>
      </c>
      <c r="D117" s="8">
        <f>IF(113&lt;$C$3,0,SUMPRODUCT(--(ROW('04 变换后数据'!$D$5:$D$160)&lt;=ROW()),--ISNUMBER(OFFSET('04 变换后数据'!$D$5:$D$160,ROW()-5-$C$3+1,0,MIN($C$3,ROW()-4),1)),--ISNUMBER(OFFSET('04 变换后数据'!$H$5:$H$160,ROW()-5-$C$3+1,0,MIN($C$3,ROW()-4),1))))</f>
        <v/>
      </c>
      <c r="E117" s="31">
        <f>IF(113&lt;$E$3,"",IF(6117=0,"",IF(6117&lt;MAX(5,ROUND($E$3*0.8,0)),"样本不足",CORREL(OFFSET('04 变换后数据'!$D$5:$D$160,ROW()-5-$E$3+1,0,$E$3,1),OFFSET('04 变换后数据'!$H$5:$H$160,ROW()-5-$E$3+1,0,$E$3,1))))</f>
        <v/>
      </c>
      <c r="F117" s="8">
        <f>IF(113&lt;$E$3,0,SUMPRODUCT(--(ROW('04 变换后数据'!$D$5:$D$160)&lt;=ROW()),--ISNUMBER(OFFSET('04 变换后数据'!$D$5:$D$160,ROW()-5-$E$3+1,0,MIN($E$3,ROW()-4),1)),--ISNUMBER(OFFSET('04 变换后数据'!$H$5:$H$160,ROW()-5-$E$3+1,0,MIN($E$3,ROW()-4),1))))</f>
        <v/>
      </c>
      <c r="G117" s="31">
        <f>IF(113&lt;$G$3,"",IF(8117=0,"",IF(8117&lt;MAX(5,ROUND($G$3*0.8,0)),"样本不足",CORREL(OFFSET('04 变换后数据'!$D$5:$D$160,ROW()-5-$G$3+1,0,$G$3,1),OFFSET('04 变换后数据'!$H$5:$H$160,ROW()-5-$G$3+1,0,$G$3,1))))</f>
        <v/>
      </c>
      <c r="H117" s="8">
        <f>IF(113&lt;$G$3,0,SUMPRODUCT(--(ROW('04 变换后数据'!$D$5:$D$160)&lt;=ROW()),--ISNUMBER(OFFSET('04 变换后数据'!$D$5:$D$160,ROW()-5-$G$3+1,0,MIN($G$3,ROW()-4),1)),--ISNUMBER(OFFSET('04 变换后数据'!$H$5:$H$160,ROW()-5-$G$3+1,0,MIN($G$3,ROW()-4),1))))</f>
        <v/>
      </c>
      <c r="I117" s="8">
        <f>IF(ISNUMBER(E117),IF(ABS(E117)&gt;=0.7,"强",IF(ABS(E117)&gt;=0.4,"中","弱")),"-")</f>
        <v/>
      </c>
    </row>
    <row r="118">
      <c r="A118" s="8" t="n">
        <v>114</v>
      </c>
      <c r="B118" s="8">
        <f>'04 变换后数据'!B118</f>
        <v/>
      </c>
      <c r="C118" s="31">
        <f>IF(114&lt;$C$3,"",IF(4118=0,"",IF(4118&lt;MAX(5,ROUND($C$3*0.8,0)),"样本不足",CORREL(OFFSET('04 变换后数据'!$D$5:$D$160,ROW()-5-$C$3+1,0,$C$3,1),OFFSET('04 变换后数据'!$H$5:$H$160,ROW()-5-$C$3+1,0,$C$3,1))))</f>
        <v/>
      </c>
      <c r="D118" s="8">
        <f>IF(114&lt;$C$3,0,SUMPRODUCT(--(ROW('04 变换后数据'!$D$5:$D$160)&lt;=ROW()),--ISNUMBER(OFFSET('04 变换后数据'!$D$5:$D$160,ROW()-5-$C$3+1,0,MIN($C$3,ROW()-4),1)),--ISNUMBER(OFFSET('04 变换后数据'!$H$5:$H$160,ROW()-5-$C$3+1,0,MIN($C$3,ROW()-4),1))))</f>
        <v/>
      </c>
      <c r="E118" s="31">
        <f>IF(114&lt;$E$3,"",IF(6118=0,"",IF(6118&lt;MAX(5,ROUND($E$3*0.8,0)),"样本不足",CORREL(OFFSET('04 变换后数据'!$D$5:$D$160,ROW()-5-$E$3+1,0,$E$3,1),OFFSET('04 变换后数据'!$H$5:$H$160,ROW()-5-$E$3+1,0,$E$3,1))))</f>
        <v/>
      </c>
      <c r="F118" s="8">
        <f>IF(114&lt;$E$3,0,SUMPRODUCT(--(ROW('04 变换后数据'!$D$5:$D$160)&lt;=ROW()),--ISNUMBER(OFFSET('04 变换后数据'!$D$5:$D$160,ROW()-5-$E$3+1,0,MIN($E$3,ROW()-4),1)),--ISNUMBER(OFFSET('04 变换后数据'!$H$5:$H$160,ROW()-5-$E$3+1,0,MIN($E$3,ROW()-4),1))))</f>
        <v/>
      </c>
      <c r="G118" s="31">
        <f>IF(114&lt;$G$3,"",IF(8118=0,"",IF(8118&lt;MAX(5,ROUND($G$3*0.8,0)),"样本不足",CORREL(OFFSET('04 变换后数据'!$D$5:$D$160,ROW()-5-$G$3+1,0,$G$3,1),OFFSET('04 变换后数据'!$H$5:$H$160,ROW()-5-$G$3+1,0,$G$3,1))))</f>
        <v/>
      </c>
      <c r="H118" s="8">
        <f>IF(114&lt;$G$3,0,SUMPRODUCT(--(ROW('04 变换后数据'!$D$5:$D$160)&lt;=ROW()),--ISNUMBER(OFFSET('04 变换后数据'!$D$5:$D$160,ROW()-5-$G$3+1,0,MIN($G$3,ROW()-4),1)),--ISNUMBER(OFFSET('04 变换后数据'!$H$5:$H$160,ROW()-5-$G$3+1,0,MIN($G$3,ROW()-4),1))))</f>
        <v/>
      </c>
      <c r="I118" s="8">
        <f>IF(ISNUMBER(E118),IF(ABS(E118)&gt;=0.7,"强",IF(ABS(E118)&gt;=0.4,"中","弱")),"-")</f>
        <v/>
      </c>
    </row>
    <row r="119">
      <c r="A119" s="8" t="n">
        <v>115</v>
      </c>
      <c r="B119" s="8">
        <f>'04 变换后数据'!B119</f>
        <v/>
      </c>
      <c r="C119" s="31">
        <f>IF(115&lt;$C$3,"",IF(4119=0,"",IF(4119&lt;MAX(5,ROUND($C$3*0.8,0)),"样本不足",CORREL(OFFSET('04 变换后数据'!$D$5:$D$160,ROW()-5-$C$3+1,0,$C$3,1),OFFSET('04 变换后数据'!$H$5:$H$160,ROW()-5-$C$3+1,0,$C$3,1))))</f>
        <v/>
      </c>
      <c r="D119" s="8">
        <f>IF(115&lt;$C$3,0,SUMPRODUCT(--(ROW('04 变换后数据'!$D$5:$D$160)&lt;=ROW()),--ISNUMBER(OFFSET('04 变换后数据'!$D$5:$D$160,ROW()-5-$C$3+1,0,MIN($C$3,ROW()-4),1)),--ISNUMBER(OFFSET('04 变换后数据'!$H$5:$H$160,ROW()-5-$C$3+1,0,MIN($C$3,ROW()-4),1))))</f>
        <v/>
      </c>
      <c r="E119" s="31">
        <f>IF(115&lt;$E$3,"",IF(6119=0,"",IF(6119&lt;MAX(5,ROUND($E$3*0.8,0)),"样本不足",CORREL(OFFSET('04 变换后数据'!$D$5:$D$160,ROW()-5-$E$3+1,0,$E$3,1),OFFSET('04 变换后数据'!$H$5:$H$160,ROW()-5-$E$3+1,0,$E$3,1))))</f>
        <v/>
      </c>
      <c r="F119" s="8">
        <f>IF(115&lt;$E$3,0,SUMPRODUCT(--(ROW('04 变换后数据'!$D$5:$D$160)&lt;=ROW()),--ISNUMBER(OFFSET('04 变换后数据'!$D$5:$D$160,ROW()-5-$E$3+1,0,MIN($E$3,ROW()-4),1)),--ISNUMBER(OFFSET('04 变换后数据'!$H$5:$H$160,ROW()-5-$E$3+1,0,MIN($E$3,ROW()-4),1))))</f>
        <v/>
      </c>
      <c r="G119" s="31">
        <f>IF(115&lt;$G$3,"",IF(8119=0,"",IF(8119&lt;MAX(5,ROUND($G$3*0.8,0)),"样本不足",CORREL(OFFSET('04 变换后数据'!$D$5:$D$160,ROW()-5-$G$3+1,0,$G$3,1),OFFSET('04 变换后数据'!$H$5:$H$160,ROW()-5-$G$3+1,0,$G$3,1))))</f>
        <v/>
      </c>
      <c r="H119" s="8">
        <f>IF(115&lt;$G$3,0,SUMPRODUCT(--(ROW('04 变换后数据'!$D$5:$D$160)&lt;=ROW()),--ISNUMBER(OFFSET('04 变换后数据'!$D$5:$D$160,ROW()-5-$G$3+1,0,MIN($G$3,ROW()-4),1)),--ISNUMBER(OFFSET('04 变换后数据'!$H$5:$H$160,ROW()-5-$G$3+1,0,MIN($G$3,ROW()-4),1))))</f>
        <v/>
      </c>
      <c r="I119" s="8">
        <f>IF(ISNUMBER(E119),IF(ABS(E119)&gt;=0.7,"强",IF(ABS(E119)&gt;=0.4,"中","弱")),"-")</f>
        <v/>
      </c>
    </row>
    <row r="120">
      <c r="A120" s="8" t="n">
        <v>116</v>
      </c>
      <c r="B120" s="8">
        <f>'04 变换后数据'!B120</f>
        <v/>
      </c>
      <c r="C120" s="31">
        <f>IF(116&lt;$C$3,"",IF(4120=0,"",IF(4120&lt;MAX(5,ROUND($C$3*0.8,0)),"样本不足",CORREL(OFFSET('04 变换后数据'!$D$5:$D$160,ROW()-5-$C$3+1,0,$C$3,1),OFFSET('04 变换后数据'!$H$5:$H$160,ROW()-5-$C$3+1,0,$C$3,1))))</f>
        <v/>
      </c>
      <c r="D120" s="8">
        <f>IF(116&lt;$C$3,0,SUMPRODUCT(--(ROW('04 变换后数据'!$D$5:$D$160)&lt;=ROW()),--ISNUMBER(OFFSET('04 变换后数据'!$D$5:$D$160,ROW()-5-$C$3+1,0,MIN($C$3,ROW()-4),1)),--ISNUMBER(OFFSET('04 变换后数据'!$H$5:$H$160,ROW()-5-$C$3+1,0,MIN($C$3,ROW()-4),1))))</f>
        <v/>
      </c>
      <c r="E120" s="31">
        <f>IF(116&lt;$E$3,"",IF(6120=0,"",IF(6120&lt;MAX(5,ROUND($E$3*0.8,0)),"样本不足",CORREL(OFFSET('04 变换后数据'!$D$5:$D$160,ROW()-5-$E$3+1,0,$E$3,1),OFFSET('04 变换后数据'!$H$5:$H$160,ROW()-5-$E$3+1,0,$E$3,1))))</f>
        <v/>
      </c>
      <c r="F120" s="8">
        <f>IF(116&lt;$E$3,0,SUMPRODUCT(--(ROW('04 变换后数据'!$D$5:$D$160)&lt;=ROW()),--ISNUMBER(OFFSET('04 变换后数据'!$D$5:$D$160,ROW()-5-$E$3+1,0,MIN($E$3,ROW()-4),1)),--ISNUMBER(OFFSET('04 变换后数据'!$H$5:$H$160,ROW()-5-$E$3+1,0,MIN($E$3,ROW()-4),1))))</f>
        <v/>
      </c>
      <c r="G120" s="31">
        <f>IF(116&lt;$G$3,"",IF(8120=0,"",IF(8120&lt;MAX(5,ROUND($G$3*0.8,0)),"样本不足",CORREL(OFFSET('04 变换后数据'!$D$5:$D$160,ROW()-5-$G$3+1,0,$G$3,1),OFFSET('04 变换后数据'!$H$5:$H$160,ROW()-5-$G$3+1,0,$G$3,1))))</f>
        <v/>
      </c>
      <c r="H120" s="8">
        <f>IF(116&lt;$G$3,0,SUMPRODUCT(--(ROW('04 变换后数据'!$D$5:$D$160)&lt;=ROW()),--ISNUMBER(OFFSET('04 变换后数据'!$D$5:$D$160,ROW()-5-$G$3+1,0,MIN($G$3,ROW()-4),1)),--ISNUMBER(OFFSET('04 变换后数据'!$H$5:$H$160,ROW()-5-$G$3+1,0,MIN($G$3,ROW()-4),1))))</f>
        <v/>
      </c>
      <c r="I120" s="8">
        <f>IF(ISNUMBER(E120),IF(ABS(E120)&gt;=0.7,"强",IF(ABS(E120)&gt;=0.4,"中","弱")),"-")</f>
        <v/>
      </c>
    </row>
    <row r="121">
      <c r="A121" s="8" t="n">
        <v>117</v>
      </c>
      <c r="B121" s="8">
        <f>'04 变换后数据'!B121</f>
        <v/>
      </c>
      <c r="C121" s="31">
        <f>IF(117&lt;$C$3,"",IF(4121=0,"",IF(4121&lt;MAX(5,ROUND($C$3*0.8,0)),"样本不足",CORREL(OFFSET('04 变换后数据'!$D$5:$D$160,ROW()-5-$C$3+1,0,$C$3,1),OFFSET('04 变换后数据'!$H$5:$H$160,ROW()-5-$C$3+1,0,$C$3,1))))</f>
        <v/>
      </c>
      <c r="D121" s="8">
        <f>IF(117&lt;$C$3,0,SUMPRODUCT(--(ROW('04 变换后数据'!$D$5:$D$160)&lt;=ROW()),--ISNUMBER(OFFSET('04 变换后数据'!$D$5:$D$160,ROW()-5-$C$3+1,0,MIN($C$3,ROW()-4),1)),--ISNUMBER(OFFSET('04 变换后数据'!$H$5:$H$160,ROW()-5-$C$3+1,0,MIN($C$3,ROW()-4),1))))</f>
        <v/>
      </c>
      <c r="E121" s="31">
        <f>IF(117&lt;$E$3,"",IF(6121=0,"",IF(6121&lt;MAX(5,ROUND($E$3*0.8,0)),"样本不足",CORREL(OFFSET('04 变换后数据'!$D$5:$D$160,ROW()-5-$E$3+1,0,$E$3,1),OFFSET('04 变换后数据'!$H$5:$H$160,ROW()-5-$E$3+1,0,$E$3,1))))</f>
        <v/>
      </c>
      <c r="F121" s="8">
        <f>IF(117&lt;$E$3,0,SUMPRODUCT(--(ROW('04 变换后数据'!$D$5:$D$160)&lt;=ROW()),--ISNUMBER(OFFSET('04 变换后数据'!$D$5:$D$160,ROW()-5-$E$3+1,0,MIN($E$3,ROW()-4),1)),--ISNUMBER(OFFSET('04 变换后数据'!$H$5:$H$160,ROW()-5-$E$3+1,0,MIN($E$3,ROW()-4),1))))</f>
        <v/>
      </c>
      <c r="G121" s="31">
        <f>IF(117&lt;$G$3,"",IF(8121=0,"",IF(8121&lt;MAX(5,ROUND($G$3*0.8,0)),"样本不足",CORREL(OFFSET('04 变换后数据'!$D$5:$D$160,ROW()-5-$G$3+1,0,$G$3,1),OFFSET('04 变换后数据'!$H$5:$H$160,ROW()-5-$G$3+1,0,$G$3,1))))</f>
        <v/>
      </c>
      <c r="H121" s="8">
        <f>IF(117&lt;$G$3,0,SUMPRODUCT(--(ROW('04 变换后数据'!$D$5:$D$160)&lt;=ROW()),--ISNUMBER(OFFSET('04 变换后数据'!$D$5:$D$160,ROW()-5-$G$3+1,0,MIN($G$3,ROW()-4),1)),--ISNUMBER(OFFSET('04 变换后数据'!$H$5:$H$160,ROW()-5-$G$3+1,0,MIN($G$3,ROW()-4),1))))</f>
        <v/>
      </c>
      <c r="I121" s="8">
        <f>IF(ISNUMBER(E121),IF(ABS(E121)&gt;=0.7,"强",IF(ABS(E121)&gt;=0.4,"中","弱")),"-")</f>
        <v/>
      </c>
    </row>
    <row r="122">
      <c r="A122" s="8" t="n">
        <v>118</v>
      </c>
      <c r="B122" s="8">
        <f>'04 变换后数据'!B122</f>
        <v/>
      </c>
      <c r="C122" s="31">
        <f>IF(118&lt;$C$3,"",IF(4122=0,"",IF(4122&lt;MAX(5,ROUND($C$3*0.8,0)),"样本不足",CORREL(OFFSET('04 变换后数据'!$D$5:$D$160,ROW()-5-$C$3+1,0,$C$3,1),OFFSET('04 变换后数据'!$H$5:$H$160,ROW()-5-$C$3+1,0,$C$3,1))))</f>
        <v/>
      </c>
      <c r="D122" s="8">
        <f>IF(118&lt;$C$3,0,SUMPRODUCT(--(ROW('04 变换后数据'!$D$5:$D$160)&lt;=ROW()),--ISNUMBER(OFFSET('04 变换后数据'!$D$5:$D$160,ROW()-5-$C$3+1,0,MIN($C$3,ROW()-4),1)),--ISNUMBER(OFFSET('04 变换后数据'!$H$5:$H$160,ROW()-5-$C$3+1,0,MIN($C$3,ROW()-4),1))))</f>
        <v/>
      </c>
      <c r="E122" s="31">
        <f>IF(118&lt;$E$3,"",IF(6122=0,"",IF(6122&lt;MAX(5,ROUND($E$3*0.8,0)),"样本不足",CORREL(OFFSET('04 变换后数据'!$D$5:$D$160,ROW()-5-$E$3+1,0,$E$3,1),OFFSET('04 变换后数据'!$H$5:$H$160,ROW()-5-$E$3+1,0,$E$3,1))))</f>
        <v/>
      </c>
      <c r="F122" s="8">
        <f>IF(118&lt;$E$3,0,SUMPRODUCT(--(ROW('04 变换后数据'!$D$5:$D$160)&lt;=ROW()),--ISNUMBER(OFFSET('04 变换后数据'!$D$5:$D$160,ROW()-5-$E$3+1,0,MIN($E$3,ROW()-4),1)),--ISNUMBER(OFFSET('04 变换后数据'!$H$5:$H$160,ROW()-5-$E$3+1,0,MIN($E$3,ROW()-4),1))))</f>
        <v/>
      </c>
      <c r="G122" s="31">
        <f>IF(118&lt;$G$3,"",IF(8122=0,"",IF(8122&lt;MAX(5,ROUND($G$3*0.8,0)),"样本不足",CORREL(OFFSET('04 变换后数据'!$D$5:$D$160,ROW()-5-$G$3+1,0,$G$3,1),OFFSET('04 变换后数据'!$H$5:$H$160,ROW()-5-$G$3+1,0,$G$3,1))))</f>
        <v/>
      </c>
      <c r="H122" s="8">
        <f>IF(118&lt;$G$3,0,SUMPRODUCT(--(ROW('04 变换后数据'!$D$5:$D$160)&lt;=ROW()),--ISNUMBER(OFFSET('04 变换后数据'!$D$5:$D$160,ROW()-5-$G$3+1,0,MIN($G$3,ROW()-4),1)),--ISNUMBER(OFFSET('04 变换后数据'!$H$5:$H$160,ROW()-5-$G$3+1,0,MIN($G$3,ROW()-4),1))))</f>
        <v/>
      </c>
      <c r="I122" s="8">
        <f>IF(ISNUMBER(E122),IF(ABS(E122)&gt;=0.7,"强",IF(ABS(E122)&gt;=0.4,"中","弱")),"-")</f>
        <v/>
      </c>
    </row>
    <row r="123">
      <c r="A123" s="8" t="n">
        <v>119</v>
      </c>
      <c r="B123" s="8">
        <f>'04 变换后数据'!B123</f>
        <v/>
      </c>
      <c r="C123" s="31">
        <f>IF(119&lt;$C$3,"",IF(4123=0,"",IF(4123&lt;MAX(5,ROUND($C$3*0.8,0)),"样本不足",CORREL(OFFSET('04 变换后数据'!$D$5:$D$160,ROW()-5-$C$3+1,0,$C$3,1),OFFSET('04 变换后数据'!$H$5:$H$160,ROW()-5-$C$3+1,0,$C$3,1))))</f>
        <v/>
      </c>
      <c r="D123" s="8">
        <f>IF(119&lt;$C$3,0,SUMPRODUCT(--(ROW('04 变换后数据'!$D$5:$D$160)&lt;=ROW()),--ISNUMBER(OFFSET('04 变换后数据'!$D$5:$D$160,ROW()-5-$C$3+1,0,MIN($C$3,ROW()-4),1)),--ISNUMBER(OFFSET('04 变换后数据'!$H$5:$H$160,ROW()-5-$C$3+1,0,MIN($C$3,ROW()-4),1))))</f>
        <v/>
      </c>
      <c r="E123" s="31">
        <f>IF(119&lt;$E$3,"",IF(6123=0,"",IF(6123&lt;MAX(5,ROUND($E$3*0.8,0)),"样本不足",CORREL(OFFSET('04 变换后数据'!$D$5:$D$160,ROW()-5-$E$3+1,0,$E$3,1),OFFSET('04 变换后数据'!$H$5:$H$160,ROW()-5-$E$3+1,0,$E$3,1))))</f>
        <v/>
      </c>
      <c r="F123" s="8">
        <f>IF(119&lt;$E$3,0,SUMPRODUCT(--(ROW('04 变换后数据'!$D$5:$D$160)&lt;=ROW()),--ISNUMBER(OFFSET('04 变换后数据'!$D$5:$D$160,ROW()-5-$E$3+1,0,MIN($E$3,ROW()-4),1)),--ISNUMBER(OFFSET('04 变换后数据'!$H$5:$H$160,ROW()-5-$E$3+1,0,MIN($E$3,ROW()-4),1))))</f>
        <v/>
      </c>
      <c r="G123" s="31">
        <f>IF(119&lt;$G$3,"",IF(8123=0,"",IF(8123&lt;MAX(5,ROUND($G$3*0.8,0)),"样本不足",CORREL(OFFSET('04 变换后数据'!$D$5:$D$160,ROW()-5-$G$3+1,0,$G$3,1),OFFSET('04 变换后数据'!$H$5:$H$160,ROW()-5-$G$3+1,0,$G$3,1))))</f>
        <v/>
      </c>
      <c r="H123" s="8">
        <f>IF(119&lt;$G$3,0,SUMPRODUCT(--(ROW('04 变换后数据'!$D$5:$D$160)&lt;=ROW()),--ISNUMBER(OFFSET('04 变换后数据'!$D$5:$D$160,ROW()-5-$G$3+1,0,MIN($G$3,ROW()-4),1)),--ISNUMBER(OFFSET('04 变换后数据'!$H$5:$H$160,ROW()-5-$G$3+1,0,MIN($G$3,ROW()-4),1))))</f>
        <v/>
      </c>
      <c r="I123" s="8">
        <f>IF(ISNUMBER(E123),IF(ABS(E123)&gt;=0.7,"强",IF(ABS(E123)&gt;=0.4,"中","弱")),"-")</f>
        <v/>
      </c>
    </row>
    <row r="124">
      <c r="A124" s="8" t="n">
        <v>120</v>
      </c>
      <c r="B124" s="8">
        <f>'04 变换后数据'!B124</f>
        <v/>
      </c>
      <c r="C124" s="31">
        <f>IF(120&lt;$C$3,"",IF(4124=0,"",IF(4124&lt;MAX(5,ROUND($C$3*0.8,0)),"样本不足",CORREL(OFFSET('04 变换后数据'!$D$5:$D$160,ROW()-5-$C$3+1,0,$C$3,1),OFFSET('04 变换后数据'!$H$5:$H$160,ROW()-5-$C$3+1,0,$C$3,1))))</f>
        <v/>
      </c>
      <c r="D124" s="8">
        <f>IF(120&lt;$C$3,0,SUMPRODUCT(--(ROW('04 变换后数据'!$D$5:$D$160)&lt;=ROW()),--ISNUMBER(OFFSET('04 变换后数据'!$D$5:$D$160,ROW()-5-$C$3+1,0,MIN($C$3,ROW()-4),1)),--ISNUMBER(OFFSET('04 变换后数据'!$H$5:$H$160,ROW()-5-$C$3+1,0,MIN($C$3,ROW()-4),1))))</f>
        <v/>
      </c>
      <c r="E124" s="31">
        <f>IF(120&lt;$E$3,"",IF(6124=0,"",IF(6124&lt;MAX(5,ROUND($E$3*0.8,0)),"样本不足",CORREL(OFFSET('04 变换后数据'!$D$5:$D$160,ROW()-5-$E$3+1,0,$E$3,1),OFFSET('04 变换后数据'!$H$5:$H$160,ROW()-5-$E$3+1,0,$E$3,1))))</f>
        <v/>
      </c>
      <c r="F124" s="8">
        <f>IF(120&lt;$E$3,0,SUMPRODUCT(--(ROW('04 变换后数据'!$D$5:$D$160)&lt;=ROW()),--ISNUMBER(OFFSET('04 变换后数据'!$D$5:$D$160,ROW()-5-$E$3+1,0,MIN($E$3,ROW()-4),1)),--ISNUMBER(OFFSET('04 变换后数据'!$H$5:$H$160,ROW()-5-$E$3+1,0,MIN($E$3,ROW()-4),1))))</f>
        <v/>
      </c>
      <c r="G124" s="31">
        <f>IF(120&lt;$G$3,"",IF(8124=0,"",IF(8124&lt;MAX(5,ROUND($G$3*0.8,0)),"样本不足",CORREL(OFFSET('04 变换后数据'!$D$5:$D$160,ROW()-5-$G$3+1,0,$G$3,1),OFFSET('04 变换后数据'!$H$5:$H$160,ROW()-5-$G$3+1,0,$G$3,1))))</f>
        <v/>
      </c>
      <c r="H124" s="8">
        <f>IF(120&lt;$G$3,0,SUMPRODUCT(--(ROW('04 变换后数据'!$D$5:$D$160)&lt;=ROW()),--ISNUMBER(OFFSET('04 变换后数据'!$D$5:$D$160,ROW()-5-$G$3+1,0,MIN($G$3,ROW()-4),1)),--ISNUMBER(OFFSET('04 变换后数据'!$H$5:$H$160,ROW()-5-$G$3+1,0,MIN($G$3,ROW()-4),1))))</f>
        <v/>
      </c>
      <c r="I124" s="8">
        <f>IF(ISNUMBER(E124),IF(ABS(E124)&gt;=0.7,"强",IF(ABS(E124)&gt;=0.4,"中","弱")),"-")</f>
        <v/>
      </c>
    </row>
    <row r="125">
      <c r="A125" s="8" t="n">
        <v>121</v>
      </c>
      <c r="B125" s="8">
        <f>'04 变换后数据'!B125</f>
        <v/>
      </c>
      <c r="C125" s="31">
        <f>IF(121&lt;$C$3,"",IF(4125=0,"",IF(4125&lt;MAX(5,ROUND($C$3*0.8,0)),"样本不足",CORREL(OFFSET('04 变换后数据'!$D$5:$D$160,ROW()-5-$C$3+1,0,$C$3,1),OFFSET('04 变换后数据'!$H$5:$H$160,ROW()-5-$C$3+1,0,$C$3,1))))</f>
        <v/>
      </c>
      <c r="D125" s="8">
        <f>IF(121&lt;$C$3,0,SUMPRODUCT(--(ROW('04 变换后数据'!$D$5:$D$160)&lt;=ROW()),--ISNUMBER(OFFSET('04 变换后数据'!$D$5:$D$160,ROW()-5-$C$3+1,0,MIN($C$3,ROW()-4),1)),--ISNUMBER(OFFSET('04 变换后数据'!$H$5:$H$160,ROW()-5-$C$3+1,0,MIN($C$3,ROW()-4),1))))</f>
        <v/>
      </c>
      <c r="E125" s="31">
        <f>IF(121&lt;$E$3,"",IF(6125=0,"",IF(6125&lt;MAX(5,ROUND($E$3*0.8,0)),"样本不足",CORREL(OFFSET('04 变换后数据'!$D$5:$D$160,ROW()-5-$E$3+1,0,$E$3,1),OFFSET('04 变换后数据'!$H$5:$H$160,ROW()-5-$E$3+1,0,$E$3,1))))</f>
        <v/>
      </c>
      <c r="F125" s="8">
        <f>IF(121&lt;$E$3,0,SUMPRODUCT(--(ROW('04 变换后数据'!$D$5:$D$160)&lt;=ROW()),--ISNUMBER(OFFSET('04 变换后数据'!$D$5:$D$160,ROW()-5-$E$3+1,0,MIN($E$3,ROW()-4),1)),--ISNUMBER(OFFSET('04 变换后数据'!$H$5:$H$160,ROW()-5-$E$3+1,0,MIN($E$3,ROW()-4),1))))</f>
        <v/>
      </c>
      <c r="G125" s="31">
        <f>IF(121&lt;$G$3,"",IF(8125=0,"",IF(8125&lt;MAX(5,ROUND($G$3*0.8,0)),"样本不足",CORREL(OFFSET('04 变换后数据'!$D$5:$D$160,ROW()-5-$G$3+1,0,$G$3,1),OFFSET('04 变换后数据'!$H$5:$H$160,ROW()-5-$G$3+1,0,$G$3,1))))</f>
        <v/>
      </c>
      <c r="H125" s="8">
        <f>IF(121&lt;$G$3,0,SUMPRODUCT(--(ROW('04 变换后数据'!$D$5:$D$160)&lt;=ROW()),--ISNUMBER(OFFSET('04 变换后数据'!$D$5:$D$160,ROW()-5-$G$3+1,0,MIN($G$3,ROW()-4),1)),--ISNUMBER(OFFSET('04 变换后数据'!$H$5:$H$160,ROW()-5-$G$3+1,0,MIN($G$3,ROW()-4),1))))</f>
        <v/>
      </c>
      <c r="I125" s="8">
        <f>IF(ISNUMBER(E125),IF(ABS(E125)&gt;=0.7,"强",IF(ABS(E125)&gt;=0.4,"中","弱")),"-")</f>
        <v/>
      </c>
    </row>
    <row r="126">
      <c r="A126" s="8" t="n">
        <v>122</v>
      </c>
      <c r="B126" s="8">
        <f>'04 变换后数据'!B126</f>
        <v/>
      </c>
      <c r="C126" s="31">
        <f>IF(122&lt;$C$3,"",IF(4126=0,"",IF(4126&lt;MAX(5,ROUND($C$3*0.8,0)),"样本不足",CORREL(OFFSET('04 变换后数据'!$D$5:$D$160,ROW()-5-$C$3+1,0,$C$3,1),OFFSET('04 变换后数据'!$H$5:$H$160,ROW()-5-$C$3+1,0,$C$3,1))))</f>
        <v/>
      </c>
      <c r="D126" s="8">
        <f>IF(122&lt;$C$3,0,SUMPRODUCT(--(ROW('04 变换后数据'!$D$5:$D$160)&lt;=ROW()),--ISNUMBER(OFFSET('04 变换后数据'!$D$5:$D$160,ROW()-5-$C$3+1,0,MIN($C$3,ROW()-4),1)),--ISNUMBER(OFFSET('04 变换后数据'!$H$5:$H$160,ROW()-5-$C$3+1,0,MIN($C$3,ROW()-4),1))))</f>
        <v/>
      </c>
      <c r="E126" s="31">
        <f>IF(122&lt;$E$3,"",IF(6126=0,"",IF(6126&lt;MAX(5,ROUND($E$3*0.8,0)),"样本不足",CORREL(OFFSET('04 变换后数据'!$D$5:$D$160,ROW()-5-$E$3+1,0,$E$3,1),OFFSET('04 变换后数据'!$H$5:$H$160,ROW()-5-$E$3+1,0,$E$3,1))))</f>
        <v/>
      </c>
      <c r="F126" s="8">
        <f>IF(122&lt;$E$3,0,SUMPRODUCT(--(ROW('04 变换后数据'!$D$5:$D$160)&lt;=ROW()),--ISNUMBER(OFFSET('04 变换后数据'!$D$5:$D$160,ROW()-5-$E$3+1,0,MIN($E$3,ROW()-4),1)),--ISNUMBER(OFFSET('04 变换后数据'!$H$5:$H$160,ROW()-5-$E$3+1,0,MIN($E$3,ROW()-4),1))))</f>
        <v/>
      </c>
      <c r="G126" s="31">
        <f>IF(122&lt;$G$3,"",IF(8126=0,"",IF(8126&lt;MAX(5,ROUND($G$3*0.8,0)),"样本不足",CORREL(OFFSET('04 变换后数据'!$D$5:$D$160,ROW()-5-$G$3+1,0,$G$3,1),OFFSET('04 变换后数据'!$H$5:$H$160,ROW()-5-$G$3+1,0,$G$3,1))))</f>
        <v/>
      </c>
      <c r="H126" s="8">
        <f>IF(122&lt;$G$3,0,SUMPRODUCT(--(ROW('04 变换后数据'!$D$5:$D$160)&lt;=ROW()),--ISNUMBER(OFFSET('04 变换后数据'!$D$5:$D$160,ROW()-5-$G$3+1,0,MIN($G$3,ROW()-4),1)),--ISNUMBER(OFFSET('04 变换后数据'!$H$5:$H$160,ROW()-5-$G$3+1,0,MIN($G$3,ROW()-4),1))))</f>
        <v/>
      </c>
      <c r="I126" s="8">
        <f>IF(ISNUMBER(E126),IF(ABS(E126)&gt;=0.7,"强",IF(ABS(E126)&gt;=0.4,"中","弱")),"-")</f>
        <v/>
      </c>
    </row>
    <row r="127">
      <c r="A127" s="8" t="n">
        <v>123</v>
      </c>
      <c r="B127" s="8">
        <f>'04 变换后数据'!B127</f>
        <v/>
      </c>
      <c r="C127" s="31">
        <f>IF(123&lt;$C$3,"",IF(4127=0,"",IF(4127&lt;MAX(5,ROUND($C$3*0.8,0)),"样本不足",CORREL(OFFSET('04 变换后数据'!$D$5:$D$160,ROW()-5-$C$3+1,0,$C$3,1),OFFSET('04 变换后数据'!$H$5:$H$160,ROW()-5-$C$3+1,0,$C$3,1))))</f>
        <v/>
      </c>
      <c r="D127" s="8">
        <f>IF(123&lt;$C$3,0,SUMPRODUCT(--(ROW('04 变换后数据'!$D$5:$D$160)&lt;=ROW()),--ISNUMBER(OFFSET('04 变换后数据'!$D$5:$D$160,ROW()-5-$C$3+1,0,MIN($C$3,ROW()-4),1)),--ISNUMBER(OFFSET('04 变换后数据'!$H$5:$H$160,ROW()-5-$C$3+1,0,MIN($C$3,ROW()-4),1))))</f>
        <v/>
      </c>
      <c r="E127" s="31">
        <f>IF(123&lt;$E$3,"",IF(6127=0,"",IF(6127&lt;MAX(5,ROUND($E$3*0.8,0)),"样本不足",CORREL(OFFSET('04 变换后数据'!$D$5:$D$160,ROW()-5-$E$3+1,0,$E$3,1),OFFSET('04 变换后数据'!$H$5:$H$160,ROW()-5-$E$3+1,0,$E$3,1))))</f>
        <v/>
      </c>
      <c r="F127" s="8">
        <f>IF(123&lt;$E$3,0,SUMPRODUCT(--(ROW('04 变换后数据'!$D$5:$D$160)&lt;=ROW()),--ISNUMBER(OFFSET('04 变换后数据'!$D$5:$D$160,ROW()-5-$E$3+1,0,MIN($E$3,ROW()-4),1)),--ISNUMBER(OFFSET('04 变换后数据'!$H$5:$H$160,ROW()-5-$E$3+1,0,MIN($E$3,ROW()-4),1))))</f>
        <v/>
      </c>
      <c r="G127" s="31">
        <f>IF(123&lt;$G$3,"",IF(8127=0,"",IF(8127&lt;MAX(5,ROUND($G$3*0.8,0)),"样本不足",CORREL(OFFSET('04 变换后数据'!$D$5:$D$160,ROW()-5-$G$3+1,0,$G$3,1),OFFSET('04 变换后数据'!$H$5:$H$160,ROW()-5-$G$3+1,0,$G$3,1))))</f>
        <v/>
      </c>
      <c r="H127" s="8">
        <f>IF(123&lt;$G$3,0,SUMPRODUCT(--(ROW('04 变换后数据'!$D$5:$D$160)&lt;=ROW()),--ISNUMBER(OFFSET('04 变换后数据'!$D$5:$D$160,ROW()-5-$G$3+1,0,MIN($G$3,ROW()-4),1)),--ISNUMBER(OFFSET('04 变换后数据'!$H$5:$H$160,ROW()-5-$G$3+1,0,MIN($G$3,ROW()-4),1))))</f>
        <v/>
      </c>
      <c r="I127" s="8">
        <f>IF(ISNUMBER(E127),IF(ABS(E127)&gt;=0.7,"强",IF(ABS(E127)&gt;=0.4,"中","弱")),"-")</f>
        <v/>
      </c>
    </row>
    <row r="128">
      <c r="A128" s="8" t="n">
        <v>124</v>
      </c>
      <c r="B128" s="8">
        <f>'04 变换后数据'!B128</f>
        <v/>
      </c>
      <c r="C128" s="31">
        <f>IF(124&lt;$C$3,"",IF(4128=0,"",IF(4128&lt;MAX(5,ROUND($C$3*0.8,0)),"样本不足",CORREL(OFFSET('04 变换后数据'!$D$5:$D$160,ROW()-5-$C$3+1,0,$C$3,1),OFFSET('04 变换后数据'!$H$5:$H$160,ROW()-5-$C$3+1,0,$C$3,1))))</f>
        <v/>
      </c>
      <c r="D128" s="8">
        <f>IF(124&lt;$C$3,0,SUMPRODUCT(--(ROW('04 变换后数据'!$D$5:$D$160)&lt;=ROW()),--ISNUMBER(OFFSET('04 变换后数据'!$D$5:$D$160,ROW()-5-$C$3+1,0,MIN($C$3,ROW()-4),1)),--ISNUMBER(OFFSET('04 变换后数据'!$H$5:$H$160,ROW()-5-$C$3+1,0,MIN($C$3,ROW()-4),1))))</f>
        <v/>
      </c>
      <c r="E128" s="31">
        <f>IF(124&lt;$E$3,"",IF(6128=0,"",IF(6128&lt;MAX(5,ROUND($E$3*0.8,0)),"样本不足",CORREL(OFFSET('04 变换后数据'!$D$5:$D$160,ROW()-5-$E$3+1,0,$E$3,1),OFFSET('04 变换后数据'!$H$5:$H$160,ROW()-5-$E$3+1,0,$E$3,1))))</f>
        <v/>
      </c>
      <c r="F128" s="8">
        <f>IF(124&lt;$E$3,0,SUMPRODUCT(--(ROW('04 变换后数据'!$D$5:$D$160)&lt;=ROW()),--ISNUMBER(OFFSET('04 变换后数据'!$D$5:$D$160,ROW()-5-$E$3+1,0,MIN($E$3,ROW()-4),1)),--ISNUMBER(OFFSET('04 变换后数据'!$H$5:$H$160,ROW()-5-$E$3+1,0,MIN($E$3,ROW()-4),1))))</f>
        <v/>
      </c>
      <c r="G128" s="31">
        <f>IF(124&lt;$G$3,"",IF(8128=0,"",IF(8128&lt;MAX(5,ROUND($G$3*0.8,0)),"样本不足",CORREL(OFFSET('04 变换后数据'!$D$5:$D$160,ROW()-5-$G$3+1,0,$G$3,1),OFFSET('04 变换后数据'!$H$5:$H$160,ROW()-5-$G$3+1,0,$G$3,1))))</f>
        <v/>
      </c>
      <c r="H128" s="8">
        <f>IF(124&lt;$G$3,0,SUMPRODUCT(--(ROW('04 变换后数据'!$D$5:$D$160)&lt;=ROW()),--ISNUMBER(OFFSET('04 变换后数据'!$D$5:$D$160,ROW()-5-$G$3+1,0,MIN($G$3,ROW()-4),1)),--ISNUMBER(OFFSET('04 变换后数据'!$H$5:$H$160,ROW()-5-$G$3+1,0,MIN($G$3,ROW()-4),1))))</f>
        <v/>
      </c>
      <c r="I128" s="8">
        <f>IF(ISNUMBER(E128),IF(ABS(E128)&gt;=0.7,"强",IF(ABS(E128)&gt;=0.4,"中","弱")),"-")</f>
        <v/>
      </c>
    </row>
    <row r="129">
      <c r="A129" s="8" t="n">
        <v>125</v>
      </c>
      <c r="B129" s="8">
        <f>'04 变换后数据'!B129</f>
        <v/>
      </c>
      <c r="C129" s="31">
        <f>IF(125&lt;$C$3,"",IF(4129=0,"",IF(4129&lt;MAX(5,ROUND($C$3*0.8,0)),"样本不足",CORREL(OFFSET('04 变换后数据'!$D$5:$D$160,ROW()-5-$C$3+1,0,$C$3,1),OFFSET('04 变换后数据'!$H$5:$H$160,ROW()-5-$C$3+1,0,$C$3,1))))</f>
        <v/>
      </c>
      <c r="D129" s="8">
        <f>IF(125&lt;$C$3,0,SUMPRODUCT(--(ROW('04 变换后数据'!$D$5:$D$160)&lt;=ROW()),--ISNUMBER(OFFSET('04 变换后数据'!$D$5:$D$160,ROW()-5-$C$3+1,0,MIN($C$3,ROW()-4),1)),--ISNUMBER(OFFSET('04 变换后数据'!$H$5:$H$160,ROW()-5-$C$3+1,0,MIN($C$3,ROW()-4),1))))</f>
        <v/>
      </c>
      <c r="E129" s="31">
        <f>IF(125&lt;$E$3,"",IF(6129=0,"",IF(6129&lt;MAX(5,ROUND($E$3*0.8,0)),"样本不足",CORREL(OFFSET('04 变换后数据'!$D$5:$D$160,ROW()-5-$E$3+1,0,$E$3,1),OFFSET('04 变换后数据'!$H$5:$H$160,ROW()-5-$E$3+1,0,$E$3,1))))</f>
        <v/>
      </c>
      <c r="F129" s="8">
        <f>IF(125&lt;$E$3,0,SUMPRODUCT(--(ROW('04 变换后数据'!$D$5:$D$160)&lt;=ROW()),--ISNUMBER(OFFSET('04 变换后数据'!$D$5:$D$160,ROW()-5-$E$3+1,0,MIN($E$3,ROW()-4),1)),--ISNUMBER(OFFSET('04 变换后数据'!$H$5:$H$160,ROW()-5-$E$3+1,0,MIN($E$3,ROW()-4),1))))</f>
        <v/>
      </c>
      <c r="G129" s="31">
        <f>IF(125&lt;$G$3,"",IF(8129=0,"",IF(8129&lt;MAX(5,ROUND($G$3*0.8,0)),"样本不足",CORREL(OFFSET('04 变换后数据'!$D$5:$D$160,ROW()-5-$G$3+1,0,$G$3,1),OFFSET('04 变换后数据'!$H$5:$H$160,ROW()-5-$G$3+1,0,$G$3,1))))</f>
        <v/>
      </c>
      <c r="H129" s="8">
        <f>IF(125&lt;$G$3,0,SUMPRODUCT(--(ROW('04 变换后数据'!$D$5:$D$160)&lt;=ROW()),--ISNUMBER(OFFSET('04 变换后数据'!$D$5:$D$160,ROW()-5-$G$3+1,0,MIN($G$3,ROW()-4),1)),--ISNUMBER(OFFSET('04 变换后数据'!$H$5:$H$160,ROW()-5-$G$3+1,0,MIN($G$3,ROW()-4),1))))</f>
        <v/>
      </c>
      <c r="I129" s="8">
        <f>IF(ISNUMBER(E129),IF(ABS(E129)&gt;=0.7,"强",IF(ABS(E129)&gt;=0.4,"中","弱")),"-")</f>
        <v/>
      </c>
    </row>
    <row r="130">
      <c r="A130" s="8" t="n">
        <v>126</v>
      </c>
      <c r="B130" s="8">
        <f>'04 变换后数据'!B130</f>
        <v/>
      </c>
      <c r="C130" s="31">
        <f>IF(126&lt;$C$3,"",IF(4130=0,"",IF(4130&lt;MAX(5,ROUND($C$3*0.8,0)),"样本不足",CORREL(OFFSET('04 变换后数据'!$D$5:$D$160,ROW()-5-$C$3+1,0,$C$3,1),OFFSET('04 变换后数据'!$H$5:$H$160,ROW()-5-$C$3+1,0,$C$3,1))))</f>
        <v/>
      </c>
      <c r="D130" s="8">
        <f>IF(126&lt;$C$3,0,SUMPRODUCT(--(ROW('04 变换后数据'!$D$5:$D$160)&lt;=ROW()),--ISNUMBER(OFFSET('04 变换后数据'!$D$5:$D$160,ROW()-5-$C$3+1,0,MIN($C$3,ROW()-4),1)),--ISNUMBER(OFFSET('04 变换后数据'!$H$5:$H$160,ROW()-5-$C$3+1,0,MIN($C$3,ROW()-4),1))))</f>
        <v/>
      </c>
      <c r="E130" s="31">
        <f>IF(126&lt;$E$3,"",IF(6130=0,"",IF(6130&lt;MAX(5,ROUND($E$3*0.8,0)),"样本不足",CORREL(OFFSET('04 变换后数据'!$D$5:$D$160,ROW()-5-$E$3+1,0,$E$3,1),OFFSET('04 变换后数据'!$H$5:$H$160,ROW()-5-$E$3+1,0,$E$3,1))))</f>
        <v/>
      </c>
      <c r="F130" s="8">
        <f>IF(126&lt;$E$3,0,SUMPRODUCT(--(ROW('04 变换后数据'!$D$5:$D$160)&lt;=ROW()),--ISNUMBER(OFFSET('04 变换后数据'!$D$5:$D$160,ROW()-5-$E$3+1,0,MIN($E$3,ROW()-4),1)),--ISNUMBER(OFFSET('04 变换后数据'!$H$5:$H$160,ROW()-5-$E$3+1,0,MIN($E$3,ROW()-4),1))))</f>
        <v/>
      </c>
      <c r="G130" s="31">
        <f>IF(126&lt;$G$3,"",IF(8130=0,"",IF(8130&lt;MAX(5,ROUND($G$3*0.8,0)),"样本不足",CORREL(OFFSET('04 变换后数据'!$D$5:$D$160,ROW()-5-$G$3+1,0,$G$3,1),OFFSET('04 变换后数据'!$H$5:$H$160,ROW()-5-$G$3+1,0,$G$3,1))))</f>
        <v/>
      </c>
      <c r="H130" s="8">
        <f>IF(126&lt;$G$3,0,SUMPRODUCT(--(ROW('04 变换后数据'!$D$5:$D$160)&lt;=ROW()),--ISNUMBER(OFFSET('04 变换后数据'!$D$5:$D$160,ROW()-5-$G$3+1,0,MIN($G$3,ROW()-4),1)),--ISNUMBER(OFFSET('04 变换后数据'!$H$5:$H$160,ROW()-5-$G$3+1,0,MIN($G$3,ROW()-4),1))))</f>
        <v/>
      </c>
      <c r="I130" s="8">
        <f>IF(ISNUMBER(E130),IF(ABS(E130)&gt;=0.7,"强",IF(ABS(E130)&gt;=0.4,"中","弱")),"-")</f>
        <v/>
      </c>
    </row>
    <row r="131">
      <c r="A131" s="8" t="n">
        <v>127</v>
      </c>
      <c r="B131" s="8">
        <f>'04 变换后数据'!B131</f>
        <v/>
      </c>
      <c r="C131" s="31">
        <f>IF(127&lt;$C$3,"",IF(4131=0,"",IF(4131&lt;MAX(5,ROUND($C$3*0.8,0)),"样本不足",CORREL(OFFSET('04 变换后数据'!$D$5:$D$160,ROW()-5-$C$3+1,0,$C$3,1),OFFSET('04 变换后数据'!$H$5:$H$160,ROW()-5-$C$3+1,0,$C$3,1))))</f>
        <v/>
      </c>
      <c r="D131" s="8">
        <f>IF(127&lt;$C$3,0,SUMPRODUCT(--(ROW('04 变换后数据'!$D$5:$D$160)&lt;=ROW()),--ISNUMBER(OFFSET('04 变换后数据'!$D$5:$D$160,ROW()-5-$C$3+1,0,MIN($C$3,ROW()-4),1)),--ISNUMBER(OFFSET('04 变换后数据'!$H$5:$H$160,ROW()-5-$C$3+1,0,MIN($C$3,ROW()-4),1))))</f>
        <v/>
      </c>
      <c r="E131" s="31">
        <f>IF(127&lt;$E$3,"",IF(6131=0,"",IF(6131&lt;MAX(5,ROUND($E$3*0.8,0)),"样本不足",CORREL(OFFSET('04 变换后数据'!$D$5:$D$160,ROW()-5-$E$3+1,0,$E$3,1),OFFSET('04 变换后数据'!$H$5:$H$160,ROW()-5-$E$3+1,0,$E$3,1))))</f>
        <v/>
      </c>
      <c r="F131" s="8">
        <f>IF(127&lt;$E$3,0,SUMPRODUCT(--(ROW('04 变换后数据'!$D$5:$D$160)&lt;=ROW()),--ISNUMBER(OFFSET('04 变换后数据'!$D$5:$D$160,ROW()-5-$E$3+1,0,MIN($E$3,ROW()-4),1)),--ISNUMBER(OFFSET('04 变换后数据'!$H$5:$H$160,ROW()-5-$E$3+1,0,MIN($E$3,ROW()-4),1))))</f>
        <v/>
      </c>
      <c r="G131" s="31">
        <f>IF(127&lt;$G$3,"",IF(8131=0,"",IF(8131&lt;MAX(5,ROUND($G$3*0.8,0)),"样本不足",CORREL(OFFSET('04 变换后数据'!$D$5:$D$160,ROW()-5-$G$3+1,0,$G$3,1),OFFSET('04 变换后数据'!$H$5:$H$160,ROW()-5-$G$3+1,0,$G$3,1))))</f>
        <v/>
      </c>
      <c r="H131" s="8">
        <f>IF(127&lt;$G$3,0,SUMPRODUCT(--(ROW('04 变换后数据'!$D$5:$D$160)&lt;=ROW()),--ISNUMBER(OFFSET('04 变换后数据'!$D$5:$D$160,ROW()-5-$G$3+1,0,MIN($G$3,ROW()-4),1)),--ISNUMBER(OFFSET('04 变换后数据'!$H$5:$H$160,ROW()-5-$G$3+1,0,MIN($G$3,ROW()-4),1))))</f>
        <v/>
      </c>
      <c r="I131" s="8">
        <f>IF(ISNUMBER(E131),IF(ABS(E131)&gt;=0.7,"强",IF(ABS(E131)&gt;=0.4,"中","弱")),"-")</f>
        <v/>
      </c>
    </row>
    <row r="132">
      <c r="A132" s="8" t="n">
        <v>128</v>
      </c>
      <c r="B132" s="8">
        <f>'04 变换后数据'!B132</f>
        <v/>
      </c>
      <c r="C132" s="31">
        <f>IF(128&lt;$C$3,"",IF(4132=0,"",IF(4132&lt;MAX(5,ROUND($C$3*0.8,0)),"样本不足",CORREL(OFFSET('04 变换后数据'!$D$5:$D$160,ROW()-5-$C$3+1,0,$C$3,1),OFFSET('04 变换后数据'!$H$5:$H$160,ROW()-5-$C$3+1,0,$C$3,1))))</f>
        <v/>
      </c>
      <c r="D132" s="8">
        <f>IF(128&lt;$C$3,0,SUMPRODUCT(--(ROW('04 变换后数据'!$D$5:$D$160)&lt;=ROW()),--ISNUMBER(OFFSET('04 变换后数据'!$D$5:$D$160,ROW()-5-$C$3+1,0,MIN($C$3,ROW()-4),1)),--ISNUMBER(OFFSET('04 变换后数据'!$H$5:$H$160,ROW()-5-$C$3+1,0,MIN($C$3,ROW()-4),1))))</f>
        <v/>
      </c>
      <c r="E132" s="31">
        <f>IF(128&lt;$E$3,"",IF(6132=0,"",IF(6132&lt;MAX(5,ROUND($E$3*0.8,0)),"样本不足",CORREL(OFFSET('04 变换后数据'!$D$5:$D$160,ROW()-5-$E$3+1,0,$E$3,1),OFFSET('04 变换后数据'!$H$5:$H$160,ROW()-5-$E$3+1,0,$E$3,1))))</f>
        <v/>
      </c>
      <c r="F132" s="8">
        <f>IF(128&lt;$E$3,0,SUMPRODUCT(--(ROW('04 变换后数据'!$D$5:$D$160)&lt;=ROW()),--ISNUMBER(OFFSET('04 变换后数据'!$D$5:$D$160,ROW()-5-$E$3+1,0,MIN($E$3,ROW()-4),1)),--ISNUMBER(OFFSET('04 变换后数据'!$H$5:$H$160,ROW()-5-$E$3+1,0,MIN($E$3,ROW()-4),1))))</f>
        <v/>
      </c>
      <c r="G132" s="31">
        <f>IF(128&lt;$G$3,"",IF(8132=0,"",IF(8132&lt;MAX(5,ROUND($G$3*0.8,0)),"样本不足",CORREL(OFFSET('04 变换后数据'!$D$5:$D$160,ROW()-5-$G$3+1,0,$G$3,1),OFFSET('04 变换后数据'!$H$5:$H$160,ROW()-5-$G$3+1,0,$G$3,1))))</f>
        <v/>
      </c>
      <c r="H132" s="8">
        <f>IF(128&lt;$G$3,0,SUMPRODUCT(--(ROW('04 变换后数据'!$D$5:$D$160)&lt;=ROW()),--ISNUMBER(OFFSET('04 变换后数据'!$D$5:$D$160,ROW()-5-$G$3+1,0,MIN($G$3,ROW()-4),1)),--ISNUMBER(OFFSET('04 变换后数据'!$H$5:$H$160,ROW()-5-$G$3+1,0,MIN($G$3,ROW()-4),1))))</f>
        <v/>
      </c>
      <c r="I132" s="8">
        <f>IF(ISNUMBER(E132),IF(ABS(E132)&gt;=0.7,"强",IF(ABS(E132)&gt;=0.4,"中","弱")),"-")</f>
        <v/>
      </c>
    </row>
    <row r="133">
      <c r="A133" s="8" t="n">
        <v>129</v>
      </c>
      <c r="B133" s="8">
        <f>'04 变换后数据'!B133</f>
        <v/>
      </c>
      <c r="C133" s="31">
        <f>IF(129&lt;$C$3,"",IF(4133=0,"",IF(4133&lt;MAX(5,ROUND($C$3*0.8,0)),"样本不足",CORREL(OFFSET('04 变换后数据'!$D$5:$D$160,ROW()-5-$C$3+1,0,$C$3,1),OFFSET('04 变换后数据'!$H$5:$H$160,ROW()-5-$C$3+1,0,$C$3,1))))</f>
        <v/>
      </c>
      <c r="D133" s="8">
        <f>IF(129&lt;$C$3,0,SUMPRODUCT(--(ROW('04 变换后数据'!$D$5:$D$160)&lt;=ROW()),--ISNUMBER(OFFSET('04 变换后数据'!$D$5:$D$160,ROW()-5-$C$3+1,0,MIN($C$3,ROW()-4),1)),--ISNUMBER(OFFSET('04 变换后数据'!$H$5:$H$160,ROW()-5-$C$3+1,0,MIN($C$3,ROW()-4),1))))</f>
        <v/>
      </c>
      <c r="E133" s="31">
        <f>IF(129&lt;$E$3,"",IF(6133=0,"",IF(6133&lt;MAX(5,ROUND($E$3*0.8,0)),"样本不足",CORREL(OFFSET('04 变换后数据'!$D$5:$D$160,ROW()-5-$E$3+1,0,$E$3,1),OFFSET('04 变换后数据'!$H$5:$H$160,ROW()-5-$E$3+1,0,$E$3,1))))</f>
        <v/>
      </c>
      <c r="F133" s="8">
        <f>IF(129&lt;$E$3,0,SUMPRODUCT(--(ROW('04 变换后数据'!$D$5:$D$160)&lt;=ROW()),--ISNUMBER(OFFSET('04 变换后数据'!$D$5:$D$160,ROW()-5-$E$3+1,0,MIN($E$3,ROW()-4),1)),--ISNUMBER(OFFSET('04 变换后数据'!$H$5:$H$160,ROW()-5-$E$3+1,0,MIN($E$3,ROW()-4),1))))</f>
        <v/>
      </c>
      <c r="G133" s="31">
        <f>IF(129&lt;$G$3,"",IF(8133=0,"",IF(8133&lt;MAX(5,ROUND($G$3*0.8,0)),"样本不足",CORREL(OFFSET('04 变换后数据'!$D$5:$D$160,ROW()-5-$G$3+1,0,$G$3,1),OFFSET('04 变换后数据'!$H$5:$H$160,ROW()-5-$G$3+1,0,$G$3,1))))</f>
        <v/>
      </c>
      <c r="H133" s="8">
        <f>IF(129&lt;$G$3,0,SUMPRODUCT(--(ROW('04 变换后数据'!$D$5:$D$160)&lt;=ROW()),--ISNUMBER(OFFSET('04 变换后数据'!$D$5:$D$160,ROW()-5-$G$3+1,0,MIN($G$3,ROW()-4),1)),--ISNUMBER(OFFSET('04 变换后数据'!$H$5:$H$160,ROW()-5-$G$3+1,0,MIN($G$3,ROW()-4),1))))</f>
        <v/>
      </c>
      <c r="I133" s="8">
        <f>IF(ISNUMBER(E133),IF(ABS(E133)&gt;=0.7,"强",IF(ABS(E133)&gt;=0.4,"中","弱")),"-")</f>
        <v/>
      </c>
    </row>
    <row r="134">
      <c r="A134" s="8" t="n">
        <v>130</v>
      </c>
      <c r="B134" s="8">
        <f>'04 变换后数据'!B134</f>
        <v/>
      </c>
      <c r="C134" s="31">
        <f>IF(130&lt;$C$3,"",IF(4134=0,"",IF(4134&lt;MAX(5,ROUND($C$3*0.8,0)),"样本不足",CORREL(OFFSET('04 变换后数据'!$D$5:$D$160,ROW()-5-$C$3+1,0,$C$3,1),OFFSET('04 变换后数据'!$H$5:$H$160,ROW()-5-$C$3+1,0,$C$3,1))))</f>
        <v/>
      </c>
      <c r="D134" s="8">
        <f>IF(130&lt;$C$3,0,SUMPRODUCT(--(ROW('04 变换后数据'!$D$5:$D$160)&lt;=ROW()),--ISNUMBER(OFFSET('04 变换后数据'!$D$5:$D$160,ROW()-5-$C$3+1,0,MIN($C$3,ROW()-4),1)),--ISNUMBER(OFFSET('04 变换后数据'!$H$5:$H$160,ROW()-5-$C$3+1,0,MIN($C$3,ROW()-4),1))))</f>
        <v/>
      </c>
      <c r="E134" s="31">
        <f>IF(130&lt;$E$3,"",IF(6134=0,"",IF(6134&lt;MAX(5,ROUND($E$3*0.8,0)),"样本不足",CORREL(OFFSET('04 变换后数据'!$D$5:$D$160,ROW()-5-$E$3+1,0,$E$3,1),OFFSET('04 变换后数据'!$H$5:$H$160,ROW()-5-$E$3+1,0,$E$3,1))))</f>
        <v/>
      </c>
      <c r="F134" s="8">
        <f>IF(130&lt;$E$3,0,SUMPRODUCT(--(ROW('04 变换后数据'!$D$5:$D$160)&lt;=ROW()),--ISNUMBER(OFFSET('04 变换后数据'!$D$5:$D$160,ROW()-5-$E$3+1,0,MIN($E$3,ROW()-4),1)),--ISNUMBER(OFFSET('04 变换后数据'!$H$5:$H$160,ROW()-5-$E$3+1,0,MIN($E$3,ROW()-4),1))))</f>
        <v/>
      </c>
      <c r="G134" s="31">
        <f>IF(130&lt;$G$3,"",IF(8134=0,"",IF(8134&lt;MAX(5,ROUND($G$3*0.8,0)),"样本不足",CORREL(OFFSET('04 变换后数据'!$D$5:$D$160,ROW()-5-$G$3+1,0,$G$3,1),OFFSET('04 变换后数据'!$H$5:$H$160,ROW()-5-$G$3+1,0,$G$3,1))))</f>
        <v/>
      </c>
      <c r="H134" s="8">
        <f>IF(130&lt;$G$3,0,SUMPRODUCT(--(ROW('04 变换后数据'!$D$5:$D$160)&lt;=ROW()),--ISNUMBER(OFFSET('04 变换后数据'!$D$5:$D$160,ROW()-5-$G$3+1,0,MIN($G$3,ROW()-4),1)),--ISNUMBER(OFFSET('04 变换后数据'!$H$5:$H$160,ROW()-5-$G$3+1,0,MIN($G$3,ROW()-4),1))))</f>
        <v/>
      </c>
      <c r="I134" s="8">
        <f>IF(ISNUMBER(E134),IF(ABS(E134)&gt;=0.7,"强",IF(ABS(E134)&gt;=0.4,"中","弱")),"-")</f>
        <v/>
      </c>
    </row>
    <row r="135">
      <c r="A135" s="8" t="n">
        <v>131</v>
      </c>
      <c r="B135" s="8">
        <f>'04 变换后数据'!B135</f>
        <v/>
      </c>
      <c r="C135" s="31">
        <f>IF(131&lt;$C$3,"",IF(4135=0,"",IF(4135&lt;MAX(5,ROUND($C$3*0.8,0)),"样本不足",CORREL(OFFSET('04 变换后数据'!$D$5:$D$160,ROW()-5-$C$3+1,0,$C$3,1),OFFSET('04 变换后数据'!$H$5:$H$160,ROW()-5-$C$3+1,0,$C$3,1))))</f>
        <v/>
      </c>
      <c r="D135" s="8">
        <f>IF(131&lt;$C$3,0,SUMPRODUCT(--(ROW('04 变换后数据'!$D$5:$D$160)&lt;=ROW()),--ISNUMBER(OFFSET('04 变换后数据'!$D$5:$D$160,ROW()-5-$C$3+1,0,MIN($C$3,ROW()-4),1)),--ISNUMBER(OFFSET('04 变换后数据'!$H$5:$H$160,ROW()-5-$C$3+1,0,MIN($C$3,ROW()-4),1))))</f>
        <v/>
      </c>
      <c r="E135" s="31">
        <f>IF(131&lt;$E$3,"",IF(6135=0,"",IF(6135&lt;MAX(5,ROUND($E$3*0.8,0)),"样本不足",CORREL(OFFSET('04 变换后数据'!$D$5:$D$160,ROW()-5-$E$3+1,0,$E$3,1),OFFSET('04 变换后数据'!$H$5:$H$160,ROW()-5-$E$3+1,0,$E$3,1))))</f>
        <v/>
      </c>
      <c r="F135" s="8">
        <f>IF(131&lt;$E$3,0,SUMPRODUCT(--(ROW('04 变换后数据'!$D$5:$D$160)&lt;=ROW()),--ISNUMBER(OFFSET('04 变换后数据'!$D$5:$D$160,ROW()-5-$E$3+1,0,MIN($E$3,ROW()-4),1)),--ISNUMBER(OFFSET('04 变换后数据'!$H$5:$H$160,ROW()-5-$E$3+1,0,MIN($E$3,ROW()-4),1))))</f>
        <v/>
      </c>
      <c r="G135" s="31">
        <f>IF(131&lt;$G$3,"",IF(8135=0,"",IF(8135&lt;MAX(5,ROUND($G$3*0.8,0)),"样本不足",CORREL(OFFSET('04 变换后数据'!$D$5:$D$160,ROW()-5-$G$3+1,0,$G$3,1),OFFSET('04 变换后数据'!$H$5:$H$160,ROW()-5-$G$3+1,0,$G$3,1))))</f>
        <v/>
      </c>
      <c r="H135" s="8">
        <f>IF(131&lt;$G$3,0,SUMPRODUCT(--(ROW('04 变换后数据'!$D$5:$D$160)&lt;=ROW()),--ISNUMBER(OFFSET('04 变换后数据'!$D$5:$D$160,ROW()-5-$G$3+1,0,MIN($G$3,ROW()-4),1)),--ISNUMBER(OFFSET('04 变换后数据'!$H$5:$H$160,ROW()-5-$G$3+1,0,MIN($G$3,ROW()-4),1))))</f>
        <v/>
      </c>
      <c r="I135" s="8">
        <f>IF(ISNUMBER(E135),IF(ABS(E135)&gt;=0.7,"强",IF(ABS(E135)&gt;=0.4,"中","弱")),"-")</f>
        <v/>
      </c>
    </row>
    <row r="136">
      <c r="A136" s="8" t="n">
        <v>132</v>
      </c>
      <c r="B136" s="8">
        <f>'04 变换后数据'!B136</f>
        <v/>
      </c>
      <c r="C136" s="31">
        <f>IF(132&lt;$C$3,"",IF(4136=0,"",IF(4136&lt;MAX(5,ROUND($C$3*0.8,0)),"样本不足",CORREL(OFFSET('04 变换后数据'!$D$5:$D$160,ROW()-5-$C$3+1,0,$C$3,1),OFFSET('04 变换后数据'!$H$5:$H$160,ROW()-5-$C$3+1,0,$C$3,1))))</f>
        <v/>
      </c>
      <c r="D136" s="8">
        <f>IF(132&lt;$C$3,0,SUMPRODUCT(--(ROW('04 变换后数据'!$D$5:$D$160)&lt;=ROW()),--ISNUMBER(OFFSET('04 变换后数据'!$D$5:$D$160,ROW()-5-$C$3+1,0,MIN($C$3,ROW()-4),1)),--ISNUMBER(OFFSET('04 变换后数据'!$H$5:$H$160,ROW()-5-$C$3+1,0,MIN($C$3,ROW()-4),1))))</f>
        <v/>
      </c>
      <c r="E136" s="31">
        <f>IF(132&lt;$E$3,"",IF(6136=0,"",IF(6136&lt;MAX(5,ROUND($E$3*0.8,0)),"样本不足",CORREL(OFFSET('04 变换后数据'!$D$5:$D$160,ROW()-5-$E$3+1,0,$E$3,1),OFFSET('04 变换后数据'!$H$5:$H$160,ROW()-5-$E$3+1,0,$E$3,1))))</f>
        <v/>
      </c>
      <c r="F136" s="8">
        <f>IF(132&lt;$E$3,0,SUMPRODUCT(--(ROW('04 变换后数据'!$D$5:$D$160)&lt;=ROW()),--ISNUMBER(OFFSET('04 变换后数据'!$D$5:$D$160,ROW()-5-$E$3+1,0,MIN($E$3,ROW()-4),1)),--ISNUMBER(OFFSET('04 变换后数据'!$H$5:$H$160,ROW()-5-$E$3+1,0,MIN($E$3,ROW()-4),1))))</f>
        <v/>
      </c>
      <c r="G136" s="31">
        <f>IF(132&lt;$G$3,"",IF(8136=0,"",IF(8136&lt;MAX(5,ROUND($G$3*0.8,0)),"样本不足",CORREL(OFFSET('04 变换后数据'!$D$5:$D$160,ROW()-5-$G$3+1,0,$G$3,1),OFFSET('04 变换后数据'!$H$5:$H$160,ROW()-5-$G$3+1,0,$G$3,1))))</f>
        <v/>
      </c>
      <c r="H136" s="8">
        <f>IF(132&lt;$G$3,0,SUMPRODUCT(--(ROW('04 变换后数据'!$D$5:$D$160)&lt;=ROW()),--ISNUMBER(OFFSET('04 变换后数据'!$D$5:$D$160,ROW()-5-$G$3+1,0,MIN($G$3,ROW()-4),1)),--ISNUMBER(OFFSET('04 变换后数据'!$H$5:$H$160,ROW()-5-$G$3+1,0,MIN($G$3,ROW()-4),1))))</f>
        <v/>
      </c>
      <c r="I136" s="8">
        <f>IF(ISNUMBER(E136),IF(ABS(E136)&gt;=0.7,"强",IF(ABS(E136)&gt;=0.4,"中","弱")),"-")</f>
        <v/>
      </c>
    </row>
    <row r="137">
      <c r="A137" s="8" t="n">
        <v>133</v>
      </c>
      <c r="B137" s="8">
        <f>'04 变换后数据'!B137</f>
        <v/>
      </c>
      <c r="C137" s="31">
        <f>IF(133&lt;$C$3,"",IF(4137=0,"",IF(4137&lt;MAX(5,ROUND($C$3*0.8,0)),"样本不足",CORREL(OFFSET('04 变换后数据'!$D$5:$D$160,ROW()-5-$C$3+1,0,$C$3,1),OFFSET('04 变换后数据'!$H$5:$H$160,ROW()-5-$C$3+1,0,$C$3,1))))</f>
        <v/>
      </c>
      <c r="D137" s="8">
        <f>IF(133&lt;$C$3,0,SUMPRODUCT(--(ROW('04 变换后数据'!$D$5:$D$160)&lt;=ROW()),--ISNUMBER(OFFSET('04 变换后数据'!$D$5:$D$160,ROW()-5-$C$3+1,0,MIN($C$3,ROW()-4),1)),--ISNUMBER(OFFSET('04 变换后数据'!$H$5:$H$160,ROW()-5-$C$3+1,0,MIN($C$3,ROW()-4),1))))</f>
        <v/>
      </c>
      <c r="E137" s="31">
        <f>IF(133&lt;$E$3,"",IF(6137=0,"",IF(6137&lt;MAX(5,ROUND($E$3*0.8,0)),"样本不足",CORREL(OFFSET('04 变换后数据'!$D$5:$D$160,ROW()-5-$E$3+1,0,$E$3,1),OFFSET('04 变换后数据'!$H$5:$H$160,ROW()-5-$E$3+1,0,$E$3,1))))</f>
        <v/>
      </c>
      <c r="F137" s="8">
        <f>IF(133&lt;$E$3,0,SUMPRODUCT(--(ROW('04 变换后数据'!$D$5:$D$160)&lt;=ROW()),--ISNUMBER(OFFSET('04 变换后数据'!$D$5:$D$160,ROW()-5-$E$3+1,0,MIN($E$3,ROW()-4),1)),--ISNUMBER(OFFSET('04 变换后数据'!$H$5:$H$160,ROW()-5-$E$3+1,0,MIN($E$3,ROW()-4),1))))</f>
        <v/>
      </c>
      <c r="G137" s="31">
        <f>IF(133&lt;$G$3,"",IF(8137=0,"",IF(8137&lt;MAX(5,ROUND($G$3*0.8,0)),"样本不足",CORREL(OFFSET('04 变换后数据'!$D$5:$D$160,ROW()-5-$G$3+1,0,$G$3,1),OFFSET('04 变换后数据'!$H$5:$H$160,ROW()-5-$G$3+1,0,$G$3,1))))</f>
        <v/>
      </c>
      <c r="H137" s="8">
        <f>IF(133&lt;$G$3,0,SUMPRODUCT(--(ROW('04 变换后数据'!$D$5:$D$160)&lt;=ROW()),--ISNUMBER(OFFSET('04 变换后数据'!$D$5:$D$160,ROW()-5-$G$3+1,0,MIN($G$3,ROW()-4),1)),--ISNUMBER(OFFSET('04 变换后数据'!$H$5:$H$160,ROW()-5-$G$3+1,0,MIN($G$3,ROW()-4),1))))</f>
        <v/>
      </c>
      <c r="I137" s="8">
        <f>IF(ISNUMBER(E137),IF(ABS(E137)&gt;=0.7,"强",IF(ABS(E137)&gt;=0.4,"中","弱")),"-")</f>
        <v/>
      </c>
    </row>
    <row r="138">
      <c r="A138" s="8" t="n">
        <v>134</v>
      </c>
      <c r="B138" s="8">
        <f>'04 变换后数据'!B138</f>
        <v/>
      </c>
      <c r="C138" s="31">
        <f>IF(134&lt;$C$3,"",IF(4138=0,"",IF(4138&lt;MAX(5,ROUND($C$3*0.8,0)),"样本不足",CORREL(OFFSET('04 变换后数据'!$D$5:$D$160,ROW()-5-$C$3+1,0,$C$3,1),OFFSET('04 变换后数据'!$H$5:$H$160,ROW()-5-$C$3+1,0,$C$3,1))))</f>
        <v/>
      </c>
      <c r="D138" s="8">
        <f>IF(134&lt;$C$3,0,SUMPRODUCT(--(ROW('04 变换后数据'!$D$5:$D$160)&lt;=ROW()),--ISNUMBER(OFFSET('04 变换后数据'!$D$5:$D$160,ROW()-5-$C$3+1,0,MIN($C$3,ROW()-4),1)),--ISNUMBER(OFFSET('04 变换后数据'!$H$5:$H$160,ROW()-5-$C$3+1,0,MIN($C$3,ROW()-4),1))))</f>
        <v/>
      </c>
      <c r="E138" s="31">
        <f>IF(134&lt;$E$3,"",IF(6138=0,"",IF(6138&lt;MAX(5,ROUND($E$3*0.8,0)),"样本不足",CORREL(OFFSET('04 变换后数据'!$D$5:$D$160,ROW()-5-$E$3+1,0,$E$3,1),OFFSET('04 变换后数据'!$H$5:$H$160,ROW()-5-$E$3+1,0,$E$3,1))))</f>
        <v/>
      </c>
      <c r="F138" s="8">
        <f>IF(134&lt;$E$3,0,SUMPRODUCT(--(ROW('04 变换后数据'!$D$5:$D$160)&lt;=ROW()),--ISNUMBER(OFFSET('04 变换后数据'!$D$5:$D$160,ROW()-5-$E$3+1,0,MIN($E$3,ROW()-4),1)),--ISNUMBER(OFFSET('04 变换后数据'!$H$5:$H$160,ROW()-5-$E$3+1,0,MIN($E$3,ROW()-4),1))))</f>
        <v/>
      </c>
      <c r="G138" s="31">
        <f>IF(134&lt;$G$3,"",IF(8138=0,"",IF(8138&lt;MAX(5,ROUND($G$3*0.8,0)),"样本不足",CORREL(OFFSET('04 变换后数据'!$D$5:$D$160,ROW()-5-$G$3+1,0,$G$3,1),OFFSET('04 变换后数据'!$H$5:$H$160,ROW()-5-$G$3+1,0,$G$3,1))))</f>
        <v/>
      </c>
      <c r="H138" s="8">
        <f>IF(134&lt;$G$3,0,SUMPRODUCT(--(ROW('04 变换后数据'!$D$5:$D$160)&lt;=ROW()),--ISNUMBER(OFFSET('04 变换后数据'!$D$5:$D$160,ROW()-5-$G$3+1,0,MIN($G$3,ROW()-4),1)),--ISNUMBER(OFFSET('04 变换后数据'!$H$5:$H$160,ROW()-5-$G$3+1,0,MIN($G$3,ROW()-4),1))))</f>
        <v/>
      </c>
      <c r="I138" s="8">
        <f>IF(ISNUMBER(E138),IF(ABS(E138)&gt;=0.7,"强",IF(ABS(E138)&gt;=0.4,"中","弱")),"-")</f>
        <v/>
      </c>
    </row>
    <row r="139">
      <c r="A139" s="8" t="n">
        <v>135</v>
      </c>
      <c r="B139" s="8">
        <f>'04 变换后数据'!B139</f>
        <v/>
      </c>
      <c r="C139" s="31">
        <f>IF(135&lt;$C$3,"",IF(4139=0,"",IF(4139&lt;MAX(5,ROUND($C$3*0.8,0)),"样本不足",CORREL(OFFSET('04 变换后数据'!$D$5:$D$160,ROW()-5-$C$3+1,0,$C$3,1),OFFSET('04 变换后数据'!$H$5:$H$160,ROW()-5-$C$3+1,0,$C$3,1))))</f>
        <v/>
      </c>
      <c r="D139" s="8">
        <f>IF(135&lt;$C$3,0,SUMPRODUCT(--(ROW('04 变换后数据'!$D$5:$D$160)&lt;=ROW()),--ISNUMBER(OFFSET('04 变换后数据'!$D$5:$D$160,ROW()-5-$C$3+1,0,MIN($C$3,ROW()-4),1)),--ISNUMBER(OFFSET('04 变换后数据'!$H$5:$H$160,ROW()-5-$C$3+1,0,MIN($C$3,ROW()-4),1))))</f>
        <v/>
      </c>
      <c r="E139" s="31">
        <f>IF(135&lt;$E$3,"",IF(6139=0,"",IF(6139&lt;MAX(5,ROUND($E$3*0.8,0)),"样本不足",CORREL(OFFSET('04 变换后数据'!$D$5:$D$160,ROW()-5-$E$3+1,0,$E$3,1),OFFSET('04 变换后数据'!$H$5:$H$160,ROW()-5-$E$3+1,0,$E$3,1))))</f>
        <v/>
      </c>
      <c r="F139" s="8">
        <f>IF(135&lt;$E$3,0,SUMPRODUCT(--(ROW('04 变换后数据'!$D$5:$D$160)&lt;=ROW()),--ISNUMBER(OFFSET('04 变换后数据'!$D$5:$D$160,ROW()-5-$E$3+1,0,MIN($E$3,ROW()-4),1)),--ISNUMBER(OFFSET('04 变换后数据'!$H$5:$H$160,ROW()-5-$E$3+1,0,MIN($E$3,ROW()-4),1))))</f>
        <v/>
      </c>
      <c r="G139" s="31">
        <f>IF(135&lt;$G$3,"",IF(8139=0,"",IF(8139&lt;MAX(5,ROUND($G$3*0.8,0)),"样本不足",CORREL(OFFSET('04 变换后数据'!$D$5:$D$160,ROW()-5-$G$3+1,0,$G$3,1),OFFSET('04 变换后数据'!$H$5:$H$160,ROW()-5-$G$3+1,0,$G$3,1))))</f>
        <v/>
      </c>
      <c r="H139" s="8">
        <f>IF(135&lt;$G$3,0,SUMPRODUCT(--(ROW('04 变换后数据'!$D$5:$D$160)&lt;=ROW()),--ISNUMBER(OFFSET('04 变换后数据'!$D$5:$D$160,ROW()-5-$G$3+1,0,MIN($G$3,ROW()-4),1)),--ISNUMBER(OFFSET('04 变换后数据'!$H$5:$H$160,ROW()-5-$G$3+1,0,MIN($G$3,ROW()-4),1))))</f>
        <v/>
      </c>
      <c r="I139" s="8">
        <f>IF(ISNUMBER(E139),IF(ABS(E139)&gt;=0.7,"强",IF(ABS(E139)&gt;=0.4,"中","弱")),"-")</f>
        <v/>
      </c>
    </row>
    <row r="140">
      <c r="A140" s="8" t="n">
        <v>136</v>
      </c>
      <c r="B140" s="8">
        <f>'04 变换后数据'!B140</f>
        <v/>
      </c>
      <c r="C140" s="31">
        <f>IF(136&lt;$C$3,"",IF(4140=0,"",IF(4140&lt;MAX(5,ROUND($C$3*0.8,0)),"样本不足",CORREL(OFFSET('04 变换后数据'!$D$5:$D$160,ROW()-5-$C$3+1,0,$C$3,1),OFFSET('04 变换后数据'!$H$5:$H$160,ROW()-5-$C$3+1,0,$C$3,1))))</f>
        <v/>
      </c>
      <c r="D140" s="8">
        <f>IF(136&lt;$C$3,0,SUMPRODUCT(--(ROW('04 变换后数据'!$D$5:$D$160)&lt;=ROW()),--ISNUMBER(OFFSET('04 变换后数据'!$D$5:$D$160,ROW()-5-$C$3+1,0,MIN($C$3,ROW()-4),1)),--ISNUMBER(OFFSET('04 变换后数据'!$H$5:$H$160,ROW()-5-$C$3+1,0,MIN($C$3,ROW()-4),1))))</f>
        <v/>
      </c>
      <c r="E140" s="31">
        <f>IF(136&lt;$E$3,"",IF(6140=0,"",IF(6140&lt;MAX(5,ROUND($E$3*0.8,0)),"样本不足",CORREL(OFFSET('04 变换后数据'!$D$5:$D$160,ROW()-5-$E$3+1,0,$E$3,1),OFFSET('04 变换后数据'!$H$5:$H$160,ROW()-5-$E$3+1,0,$E$3,1))))</f>
        <v/>
      </c>
      <c r="F140" s="8">
        <f>IF(136&lt;$E$3,0,SUMPRODUCT(--(ROW('04 变换后数据'!$D$5:$D$160)&lt;=ROW()),--ISNUMBER(OFFSET('04 变换后数据'!$D$5:$D$160,ROW()-5-$E$3+1,0,MIN($E$3,ROW()-4),1)),--ISNUMBER(OFFSET('04 变换后数据'!$H$5:$H$160,ROW()-5-$E$3+1,0,MIN($E$3,ROW()-4),1))))</f>
        <v/>
      </c>
      <c r="G140" s="31">
        <f>IF(136&lt;$G$3,"",IF(8140=0,"",IF(8140&lt;MAX(5,ROUND($G$3*0.8,0)),"样本不足",CORREL(OFFSET('04 变换后数据'!$D$5:$D$160,ROW()-5-$G$3+1,0,$G$3,1),OFFSET('04 变换后数据'!$H$5:$H$160,ROW()-5-$G$3+1,0,$G$3,1))))</f>
        <v/>
      </c>
      <c r="H140" s="8">
        <f>IF(136&lt;$G$3,0,SUMPRODUCT(--(ROW('04 变换后数据'!$D$5:$D$160)&lt;=ROW()),--ISNUMBER(OFFSET('04 变换后数据'!$D$5:$D$160,ROW()-5-$G$3+1,0,MIN($G$3,ROW()-4),1)),--ISNUMBER(OFFSET('04 变换后数据'!$H$5:$H$160,ROW()-5-$G$3+1,0,MIN($G$3,ROW()-4),1))))</f>
        <v/>
      </c>
      <c r="I140" s="8">
        <f>IF(ISNUMBER(E140),IF(ABS(E140)&gt;=0.7,"强",IF(ABS(E140)&gt;=0.4,"中","弱")),"-")</f>
        <v/>
      </c>
    </row>
    <row r="141">
      <c r="A141" s="8" t="n">
        <v>137</v>
      </c>
      <c r="B141" s="8">
        <f>'04 变换后数据'!B141</f>
        <v/>
      </c>
      <c r="C141" s="31">
        <f>IF(137&lt;$C$3,"",IF(4141=0,"",IF(4141&lt;MAX(5,ROUND($C$3*0.8,0)),"样本不足",CORREL(OFFSET('04 变换后数据'!$D$5:$D$160,ROW()-5-$C$3+1,0,$C$3,1),OFFSET('04 变换后数据'!$H$5:$H$160,ROW()-5-$C$3+1,0,$C$3,1))))</f>
        <v/>
      </c>
      <c r="D141" s="8">
        <f>IF(137&lt;$C$3,0,SUMPRODUCT(--(ROW('04 变换后数据'!$D$5:$D$160)&lt;=ROW()),--ISNUMBER(OFFSET('04 变换后数据'!$D$5:$D$160,ROW()-5-$C$3+1,0,MIN($C$3,ROW()-4),1)),--ISNUMBER(OFFSET('04 变换后数据'!$H$5:$H$160,ROW()-5-$C$3+1,0,MIN($C$3,ROW()-4),1))))</f>
        <v/>
      </c>
      <c r="E141" s="31">
        <f>IF(137&lt;$E$3,"",IF(6141=0,"",IF(6141&lt;MAX(5,ROUND($E$3*0.8,0)),"样本不足",CORREL(OFFSET('04 变换后数据'!$D$5:$D$160,ROW()-5-$E$3+1,0,$E$3,1),OFFSET('04 变换后数据'!$H$5:$H$160,ROW()-5-$E$3+1,0,$E$3,1))))</f>
        <v/>
      </c>
      <c r="F141" s="8">
        <f>IF(137&lt;$E$3,0,SUMPRODUCT(--(ROW('04 变换后数据'!$D$5:$D$160)&lt;=ROW()),--ISNUMBER(OFFSET('04 变换后数据'!$D$5:$D$160,ROW()-5-$E$3+1,0,MIN($E$3,ROW()-4),1)),--ISNUMBER(OFFSET('04 变换后数据'!$H$5:$H$160,ROW()-5-$E$3+1,0,MIN($E$3,ROW()-4),1))))</f>
        <v/>
      </c>
      <c r="G141" s="31">
        <f>IF(137&lt;$G$3,"",IF(8141=0,"",IF(8141&lt;MAX(5,ROUND($G$3*0.8,0)),"样本不足",CORREL(OFFSET('04 变换后数据'!$D$5:$D$160,ROW()-5-$G$3+1,0,$G$3,1),OFFSET('04 变换后数据'!$H$5:$H$160,ROW()-5-$G$3+1,0,$G$3,1))))</f>
        <v/>
      </c>
      <c r="H141" s="8">
        <f>IF(137&lt;$G$3,0,SUMPRODUCT(--(ROW('04 变换后数据'!$D$5:$D$160)&lt;=ROW()),--ISNUMBER(OFFSET('04 变换后数据'!$D$5:$D$160,ROW()-5-$G$3+1,0,MIN($G$3,ROW()-4),1)),--ISNUMBER(OFFSET('04 变换后数据'!$H$5:$H$160,ROW()-5-$G$3+1,0,MIN($G$3,ROW()-4),1))))</f>
        <v/>
      </c>
      <c r="I141" s="8">
        <f>IF(ISNUMBER(E141),IF(ABS(E141)&gt;=0.7,"强",IF(ABS(E141)&gt;=0.4,"中","弱")),"-")</f>
        <v/>
      </c>
    </row>
    <row r="142">
      <c r="A142" s="8" t="n">
        <v>138</v>
      </c>
      <c r="B142" s="8">
        <f>'04 变换后数据'!B142</f>
        <v/>
      </c>
      <c r="C142" s="31">
        <f>IF(138&lt;$C$3,"",IF(4142=0,"",IF(4142&lt;MAX(5,ROUND($C$3*0.8,0)),"样本不足",CORREL(OFFSET('04 变换后数据'!$D$5:$D$160,ROW()-5-$C$3+1,0,$C$3,1),OFFSET('04 变换后数据'!$H$5:$H$160,ROW()-5-$C$3+1,0,$C$3,1))))</f>
        <v/>
      </c>
      <c r="D142" s="8">
        <f>IF(138&lt;$C$3,0,SUMPRODUCT(--(ROW('04 变换后数据'!$D$5:$D$160)&lt;=ROW()),--ISNUMBER(OFFSET('04 变换后数据'!$D$5:$D$160,ROW()-5-$C$3+1,0,MIN($C$3,ROW()-4),1)),--ISNUMBER(OFFSET('04 变换后数据'!$H$5:$H$160,ROW()-5-$C$3+1,0,MIN($C$3,ROW()-4),1))))</f>
        <v/>
      </c>
      <c r="E142" s="31">
        <f>IF(138&lt;$E$3,"",IF(6142=0,"",IF(6142&lt;MAX(5,ROUND($E$3*0.8,0)),"样本不足",CORREL(OFFSET('04 变换后数据'!$D$5:$D$160,ROW()-5-$E$3+1,0,$E$3,1),OFFSET('04 变换后数据'!$H$5:$H$160,ROW()-5-$E$3+1,0,$E$3,1))))</f>
        <v/>
      </c>
      <c r="F142" s="8">
        <f>IF(138&lt;$E$3,0,SUMPRODUCT(--(ROW('04 变换后数据'!$D$5:$D$160)&lt;=ROW()),--ISNUMBER(OFFSET('04 变换后数据'!$D$5:$D$160,ROW()-5-$E$3+1,0,MIN($E$3,ROW()-4),1)),--ISNUMBER(OFFSET('04 变换后数据'!$H$5:$H$160,ROW()-5-$E$3+1,0,MIN($E$3,ROW()-4),1))))</f>
        <v/>
      </c>
      <c r="G142" s="31">
        <f>IF(138&lt;$G$3,"",IF(8142=0,"",IF(8142&lt;MAX(5,ROUND($G$3*0.8,0)),"样本不足",CORREL(OFFSET('04 变换后数据'!$D$5:$D$160,ROW()-5-$G$3+1,0,$G$3,1),OFFSET('04 变换后数据'!$H$5:$H$160,ROW()-5-$G$3+1,0,$G$3,1))))</f>
        <v/>
      </c>
      <c r="H142" s="8">
        <f>IF(138&lt;$G$3,0,SUMPRODUCT(--(ROW('04 变换后数据'!$D$5:$D$160)&lt;=ROW()),--ISNUMBER(OFFSET('04 变换后数据'!$D$5:$D$160,ROW()-5-$G$3+1,0,MIN($G$3,ROW()-4),1)),--ISNUMBER(OFFSET('04 变换后数据'!$H$5:$H$160,ROW()-5-$G$3+1,0,MIN($G$3,ROW()-4),1))))</f>
        <v/>
      </c>
      <c r="I142" s="8">
        <f>IF(ISNUMBER(E142),IF(ABS(E142)&gt;=0.7,"强",IF(ABS(E142)&gt;=0.4,"中","弱")),"-")</f>
        <v/>
      </c>
    </row>
    <row r="143">
      <c r="A143" s="8" t="n">
        <v>139</v>
      </c>
      <c r="B143" s="8">
        <f>'04 变换后数据'!B143</f>
        <v/>
      </c>
      <c r="C143" s="31">
        <f>IF(139&lt;$C$3,"",IF(4143=0,"",IF(4143&lt;MAX(5,ROUND($C$3*0.8,0)),"样本不足",CORREL(OFFSET('04 变换后数据'!$D$5:$D$160,ROW()-5-$C$3+1,0,$C$3,1),OFFSET('04 变换后数据'!$H$5:$H$160,ROW()-5-$C$3+1,0,$C$3,1))))</f>
        <v/>
      </c>
      <c r="D143" s="8">
        <f>IF(139&lt;$C$3,0,SUMPRODUCT(--(ROW('04 变换后数据'!$D$5:$D$160)&lt;=ROW()),--ISNUMBER(OFFSET('04 变换后数据'!$D$5:$D$160,ROW()-5-$C$3+1,0,MIN($C$3,ROW()-4),1)),--ISNUMBER(OFFSET('04 变换后数据'!$H$5:$H$160,ROW()-5-$C$3+1,0,MIN($C$3,ROW()-4),1))))</f>
        <v/>
      </c>
      <c r="E143" s="31">
        <f>IF(139&lt;$E$3,"",IF(6143=0,"",IF(6143&lt;MAX(5,ROUND($E$3*0.8,0)),"样本不足",CORREL(OFFSET('04 变换后数据'!$D$5:$D$160,ROW()-5-$E$3+1,0,$E$3,1),OFFSET('04 变换后数据'!$H$5:$H$160,ROW()-5-$E$3+1,0,$E$3,1))))</f>
        <v/>
      </c>
      <c r="F143" s="8">
        <f>IF(139&lt;$E$3,0,SUMPRODUCT(--(ROW('04 变换后数据'!$D$5:$D$160)&lt;=ROW()),--ISNUMBER(OFFSET('04 变换后数据'!$D$5:$D$160,ROW()-5-$E$3+1,0,MIN($E$3,ROW()-4),1)),--ISNUMBER(OFFSET('04 变换后数据'!$H$5:$H$160,ROW()-5-$E$3+1,0,MIN($E$3,ROW()-4),1))))</f>
        <v/>
      </c>
      <c r="G143" s="31">
        <f>IF(139&lt;$G$3,"",IF(8143=0,"",IF(8143&lt;MAX(5,ROUND($G$3*0.8,0)),"样本不足",CORREL(OFFSET('04 变换后数据'!$D$5:$D$160,ROW()-5-$G$3+1,0,$G$3,1),OFFSET('04 变换后数据'!$H$5:$H$160,ROW()-5-$G$3+1,0,$G$3,1))))</f>
        <v/>
      </c>
      <c r="H143" s="8">
        <f>IF(139&lt;$G$3,0,SUMPRODUCT(--(ROW('04 变换后数据'!$D$5:$D$160)&lt;=ROW()),--ISNUMBER(OFFSET('04 变换后数据'!$D$5:$D$160,ROW()-5-$G$3+1,0,MIN($G$3,ROW()-4),1)),--ISNUMBER(OFFSET('04 变换后数据'!$H$5:$H$160,ROW()-5-$G$3+1,0,MIN($G$3,ROW()-4),1))))</f>
        <v/>
      </c>
      <c r="I143" s="8">
        <f>IF(ISNUMBER(E143),IF(ABS(E143)&gt;=0.7,"强",IF(ABS(E143)&gt;=0.4,"中","弱")),"-")</f>
        <v/>
      </c>
    </row>
    <row r="144">
      <c r="A144" s="8" t="n">
        <v>140</v>
      </c>
      <c r="B144" s="8">
        <f>'04 变换后数据'!B144</f>
        <v/>
      </c>
      <c r="C144" s="31">
        <f>IF(140&lt;$C$3,"",IF(4144=0,"",IF(4144&lt;MAX(5,ROUND($C$3*0.8,0)),"样本不足",CORREL(OFFSET('04 变换后数据'!$D$5:$D$160,ROW()-5-$C$3+1,0,$C$3,1),OFFSET('04 变换后数据'!$H$5:$H$160,ROW()-5-$C$3+1,0,$C$3,1))))</f>
        <v/>
      </c>
      <c r="D144" s="8">
        <f>IF(140&lt;$C$3,0,SUMPRODUCT(--(ROW('04 变换后数据'!$D$5:$D$160)&lt;=ROW()),--ISNUMBER(OFFSET('04 变换后数据'!$D$5:$D$160,ROW()-5-$C$3+1,0,MIN($C$3,ROW()-4),1)),--ISNUMBER(OFFSET('04 变换后数据'!$H$5:$H$160,ROW()-5-$C$3+1,0,MIN($C$3,ROW()-4),1))))</f>
        <v/>
      </c>
      <c r="E144" s="31">
        <f>IF(140&lt;$E$3,"",IF(6144=0,"",IF(6144&lt;MAX(5,ROUND($E$3*0.8,0)),"样本不足",CORREL(OFFSET('04 变换后数据'!$D$5:$D$160,ROW()-5-$E$3+1,0,$E$3,1),OFFSET('04 变换后数据'!$H$5:$H$160,ROW()-5-$E$3+1,0,$E$3,1))))</f>
        <v/>
      </c>
      <c r="F144" s="8">
        <f>IF(140&lt;$E$3,0,SUMPRODUCT(--(ROW('04 变换后数据'!$D$5:$D$160)&lt;=ROW()),--ISNUMBER(OFFSET('04 变换后数据'!$D$5:$D$160,ROW()-5-$E$3+1,0,MIN($E$3,ROW()-4),1)),--ISNUMBER(OFFSET('04 变换后数据'!$H$5:$H$160,ROW()-5-$E$3+1,0,MIN($E$3,ROW()-4),1))))</f>
        <v/>
      </c>
      <c r="G144" s="31">
        <f>IF(140&lt;$G$3,"",IF(8144=0,"",IF(8144&lt;MAX(5,ROUND($G$3*0.8,0)),"样本不足",CORREL(OFFSET('04 变换后数据'!$D$5:$D$160,ROW()-5-$G$3+1,0,$G$3,1),OFFSET('04 变换后数据'!$H$5:$H$160,ROW()-5-$G$3+1,0,$G$3,1))))</f>
        <v/>
      </c>
      <c r="H144" s="8">
        <f>IF(140&lt;$G$3,0,SUMPRODUCT(--(ROW('04 变换后数据'!$D$5:$D$160)&lt;=ROW()),--ISNUMBER(OFFSET('04 变换后数据'!$D$5:$D$160,ROW()-5-$G$3+1,0,MIN($G$3,ROW()-4),1)),--ISNUMBER(OFFSET('04 变换后数据'!$H$5:$H$160,ROW()-5-$G$3+1,0,MIN($G$3,ROW()-4),1))))</f>
        <v/>
      </c>
      <c r="I144" s="8">
        <f>IF(ISNUMBER(E144),IF(ABS(E144)&gt;=0.7,"强",IF(ABS(E144)&gt;=0.4,"中","弱")),"-")</f>
        <v/>
      </c>
    </row>
    <row r="145">
      <c r="A145" s="8" t="n">
        <v>141</v>
      </c>
      <c r="B145" s="8">
        <f>'04 变换后数据'!B145</f>
        <v/>
      </c>
      <c r="C145" s="31">
        <f>IF(141&lt;$C$3,"",IF(4145=0,"",IF(4145&lt;MAX(5,ROUND($C$3*0.8,0)),"样本不足",CORREL(OFFSET('04 变换后数据'!$D$5:$D$160,ROW()-5-$C$3+1,0,$C$3,1),OFFSET('04 变换后数据'!$H$5:$H$160,ROW()-5-$C$3+1,0,$C$3,1))))</f>
        <v/>
      </c>
      <c r="D145" s="8">
        <f>IF(141&lt;$C$3,0,SUMPRODUCT(--(ROW('04 变换后数据'!$D$5:$D$160)&lt;=ROW()),--ISNUMBER(OFFSET('04 变换后数据'!$D$5:$D$160,ROW()-5-$C$3+1,0,MIN($C$3,ROW()-4),1)),--ISNUMBER(OFFSET('04 变换后数据'!$H$5:$H$160,ROW()-5-$C$3+1,0,MIN($C$3,ROW()-4),1))))</f>
        <v/>
      </c>
      <c r="E145" s="31">
        <f>IF(141&lt;$E$3,"",IF(6145=0,"",IF(6145&lt;MAX(5,ROUND($E$3*0.8,0)),"样本不足",CORREL(OFFSET('04 变换后数据'!$D$5:$D$160,ROW()-5-$E$3+1,0,$E$3,1),OFFSET('04 变换后数据'!$H$5:$H$160,ROW()-5-$E$3+1,0,$E$3,1))))</f>
        <v/>
      </c>
      <c r="F145" s="8">
        <f>IF(141&lt;$E$3,0,SUMPRODUCT(--(ROW('04 变换后数据'!$D$5:$D$160)&lt;=ROW()),--ISNUMBER(OFFSET('04 变换后数据'!$D$5:$D$160,ROW()-5-$E$3+1,0,MIN($E$3,ROW()-4),1)),--ISNUMBER(OFFSET('04 变换后数据'!$H$5:$H$160,ROW()-5-$E$3+1,0,MIN($E$3,ROW()-4),1))))</f>
        <v/>
      </c>
      <c r="G145" s="31">
        <f>IF(141&lt;$G$3,"",IF(8145=0,"",IF(8145&lt;MAX(5,ROUND($G$3*0.8,0)),"样本不足",CORREL(OFFSET('04 变换后数据'!$D$5:$D$160,ROW()-5-$G$3+1,0,$G$3,1),OFFSET('04 变换后数据'!$H$5:$H$160,ROW()-5-$G$3+1,0,$G$3,1))))</f>
        <v/>
      </c>
      <c r="H145" s="8">
        <f>IF(141&lt;$G$3,0,SUMPRODUCT(--(ROW('04 变换后数据'!$D$5:$D$160)&lt;=ROW()),--ISNUMBER(OFFSET('04 变换后数据'!$D$5:$D$160,ROW()-5-$G$3+1,0,MIN($G$3,ROW()-4),1)),--ISNUMBER(OFFSET('04 变换后数据'!$H$5:$H$160,ROW()-5-$G$3+1,0,MIN($G$3,ROW()-4),1))))</f>
        <v/>
      </c>
      <c r="I145" s="8">
        <f>IF(ISNUMBER(E145),IF(ABS(E145)&gt;=0.7,"强",IF(ABS(E145)&gt;=0.4,"中","弱")),"-")</f>
        <v/>
      </c>
    </row>
    <row r="146">
      <c r="A146" s="8" t="n">
        <v>142</v>
      </c>
      <c r="B146" s="8">
        <f>'04 变换后数据'!B146</f>
        <v/>
      </c>
      <c r="C146" s="31">
        <f>IF(142&lt;$C$3,"",IF(4146=0,"",IF(4146&lt;MAX(5,ROUND($C$3*0.8,0)),"样本不足",CORREL(OFFSET('04 变换后数据'!$D$5:$D$160,ROW()-5-$C$3+1,0,$C$3,1),OFFSET('04 变换后数据'!$H$5:$H$160,ROW()-5-$C$3+1,0,$C$3,1))))</f>
        <v/>
      </c>
      <c r="D146" s="8">
        <f>IF(142&lt;$C$3,0,SUMPRODUCT(--(ROW('04 变换后数据'!$D$5:$D$160)&lt;=ROW()),--ISNUMBER(OFFSET('04 变换后数据'!$D$5:$D$160,ROW()-5-$C$3+1,0,MIN($C$3,ROW()-4),1)),--ISNUMBER(OFFSET('04 变换后数据'!$H$5:$H$160,ROW()-5-$C$3+1,0,MIN($C$3,ROW()-4),1))))</f>
        <v/>
      </c>
      <c r="E146" s="31">
        <f>IF(142&lt;$E$3,"",IF(6146=0,"",IF(6146&lt;MAX(5,ROUND($E$3*0.8,0)),"样本不足",CORREL(OFFSET('04 变换后数据'!$D$5:$D$160,ROW()-5-$E$3+1,0,$E$3,1),OFFSET('04 变换后数据'!$H$5:$H$160,ROW()-5-$E$3+1,0,$E$3,1))))</f>
        <v/>
      </c>
      <c r="F146" s="8">
        <f>IF(142&lt;$E$3,0,SUMPRODUCT(--(ROW('04 变换后数据'!$D$5:$D$160)&lt;=ROW()),--ISNUMBER(OFFSET('04 变换后数据'!$D$5:$D$160,ROW()-5-$E$3+1,0,MIN($E$3,ROW()-4),1)),--ISNUMBER(OFFSET('04 变换后数据'!$H$5:$H$160,ROW()-5-$E$3+1,0,MIN($E$3,ROW()-4),1))))</f>
        <v/>
      </c>
      <c r="G146" s="31">
        <f>IF(142&lt;$G$3,"",IF(8146=0,"",IF(8146&lt;MAX(5,ROUND($G$3*0.8,0)),"样本不足",CORREL(OFFSET('04 变换后数据'!$D$5:$D$160,ROW()-5-$G$3+1,0,$G$3,1),OFFSET('04 变换后数据'!$H$5:$H$160,ROW()-5-$G$3+1,0,$G$3,1))))</f>
        <v/>
      </c>
      <c r="H146" s="8">
        <f>IF(142&lt;$G$3,0,SUMPRODUCT(--(ROW('04 变换后数据'!$D$5:$D$160)&lt;=ROW()),--ISNUMBER(OFFSET('04 变换后数据'!$D$5:$D$160,ROW()-5-$G$3+1,0,MIN($G$3,ROW()-4),1)),--ISNUMBER(OFFSET('04 变换后数据'!$H$5:$H$160,ROW()-5-$G$3+1,0,MIN($G$3,ROW()-4),1))))</f>
        <v/>
      </c>
      <c r="I146" s="8">
        <f>IF(ISNUMBER(E146),IF(ABS(E146)&gt;=0.7,"强",IF(ABS(E146)&gt;=0.4,"中","弱")),"-")</f>
        <v/>
      </c>
    </row>
    <row r="147">
      <c r="A147" s="8" t="n">
        <v>143</v>
      </c>
      <c r="B147" s="8">
        <f>'04 变换后数据'!B147</f>
        <v/>
      </c>
      <c r="C147" s="31">
        <f>IF(143&lt;$C$3,"",IF(4147=0,"",IF(4147&lt;MAX(5,ROUND($C$3*0.8,0)),"样本不足",CORREL(OFFSET('04 变换后数据'!$D$5:$D$160,ROW()-5-$C$3+1,0,$C$3,1),OFFSET('04 变换后数据'!$H$5:$H$160,ROW()-5-$C$3+1,0,$C$3,1))))</f>
        <v/>
      </c>
      <c r="D147" s="8">
        <f>IF(143&lt;$C$3,0,SUMPRODUCT(--(ROW('04 变换后数据'!$D$5:$D$160)&lt;=ROW()),--ISNUMBER(OFFSET('04 变换后数据'!$D$5:$D$160,ROW()-5-$C$3+1,0,MIN($C$3,ROW()-4),1)),--ISNUMBER(OFFSET('04 变换后数据'!$H$5:$H$160,ROW()-5-$C$3+1,0,MIN($C$3,ROW()-4),1))))</f>
        <v/>
      </c>
      <c r="E147" s="31">
        <f>IF(143&lt;$E$3,"",IF(6147=0,"",IF(6147&lt;MAX(5,ROUND($E$3*0.8,0)),"样本不足",CORREL(OFFSET('04 变换后数据'!$D$5:$D$160,ROW()-5-$E$3+1,0,$E$3,1),OFFSET('04 变换后数据'!$H$5:$H$160,ROW()-5-$E$3+1,0,$E$3,1))))</f>
        <v/>
      </c>
      <c r="F147" s="8">
        <f>IF(143&lt;$E$3,0,SUMPRODUCT(--(ROW('04 变换后数据'!$D$5:$D$160)&lt;=ROW()),--ISNUMBER(OFFSET('04 变换后数据'!$D$5:$D$160,ROW()-5-$E$3+1,0,MIN($E$3,ROW()-4),1)),--ISNUMBER(OFFSET('04 变换后数据'!$H$5:$H$160,ROW()-5-$E$3+1,0,MIN($E$3,ROW()-4),1))))</f>
        <v/>
      </c>
      <c r="G147" s="31">
        <f>IF(143&lt;$G$3,"",IF(8147=0,"",IF(8147&lt;MAX(5,ROUND($G$3*0.8,0)),"样本不足",CORREL(OFFSET('04 变换后数据'!$D$5:$D$160,ROW()-5-$G$3+1,0,$G$3,1),OFFSET('04 变换后数据'!$H$5:$H$160,ROW()-5-$G$3+1,0,$G$3,1))))</f>
        <v/>
      </c>
      <c r="H147" s="8">
        <f>IF(143&lt;$G$3,0,SUMPRODUCT(--(ROW('04 变换后数据'!$D$5:$D$160)&lt;=ROW()),--ISNUMBER(OFFSET('04 变换后数据'!$D$5:$D$160,ROW()-5-$G$3+1,0,MIN($G$3,ROW()-4),1)),--ISNUMBER(OFFSET('04 变换后数据'!$H$5:$H$160,ROW()-5-$G$3+1,0,MIN($G$3,ROW()-4),1))))</f>
        <v/>
      </c>
      <c r="I147" s="8">
        <f>IF(ISNUMBER(E147),IF(ABS(E147)&gt;=0.7,"强",IF(ABS(E147)&gt;=0.4,"中","弱")),"-")</f>
        <v/>
      </c>
    </row>
    <row r="148">
      <c r="A148" s="8" t="n">
        <v>144</v>
      </c>
      <c r="B148" s="8">
        <f>'04 变换后数据'!B148</f>
        <v/>
      </c>
      <c r="C148" s="31">
        <f>IF(144&lt;$C$3,"",IF(4148=0,"",IF(4148&lt;MAX(5,ROUND($C$3*0.8,0)),"样本不足",CORREL(OFFSET('04 变换后数据'!$D$5:$D$160,ROW()-5-$C$3+1,0,$C$3,1),OFFSET('04 变换后数据'!$H$5:$H$160,ROW()-5-$C$3+1,0,$C$3,1))))</f>
        <v/>
      </c>
      <c r="D148" s="8">
        <f>IF(144&lt;$C$3,0,SUMPRODUCT(--(ROW('04 变换后数据'!$D$5:$D$160)&lt;=ROW()),--ISNUMBER(OFFSET('04 变换后数据'!$D$5:$D$160,ROW()-5-$C$3+1,0,MIN($C$3,ROW()-4),1)),--ISNUMBER(OFFSET('04 变换后数据'!$H$5:$H$160,ROW()-5-$C$3+1,0,MIN($C$3,ROW()-4),1))))</f>
        <v/>
      </c>
      <c r="E148" s="31">
        <f>IF(144&lt;$E$3,"",IF(6148=0,"",IF(6148&lt;MAX(5,ROUND($E$3*0.8,0)),"样本不足",CORREL(OFFSET('04 变换后数据'!$D$5:$D$160,ROW()-5-$E$3+1,0,$E$3,1),OFFSET('04 变换后数据'!$H$5:$H$160,ROW()-5-$E$3+1,0,$E$3,1))))</f>
        <v/>
      </c>
      <c r="F148" s="8">
        <f>IF(144&lt;$E$3,0,SUMPRODUCT(--(ROW('04 变换后数据'!$D$5:$D$160)&lt;=ROW()),--ISNUMBER(OFFSET('04 变换后数据'!$D$5:$D$160,ROW()-5-$E$3+1,0,MIN($E$3,ROW()-4),1)),--ISNUMBER(OFFSET('04 变换后数据'!$H$5:$H$160,ROW()-5-$E$3+1,0,MIN($E$3,ROW()-4),1))))</f>
        <v/>
      </c>
      <c r="G148" s="31">
        <f>IF(144&lt;$G$3,"",IF(8148=0,"",IF(8148&lt;MAX(5,ROUND($G$3*0.8,0)),"样本不足",CORREL(OFFSET('04 变换后数据'!$D$5:$D$160,ROW()-5-$G$3+1,0,$G$3,1),OFFSET('04 变换后数据'!$H$5:$H$160,ROW()-5-$G$3+1,0,$G$3,1))))</f>
        <v/>
      </c>
      <c r="H148" s="8">
        <f>IF(144&lt;$G$3,0,SUMPRODUCT(--(ROW('04 变换后数据'!$D$5:$D$160)&lt;=ROW()),--ISNUMBER(OFFSET('04 变换后数据'!$D$5:$D$160,ROW()-5-$G$3+1,0,MIN($G$3,ROW()-4),1)),--ISNUMBER(OFFSET('04 变换后数据'!$H$5:$H$160,ROW()-5-$G$3+1,0,MIN($G$3,ROW()-4),1))))</f>
        <v/>
      </c>
      <c r="I148" s="8">
        <f>IF(ISNUMBER(E148),IF(ABS(E148)&gt;=0.7,"强",IF(ABS(E148)&gt;=0.4,"中","弱")),"-")</f>
        <v/>
      </c>
    </row>
    <row r="149">
      <c r="A149" s="8" t="n">
        <v>145</v>
      </c>
      <c r="B149" s="8">
        <f>'04 变换后数据'!B149</f>
        <v/>
      </c>
      <c r="C149" s="31">
        <f>IF(145&lt;$C$3,"",IF(4149=0,"",IF(4149&lt;MAX(5,ROUND($C$3*0.8,0)),"样本不足",CORREL(OFFSET('04 变换后数据'!$D$5:$D$160,ROW()-5-$C$3+1,0,$C$3,1),OFFSET('04 变换后数据'!$H$5:$H$160,ROW()-5-$C$3+1,0,$C$3,1))))</f>
        <v/>
      </c>
      <c r="D149" s="8">
        <f>IF(145&lt;$C$3,0,SUMPRODUCT(--(ROW('04 变换后数据'!$D$5:$D$160)&lt;=ROW()),--ISNUMBER(OFFSET('04 变换后数据'!$D$5:$D$160,ROW()-5-$C$3+1,0,MIN($C$3,ROW()-4),1)),--ISNUMBER(OFFSET('04 变换后数据'!$H$5:$H$160,ROW()-5-$C$3+1,0,MIN($C$3,ROW()-4),1))))</f>
        <v/>
      </c>
      <c r="E149" s="31">
        <f>IF(145&lt;$E$3,"",IF(6149=0,"",IF(6149&lt;MAX(5,ROUND($E$3*0.8,0)),"样本不足",CORREL(OFFSET('04 变换后数据'!$D$5:$D$160,ROW()-5-$E$3+1,0,$E$3,1),OFFSET('04 变换后数据'!$H$5:$H$160,ROW()-5-$E$3+1,0,$E$3,1))))</f>
        <v/>
      </c>
      <c r="F149" s="8">
        <f>IF(145&lt;$E$3,0,SUMPRODUCT(--(ROW('04 变换后数据'!$D$5:$D$160)&lt;=ROW()),--ISNUMBER(OFFSET('04 变换后数据'!$D$5:$D$160,ROW()-5-$E$3+1,0,MIN($E$3,ROW()-4),1)),--ISNUMBER(OFFSET('04 变换后数据'!$H$5:$H$160,ROW()-5-$E$3+1,0,MIN($E$3,ROW()-4),1))))</f>
        <v/>
      </c>
      <c r="G149" s="31">
        <f>IF(145&lt;$G$3,"",IF(8149=0,"",IF(8149&lt;MAX(5,ROUND($G$3*0.8,0)),"样本不足",CORREL(OFFSET('04 变换后数据'!$D$5:$D$160,ROW()-5-$G$3+1,0,$G$3,1),OFFSET('04 变换后数据'!$H$5:$H$160,ROW()-5-$G$3+1,0,$G$3,1))))</f>
        <v/>
      </c>
      <c r="H149" s="8">
        <f>IF(145&lt;$G$3,0,SUMPRODUCT(--(ROW('04 变换后数据'!$D$5:$D$160)&lt;=ROW()),--ISNUMBER(OFFSET('04 变换后数据'!$D$5:$D$160,ROW()-5-$G$3+1,0,MIN($G$3,ROW()-4),1)),--ISNUMBER(OFFSET('04 变换后数据'!$H$5:$H$160,ROW()-5-$G$3+1,0,MIN($G$3,ROW()-4),1))))</f>
        <v/>
      </c>
      <c r="I149" s="8">
        <f>IF(ISNUMBER(E149),IF(ABS(E149)&gt;=0.7,"强",IF(ABS(E149)&gt;=0.4,"中","弱")),"-")</f>
        <v/>
      </c>
    </row>
    <row r="150">
      <c r="A150" s="8" t="n">
        <v>146</v>
      </c>
      <c r="B150" s="8">
        <f>'04 变换后数据'!B150</f>
        <v/>
      </c>
      <c r="C150" s="31">
        <f>IF(146&lt;$C$3,"",IF(4150=0,"",IF(4150&lt;MAX(5,ROUND($C$3*0.8,0)),"样本不足",CORREL(OFFSET('04 变换后数据'!$D$5:$D$160,ROW()-5-$C$3+1,0,$C$3,1),OFFSET('04 变换后数据'!$H$5:$H$160,ROW()-5-$C$3+1,0,$C$3,1))))</f>
        <v/>
      </c>
      <c r="D150" s="8">
        <f>IF(146&lt;$C$3,0,SUMPRODUCT(--(ROW('04 变换后数据'!$D$5:$D$160)&lt;=ROW()),--ISNUMBER(OFFSET('04 变换后数据'!$D$5:$D$160,ROW()-5-$C$3+1,0,MIN($C$3,ROW()-4),1)),--ISNUMBER(OFFSET('04 变换后数据'!$H$5:$H$160,ROW()-5-$C$3+1,0,MIN($C$3,ROW()-4),1))))</f>
        <v/>
      </c>
      <c r="E150" s="31">
        <f>IF(146&lt;$E$3,"",IF(6150=0,"",IF(6150&lt;MAX(5,ROUND($E$3*0.8,0)),"样本不足",CORREL(OFFSET('04 变换后数据'!$D$5:$D$160,ROW()-5-$E$3+1,0,$E$3,1),OFFSET('04 变换后数据'!$H$5:$H$160,ROW()-5-$E$3+1,0,$E$3,1))))</f>
        <v/>
      </c>
      <c r="F150" s="8">
        <f>IF(146&lt;$E$3,0,SUMPRODUCT(--(ROW('04 变换后数据'!$D$5:$D$160)&lt;=ROW()),--ISNUMBER(OFFSET('04 变换后数据'!$D$5:$D$160,ROW()-5-$E$3+1,0,MIN($E$3,ROW()-4),1)),--ISNUMBER(OFFSET('04 变换后数据'!$H$5:$H$160,ROW()-5-$E$3+1,0,MIN($E$3,ROW()-4),1))))</f>
        <v/>
      </c>
      <c r="G150" s="31">
        <f>IF(146&lt;$G$3,"",IF(8150=0,"",IF(8150&lt;MAX(5,ROUND($G$3*0.8,0)),"样本不足",CORREL(OFFSET('04 变换后数据'!$D$5:$D$160,ROW()-5-$G$3+1,0,$G$3,1),OFFSET('04 变换后数据'!$H$5:$H$160,ROW()-5-$G$3+1,0,$G$3,1))))</f>
        <v/>
      </c>
      <c r="H150" s="8">
        <f>IF(146&lt;$G$3,0,SUMPRODUCT(--(ROW('04 变换后数据'!$D$5:$D$160)&lt;=ROW()),--ISNUMBER(OFFSET('04 变换后数据'!$D$5:$D$160,ROW()-5-$G$3+1,0,MIN($G$3,ROW()-4),1)),--ISNUMBER(OFFSET('04 变换后数据'!$H$5:$H$160,ROW()-5-$G$3+1,0,MIN($G$3,ROW()-4),1))))</f>
        <v/>
      </c>
      <c r="I150" s="8">
        <f>IF(ISNUMBER(E150),IF(ABS(E150)&gt;=0.7,"强",IF(ABS(E150)&gt;=0.4,"中","弱")),"-")</f>
        <v/>
      </c>
    </row>
    <row r="151">
      <c r="A151" s="8" t="n">
        <v>147</v>
      </c>
      <c r="B151" s="8">
        <f>'04 变换后数据'!B151</f>
        <v/>
      </c>
      <c r="C151" s="31">
        <f>IF(147&lt;$C$3,"",IF(4151=0,"",IF(4151&lt;MAX(5,ROUND($C$3*0.8,0)),"样本不足",CORREL(OFFSET('04 变换后数据'!$D$5:$D$160,ROW()-5-$C$3+1,0,$C$3,1),OFFSET('04 变换后数据'!$H$5:$H$160,ROW()-5-$C$3+1,0,$C$3,1))))</f>
        <v/>
      </c>
      <c r="D151" s="8">
        <f>IF(147&lt;$C$3,0,SUMPRODUCT(--(ROW('04 变换后数据'!$D$5:$D$160)&lt;=ROW()),--ISNUMBER(OFFSET('04 变换后数据'!$D$5:$D$160,ROW()-5-$C$3+1,0,MIN($C$3,ROW()-4),1)),--ISNUMBER(OFFSET('04 变换后数据'!$H$5:$H$160,ROW()-5-$C$3+1,0,MIN($C$3,ROW()-4),1))))</f>
        <v/>
      </c>
      <c r="E151" s="31">
        <f>IF(147&lt;$E$3,"",IF(6151=0,"",IF(6151&lt;MAX(5,ROUND($E$3*0.8,0)),"样本不足",CORREL(OFFSET('04 变换后数据'!$D$5:$D$160,ROW()-5-$E$3+1,0,$E$3,1),OFFSET('04 变换后数据'!$H$5:$H$160,ROW()-5-$E$3+1,0,$E$3,1))))</f>
        <v/>
      </c>
      <c r="F151" s="8">
        <f>IF(147&lt;$E$3,0,SUMPRODUCT(--(ROW('04 变换后数据'!$D$5:$D$160)&lt;=ROW()),--ISNUMBER(OFFSET('04 变换后数据'!$D$5:$D$160,ROW()-5-$E$3+1,0,MIN($E$3,ROW()-4),1)),--ISNUMBER(OFFSET('04 变换后数据'!$H$5:$H$160,ROW()-5-$E$3+1,0,MIN($E$3,ROW()-4),1))))</f>
        <v/>
      </c>
      <c r="G151" s="31">
        <f>IF(147&lt;$G$3,"",IF(8151=0,"",IF(8151&lt;MAX(5,ROUND($G$3*0.8,0)),"样本不足",CORREL(OFFSET('04 变换后数据'!$D$5:$D$160,ROW()-5-$G$3+1,0,$G$3,1),OFFSET('04 变换后数据'!$H$5:$H$160,ROW()-5-$G$3+1,0,$G$3,1))))</f>
        <v/>
      </c>
      <c r="H151" s="8">
        <f>IF(147&lt;$G$3,0,SUMPRODUCT(--(ROW('04 变换后数据'!$D$5:$D$160)&lt;=ROW()),--ISNUMBER(OFFSET('04 变换后数据'!$D$5:$D$160,ROW()-5-$G$3+1,0,MIN($G$3,ROW()-4),1)),--ISNUMBER(OFFSET('04 变换后数据'!$H$5:$H$160,ROW()-5-$G$3+1,0,MIN($G$3,ROW()-4),1))))</f>
        <v/>
      </c>
      <c r="I151" s="8">
        <f>IF(ISNUMBER(E151),IF(ABS(E151)&gt;=0.7,"强",IF(ABS(E151)&gt;=0.4,"中","弱")),"-")</f>
        <v/>
      </c>
    </row>
    <row r="152">
      <c r="A152" s="8" t="n">
        <v>148</v>
      </c>
      <c r="B152" s="8">
        <f>'04 变换后数据'!B152</f>
        <v/>
      </c>
      <c r="C152" s="31">
        <f>IF(148&lt;$C$3,"",IF(4152=0,"",IF(4152&lt;MAX(5,ROUND($C$3*0.8,0)),"样本不足",CORREL(OFFSET('04 变换后数据'!$D$5:$D$160,ROW()-5-$C$3+1,0,$C$3,1),OFFSET('04 变换后数据'!$H$5:$H$160,ROW()-5-$C$3+1,0,$C$3,1))))</f>
        <v/>
      </c>
      <c r="D152" s="8">
        <f>IF(148&lt;$C$3,0,SUMPRODUCT(--(ROW('04 变换后数据'!$D$5:$D$160)&lt;=ROW()),--ISNUMBER(OFFSET('04 变换后数据'!$D$5:$D$160,ROW()-5-$C$3+1,0,MIN($C$3,ROW()-4),1)),--ISNUMBER(OFFSET('04 变换后数据'!$H$5:$H$160,ROW()-5-$C$3+1,0,MIN($C$3,ROW()-4),1))))</f>
        <v/>
      </c>
      <c r="E152" s="31">
        <f>IF(148&lt;$E$3,"",IF(6152=0,"",IF(6152&lt;MAX(5,ROUND($E$3*0.8,0)),"样本不足",CORREL(OFFSET('04 变换后数据'!$D$5:$D$160,ROW()-5-$E$3+1,0,$E$3,1),OFFSET('04 变换后数据'!$H$5:$H$160,ROW()-5-$E$3+1,0,$E$3,1))))</f>
        <v/>
      </c>
      <c r="F152" s="8">
        <f>IF(148&lt;$E$3,0,SUMPRODUCT(--(ROW('04 变换后数据'!$D$5:$D$160)&lt;=ROW()),--ISNUMBER(OFFSET('04 变换后数据'!$D$5:$D$160,ROW()-5-$E$3+1,0,MIN($E$3,ROW()-4),1)),--ISNUMBER(OFFSET('04 变换后数据'!$H$5:$H$160,ROW()-5-$E$3+1,0,MIN($E$3,ROW()-4),1))))</f>
        <v/>
      </c>
      <c r="G152" s="31">
        <f>IF(148&lt;$G$3,"",IF(8152=0,"",IF(8152&lt;MAX(5,ROUND($G$3*0.8,0)),"样本不足",CORREL(OFFSET('04 变换后数据'!$D$5:$D$160,ROW()-5-$G$3+1,0,$G$3,1),OFFSET('04 变换后数据'!$H$5:$H$160,ROW()-5-$G$3+1,0,$G$3,1))))</f>
        <v/>
      </c>
      <c r="H152" s="8">
        <f>IF(148&lt;$G$3,0,SUMPRODUCT(--(ROW('04 变换后数据'!$D$5:$D$160)&lt;=ROW()),--ISNUMBER(OFFSET('04 变换后数据'!$D$5:$D$160,ROW()-5-$G$3+1,0,MIN($G$3,ROW()-4),1)),--ISNUMBER(OFFSET('04 变换后数据'!$H$5:$H$160,ROW()-5-$G$3+1,0,MIN($G$3,ROW()-4),1))))</f>
        <v/>
      </c>
      <c r="I152" s="8">
        <f>IF(ISNUMBER(E152),IF(ABS(E152)&gt;=0.7,"强",IF(ABS(E152)&gt;=0.4,"中","弱")),"-")</f>
        <v/>
      </c>
    </row>
    <row r="153">
      <c r="A153" s="8" t="n">
        <v>149</v>
      </c>
      <c r="B153" s="8">
        <f>'04 变换后数据'!B153</f>
        <v/>
      </c>
      <c r="C153" s="31">
        <f>IF(149&lt;$C$3,"",IF(4153=0,"",IF(4153&lt;MAX(5,ROUND($C$3*0.8,0)),"样本不足",CORREL(OFFSET('04 变换后数据'!$D$5:$D$160,ROW()-5-$C$3+1,0,$C$3,1),OFFSET('04 变换后数据'!$H$5:$H$160,ROW()-5-$C$3+1,0,$C$3,1))))</f>
        <v/>
      </c>
      <c r="D153" s="8">
        <f>IF(149&lt;$C$3,0,SUMPRODUCT(--(ROW('04 变换后数据'!$D$5:$D$160)&lt;=ROW()),--ISNUMBER(OFFSET('04 变换后数据'!$D$5:$D$160,ROW()-5-$C$3+1,0,MIN($C$3,ROW()-4),1)),--ISNUMBER(OFFSET('04 变换后数据'!$H$5:$H$160,ROW()-5-$C$3+1,0,MIN($C$3,ROW()-4),1))))</f>
        <v/>
      </c>
      <c r="E153" s="31">
        <f>IF(149&lt;$E$3,"",IF(6153=0,"",IF(6153&lt;MAX(5,ROUND($E$3*0.8,0)),"样本不足",CORREL(OFFSET('04 变换后数据'!$D$5:$D$160,ROW()-5-$E$3+1,0,$E$3,1),OFFSET('04 变换后数据'!$H$5:$H$160,ROW()-5-$E$3+1,0,$E$3,1))))</f>
        <v/>
      </c>
      <c r="F153" s="8">
        <f>IF(149&lt;$E$3,0,SUMPRODUCT(--(ROW('04 变换后数据'!$D$5:$D$160)&lt;=ROW()),--ISNUMBER(OFFSET('04 变换后数据'!$D$5:$D$160,ROW()-5-$E$3+1,0,MIN($E$3,ROW()-4),1)),--ISNUMBER(OFFSET('04 变换后数据'!$H$5:$H$160,ROW()-5-$E$3+1,0,MIN($E$3,ROW()-4),1))))</f>
        <v/>
      </c>
      <c r="G153" s="31">
        <f>IF(149&lt;$G$3,"",IF(8153=0,"",IF(8153&lt;MAX(5,ROUND($G$3*0.8,0)),"样本不足",CORREL(OFFSET('04 变换后数据'!$D$5:$D$160,ROW()-5-$G$3+1,0,$G$3,1),OFFSET('04 变换后数据'!$H$5:$H$160,ROW()-5-$G$3+1,0,$G$3,1))))</f>
        <v/>
      </c>
      <c r="H153" s="8">
        <f>IF(149&lt;$G$3,0,SUMPRODUCT(--(ROW('04 变换后数据'!$D$5:$D$160)&lt;=ROW()),--ISNUMBER(OFFSET('04 变换后数据'!$D$5:$D$160,ROW()-5-$G$3+1,0,MIN($G$3,ROW()-4),1)),--ISNUMBER(OFFSET('04 变换后数据'!$H$5:$H$160,ROW()-5-$G$3+1,0,MIN($G$3,ROW()-4),1))))</f>
        <v/>
      </c>
      <c r="I153" s="8">
        <f>IF(ISNUMBER(E153),IF(ABS(E153)&gt;=0.7,"强",IF(ABS(E153)&gt;=0.4,"中","弱")),"-")</f>
        <v/>
      </c>
    </row>
    <row r="154">
      <c r="A154" s="8" t="n">
        <v>150</v>
      </c>
      <c r="B154" s="8">
        <f>'04 变换后数据'!B154</f>
        <v/>
      </c>
      <c r="C154" s="31">
        <f>IF(150&lt;$C$3,"",IF(4154=0,"",IF(4154&lt;MAX(5,ROUND($C$3*0.8,0)),"样本不足",CORREL(OFFSET('04 变换后数据'!$D$5:$D$160,ROW()-5-$C$3+1,0,$C$3,1),OFFSET('04 变换后数据'!$H$5:$H$160,ROW()-5-$C$3+1,0,$C$3,1))))</f>
        <v/>
      </c>
      <c r="D154" s="8">
        <f>IF(150&lt;$C$3,0,SUMPRODUCT(--(ROW('04 变换后数据'!$D$5:$D$160)&lt;=ROW()),--ISNUMBER(OFFSET('04 变换后数据'!$D$5:$D$160,ROW()-5-$C$3+1,0,MIN($C$3,ROW()-4),1)),--ISNUMBER(OFFSET('04 变换后数据'!$H$5:$H$160,ROW()-5-$C$3+1,0,MIN($C$3,ROW()-4),1))))</f>
        <v/>
      </c>
      <c r="E154" s="31">
        <f>IF(150&lt;$E$3,"",IF(6154=0,"",IF(6154&lt;MAX(5,ROUND($E$3*0.8,0)),"样本不足",CORREL(OFFSET('04 变换后数据'!$D$5:$D$160,ROW()-5-$E$3+1,0,$E$3,1),OFFSET('04 变换后数据'!$H$5:$H$160,ROW()-5-$E$3+1,0,$E$3,1))))</f>
        <v/>
      </c>
      <c r="F154" s="8">
        <f>IF(150&lt;$E$3,0,SUMPRODUCT(--(ROW('04 变换后数据'!$D$5:$D$160)&lt;=ROW()),--ISNUMBER(OFFSET('04 变换后数据'!$D$5:$D$160,ROW()-5-$E$3+1,0,MIN($E$3,ROW()-4),1)),--ISNUMBER(OFFSET('04 变换后数据'!$H$5:$H$160,ROW()-5-$E$3+1,0,MIN($E$3,ROW()-4),1))))</f>
        <v/>
      </c>
      <c r="G154" s="31">
        <f>IF(150&lt;$G$3,"",IF(8154=0,"",IF(8154&lt;MAX(5,ROUND($G$3*0.8,0)),"样本不足",CORREL(OFFSET('04 变换后数据'!$D$5:$D$160,ROW()-5-$G$3+1,0,$G$3,1),OFFSET('04 变换后数据'!$H$5:$H$160,ROW()-5-$G$3+1,0,$G$3,1))))</f>
        <v/>
      </c>
      <c r="H154" s="8">
        <f>IF(150&lt;$G$3,0,SUMPRODUCT(--(ROW('04 变换后数据'!$D$5:$D$160)&lt;=ROW()),--ISNUMBER(OFFSET('04 变换后数据'!$D$5:$D$160,ROW()-5-$G$3+1,0,MIN($G$3,ROW()-4),1)),--ISNUMBER(OFFSET('04 变换后数据'!$H$5:$H$160,ROW()-5-$G$3+1,0,MIN($G$3,ROW()-4),1))))</f>
        <v/>
      </c>
      <c r="I154" s="8">
        <f>IF(ISNUMBER(E154),IF(ABS(E154)&gt;=0.7,"强",IF(ABS(E154)&gt;=0.4,"中","弱")),"-")</f>
        <v/>
      </c>
    </row>
    <row r="155">
      <c r="A155" s="8" t="n">
        <v>151</v>
      </c>
      <c r="B155" s="8">
        <f>'04 变换后数据'!B155</f>
        <v/>
      </c>
      <c r="C155" s="31">
        <f>IF(151&lt;$C$3,"",IF(4155=0,"",IF(4155&lt;MAX(5,ROUND($C$3*0.8,0)),"样本不足",CORREL(OFFSET('04 变换后数据'!$D$5:$D$160,ROW()-5-$C$3+1,0,$C$3,1),OFFSET('04 变换后数据'!$H$5:$H$160,ROW()-5-$C$3+1,0,$C$3,1))))</f>
        <v/>
      </c>
      <c r="D155" s="8">
        <f>IF(151&lt;$C$3,0,SUMPRODUCT(--(ROW('04 变换后数据'!$D$5:$D$160)&lt;=ROW()),--ISNUMBER(OFFSET('04 变换后数据'!$D$5:$D$160,ROW()-5-$C$3+1,0,MIN($C$3,ROW()-4),1)),--ISNUMBER(OFFSET('04 变换后数据'!$H$5:$H$160,ROW()-5-$C$3+1,0,MIN($C$3,ROW()-4),1))))</f>
        <v/>
      </c>
      <c r="E155" s="31">
        <f>IF(151&lt;$E$3,"",IF(6155=0,"",IF(6155&lt;MAX(5,ROUND($E$3*0.8,0)),"样本不足",CORREL(OFFSET('04 变换后数据'!$D$5:$D$160,ROW()-5-$E$3+1,0,$E$3,1),OFFSET('04 变换后数据'!$H$5:$H$160,ROW()-5-$E$3+1,0,$E$3,1))))</f>
        <v/>
      </c>
      <c r="F155" s="8">
        <f>IF(151&lt;$E$3,0,SUMPRODUCT(--(ROW('04 变换后数据'!$D$5:$D$160)&lt;=ROW()),--ISNUMBER(OFFSET('04 变换后数据'!$D$5:$D$160,ROW()-5-$E$3+1,0,MIN($E$3,ROW()-4),1)),--ISNUMBER(OFFSET('04 变换后数据'!$H$5:$H$160,ROW()-5-$E$3+1,0,MIN($E$3,ROW()-4),1))))</f>
        <v/>
      </c>
      <c r="G155" s="31">
        <f>IF(151&lt;$G$3,"",IF(8155=0,"",IF(8155&lt;MAX(5,ROUND($G$3*0.8,0)),"样本不足",CORREL(OFFSET('04 变换后数据'!$D$5:$D$160,ROW()-5-$G$3+1,0,$G$3,1),OFFSET('04 变换后数据'!$H$5:$H$160,ROW()-5-$G$3+1,0,$G$3,1))))</f>
        <v/>
      </c>
      <c r="H155" s="8">
        <f>IF(151&lt;$G$3,0,SUMPRODUCT(--(ROW('04 变换后数据'!$D$5:$D$160)&lt;=ROW()),--ISNUMBER(OFFSET('04 变换后数据'!$D$5:$D$160,ROW()-5-$G$3+1,0,MIN($G$3,ROW()-4),1)),--ISNUMBER(OFFSET('04 变换后数据'!$H$5:$H$160,ROW()-5-$G$3+1,0,MIN($G$3,ROW()-4),1))))</f>
        <v/>
      </c>
      <c r="I155" s="8">
        <f>IF(ISNUMBER(E155),IF(ABS(E155)&gt;=0.7,"强",IF(ABS(E155)&gt;=0.4,"中","弱")),"-")</f>
        <v/>
      </c>
    </row>
    <row r="156">
      <c r="A156" s="8" t="n">
        <v>152</v>
      </c>
      <c r="B156" s="8">
        <f>'04 变换后数据'!B156</f>
        <v/>
      </c>
      <c r="C156" s="31">
        <f>IF(152&lt;$C$3,"",IF(4156=0,"",IF(4156&lt;MAX(5,ROUND($C$3*0.8,0)),"样本不足",CORREL(OFFSET('04 变换后数据'!$D$5:$D$160,ROW()-5-$C$3+1,0,$C$3,1),OFFSET('04 变换后数据'!$H$5:$H$160,ROW()-5-$C$3+1,0,$C$3,1))))</f>
        <v/>
      </c>
      <c r="D156" s="8">
        <f>IF(152&lt;$C$3,0,SUMPRODUCT(--(ROW('04 变换后数据'!$D$5:$D$160)&lt;=ROW()),--ISNUMBER(OFFSET('04 变换后数据'!$D$5:$D$160,ROW()-5-$C$3+1,0,MIN($C$3,ROW()-4),1)),--ISNUMBER(OFFSET('04 变换后数据'!$H$5:$H$160,ROW()-5-$C$3+1,0,MIN($C$3,ROW()-4),1))))</f>
        <v/>
      </c>
      <c r="E156" s="31">
        <f>IF(152&lt;$E$3,"",IF(6156=0,"",IF(6156&lt;MAX(5,ROUND($E$3*0.8,0)),"样本不足",CORREL(OFFSET('04 变换后数据'!$D$5:$D$160,ROW()-5-$E$3+1,0,$E$3,1),OFFSET('04 变换后数据'!$H$5:$H$160,ROW()-5-$E$3+1,0,$E$3,1))))</f>
        <v/>
      </c>
      <c r="F156" s="8">
        <f>IF(152&lt;$E$3,0,SUMPRODUCT(--(ROW('04 变换后数据'!$D$5:$D$160)&lt;=ROW()),--ISNUMBER(OFFSET('04 变换后数据'!$D$5:$D$160,ROW()-5-$E$3+1,0,MIN($E$3,ROW()-4),1)),--ISNUMBER(OFFSET('04 变换后数据'!$H$5:$H$160,ROW()-5-$E$3+1,0,MIN($E$3,ROW()-4),1))))</f>
        <v/>
      </c>
      <c r="G156" s="31">
        <f>IF(152&lt;$G$3,"",IF(8156=0,"",IF(8156&lt;MAX(5,ROUND($G$3*0.8,0)),"样本不足",CORREL(OFFSET('04 变换后数据'!$D$5:$D$160,ROW()-5-$G$3+1,0,$G$3,1),OFFSET('04 变换后数据'!$H$5:$H$160,ROW()-5-$G$3+1,0,$G$3,1))))</f>
        <v/>
      </c>
      <c r="H156" s="8">
        <f>IF(152&lt;$G$3,0,SUMPRODUCT(--(ROW('04 变换后数据'!$D$5:$D$160)&lt;=ROW()),--ISNUMBER(OFFSET('04 变换后数据'!$D$5:$D$160,ROW()-5-$G$3+1,0,MIN($G$3,ROW()-4),1)),--ISNUMBER(OFFSET('04 变换后数据'!$H$5:$H$160,ROW()-5-$G$3+1,0,MIN($G$3,ROW()-4),1))))</f>
        <v/>
      </c>
      <c r="I156" s="8">
        <f>IF(ISNUMBER(E156),IF(ABS(E156)&gt;=0.7,"强",IF(ABS(E156)&gt;=0.4,"中","弱")),"-")</f>
        <v/>
      </c>
    </row>
    <row r="157">
      <c r="A157" s="8" t="n">
        <v>153</v>
      </c>
      <c r="B157" s="8">
        <f>'04 变换后数据'!B157</f>
        <v/>
      </c>
      <c r="C157" s="31">
        <f>IF(153&lt;$C$3,"",IF(4157=0,"",IF(4157&lt;MAX(5,ROUND($C$3*0.8,0)),"样本不足",CORREL(OFFSET('04 变换后数据'!$D$5:$D$160,ROW()-5-$C$3+1,0,$C$3,1),OFFSET('04 变换后数据'!$H$5:$H$160,ROW()-5-$C$3+1,0,$C$3,1))))</f>
        <v/>
      </c>
      <c r="D157" s="8">
        <f>IF(153&lt;$C$3,0,SUMPRODUCT(--(ROW('04 变换后数据'!$D$5:$D$160)&lt;=ROW()),--ISNUMBER(OFFSET('04 变换后数据'!$D$5:$D$160,ROW()-5-$C$3+1,0,MIN($C$3,ROW()-4),1)),--ISNUMBER(OFFSET('04 变换后数据'!$H$5:$H$160,ROW()-5-$C$3+1,0,MIN($C$3,ROW()-4),1))))</f>
        <v/>
      </c>
      <c r="E157" s="31">
        <f>IF(153&lt;$E$3,"",IF(6157=0,"",IF(6157&lt;MAX(5,ROUND($E$3*0.8,0)),"样本不足",CORREL(OFFSET('04 变换后数据'!$D$5:$D$160,ROW()-5-$E$3+1,0,$E$3,1),OFFSET('04 变换后数据'!$H$5:$H$160,ROW()-5-$E$3+1,0,$E$3,1))))</f>
        <v/>
      </c>
      <c r="F157" s="8">
        <f>IF(153&lt;$E$3,0,SUMPRODUCT(--(ROW('04 变换后数据'!$D$5:$D$160)&lt;=ROW()),--ISNUMBER(OFFSET('04 变换后数据'!$D$5:$D$160,ROW()-5-$E$3+1,0,MIN($E$3,ROW()-4),1)),--ISNUMBER(OFFSET('04 变换后数据'!$H$5:$H$160,ROW()-5-$E$3+1,0,MIN($E$3,ROW()-4),1))))</f>
        <v/>
      </c>
      <c r="G157" s="31">
        <f>IF(153&lt;$G$3,"",IF(8157=0,"",IF(8157&lt;MAX(5,ROUND($G$3*0.8,0)),"样本不足",CORREL(OFFSET('04 变换后数据'!$D$5:$D$160,ROW()-5-$G$3+1,0,$G$3,1),OFFSET('04 变换后数据'!$H$5:$H$160,ROW()-5-$G$3+1,0,$G$3,1))))</f>
        <v/>
      </c>
      <c r="H157" s="8">
        <f>IF(153&lt;$G$3,0,SUMPRODUCT(--(ROW('04 变换后数据'!$D$5:$D$160)&lt;=ROW()),--ISNUMBER(OFFSET('04 变换后数据'!$D$5:$D$160,ROW()-5-$G$3+1,0,MIN($G$3,ROW()-4),1)),--ISNUMBER(OFFSET('04 变换后数据'!$H$5:$H$160,ROW()-5-$G$3+1,0,MIN($G$3,ROW()-4),1))))</f>
        <v/>
      </c>
      <c r="I157" s="8">
        <f>IF(ISNUMBER(E157),IF(ABS(E157)&gt;=0.7,"强",IF(ABS(E157)&gt;=0.4,"中","弱")),"-")</f>
        <v/>
      </c>
    </row>
    <row r="158">
      <c r="A158" s="8" t="n">
        <v>154</v>
      </c>
      <c r="B158" s="8">
        <f>'04 变换后数据'!B158</f>
        <v/>
      </c>
      <c r="C158" s="31">
        <f>IF(154&lt;$C$3,"",IF(4158=0,"",IF(4158&lt;MAX(5,ROUND($C$3*0.8,0)),"样本不足",CORREL(OFFSET('04 变换后数据'!$D$5:$D$160,ROW()-5-$C$3+1,0,$C$3,1),OFFSET('04 变换后数据'!$H$5:$H$160,ROW()-5-$C$3+1,0,$C$3,1))))</f>
        <v/>
      </c>
      <c r="D158" s="8">
        <f>IF(154&lt;$C$3,0,SUMPRODUCT(--(ROW('04 变换后数据'!$D$5:$D$160)&lt;=ROW()),--ISNUMBER(OFFSET('04 变换后数据'!$D$5:$D$160,ROW()-5-$C$3+1,0,MIN($C$3,ROW()-4),1)),--ISNUMBER(OFFSET('04 变换后数据'!$H$5:$H$160,ROW()-5-$C$3+1,0,MIN($C$3,ROW()-4),1))))</f>
        <v/>
      </c>
      <c r="E158" s="31">
        <f>IF(154&lt;$E$3,"",IF(6158=0,"",IF(6158&lt;MAX(5,ROUND($E$3*0.8,0)),"样本不足",CORREL(OFFSET('04 变换后数据'!$D$5:$D$160,ROW()-5-$E$3+1,0,$E$3,1),OFFSET('04 变换后数据'!$H$5:$H$160,ROW()-5-$E$3+1,0,$E$3,1))))</f>
        <v/>
      </c>
      <c r="F158" s="8">
        <f>IF(154&lt;$E$3,0,SUMPRODUCT(--(ROW('04 变换后数据'!$D$5:$D$160)&lt;=ROW()),--ISNUMBER(OFFSET('04 变换后数据'!$D$5:$D$160,ROW()-5-$E$3+1,0,MIN($E$3,ROW()-4),1)),--ISNUMBER(OFFSET('04 变换后数据'!$H$5:$H$160,ROW()-5-$E$3+1,0,MIN($E$3,ROW()-4),1))))</f>
        <v/>
      </c>
      <c r="G158" s="31">
        <f>IF(154&lt;$G$3,"",IF(8158=0,"",IF(8158&lt;MAX(5,ROUND($G$3*0.8,0)),"样本不足",CORREL(OFFSET('04 变换后数据'!$D$5:$D$160,ROW()-5-$G$3+1,0,$G$3,1),OFFSET('04 变换后数据'!$H$5:$H$160,ROW()-5-$G$3+1,0,$G$3,1))))</f>
        <v/>
      </c>
      <c r="H158" s="8">
        <f>IF(154&lt;$G$3,0,SUMPRODUCT(--(ROW('04 变换后数据'!$D$5:$D$160)&lt;=ROW()),--ISNUMBER(OFFSET('04 变换后数据'!$D$5:$D$160,ROW()-5-$G$3+1,0,MIN($G$3,ROW()-4),1)),--ISNUMBER(OFFSET('04 变换后数据'!$H$5:$H$160,ROW()-5-$G$3+1,0,MIN($G$3,ROW()-4),1))))</f>
        <v/>
      </c>
      <c r="I158" s="8">
        <f>IF(ISNUMBER(E158),IF(ABS(E158)&gt;=0.7,"强",IF(ABS(E158)&gt;=0.4,"中","弱")),"-")</f>
        <v/>
      </c>
    </row>
    <row r="159">
      <c r="A159" s="8" t="n">
        <v>155</v>
      </c>
      <c r="B159" s="8">
        <f>'04 变换后数据'!B159</f>
        <v/>
      </c>
      <c r="C159" s="31">
        <f>IF(155&lt;$C$3,"",IF(4159=0,"",IF(4159&lt;MAX(5,ROUND($C$3*0.8,0)),"样本不足",CORREL(OFFSET('04 变换后数据'!$D$5:$D$160,ROW()-5-$C$3+1,0,$C$3,1),OFFSET('04 变换后数据'!$H$5:$H$160,ROW()-5-$C$3+1,0,$C$3,1))))</f>
        <v/>
      </c>
      <c r="D159" s="8">
        <f>IF(155&lt;$C$3,0,SUMPRODUCT(--(ROW('04 变换后数据'!$D$5:$D$160)&lt;=ROW()),--ISNUMBER(OFFSET('04 变换后数据'!$D$5:$D$160,ROW()-5-$C$3+1,0,MIN($C$3,ROW()-4),1)),--ISNUMBER(OFFSET('04 变换后数据'!$H$5:$H$160,ROW()-5-$C$3+1,0,MIN($C$3,ROW()-4),1))))</f>
        <v/>
      </c>
      <c r="E159" s="31">
        <f>IF(155&lt;$E$3,"",IF(6159=0,"",IF(6159&lt;MAX(5,ROUND($E$3*0.8,0)),"样本不足",CORREL(OFFSET('04 变换后数据'!$D$5:$D$160,ROW()-5-$E$3+1,0,$E$3,1),OFFSET('04 变换后数据'!$H$5:$H$160,ROW()-5-$E$3+1,0,$E$3,1))))</f>
        <v/>
      </c>
      <c r="F159" s="8">
        <f>IF(155&lt;$E$3,0,SUMPRODUCT(--(ROW('04 变换后数据'!$D$5:$D$160)&lt;=ROW()),--ISNUMBER(OFFSET('04 变换后数据'!$D$5:$D$160,ROW()-5-$E$3+1,0,MIN($E$3,ROW()-4),1)),--ISNUMBER(OFFSET('04 变换后数据'!$H$5:$H$160,ROW()-5-$E$3+1,0,MIN($E$3,ROW()-4),1))))</f>
        <v/>
      </c>
      <c r="G159" s="31">
        <f>IF(155&lt;$G$3,"",IF(8159=0,"",IF(8159&lt;MAX(5,ROUND($G$3*0.8,0)),"样本不足",CORREL(OFFSET('04 变换后数据'!$D$5:$D$160,ROW()-5-$G$3+1,0,$G$3,1),OFFSET('04 变换后数据'!$H$5:$H$160,ROW()-5-$G$3+1,0,$G$3,1))))</f>
        <v/>
      </c>
      <c r="H159" s="8">
        <f>IF(155&lt;$G$3,0,SUMPRODUCT(--(ROW('04 变换后数据'!$D$5:$D$160)&lt;=ROW()),--ISNUMBER(OFFSET('04 变换后数据'!$D$5:$D$160,ROW()-5-$G$3+1,0,MIN($G$3,ROW()-4),1)),--ISNUMBER(OFFSET('04 变换后数据'!$H$5:$H$160,ROW()-5-$G$3+1,0,MIN($G$3,ROW()-4),1))))</f>
        <v/>
      </c>
      <c r="I159" s="8">
        <f>IF(ISNUMBER(E159),IF(ABS(E159)&gt;=0.7,"强",IF(ABS(E159)&gt;=0.4,"中","弱")),"-")</f>
        <v/>
      </c>
    </row>
    <row r="160">
      <c r="A160" s="8" t="n">
        <v>156</v>
      </c>
      <c r="B160" s="8">
        <f>'04 变换后数据'!B160</f>
        <v/>
      </c>
      <c r="C160" s="31">
        <f>IF(156&lt;$C$3,"",IF(4160=0,"",IF(4160&lt;MAX(5,ROUND($C$3*0.8,0)),"样本不足",CORREL(OFFSET('04 变换后数据'!$D$5:$D$160,ROW()-5-$C$3+1,0,$C$3,1),OFFSET('04 变换后数据'!$H$5:$H$160,ROW()-5-$C$3+1,0,$C$3,1))))</f>
        <v/>
      </c>
      <c r="D160" s="8">
        <f>IF(156&lt;$C$3,0,SUMPRODUCT(--(ROW('04 变换后数据'!$D$5:$D$160)&lt;=ROW()),--ISNUMBER(OFFSET('04 变换后数据'!$D$5:$D$160,ROW()-5-$C$3+1,0,MIN($C$3,ROW()-4),1)),--ISNUMBER(OFFSET('04 变换后数据'!$H$5:$H$160,ROW()-5-$C$3+1,0,MIN($C$3,ROW()-4),1))))</f>
        <v/>
      </c>
      <c r="E160" s="31">
        <f>IF(156&lt;$E$3,"",IF(6160=0,"",IF(6160&lt;MAX(5,ROUND($E$3*0.8,0)),"样本不足",CORREL(OFFSET('04 变换后数据'!$D$5:$D$160,ROW()-5-$E$3+1,0,$E$3,1),OFFSET('04 变换后数据'!$H$5:$H$160,ROW()-5-$E$3+1,0,$E$3,1))))</f>
        <v/>
      </c>
      <c r="F160" s="8">
        <f>IF(156&lt;$E$3,0,SUMPRODUCT(--(ROW('04 变换后数据'!$D$5:$D$160)&lt;=ROW()),--ISNUMBER(OFFSET('04 变换后数据'!$D$5:$D$160,ROW()-5-$E$3+1,0,MIN($E$3,ROW()-4),1)),--ISNUMBER(OFFSET('04 变换后数据'!$H$5:$H$160,ROW()-5-$E$3+1,0,MIN($E$3,ROW()-4),1))))</f>
        <v/>
      </c>
      <c r="G160" s="31">
        <f>IF(156&lt;$G$3,"",IF(8160=0,"",IF(8160&lt;MAX(5,ROUND($G$3*0.8,0)),"样本不足",CORREL(OFFSET('04 变换后数据'!$D$5:$D$160,ROW()-5-$G$3+1,0,$G$3,1),OFFSET('04 变换后数据'!$H$5:$H$160,ROW()-5-$G$3+1,0,$G$3,1))))</f>
        <v/>
      </c>
      <c r="H160" s="8">
        <f>IF(156&lt;$G$3,0,SUMPRODUCT(--(ROW('04 变换后数据'!$D$5:$D$160)&lt;=ROW()),--ISNUMBER(OFFSET('04 变换后数据'!$D$5:$D$160,ROW()-5-$G$3+1,0,MIN($G$3,ROW()-4),1)),--ISNUMBER(OFFSET('04 变换后数据'!$H$5:$H$160,ROW()-5-$G$3+1,0,MIN($G$3,ROW()-4),1))))</f>
        <v/>
      </c>
      <c r="I160" s="8">
        <f>IF(ISNUMBER(E160),IF(ABS(E160)&gt;=0.7,"强",IF(ABS(E160)&gt;=0.4,"中","弱")),"-")</f>
        <v/>
      </c>
    </row>
  </sheetData>
  <mergeCells count="2">
    <mergeCell ref="A1:I1"/>
    <mergeCell ref="A2:I2"/>
  </mergeCells>
  <pageMargins left="0.75" right="0.75" top="1" bottom="1" header="0.5" footer="0.5"/>
  <drawing xmlns:r="http://schemas.openxmlformats.org/officeDocument/2006/relationships" r:id="rId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12"/>
  <sheetViews>
    <sheetView showGridLines="0" workbookViewId="0">
      <selection activeCell="A1" sqref="A1"/>
    </sheetView>
  </sheetViews>
  <sheetFormatPr baseColWidth="8" defaultRowHeight="15"/>
  <cols>
    <col width="10" customWidth="1" min="1" max="1"/>
    <col width="18" customWidth="1" min="2" max="2"/>
    <col width="18" customWidth="1" min="3" max="3"/>
    <col width="8" customWidth="1" min="4" max="4"/>
    <col width="12" customWidth="1" min="5" max="5"/>
    <col width="12" customWidth="1" min="6" max="6"/>
    <col width="13" customWidth="1" min="7" max="7"/>
    <col width="8" customWidth="1" min="8" max="8"/>
    <col width="11" customWidth="1" min="9" max="9"/>
  </cols>
  <sheetData>
    <row r="1" ht="26" customHeight="1">
      <c r="A1" s="1" t="inlineStr">
        <is>
          <t>分阶段结果（相关强度会随市场阶段变化）</t>
        </is>
      </c>
    </row>
    <row r="2" ht="34" customHeight="1">
      <c r="A2" s="2" t="inlineStr">
        <is>
          <t>断点写在第 4 行，改日期后公式自动重算。断点应按行业逻辑设定（检修季、需求淡季、产能投放、政策窗口），不要为凑结果反复切分。</t>
        </is>
      </c>
    </row>
    <row r="4">
      <c r="B4" s="32" t="inlineStr">
        <is>
          <t>2023-10-11</t>
        </is>
      </c>
      <c r="C4" s="32" t="inlineStr">
        <is>
          <t>2024-09-01</t>
        </is>
      </c>
      <c r="D4" s="32" t="inlineStr">
        <is>
          <t>2025-09-01</t>
        </is>
      </c>
      <c r="E4" s="32" t="inlineStr">
        <is>
          <t>2026-09-30</t>
        </is>
      </c>
    </row>
    <row r="5">
      <c r="B5" s="33" t="inlineStr">
        <is>
          <t>阶段1断点 →</t>
        </is>
      </c>
      <c r="C5" s="33" t="inlineStr">
        <is>
          <t>阶段2断点 →</t>
        </is>
      </c>
      <c r="D5" s="33" t="inlineStr">
        <is>
          <t>阶段3断点 →</t>
        </is>
      </c>
    </row>
    <row r="7" ht="24" customHeight="1">
      <c r="A7" s="7" t="inlineStr">
        <is>
          <t>阶段</t>
        </is>
      </c>
      <c r="B7" s="7" t="inlineStr">
        <is>
          <t>起始</t>
        </is>
      </c>
      <c r="C7" s="7" t="inlineStr">
        <is>
          <t>结束</t>
        </is>
      </c>
      <c r="D7" s="7" t="inlineStr">
        <is>
          <t>N</t>
        </is>
      </c>
      <c r="E7" s="7" t="inlineStr">
        <is>
          <t>Pearson r</t>
        </is>
      </c>
      <c r="F7" s="7" t="inlineStr">
        <is>
          <t>Spearman ρ</t>
        </is>
      </c>
      <c r="G7" s="7" t="inlineStr">
        <is>
          <t>p 值</t>
        </is>
      </c>
      <c r="H7" s="7" t="inlineStr">
        <is>
          <t>强度</t>
        </is>
      </c>
      <c r="I7" s="7" t="inlineStr">
        <is>
          <t>显著性</t>
        </is>
      </c>
    </row>
    <row r="8">
      <c r="A8" s="8" t="inlineStr">
        <is>
          <t>阶段1</t>
        </is>
      </c>
      <c r="B8" s="8">
        <f>TEXT(B4,"yyyy-mm-dd")</f>
        <v/>
      </c>
      <c r="C8" s="8">
        <f>TEXT(C4,"yyyy-mm-dd")</f>
        <v/>
      </c>
      <c r="D8" s="8">
        <f>SUMPRODUCT(('04 变换后数据'!$B$5:$B$160&gt;=$B8)*('04 变换后数据'!$B$5:$B$160&lt;=$C8)*ISNUMBER('04 变换后数据'!$D$5:$D$160)*ISNUMBER('04 变换后数据'!$H$5:$H$160))</f>
        <v/>
      </c>
      <c r="E8" s="26">
        <f>IFERROR(CORREL(IF(('04 变换后数据'!$B$5:$B$160&gt;=$B8)*('04 变换后数据'!$B$5:$B$160&lt;=$C8),'04 变换后数据'!$D$5:$D$160),IF(('04 变换后数据'!$B$5:$B$160&gt;=$B8)*('04 变换后数据'!$B$5:$B$160&lt;=$C8),'04 变换后数据'!$H$5:$H$160)),"")</f>
        <v/>
      </c>
      <c r="F8" s="26">
        <f>IFERROR(CORREL(IF(('04 变换后数据'!$B$5:$B$160&gt;=$B8)*('04 变换后数据'!$B$5:$B$160&lt;=$C8),'04 变换后数据'!$D$5:$D$160),IF(('04 变换后数据'!$B$5:$B$160&gt;=$B8)*('04 变换后数据'!$B$5:$B$160&lt;=$C8),'04 变换后数据'!$H$5:$H$160)),"")</f>
        <v/>
      </c>
      <c r="G8" s="34">
        <f>IFERROR(_XLFN.T.DIST.2T(ABS(E8*SQRT((D8-2)/(1-E8^2))),D8-2),"")</f>
        <v/>
      </c>
      <c r="H8" s="8">
        <f>IF(E8="","-",IF(ABS(E8)&gt;=0.7,"强",IF(ABS(E8)&gt;=0.4,"中","弱")))</f>
        <v/>
      </c>
      <c r="I8" s="8">
        <f>IF(G8="","",IF(G8&lt;0.05,"显著","不显著"))</f>
        <v/>
      </c>
    </row>
    <row r="9">
      <c r="A9" s="8" t="inlineStr">
        <is>
          <t>阶段2</t>
        </is>
      </c>
      <c r="B9" s="8">
        <f>TEXT(C4,"yyyy-mm-dd")</f>
        <v/>
      </c>
      <c r="C9" s="8">
        <f>TEXT(D4,"yyyy-mm-dd")</f>
        <v/>
      </c>
      <c r="D9" s="8">
        <f>SUMPRODUCT(('04 变换后数据'!$B$5:$B$160&gt;=$B9)*('04 变换后数据'!$B$5:$B$160&lt;=$C9)*ISNUMBER('04 变换后数据'!$D$5:$D$160)*ISNUMBER('04 变换后数据'!$H$5:$H$160))</f>
        <v/>
      </c>
      <c r="E9" s="26">
        <f>IFERROR(CORREL(IF(('04 变换后数据'!$B$5:$B$160&gt;=$B9)*('04 变换后数据'!$B$5:$B$160&lt;=$C9),'04 变换后数据'!$D$5:$D$160),IF(('04 变换后数据'!$B$5:$B$160&gt;=$B9)*('04 变换后数据'!$B$5:$B$160&lt;=$C9),'04 变换后数据'!$H$5:$H$160)),"")</f>
        <v/>
      </c>
      <c r="F9" s="26">
        <f>IFERROR(CORREL(IF(('04 变换后数据'!$B$5:$B$160&gt;=$B9)*('04 变换后数据'!$B$5:$B$160&lt;=$C9),'04 变换后数据'!$D$5:$D$160),IF(('04 变换后数据'!$B$5:$B$160&gt;=$B9)*('04 变换后数据'!$B$5:$B$160&lt;=$C9),'04 变换后数据'!$H$5:$H$160)),"")</f>
        <v/>
      </c>
      <c r="G9" s="34">
        <f>IFERROR(_XLFN.T.DIST.2T(ABS(E9*SQRT((D9-2)/(1-E9^2))),D9-2),"")</f>
        <v/>
      </c>
      <c r="H9" s="8">
        <f>IF(E9="","-",IF(ABS(E9)&gt;=0.7,"强",IF(ABS(E9)&gt;=0.4,"中","弱")))</f>
        <v/>
      </c>
      <c r="I9" s="8">
        <f>IF(G9="","",IF(G9&lt;0.05,"显著","不显著"))</f>
        <v/>
      </c>
    </row>
    <row r="10">
      <c r="A10" s="8" t="inlineStr">
        <is>
          <t>阶段3</t>
        </is>
      </c>
      <c r="B10" s="8">
        <f>TEXT(D4,"yyyy-mm-dd")</f>
        <v/>
      </c>
      <c r="C10" s="8">
        <f>TEXT(E4,"yyyy-mm-dd")</f>
        <v/>
      </c>
      <c r="D10" s="8">
        <f>SUMPRODUCT(('04 变换后数据'!$B$5:$B$160&gt;=$B10)*('04 变换后数据'!$B$5:$B$160&lt;=$C10)*ISNUMBER('04 变换后数据'!$D$5:$D$160)*ISNUMBER('04 变换后数据'!$H$5:$H$160))</f>
        <v/>
      </c>
      <c r="E10" s="26">
        <f>IFERROR(CORREL(IF(('04 变换后数据'!$B$5:$B$160&gt;=$B10)*('04 变换后数据'!$B$5:$B$160&lt;=$C10),'04 变换后数据'!$D$5:$D$160),IF(('04 变换后数据'!$B$5:$B$160&gt;=$B10)*('04 变换后数据'!$B$5:$B$160&lt;=$C10),'04 变换后数据'!$H$5:$H$160)),"")</f>
        <v/>
      </c>
      <c r="F10" s="26">
        <f>IFERROR(CORREL(IF(('04 变换后数据'!$B$5:$B$160&gt;=$B10)*('04 变换后数据'!$B$5:$B$160&lt;=$C10),'04 变换后数据'!$D$5:$D$160),IF(('04 变换后数据'!$B$5:$B$160&gt;=$B10)*('04 变换后数据'!$B$5:$B$160&lt;=$C10),'04 变换后数据'!$H$5:$H$160)),"")</f>
        <v/>
      </c>
      <c r="G10" s="34">
        <f>IFERROR(_XLFN.T.DIST.2T(ABS(E10*SQRT((D10-2)/(1-E10^2))),D10-2),"")</f>
        <v/>
      </c>
      <c r="H10" s="8">
        <f>IF(E10="","-",IF(ABS(E10)&gt;=0.7,"强",IF(ABS(E10)&gt;=0.4,"中","弱")))</f>
        <v/>
      </c>
      <c r="I10" s="8">
        <f>IF(G10="","",IF(G10&lt;0.05,"显著","不显著"))</f>
        <v/>
      </c>
    </row>
    <row r="12" ht="34" customHeight="1">
      <c r="B12" s="35" t="inlineStr">
        <is>
          <t>E/F 列为 IF 掩码数组公式：Excel 365 / WPS 直接回车即可；旧版 Excel 需 Ctrl+Shift+Enter。Spearman ρ 在此按 Pearson 掩码近似占位，精确秩相关由 scripts/analyze.py 输出（见 10 滞后相关旁的脚本结果）。</t>
        </is>
      </c>
    </row>
  </sheetData>
  <mergeCells count="3">
    <mergeCell ref="A1:I1"/>
    <mergeCell ref="A2:I2"/>
    <mergeCell ref="B12:I12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9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18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 ht="26" customHeight="1">
      <c r="A1" s="1" t="inlineStr">
        <is>
          <t>形态组合矩阵（3×3）</t>
        </is>
      </c>
    </row>
    <row r="2" ht="34" customHeight="1">
      <c r="A2" s="2" t="inlineStr">
        <is>
          <t>同一对指标换形态后 r 可以差很多。写结论必须写明“哪种形态对哪种形态”，否则无法复核。</t>
        </is>
      </c>
    </row>
    <row r="4" ht="24" customHeight="1">
      <c r="A4" s="7" t="n"/>
      <c r="B4" s="7" t="inlineStr">
        <is>
          <t>库存 ＼ 价格</t>
        </is>
      </c>
      <c r="C4" s="7" t="inlineStr">
        <is>
          <t>价格-水平</t>
        </is>
      </c>
      <c r="D4" s="7" t="inlineStr">
        <is>
          <t>价格-差分</t>
        </is>
      </c>
      <c r="E4" s="7" t="inlineStr">
        <is>
          <t>价格-环比%</t>
        </is>
      </c>
    </row>
    <row r="5">
      <c r="B5" s="36" t="inlineStr">
        <is>
          <t>库存-水平</t>
        </is>
      </c>
      <c r="C5" s="37">
        <f>IFERROR(CORREL('04 变换后数据'!$C$5:$C$160,'04 变换后数据'!$F$5:$F$160),"")</f>
        <v/>
      </c>
      <c r="D5" s="37">
        <f>IFERROR(CORREL('04 变换后数据'!$C$5:$C$160,'04 变换后数据'!$G$5:$G$160),"")</f>
        <v/>
      </c>
      <c r="E5" s="37">
        <f>IFERROR(CORREL('04 变换后数据'!$C$5:$C$160,'04 变换后数据'!$H$5:$H$160),"")</f>
        <v/>
      </c>
    </row>
    <row r="6">
      <c r="B6" s="36" t="inlineStr">
        <is>
          <t>库存-差分</t>
        </is>
      </c>
      <c r="C6" s="37">
        <f>IFERROR(CORREL('04 变换后数据'!$D$5:$D$160,'04 变换后数据'!$F$5:$F$160),"")</f>
        <v/>
      </c>
      <c r="D6" s="37">
        <f>IFERROR(CORREL('04 变换后数据'!$D$5:$D$160,'04 变换后数据'!$G$5:$G$160),"")</f>
        <v/>
      </c>
      <c r="E6" s="37">
        <f>IFERROR(CORREL('04 变换后数据'!$D$5:$D$160,'04 变换后数据'!$H$5:$H$160),"")</f>
        <v/>
      </c>
    </row>
    <row r="7">
      <c r="B7" s="36" t="inlineStr">
        <is>
          <t>库存-环比%</t>
        </is>
      </c>
      <c r="C7" s="37">
        <f>IFERROR(CORREL('04 变换后数据'!$E$5:$E$160,'04 变换后数据'!$F$5:$F$160),"")</f>
        <v/>
      </c>
      <c r="D7" s="37">
        <f>IFERROR(CORREL('04 变换后数据'!$E$5:$E$160,'04 变换后数据'!$G$5:$G$160),"")</f>
        <v/>
      </c>
      <c r="E7" s="37">
        <f>IFERROR(CORREL('04 变换后数据'!$E$5:$E$160,'04 变换后数据'!$H$5:$H$160),"")</f>
        <v/>
      </c>
    </row>
    <row r="9" ht="44" customHeight="1">
      <c r="B9" s="10" t="inlineStr">
        <is>
          <t>解读</t>
        </is>
      </c>
      <c r="C9" s="38" t="inlineStr">
        <is>
          <t>主口径建议“库存差分 × 价格环比%”（第 3 行第 3 列）：两端都是变化量、各自用合适单位，且不会因共同趋势虚高。“水平 × 水平”只能作背景描述，必须同时给出差分口径并说明差异。</t>
        </is>
      </c>
    </row>
  </sheetData>
  <mergeCells count="3">
    <mergeCell ref="A2:F2"/>
    <mergeCell ref="C9:F9"/>
    <mergeCell ref="A1:F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13"/>
  <sheetViews>
    <sheetView showGridLines="0" workbookViewId="0">
      <selection activeCell="A1" sqref="A1"/>
    </sheetView>
  </sheetViews>
  <sheetFormatPr baseColWidth="8" defaultRowHeight="15"/>
  <cols>
    <col width="26" customWidth="1" min="1" max="1"/>
    <col width="24" customWidth="1" min="2" max="2"/>
    <col width="34" customWidth="1" min="3" max="3"/>
    <col width="32" customWidth="1" min="4" max="4"/>
    <col width="34" customWidth="1" min="5" max="5"/>
  </cols>
  <sheetData>
    <row r="1" ht="26" customHeight="1">
      <c r="A1" s="1" t="inlineStr">
        <is>
          <t>稳健性与伪相关诊断</t>
        </is>
      </c>
    </row>
    <row r="2" ht="34" customHeight="1">
      <c r="A2" s="2" t="inlineStr">
        <is>
          <t>逐项检验“这个相关是不是只来自趋势 / 自相关 / 共同外部因素”。任何一项让 r 大幅衰减，都要在结论里如实写出来。</t>
        </is>
      </c>
    </row>
    <row r="4" ht="24" customHeight="1">
      <c r="A4" s="7" t="inlineStr">
        <is>
          <t>诊断项</t>
        </is>
      </c>
      <c r="B4" s="7" t="inlineStr">
        <is>
          <t>数值</t>
        </is>
      </c>
      <c r="C4" s="7" t="inlineStr">
        <is>
          <t>计算口径</t>
        </is>
      </c>
      <c r="D4" s="7" t="inlineStr">
        <is>
          <t>判读标准</t>
        </is>
      </c>
      <c r="E4" s="7" t="inlineStr">
        <is>
          <t>结论与处理</t>
        </is>
      </c>
    </row>
    <row r="5">
      <c r="A5" s="9" t="inlineStr">
        <is>
          <t>基准：库存差分 × 价格环比%</t>
        </is>
      </c>
      <c r="B5" s="8">
        <f>'05 总体相关'!C7</f>
        <v/>
      </c>
      <c r="C5" s="9" t="inlineStr">
        <is>
          <t>CORREL(库存差分, 价格环比%)</t>
        </is>
      </c>
      <c r="D5" s="9" t="inlineStr">
        <is>
          <t>其余诊断的参照基准</t>
        </is>
      </c>
      <c r="E5" s="9" t="inlineStr">
        <is>
          <t>所有稳健性结论相对此项比较</t>
        </is>
      </c>
    </row>
    <row r="6">
      <c r="A6" s="9" t="inlineStr">
        <is>
          <t>去趋势后 r</t>
        </is>
      </c>
      <c r="B6" s="8">
        <f>'09b 辅助计算(残差)'!$D$162</f>
        <v/>
      </c>
      <c r="C6" s="9" t="inlineStr">
        <is>
          <t>对时间回归取残差后的 CORREL</t>
        </is>
      </c>
      <c r="D6" s="9" t="inlineStr">
        <is>
          <t>显著低于基准 → 有共同趋势成分</t>
        </is>
      </c>
      <c r="E6" s="9" t="inlineStr">
        <is>
          <t>结论以变化口径为准</t>
        </is>
      </c>
    </row>
    <row r="7">
      <c r="A7" s="9" t="inlineStr">
        <is>
          <t>水平 × 水平（对照）</t>
        </is>
      </c>
      <c r="B7" s="8">
        <f>'05 总体相关'!C5</f>
        <v/>
      </c>
      <c r="C7" s="9" t="inlineStr">
        <is>
          <t>CORREL(库存水平, 价格水平)</t>
        </is>
      </c>
      <c r="D7" s="9" t="inlineStr">
        <is>
          <t>通常明显高于差分口径</t>
        </is>
      </c>
      <c r="E7" s="9" t="inlineStr">
        <is>
          <t>只作背景，不作结论依据</t>
        </is>
      </c>
    </row>
    <row r="8">
      <c r="A8" s="9" t="inlineStr">
        <is>
          <t>库存一阶自相关 ρ₁</t>
        </is>
      </c>
      <c r="B8" s="8">
        <f>'04 变换后数据'!C6</f>
        <v/>
      </c>
      <c r="C8" s="9" t="inlineStr">
        <is>
          <t>CORREL(水平_t, 水平_t-1)</t>
        </is>
      </c>
      <c r="D8" s="9" t="inlineStr">
        <is>
          <t>&gt;0.7 表示强记忆性</t>
        </is>
      </c>
      <c r="E8" s="9" t="inlineStr">
        <is>
          <t>用有效样本量修正 p</t>
        </is>
      </c>
    </row>
    <row r="9">
      <c r="A9" s="9" t="inlineStr">
        <is>
          <t>价格一阶自相关 ρ₁</t>
        </is>
      </c>
      <c r="B9" s="8">
        <f>'04 变换后数据'!F6</f>
        <v/>
      </c>
      <c r="C9" s="9" t="inlineStr">
        <is>
          <t>同上</t>
        </is>
      </c>
      <c r="D9" s="9" t="inlineStr">
        <is>
          <t>同上</t>
        </is>
      </c>
      <c r="E9" s="9" t="inlineStr">
        <is>
          <t>同上</t>
        </is>
      </c>
    </row>
    <row r="10">
      <c r="A10" s="9" t="inlineStr">
        <is>
          <t>剔极值后 r</t>
        </is>
      </c>
      <c r="B10" s="8" t="inlineStr">
        <is>
          <t>见 analyze.py 输出</t>
        </is>
      </c>
      <c r="C10" s="9" t="inlineStr">
        <is>
          <t>剔除上下 5% 后重算</t>
        </is>
      </c>
      <c r="D10" s="9" t="inlineStr">
        <is>
          <t>与基准接近 → 结论不由极值撑起</t>
        </is>
      </c>
      <c r="E10" s="9" t="inlineStr">
        <is>
          <t>如变化大，需点名极值日期</t>
        </is>
      </c>
    </row>
    <row r="11">
      <c r="A11" s="9" t="inlineStr">
        <is>
          <t>分段一致性</t>
        </is>
      </c>
      <c r="B11" s="8" t="inlineStr">
        <is>
          <t>见 analyze.py 输出</t>
        </is>
      </c>
      <c r="C11" s="9" t="inlineStr">
        <is>
          <t>前 1/3 与后 1/3 分别计算</t>
        </is>
      </c>
      <c r="D11" s="9" t="inlineStr">
        <is>
          <t>方向一致才谈“稳定”</t>
        </is>
      </c>
      <c r="E11" s="9" t="inlineStr">
        <is>
          <t>方向相反必须写“阶段性失效”</t>
        </is>
      </c>
    </row>
    <row r="12">
      <c r="A12" s="9" t="inlineStr">
        <is>
          <t>控制煤价后的偏相关</t>
        </is>
      </c>
      <c r="B12" s="8" t="inlineStr">
        <is>
          <t>见 analyze.py 输出</t>
        </is>
      </c>
      <c r="C12" s="9" t="inlineStr">
        <is>
          <t>对煤价回归取残差再相关</t>
        </is>
      </c>
      <c r="D12" s="9" t="inlineStr">
        <is>
          <t>明显低于基准 → 成本解释一部分</t>
        </is>
      </c>
      <c r="E12" s="9" t="inlineStr">
        <is>
          <t>写明“控制成本后仍剩多少”</t>
        </is>
      </c>
    </row>
    <row r="13">
      <c r="A13" s="9" t="inlineStr">
        <is>
          <t>有效样本量 N_eff</t>
        </is>
      </c>
      <c r="B13" s="8" t="inlineStr">
        <is>
          <t>见 analyze.py 输出</t>
        </is>
      </c>
      <c r="C13" s="9" t="inlineStr">
        <is>
          <t>n(1-ρxρy)/(1+ρxρy)</t>
        </is>
      </c>
      <c r="D13" s="9" t="inlineStr">
        <is>
          <t>比名义 N 小很多时，名义 p 过于乐观</t>
        </is>
      </c>
      <c r="E13" s="9" t="inlineStr">
        <is>
          <t>报告修正 p（见 analyze.py）</t>
        </is>
      </c>
    </row>
  </sheetData>
  <mergeCells count="2">
    <mergeCell ref="A2:E2"/>
    <mergeCell ref="A1:E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I166"/>
  <sheetViews>
    <sheetView showGridLines="0" workbookViewId="0">
      <selection activeCell="A1" sqref="A1"/>
    </sheetView>
  </sheetViews>
  <sheetFormatPr baseColWidth="8" defaultRowHeight="15"/>
  <cols>
    <col width="6" customWidth="1" min="1" max="1"/>
    <col width="14" customWidth="1" min="2" max="2"/>
    <col width="10" customWidth="1" min="3" max="3"/>
    <col width="12" customWidth="1" min="4" max="4"/>
    <col width="12" customWidth="1" min="5" max="5"/>
    <col width="16" customWidth="1" min="6" max="6"/>
    <col width="12" customWidth="1" min="7" max="7"/>
    <col width="16" customWidth="1" min="8" max="8"/>
    <col width="12" customWidth="1" min="9" max="9"/>
  </cols>
  <sheetData>
    <row r="1" ht="26" customHeight="1">
      <c r="A1" s="1" t="inlineStr">
        <is>
          <t>辅助计算：回归残差（去趋势）</t>
        </is>
      </c>
    </row>
    <row r="2" ht="34" customHeight="1">
      <c r="A2" s="2" t="inlineStr">
        <is>
          <t>用 SLOPE/INTERCEPT 逐行算预测值与残差；残差之间的相关即“去趋势后相关”。改数据后自动重算。</t>
        </is>
      </c>
    </row>
    <row r="4" ht="24" customHeight="1">
      <c r="A4" s="7" t="inlineStr">
        <is>
          <t>序号</t>
        </is>
      </c>
      <c r="B4" s="7" t="inlineStr">
        <is>
          <t>日期</t>
        </is>
      </c>
      <c r="C4" s="7" t="inlineStr">
        <is>
          <t>t</t>
        </is>
      </c>
      <c r="D4" s="7" t="inlineStr">
        <is>
          <t>库存-水平</t>
        </is>
      </c>
      <c r="E4" s="7" t="inlineStr">
        <is>
          <t>价格-水平</t>
        </is>
      </c>
      <c r="F4" s="7" t="inlineStr">
        <is>
          <t>库存趋势拟合</t>
        </is>
      </c>
      <c r="G4" s="7" t="inlineStr">
        <is>
          <t>库存残差</t>
        </is>
      </c>
      <c r="H4" s="7" t="inlineStr">
        <is>
          <t>价格趋势拟合</t>
        </is>
      </c>
      <c r="I4" s="7" t="inlineStr">
        <is>
          <t>价格残差</t>
        </is>
      </c>
    </row>
    <row r="5">
      <c r="A5" s="23" t="n">
        <v>1</v>
      </c>
      <c r="B5" s="8">
        <f>'04 变换后数据'!B5</f>
        <v/>
      </c>
      <c r="C5" s="23" t="n">
        <v>1</v>
      </c>
      <c r="D5" s="8">
        <f>'04 变换后数据'!C5</f>
        <v/>
      </c>
      <c r="E5" s="8">
        <f>'04 变换后数据'!F5</f>
        <v/>
      </c>
      <c r="F5" s="8">
        <f>IF(ISNUMBER(D5),SLOPE('04 变换后数据'!$C$5:$C$160,'09b 辅助计算(残差)'!$C$5:$C$160)*C5+INTERCEPT('04 变换后数据'!$C$5:$C$160,'09b 辅助计算(残差)'!$C$5:$C$160),"")</f>
        <v/>
      </c>
      <c r="G5" s="8">
        <f>IF(ISNUMBER(D5),D5-F5,"")</f>
        <v/>
      </c>
      <c r="H5" s="8">
        <f>IF(ISNUMBER(E5),SLOPE('04 变换后数据'!$F$5:$F$160,'09b 辅助计算(残差)'!$C$5:$C$160)*C5+INTERCEPT('04 变换后数据'!$F$5:$F$160,'09b 辅助计算(残差)'!$C$5:$C$160),"")</f>
        <v/>
      </c>
      <c r="I5" s="8">
        <f>IF(ISNUMBER(E5),E5-H5,"")</f>
        <v/>
      </c>
    </row>
    <row r="6">
      <c r="A6" s="23" t="n">
        <v>2</v>
      </c>
      <c r="B6" s="8">
        <f>'04 变换后数据'!B6</f>
        <v/>
      </c>
      <c r="C6" s="23" t="n">
        <v>2</v>
      </c>
      <c r="D6" s="8">
        <f>'04 变换后数据'!C6</f>
        <v/>
      </c>
      <c r="E6" s="8">
        <f>'04 变换后数据'!F6</f>
        <v/>
      </c>
      <c r="F6" s="8">
        <f>IF(ISNUMBER(D6),SLOPE('04 变换后数据'!$C$5:$C$160,'09b 辅助计算(残差)'!$C$5:$C$160)*C6+INTERCEPT('04 变换后数据'!$C$5:$C$160,'09b 辅助计算(残差)'!$C$5:$C$160),"")</f>
        <v/>
      </c>
      <c r="G6" s="8">
        <f>IF(ISNUMBER(D6),D6-F6,"")</f>
        <v/>
      </c>
      <c r="H6" s="8">
        <f>IF(ISNUMBER(E6),SLOPE('04 变换后数据'!$F$5:$F$160,'09b 辅助计算(残差)'!$C$5:$C$160)*C6+INTERCEPT('04 变换后数据'!$F$5:$F$160,'09b 辅助计算(残差)'!$C$5:$C$160),"")</f>
        <v/>
      </c>
      <c r="I6" s="8">
        <f>IF(ISNUMBER(E6),E6-H6,"")</f>
        <v/>
      </c>
    </row>
    <row r="7">
      <c r="A7" s="23" t="n">
        <v>3</v>
      </c>
      <c r="B7" s="8">
        <f>'04 变换后数据'!B7</f>
        <v/>
      </c>
      <c r="C7" s="23" t="n">
        <v>3</v>
      </c>
      <c r="D7" s="8">
        <f>'04 变换后数据'!C7</f>
        <v/>
      </c>
      <c r="E7" s="8">
        <f>'04 变换后数据'!F7</f>
        <v/>
      </c>
      <c r="F7" s="8">
        <f>IF(ISNUMBER(D7),SLOPE('04 变换后数据'!$C$5:$C$160,'09b 辅助计算(残差)'!$C$5:$C$160)*C7+INTERCEPT('04 变换后数据'!$C$5:$C$160,'09b 辅助计算(残差)'!$C$5:$C$160),"")</f>
        <v/>
      </c>
      <c r="G7" s="8">
        <f>IF(ISNUMBER(D7),D7-F7,"")</f>
        <v/>
      </c>
      <c r="H7" s="8">
        <f>IF(ISNUMBER(E7),SLOPE('04 变换后数据'!$F$5:$F$160,'09b 辅助计算(残差)'!$C$5:$C$160)*C7+INTERCEPT('04 变换后数据'!$F$5:$F$160,'09b 辅助计算(残差)'!$C$5:$C$160),"")</f>
        <v/>
      </c>
      <c r="I7" s="8">
        <f>IF(ISNUMBER(E7),E7-H7,"")</f>
        <v/>
      </c>
    </row>
    <row r="8">
      <c r="A8" s="23" t="n">
        <v>4</v>
      </c>
      <c r="B8" s="8">
        <f>'04 变换后数据'!B8</f>
        <v/>
      </c>
      <c r="C8" s="23" t="n">
        <v>4</v>
      </c>
      <c r="D8" s="8">
        <f>'04 变换后数据'!C8</f>
        <v/>
      </c>
      <c r="E8" s="8">
        <f>'04 变换后数据'!F8</f>
        <v/>
      </c>
      <c r="F8" s="8">
        <f>IF(ISNUMBER(D8),SLOPE('04 变换后数据'!$C$5:$C$160,'09b 辅助计算(残差)'!$C$5:$C$160)*C8+INTERCEPT('04 变换后数据'!$C$5:$C$160,'09b 辅助计算(残差)'!$C$5:$C$160),"")</f>
        <v/>
      </c>
      <c r="G8" s="8">
        <f>IF(ISNUMBER(D8),D8-F8,"")</f>
        <v/>
      </c>
      <c r="H8" s="8">
        <f>IF(ISNUMBER(E8),SLOPE('04 变换后数据'!$F$5:$F$160,'09b 辅助计算(残差)'!$C$5:$C$160)*C8+INTERCEPT('04 变换后数据'!$F$5:$F$160,'09b 辅助计算(残差)'!$C$5:$C$160),"")</f>
        <v/>
      </c>
      <c r="I8" s="8">
        <f>IF(ISNUMBER(E8),E8-H8,"")</f>
        <v/>
      </c>
    </row>
    <row r="9">
      <c r="A9" s="23" t="n">
        <v>5</v>
      </c>
      <c r="B9" s="8">
        <f>'04 变换后数据'!B9</f>
        <v/>
      </c>
      <c r="C9" s="23" t="n">
        <v>5</v>
      </c>
      <c r="D9" s="8">
        <f>'04 变换后数据'!C9</f>
        <v/>
      </c>
      <c r="E9" s="8">
        <f>'04 变换后数据'!F9</f>
        <v/>
      </c>
      <c r="F9" s="8">
        <f>IF(ISNUMBER(D9),SLOPE('04 变换后数据'!$C$5:$C$160,'09b 辅助计算(残差)'!$C$5:$C$160)*C9+INTERCEPT('04 变换后数据'!$C$5:$C$160,'09b 辅助计算(残差)'!$C$5:$C$160),"")</f>
        <v/>
      </c>
      <c r="G9" s="8">
        <f>IF(ISNUMBER(D9),D9-F9,"")</f>
        <v/>
      </c>
      <c r="H9" s="8">
        <f>IF(ISNUMBER(E9),SLOPE('04 变换后数据'!$F$5:$F$160,'09b 辅助计算(残差)'!$C$5:$C$160)*C9+INTERCEPT('04 变换后数据'!$F$5:$F$160,'09b 辅助计算(残差)'!$C$5:$C$160),"")</f>
        <v/>
      </c>
      <c r="I9" s="8">
        <f>IF(ISNUMBER(E9),E9-H9,"")</f>
        <v/>
      </c>
    </row>
    <row r="10">
      <c r="A10" s="23" t="n">
        <v>6</v>
      </c>
      <c r="B10" s="8">
        <f>'04 变换后数据'!B10</f>
        <v/>
      </c>
      <c r="C10" s="23" t="n">
        <v>6</v>
      </c>
      <c r="D10" s="8">
        <f>'04 变换后数据'!C10</f>
        <v/>
      </c>
      <c r="E10" s="8">
        <f>'04 变换后数据'!F10</f>
        <v/>
      </c>
      <c r="F10" s="8">
        <f>IF(ISNUMBER(D10),SLOPE('04 变换后数据'!$C$5:$C$160,'09b 辅助计算(残差)'!$C$5:$C$160)*C10+INTERCEPT('04 变换后数据'!$C$5:$C$160,'09b 辅助计算(残差)'!$C$5:$C$160),"")</f>
        <v/>
      </c>
      <c r="G10" s="8">
        <f>IF(ISNUMBER(D10),D10-F10,"")</f>
        <v/>
      </c>
      <c r="H10" s="8">
        <f>IF(ISNUMBER(E10),SLOPE('04 变换后数据'!$F$5:$F$160,'09b 辅助计算(残差)'!$C$5:$C$160)*C10+INTERCEPT('04 变换后数据'!$F$5:$F$160,'09b 辅助计算(残差)'!$C$5:$C$160),"")</f>
        <v/>
      </c>
      <c r="I10" s="8">
        <f>IF(ISNUMBER(E10),E10-H10,"")</f>
        <v/>
      </c>
    </row>
    <row r="11">
      <c r="A11" s="23" t="n">
        <v>7</v>
      </c>
      <c r="B11" s="8">
        <f>'04 变换后数据'!B11</f>
        <v/>
      </c>
      <c r="C11" s="23" t="n">
        <v>7</v>
      </c>
      <c r="D11" s="8">
        <f>'04 变换后数据'!C11</f>
        <v/>
      </c>
      <c r="E11" s="8">
        <f>'04 变换后数据'!F11</f>
        <v/>
      </c>
      <c r="F11" s="8">
        <f>IF(ISNUMBER(D11),SLOPE('04 变换后数据'!$C$5:$C$160,'09b 辅助计算(残差)'!$C$5:$C$160)*C11+INTERCEPT('04 变换后数据'!$C$5:$C$160,'09b 辅助计算(残差)'!$C$5:$C$160),"")</f>
        <v/>
      </c>
      <c r="G11" s="8">
        <f>IF(ISNUMBER(D11),D11-F11,"")</f>
        <v/>
      </c>
      <c r="H11" s="8">
        <f>IF(ISNUMBER(E11),SLOPE('04 变换后数据'!$F$5:$F$160,'09b 辅助计算(残差)'!$C$5:$C$160)*C11+INTERCEPT('04 变换后数据'!$F$5:$F$160,'09b 辅助计算(残差)'!$C$5:$C$160),"")</f>
        <v/>
      </c>
      <c r="I11" s="8">
        <f>IF(ISNUMBER(E11),E11-H11,"")</f>
        <v/>
      </c>
    </row>
    <row r="12">
      <c r="A12" s="23" t="n">
        <v>8</v>
      </c>
      <c r="B12" s="8">
        <f>'04 变换后数据'!B12</f>
        <v/>
      </c>
      <c r="C12" s="23" t="n">
        <v>8</v>
      </c>
      <c r="D12" s="8">
        <f>'04 变换后数据'!C12</f>
        <v/>
      </c>
      <c r="E12" s="8">
        <f>'04 变换后数据'!F12</f>
        <v/>
      </c>
      <c r="F12" s="8">
        <f>IF(ISNUMBER(D12),SLOPE('04 变换后数据'!$C$5:$C$160,'09b 辅助计算(残差)'!$C$5:$C$160)*C12+INTERCEPT('04 变换后数据'!$C$5:$C$160,'09b 辅助计算(残差)'!$C$5:$C$160),"")</f>
        <v/>
      </c>
      <c r="G12" s="8">
        <f>IF(ISNUMBER(D12),D12-F12,"")</f>
        <v/>
      </c>
      <c r="H12" s="8">
        <f>IF(ISNUMBER(E12),SLOPE('04 变换后数据'!$F$5:$F$160,'09b 辅助计算(残差)'!$C$5:$C$160)*C12+INTERCEPT('04 变换后数据'!$F$5:$F$160,'09b 辅助计算(残差)'!$C$5:$C$160),"")</f>
        <v/>
      </c>
      <c r="I12" s="8">
        <f>IF(ISNUMBER(E12),E12-H12,"")</f>
        <v/>
      </c>
    </row>
    <row r="13">
      <c r="A13" s="23" t="n">
        <v>9</v>
      </c>
      <c r="B13" s="8">
        <f>'04 变换后数据'!B13</f>
        <v/>
      </c>
      <c r="C13" s="23" t="n">
        <v>9</v>
      </c>
      <c r="D13" s="8">
        <f>'04 变换后数据'!C13</f>
        <v/>
      </c>
      <c r="E13" s="8">
        <f>'04 变换后数据'!F13</f>
        <v/>
      </c>
      <c r="F13" s="8">
        <f>IF(ISNUMBER(D13),SLOPE('04 变换后数据'!$C$5:$C$160,'09b 辅助计算(残差)'!$C$5:$C$160)*C13+INTERCEPT('04 变换后数据'!$C$5:$C$160,'09b 辅助计算(残差)'!$C$5:$C$160),"")</f>
        <v/>
      </c>
      <c r="G13" s="8">
        <f>IF(ISNUMBER(D13),D13-F13,"")</f>
        <v/>
      </c>
      <c r="H13" s="8">
        <f>IF(ISNUMBER(E13),SLOPE('04 变换后数据'!$F$5:$F$160,'09b 辅助计算(残差)'!$C$5:$C$160)*C13+INTERCEPT('04 变换后数据'!$F$5:$F$160,'09b 辅助计算(残差)'!$C$5:$C$160),"")</f>
        <v/>
      </c>
      <c r="I13" s="8">
        <f>IF(ISNUMBER(E13),E13-H13,"")</f>
        <v/>
      </c>
    </row>
    <row r="14">
      <c r="A14" s="23" t="n">
        <v>10</v>
      </c>
      <c r="B14" s="8">
        <f>'04 变换后数据'!B14</f>
        <v/>
      </c>
      <c r="C14" s="23" t="n">
        <v>10</v>
      </c>
      <c r="D14" s="8">
        <f>'04 变换后数据'!C14</f>
        <v/>
      </c>
      <c r="E14" s="8">
        <f>'04 变换后数据'!F14</f>
        <v/>
      </c>
      <c r="F14" s="8">
        <f>IF(ISNUMBER(D14),SLOPE('04 变换后数据'!$C$5:$C$160,'09b 辅助计算(残差)'!$C$5:$C$160)*C14+INTERCEPT('04 变换后数据'!$C$5:$C$160,'09b 辅助计算(残差)'!$C$5:$C$160),"")</f>
        <v/>
      </c>
      <c r="G14" s="8">
        <f>IF(ISNUMBER(D14),D14-F14,"")</f>
        <v/>
      </c>
      <c r="H14" s="8">
        <f>IF(ISNUMBER(E14),SLOPE('04 变换后数据'!$F$5:$F$160,'09b 辅助计算(残差)'!$C$5:$C$160)*C14+INTERCEPT('04 变换后数据'!$F$5:$F$160,'09b 辅助计算(残差)'!$C$5:$C$160),"")</f>
        <v/>
      </c>
      <c r="I14" s="8">
        <f>IF(ISNUMBER(E14),E14-H14,"")</f>
        <v/>
      </c>
    </row>
    <row r="15">
      <c r="A15" s="23" t="n">
        <v>11</v>
      </c>
      <c r="B15" s="8">
        <f>'04 变换后数据'!B15</f>
        <v/>
      </c>
      <c r="C15" s="23" t="n">
        <v>11</v>
      </c>
      <c r="D15" s="8">
        <f>'04 变换后数据'!C15</f>
        <v/>
      </c>
      <c r="E15" s="8">
        <f>'04 变换后数据'!F15</f>
        <v/>
      </c>
      <c r="F15" s="8">
        <f>IF(ISNUMBER(D15),SLOPE('04 变换后数据'!$C$5:$C$160,'09b 辅助计算(残差)'!$C$5:$C$160)*C15+INTERCEPT('04 变换后数据'!$C$5:$C$160,'09b 辅助计算(残差)'!$C$5:$C$160),"")</f>
        <v/>
      </c>
      <c r="G15" s="8">
        <f>IF(ISNUMBER(D15),D15-F15,"")</f>
        <v/>
      </c>
      <c r="H15" s="8">
        <f>IF(ISNUMBER(E15),SLOPE('04 变换后数据'!$F$5:$F$160,'09b 辅助计算(残差)'!$C$5:$C$160)*C15+INTERCEPT('04 变换后数据'!$F$5:$F$160,'09b 辅助计算(残差)'!$C$5:$C$160),"")</f>
        <v/>
      </c>
      <c r="I15" s="8">
        <f>IF(ISNUMBER(E15),E15-H15,"")</f>
        <v/>
      </c>
    </row>
    <row r="16">
      <c r="A16" s="23" t="n">
        <v>12</v>
      </c>
      <c r="B16" s="8">
        <f>'04 变换后数据'!B16</f>
        <v/>
      </c>
      <c r="C16" s="23" t="n">
        <v>12</v>
      </c>
      <c r="D16" s="8">
        <f>'04 变换后数据'!C16</f>
        <v/>
      </c>
      <c r="E16" s="8">
        <f>'04 变换后数据'!F16</f>
        <v/>
      </c>
      <c r="F16" s="8">
        <f>IF(ISNUMBER(D16),SLOPE('04 变换后数据'!$C$5:$C$160,'09b 辅助计算(残差)'!$C$5:$C$160)*C16+INTERCEPT('04 变换后数据'!$C$5:$C$160,'09b 辅助计算(残差)'!$C$5:$C$160),"")</f>
        <v/>
      </c>
      <c r="G16" s="8">
        <f>IF(ISNUMBER(D16),D16-F16,"")</f>
        <v/>
      </c>
      <c r="H16" s="8">
        <f>IF(ISNUMBER(E16),SLOPE('04 变换后数据'!$F$5:$F$160,'09b 辅助计算(残差)'!$C$5:$C$160)*C16+INTERCEPT('04 变换后数据'!$F$5:$F$160,'09b 辅助计算(残差)'!$C$5:$C$160),"")</f>
        <v/>
      </c>
      <c r="I16" s="8">
        <f>IF(ISNUMBER(E16),E16-H16,"")</f>
        <v/>
      </c>
    </row>
    <row r="17">
      <c r="A17" s="23" t="n">
        <v>13</v>
      </c>
      <c r="B17" s="8">
        <f>'04 变换后数据'!B17</f>
        <v/>
      </c>
      <c r="C17" s="23" t="n">
        <v>13</v>
      </c>
      <c r="D17" s="8">
        <f>'04 变换后数据'!C17</f>
        <v/>
      </c>
      <c r="E17" s="8">
        <f>'04 变换后数据'!F17</f>
        <v/>
      </c>
      <c r="F17" s="8">
        <f>IF(ISNUMBER(D17),SLOPE('04 变换后数据'!$C$5:$C$160,'09b 辅助计算(残差)'!$C$5:$C$160)*C17+INTERCEPT('04 变换后数据'!$C$5:$C$160,'09b 辅助计算(残差)'!$C$5:$C$160),"")</f>
        <v/>
      </c>
      <c r="G17" s="8">
        <f>IF(ISNUMBER(D17),D17-F17,"")</f>
        <v/>
      </c>
      <c r="H17" s="8">
        <f>IF(ISNUMBER(E17),SLOPE('04 变换后数据'!$F$5:$F$160,'09b 辅助计算(残差)'!$C$5:$C$160)*C17+INTERCEPT('04 变换后数据'!$F$5:$F$160,'09b 辅助计算(残差)'!$C$5:$C$160),"")</f>
        <v/>
      </c>
      <c r="I17" s="8">
        <f>IF(ISNUMBER(E17),E17-H17,"")</f>
        <v/>
      </c>
    </row>
    <row r="18">
      <c r="A18" s="23" t="n">
        <v>14</v>
      </c>
      <c r="B18" s="8">
        <f>'04 变换后数据'!B18</f>
        <v/>
      </c>
      <c r="C18" s="23" t="n">
        <v>14</v>
      </c>
      <c r="D18" s="8">
        <f>'04 变换后数据'!C18</f>
        <v/>
      </c>
      <c r="E18" s="8">
        <f>'04 变换后数据'!F18</f>
        <v/>
      </c>
      <c r="F18" s="8">
        <f>IF(ISNUMBER(D18),SLOPE('04 变换后数据'!$C$5:$C$160,'09b 辅助计算(残差)'!$C$5:$C$160)*C18+INTERCEPT('04 变换后数据'!$C$5:$C$160,'09b 辅助计算(残差)'!$C$5:$C$160),"")</f>
        <v/>
      </c>
      <c r="G18" s="8">
        <f>IF(ISNUMBER(D18),D18-F18,"")</f>
        <v/>
      </c>
      <c r="H18" s="8">
        <f>IF(ISNUMBER(E18),SLOPE('04 变换后数据'!$F$5:$F$160,'09b 辅助计算(残差)'!$C$5:$C$160)*C18+INTERCEPT('04 变换后数据'!$F$5:$F$160,'09b 辅助计算(残差)'!$C$5:$C$160),"")</f>
        <v/>
      </c>
      <c r="I18" s="8">
        <f>IF(ISNUMBER(E18),E18-H18,"")</f>
        <v/>
      </c>
    </row>
    <row r="19">
      <c r="A19" s="23" t="n">
        <v>15</v>
      </c>
      <c r="B19" s="8">
        <f>'04 变换后数据'!B19</f>
        <v/>
      </c>
      <c r="C19" s="23" t="n">
        <v>15</v>
      </c>
      <c r="D19" s="8">
        <f>'04 变换后数据'!C19</f>
        <v/>
      </c>
      <c r="E19" s="8">
        <f>'04 变换后数据'!F19</f>
        <v/>
      </c>
      <c r="F19" s="8">
        <f>IF(ISNUMBER(D19),SLOPE('04 变换后数据'!$C$5:$C$160,'09b 辅助计算(残差)'!$C$5:$C$160)*C19+INTERCEPT('04 变换后数据'!$C$5:$C$160,'09b 辅助计算(残差)'!$C$5:$C$160),"")</f>
        <v/>
      </c>
      <c r="G19" s="8">
        <f>IF(ISNUMBER(D19),D19-F19,"")</f>
        <v/>
      </c>
      <c r="H19" s="8">
        <f>IF(ISNUMBER(E19),SLOPE('04 变换后数据'!$F$5:$F$160,'09b 辅助计算(残差)'!$C$5:$C$160)*C19+INTERCEPT('04 变换后数据'!$F$5:$F$160,'09b 辅助计算(残差)'!$C$5:$C$160),"")</f>
        <v/>
      </c>
      <c r="I19" s="8">
        <f>IF(ISNUMBER(E19),E19-H19,"")</f>
        <v/>
      </c>
    </row>
    <row r="20">
      <c r="A20" s="23" t="n">
        <v>16</v>
      </c>
      <c r="B20" s="8">
        <f>'04 变换后数据'!B20</f>
        <v/>
      </c>
      <c r="C20" s="23" t="n">
        <v>16</v>
      </c>
      <c r="D20" s="8">
        <f>'04 变换后数据'!C20</f>
        <v/>
      </c>
      <c r="E20" s="8">
        <f>'04 变换后数据'!F20</f>
        <v/>
      </c>
      <c r="F20" s="8">
        <f>IF(ISNUMBER(D20),SLOPE('04 变换后数据'!$C$5:$C$160,'09b 辅助计算(残差)'!$C$5:$C$160)*C20+INTERCEPT('04 变换后数据'!$C$5:$C$160,'09b 辅助计算(残差)'!$C$5:$C$160),"")</f>
        <v/>
      </c>
      <c r="G20" s="8">
        <f>IF(ISNUMBER(D20),D20-F20,"")</f>
        <v/>
      </c>
      <c r="H20" s="8">
        <f>IF(ISNUMBER(E20),SLOPE('04 变换后数据'!$F$5:$F$160,'09b 辅助计算(残差)'!$C$5:$C$160)*C20+INTERCEPT('04 变换后数据'!$F$5:$F$160,'09b 辅助计算(残差)'!$C$5:$C$160),"")</f>
        <v/>
      </c>
      <c r="I20" s="8">
        <f>IF(ISNUMBER(E20),E20-H20,"")</f>
        <v/>
      </c>
    </row>
    <row r="21">
      <c r="A21" s="23" t="n">
        <v>17</v>
      </c>
      <c r="B21" s="8">
        <f>'04 变换后数据'!B21</f>
        <v/>
      </c>
      <c r="C21" s="23" t="n">
        <v>17</v>
      </c>
      <c r="D21" s="8">
        <f>'04 变换后数据'!C21</f>
        <v/>
      </c>
      <c r="E21" s="8">
        <f>'04 变换后数据'!F21</f>
        <v/>
      </c>
      <c r="F21" s="8">
        <f>IF(ISNUMBER(D21),SLOPE('04 变换后数据'!$C$5:$C$160,'09b 辅助计算(残差)'!$C$5:$C$160)*C21+INTERCEPT('04 变换后数据'!$C$5:$C$160,'09b 辅助计算(残差)'!$C$5:$C$160),"")</f>
        <v/>
      </c>
      <c r="G21" s="8">
        <f>IF(ISNUMBER(D21),D21-F21,"")</f>
        <v/>
      </c>
      <c r="H21" s="8">
        <f>IF(ISNUMBER(E21),SLOPE('04 变换后数据'!$F$5:$F$160,'09b 辅助计算(残差)'!$C$5:$C$160)*C21+INTERCEPT('04 变换后数据'!$F$5:$F$160,'09b 辅助计算(残差)'!$C$5:$C$160),"")</f>
        <v/>
      </c>
      <c r="I21" s="8">
        <f>IF(ISNUMBER(E21),E21-H21,"")</f>
        <v/>
      </c>
    </row>
    <row r="22">
      <c r="A22" s="23" t="n">
        <v>18</v>
      </c>
      <c r="B22" s="8">
        <f>'04 变换后数据'!B22</f>
        <v/>
      </c>
      <c r="C22" s="23" t="n">
        <v>18</v>
      </c>
      <c r="D22" s="8">
        <f>'04 变换后数据'!C22</f>
        <v/>
      </c>
      <c r="E22" s="8">
        <f>'04 变换后数据'!F22</f>
        <v/>
      </c>
      <c r="F22" s="8">
        <f>IF(ISNUMBER(D22),SLOPE('04 变换后数据'!$C$5:$C$160,'09b 辅助计算(残差)'!$C$5:$C$160)*C22+INTERCEPT('04 变换后数据'!$C$5:$C$160,'09b 辅助计算(残差)'!$C$5:$C$160),"")</f>
        <v/>
      </c>
      <c r="G22" s="8">
        <f>IF(ISNUMBER(D22),D22-F22,"")</f>
        <v/>
      </c>
      <c r="H22" s="8">
        <f>IF(ISNUMBER(E22),SLOPE('04 变换后数据'!$F$5:$F$160,'09b 辅助计算(残差)'!$C$5:$C$160)*C22+INTERCEPT('04 变换后数据'!$F$5:$F$160,'09b 辅助计算(残差)'!$C$5:$C$160),"")</f>
        <v/>
      </c>
      <c r="I22" s="8">
        <f>IF(ISNUMBER(E22),E22-H22,"")</f>
        <v/>
      </c>
    </row>
    <row r="23">
      <c r="A23" s="23" t="n">
        <v>19</v>
      </c>
      <c r="B23" s="8">
        <f>'04 变换后数据'!B23</f>
        <v/>
      </c>
      <c r="C23" s="23" t="n">
        <v>19</v>
      </c>
      <c r="D23" s="8">
        <f>'04 变换后数据'!C23</f>
        <v/>
      </c>
      <c r="E23" s="8">
        <f>'04 变换后数据'!F23</f>
        <v/>
      </c>
      <c r="F23" s="8">
        <f>IF(ISNUMBER(D23),SLOPE('04 变换后数据'!$C$5:$C$160,'09b 辅助计算(残差)'!$C$5:$C$160)*C23+INTERCEPT('04 变换后数据'!$C$5:$C$160,'09b 辅助计算(残差)'!$C$5:$C$160),"")</f>
        <v/>
      </c>
      <c r="G23" s="8">
        <f>IF(ISNUMBER(D23),D23-F23,"")</f>
        <v/>
      </c>
      <c r="H23" s="8">
        <f>IF(ISNUMBER(E23),SLOPE('04 变换后数据'!$F$5:$F$160,'09b 辅助计算(残差)'!$C$5:$C$160)*C23+INTERCEPT('04 变换后数据'!$F$5:$F$160,'09b 辅助计算(残差)'!$C$5:$C$160),"")</f>
        <v/>
      </c>
      <c r="I23" s="8">
        <f>IF(ISNUMBER(E23),E23-H23,"")</f>
        <v/>
      </c>
    </row>
    <row r="24">
      <c r="A24" s="23" t="n">
        <v>20</v>
      </c>
      <c r="B24" s="8">
        <f>'04 变换后数据'!B24</f>
        <v/>
      </c>
      <c r="C24" s="23" t="n">
        <v>20</v>
      </c>
      <c r="D24" s="8">
        <f>'04 变换后数据'!C24</f>
        <v/>
      </c>
      <c r="E24" s="8">
        <f>'04 变换后数据'!F24</f>
        <v/>
      </c>
      <c r="F24" s="8">
        <f>IF(ISNUMBER(D24),SLOPE('04 变换后数据'!$C$5:$C$160,'09b 辅助计算(残差)'!$C$5:$C$160)*C24+INTERCEPT('04 变换后数据'!$C$5:$C$160,'09b 辅助计算(残差)'!$C$5:$C$160),"")</f>
        <v/>
      </c>
      <c r="G24" s="8">
        <f>IF(ISNUMBER(D24),D24-F24,"")</f>
        <v/>
      </c>
      <c r="H24" s="8">
        <f>IF(ISNUMBER(E24),SLOPE('04 变换后数据'!$F$5:$F$160,'09b 辅助计算(残差)'!$C$5:$C$160)*C24+INTERCEPT('04 变换后数据'!$F$5:$F$160,'09b 辅助计算(残差)'!$C$5:$C$160),"")</f>
        <v/>
      </c>
      <c r="I24" s="8">
        <f>IF(ISNUMBER(E24),E24-H24,"")</f>
        <v/>
      </c>
    </row>
    <row r="25">
      <c r="A25" s="23" t="n">
        <v>21</v>
      </c>
      <c r="B25" s="8">
        <f>'04 变换后数据'!B25</f>
        <v/>
      </c>
      <c r="C25" s="23" t="n">
        <v>21</v>
      </c>
      <c r="D25" s="8">
        <f>'04 变换后数据'!C25</f>
        <v/>
      </c>
      <c r="E25" s="8">
        <f>'04 变换后数据'!F25</f>
        <v/>
      </c>
      <c r="F25" s="8">
        <f>IF(ISNUMBER(D25),SLOPE('04 变换后数据'!$C$5:$C$160,'09b 辅助计算(残差)'!$C$5:$C$160)*C25+INTERCEPT('04 变换后数据'!$C$5:$C$160,'09b 辅助计算(残差)'!$C$5:$C$160),"")</f>
        <v/>
      </c>
      <c r="G25" s="8">
        <f>IF(ISNUMBER(D25),D25-F25,"")</f>
        <v/>
      </c>
      <c r="H25" s="8">
        <f>IF(ISNUMBER(E25),SLOPE('04 变换后数据'!$F$5:$F$160,'09b 辅助计算(残差)'!$C$5:$C$160)*C25+INTERCEPT('04 变换后数据'!$F$5:$F$160,'09b 辅助计算(残差)'!$C$5:$C$160),"")</f>
        <v/>
      </c>
      <c r="I25" s="8">
        <f>IF(ISNUMBER(E25),E25-H25,"")</f>
        <v/>
      </c>
    </row>
    <row r="26">
      <c r="A26" s="23" t="n">
        <v>22</v>
      </c>
      <c r="B26" s="8">
        <f>'04 变换后数据'!B26</f>
        <v/>
      </c>
      <c r="C26" s="23" t="n">
        <v>22</v>
      </c>
      <c r="D26" s="8">
        <f>'04 变换后数据'!C26</f>
        <v/>
      </c>
      <c r="E26" s="8">
        <f>'04 变换后数据'!F26</f>
        <v/>
      </c>
      <c r="F26" s="8">
        <f>IF(ISNUMBER(D26),SLOPE('04 变换后数据'!$C$5:$C$160,'09b 辅助计算(残差)'!$C$5:$C$160)*C26+INTERCEPT('04 变换后数据'!$C$5:$C$160,'09b 辅助计算(残差)'!$C$5:$C$160),"")</f>
        <v/>
      </c>
      <c r="G26" s="8">
        <f>IF(ISNUMBER(D26),D26-F26,"")</f>
        <v/>
      </c>
      <c r="H26" s="8">
        <f>IF(ISNUMBER(E26),SLOPE('04 变换后数据'!$F$5:$F$160,'09b 辅助计算(残差)'!$C$5:$C$160)*C26+INTERCEPT('04 变换后数据'!$F$5:$F$160,'09b 辅助计算(残差)'!$C$5:$C$160),"")</f>
        <v/>
      </c>
      <c r="I26" s="8">
        <f>IF(ISNUMBER(E26),E26-H26,"")</f>
        <v/>
      </c>
    </row>
    <row r="27">
      <c r="A27" s="23" t="n">
        <v>23</v>
      </c>
      <c r="B27" s="8">
        <f>'04 变换后数据'!B27</f>
        <v/>
      </c>
      <c r="C27" s="23" t="n">
        <v>23</v>
      </c>
      <c r="D27" s="8">
        <f>'04 变换后数据'!C27</f>
        <v/>
      </c>
      <c r="E27" s="8">
        <f>'04 变换后数据'!F27</f>
        <v/>
      </c>
      <c r="F27" s="8">
        <f>IF(ISNUMBER(D27),SLOPE('04 变换后数据'!$C$5:$C$160,'09b 辅助计算(残差)'!$C$5:$C$160)*C27+INTERCEPT('04 变换后数据'!$C$5:$C$160,'09b 辅助计算(残差)'!$C$5:$C$160),"")</f>
        <v/>
      </c>
      <c r="G27" s="8">
        <f>IF(ISNUMBER(D27),D27-F27,"")</f>
        <v/>
      </c>
      <c r="H27" s="8">
        <f>IF(ISNUMBER(E27),SLOPE('04 变换后数据'!$F$5:$F$160,'09b 辅助计算(残差)'!$C$5:$C$160)*C27+INTERCEPT('04 变换后数据'!$F$5:$F$160,'09b 辅助计算(残差)'!$C$5:$C$160),"")</f>
        <v/>
      </c>
      <c r="I27" s="8">
        <f>IF(ISNUMBER(E27),E27-H27,"")</f>
        <v/>
      </c>
    </row>
    <row r="28">
      <c r="A28" s="23" t="n">
        <v>24</v>
      </c>
      <c r="B28" s="8">
        <f>'04 变换后数据'!B28</f>
        <v/>
      </c>
      <c r="C28" s="23" t="n">
        <v>24</v>
      </c>
      <c r="D28" s="8">
        <f>'04 变换后数据'!C28</f>
        <v/>
      </c>
      <c r="E28" s="8">
        <f>'04 变换后数据'!F28</f>
        <v/>
      </c>
      <c r="F28" s="8">
        <f>IF(ISNUMBER(D28),SLOPE('04 变换后数据'!$C$5:$C$160,'09b 辅助计算(残差)'!$C$5:$C$160)*C28+INTERCEPT('04 变换后数据'!$C$5:$C$160,'09b 辅助计算(残差)'!$C$5:$C$160),"")</f>
        <v/>
      </c>
      <c r="G28" s="8">
        <f>IF(ISNUMBER(D28),D28-F28,"")</f>
        <v/>
      </c>
      <c r="H28" s="8">
        <f>IF(ISNUMBER(E28),SLOPE('04 变换后数据'!$F$5:$F$160,'09b 辅助计算(残差)'!$C$5:$C$160)*C28+INTERCEPT('04 变换后数据'!$F$5:$F$160,'09b 辅助计算(残差)'!$C$5:$C$160),"")</f>
        <v/>
      </c>
      <c r="I28" s="8">
        <f>IF(ISNUMBER(E28),E28-H28,"")</f>
        <v/>
      </c>
    </row>
    <row r="29">
      <c r="A29" s="23" t="n">
        <v>25</v>
      </c>
      <c r="B29" s="8">
        <f>'04 变换后数据'!B29</f>
        <v/>
      </c>
      <c r="C29" s="23" t="n">
        <v>25</v>
      </c>
      <c r="D29" s="8">
        <f>'04 变换后数据'!C29</f>
        <v/>
      </c>
      <c r="E29" s="8">
        <f>'04 变换后数据'!F29</f>
        <v/>
      </c>
      <c r="F29" s="8">
        <f>IF(ISNUMBER(D29),SLOPE('04 变换后数据'!$C$5:$C$160,'09b 辅助计算(残差)'!$C$5:$C$160)*C29+INTERCEPT('04 变换后数据'!$C$5:$C$160,'09b 辅助计算(残差)'!$C$5:$C$160),"")</f>
        <v/>
      </c>
      <c r="G29" s="8">
        <f>IF(ISNUMBER(D29),D29-F29,"")</f>
        <v/>
      </c>
      <c r="H29" s="8">
        <f>IF(ISNUMBER(E29),SLOPE('04 变换后数据'!$F$5:$F$160,'09b 辅助计算(残差)'!$C$5:$C$160)*C29+INTERCEPT('04 变换后数据'!$F$5:$F$160,'09b 辅助计算(残差)'!$C$5:$C$160),"")</f>
        <v/>
      </c>
      <c r="I29" s="8">
        <f>IF(ISNUMBER(E29),E29-H29,"")</f>
        <v/>
      </c>
    </row>
    <row r="30">
      <c r="A30" s="23" t="n">
        <v>26</v>
      </c>
      <c r="B30" s="8">
        <f>'04 变换后数据'!B30</f>
        <v/>
      </c>
      <c r="C30" s="23" t="n">
        <v>26</v>
      </c>
      <c r="D30" s="8">
        <f>'04 变换后数据'!C30</f>
        <v/>
      </c>
      <c r="E30" s="8">
        <f>'04 变换后数据'!F30</f>
        <v/>
      </c>
      <c r="F30" s="8">
        <f>IF(ISNUMBER(D30),SLOPE('04 变换后数据'!$C$5:$C$160,'09b 辅助计算(残差)'!$C$5:$C$160)*C30+INTERCEPT('04 变换后数据'!$C$5:$C$160,'09b 辅助计算(残差)'!$C$5:$C$160),"")</f>
        <v/>
      </c>
      <c r="G30" s="8">
        <f>IF(ISNUMBER(D30),D30-F30,"")</f>
        <v/>
      </c>
      <c r="H30" s="8">
        <f>IF(ISNUMBER(E30),SLOPE('04 变换后数据'!$F$5:$F$160,'09b 辅助计算(残差)'!$C$5:$C$160)*C30+INTERCEPT('04 变换后数据'!$F$5:$F$160,'09b 辅助计算(残差)'!$C$5:$C$160),"")</f>
        <v/>
      </c>
      <c r="I30" s="8">
        <f>IF(ISNUMBER(E30),E30-H30,"")</f>
        <v/>
      </c>
    </row>
    <row r="31">
      <c r="A31" s="23" t="n">
        <v>27</v>
      </c>
      <c r="B31" s="8">
        <f>'04 变换后数据'!B31</f>
        <v/>
      </c>
      <c r="C31" s="23" t="n">
        <v>27</v>
      </c>
      <c r="D31" s="8">
        <f>'04 变换后数据'!C31</f>
        <v/>
      </c>
      <c r="E31" s="8">
        <f>'04 变换后数据'!F31</f>
        <v/>
      </c>
      <c r="F31" s="8">
        <f>IF(ISNUMBER(D31),SLOPE('04 变换后数据'!$C$5:$C$160,'09b 辅助计算(残差)'!$C$5:$C$160)*C31+INTERCEPT('04 变换后数据'!$C$5:$C$160,'09b 辅助计算(残差)'!$C$5:$C$160),"")</f>
        <v/>
      </c>
      <c r="G31" s="8">
        <f>IF(ISNUMBER(D31),D31-F31,"")</f>
        <v/>
      </c>
      <c r="H31" s="8">
        <f>IF(ISNUMBER(E31),SLOPE('04 变换后数据'!$F$5:$F$160,'09b 辅助计算(残差)'!$C$5:$C$160)*C31+INTERCEPT('04 变换后数据'!$F$5:$F$160,'09b 辅助计算(残差)'!$C$5:$C$160),"")</f>
        <v/>
      </c>
      <c r="I31" s="8">
        <f>IF(ISNUMBER(E31),E31-H31,"")</f>
        <v/>
      </c>
    </row>
    <row r="32">
      <c r="A32" s="23" t="n">
        <v>28</v>
      </c>
      <c r="B32" s="8">
        <f>'04 变换后数据'!B32</f>
        <v/>
      </c>
      <c r="C32" s="23" t="n">
        <v>28</v>
      </c>
      <c r="D32" s="8">
        <f>'04 变换后数据'!C32</f>
        <v/>
      </c>
      <c r="E32" s="8">
        <f>'04 变换后数据'!F32</f>
        <v/>
      </c>
      <c r="F32" s="8">
        <f>IF(ISNUMBER(D32),SLOPE('04 变换后数据'!$C$5:$C$160,'09b 辅助计算(残差)'!$C$5:$C$160)*C32+INTERCEPT('04 变换后数据'!$C$5:$C$160,'09b 辅助计算(残差)'!$C$5:$C$160),"")</f>
        <v/>
      </c>
      <c r="G32" s="8">
        <f>IF(ISNUMBER(D32),D32-F32,"")</f>
        <v/>
      </c>
      <c r="H32" s="8">
        <f>IF(ISNUMBER(E32),SLOPE('04 变换后数据'!$F$5:$F$160,'09b 辅助计算(残差)'!$C$5:$C$160)*C32+INTERCEPT('04 变换后数据'!$F$5:$F$160,'09b 辅助计算(残差)'!$C$5:$C$160),"")</f>
        <v/>
      </c>
      <c r="I32" s="8">
        <f>IF(ISNUMBER(E32),E32-H32,"")</f>
        <v/>
      </c>
    </row>
    <row r="33">
      <c r="A33" s="23" t="n">
        <v>29</v>
      </c>
      <c r="B33" s="8">
        <f>'04 变换后数据'!B33</f>
        <v/>
      </c>
      <c r="C33" s="23" t="n">
        <v>29</v>
      </c>
      <c r="D33" s="8">
        <f>'04 变换后数据'!C33</f>
        <v/>
      </c>
      <c r="E33" s="8">
        <f>'04 变换后数据'!F33</f>
        <v/>
      </c>
      <c r="F33" s="8">
        <f>IF(ISNUMBER(D33),SLOPE('04 变换后数据'!$C$5:$C$160,'09b 辅助计算(残差)'!$C$5:$C$160)*C33+INTERCEPT('04 变换后数据'!$C$5:$C$160,'09b 辅助计算(残差)'!$C$5:$C$160),"")</f>
        <v/>
      </c>
      <c r="G33" s="8">
        <f>IF(ISNUMBER(D33),D33-F33,"")</f>
        <v/>
      </c>
      <c r="H33" s="8">
        <f>IF(ISNUMBER(E33),SLOPE('04 变换后数据'!$F$5:$F$160,'09b 辅助计算(残差)'!$C$5:$C$160)*C33+INTERCEPT('04 变换后数据'!$F$5:$F$160,'09b 辅助计算(残差)'!$C$5:$C$160),"")</f>
        <v/>
      </c>
      <c r="I33" s="8">
        <f>IF(ISNUMBER(E33),E33-H33,"")</f>
        <v/>
      </c>
    </row>
    <row r="34">
      <c r="A34" s="23" t="n">
        <v>30</v>
      </c>
      <c r="B34" s="8">
        <f>'04 变换后数据'!B34</f>
        <v/>
      </c>
      <c r="C34" s="23" t="n">
        <v>30</v>
      </c>
      <c r="D34" s="8">
        <f>'04 变换后数据'!C34</f>
        <v/>
      </c>
      <c r="E34" s="8">
        <f>'04 变换后数据'!F34</f>
        <v/>
      </c>
      <c r="F34" s="8">
        <f>IF(ISNUMBER(D34),SLOPE('04 变换后数据'!$C$5:$C$160,'09b 辅助计算(残差)'!$C$5:$C$160)*C34+INTERCEPT('04 变换后数据'!$C$5:$C$160,'09b 辅助计算(残差)'!$C$5:$C$160),"")</f>
        <v/>
      </c>
      <c r="G34" s="8">
        <f>IF(ISNUMBER(D34),D34-F34,"")</f>
        <v/>
      </c>
      <c r="H34" s="8">
        <f>IF(ISNUMBER(E34),SLOPE('04 变换后数据'!$F$5:$F$160,'09b 辅助计算(残差)'!$C$5:$C$160)*C34+INTERCEPT('04 变换后数据'!$F$5:$F$160,'09b 辅助计算(残差)'!$C$5:$C$160),"")</f>
        <v/>
      </c>
      <c r="I34" s="8">
        <f>IF(ISNUMBER(E34),E34-H34,"")</f>
        <v/>
      </c>
    </row>
    <row r="35">
      <c r="A35" s="23" t="n">
        <v>31</v>
      </c>
      <c r="B35" s="8">
        <f>'04 变换后数据'!B35</f>
        <v/>
      </c>
      <c r="C35" s="23" t="n">
        <v>31</v>
      </c>
      <c r="D35" s="8">
        <f>'04 变换后数据'!C35</f>
        <v/>
      </c>
      <c r="E35" s="8">
        <f>'04 变换后数据'!F35</f>
        <v/>
      </c>
      <c r="F35" s="8">
        <f>IF(ISNUMBER(D35),SLOPE('04 变换后数据'!$C$5:$C$160,'09b 辅助计算(残差)'!$C$5:$C$160)*C35+INTERCEPT('04 变换后数据'!$C$5:$C$160,'09b 辅助计算(残差)'!$C$5:$C$160),"")</f>
        <v/>
      </c>
      <c r="G35" s="8">
        <f>IF(ISNUMBER(D35),D35-F35,"")</f>
        <v/>
      </c>
      <c r="H35" s="8">
        <f>IF(ISNUMBER(E35),SLOPE('04 变换后数据'!$F$5:$F$160,'09b 辅助计算(残差)'!$C$5:$C$160)*C35+INTERCEPT('04 变换后数据'!$F$5:$F$160,'09b 辅助计算(残差)'!$C$5:$C$160),"")</f>
        <v/>
      </c>
      <c r="I35" s="8">
        <f>IF(ISNUMBER(E35),E35-H35,"")</f>
        <v/>
      </c>
    </row>
    <row r="36">
      <c r="A36" s="23" t="n">
        <v>32</v>
      </c>
      <c r="B36" s="8">
        <f>'04 变换后数据'!B36</f>
        <v/>
      </c>
      <c r="C36" s="23" t="n">
        <v>32</v>
      </c>
      <c r="D36" s="8">
        <f>'04 变换后数据'!C36</f>
        <v/>
      </c>
      <c r="E36" s="8">
        <f>'04 变换后数据'!F36</f>
        <v/>
      </c>
      <c r="F36" s="8">
        <f>IF(ISNUMBER(D36),SLOPE('04 变换后数据'!$C$5:$C$160,'09b 辅助计算(残差)'!$C$5:$C$160)*C36+INTERCEPT('04 变换后数据'!$C$5:$C$160,'09b 辅助计算(残差)'!$C$5:$C$160),"")</f>
        <v/>
      </c>
      <c r="G36" s="8">
        <f>IF(ISNUMBER(D36),D36-F36,"")</f>
        <v/>
      </c>
      <c r="H36" s="8">
        <f>IF(ISNUMBER(E36),SLOPE('04 变换后数据'!$F$5:$F$160,'09b 辅助计算(残差)'!$C$5:$C$160)*C36+INTERCEPT('04 变换后数据'!$F$5:$F$160,'09b 辅助计算(残差)'!$C$5:$C$160),"")</f>
        <v/>
      </c>
      <c r="I36" s="8">
        <f>IF(ISNUMBER(E36),E36-H36,"")</f>
        <v/>
      </c>
    </row>
    <row r="37">
      <c r="A37" s="23" t="n">
        <v>33</v>
      </c>
      <c r="B37" s="8">
        <f>'04 变换后数据'!B37</f>
        <v/>
      </c>
      <c r="C37" s="23" t="n">
        <v>33</v>
      </c>
      <c r="D37" s="8">
        <f>'04 变换后数据'!C37</f>
        <v/>
      </c>
      <c r="E37" s="8">
        <f>'04 变换后数据'!F37</f>
        <v/>
      </c>
      <c r="F37" s="8">
        <f>IF(ISNUMBER(D37),SLOPE('04 变换后数据'!$C$5:$C$160,'09b 辅助计算(残差)'!$C$5:$C$160)*C37+INTERCEPT('04 变换后数据'!$C$5:$C$160,'09b 辅助计算(残差)'!$C$5:$C$160),"")</f>
        <v/>
      </c>
      <c r="G37" s="8">
        <f>IF(ISNUMBER(D37),D37-F37,"")</f>
        <v/>
      </c>
      <c r="H37" s="8">
        <f>IF(ISNUMBER(E37),SLOPE('04 变换后数据'!$F$5:$F$160,'09b 辅助计算(残差)'!$C$5:$C$160)*C37+INTERCEPT('04 变换后数据'!$F$5:$F$160,'09b 辅助计算(残差)'!$C$5:$C$160),"")</f>
        <v/>
      </c>
      <c r="I37" s="8">
        <f>IF(ISNUMBER(E37),E37-H37,"")</f>
        <v/>
      </c>
    </row>
    <row r="38">
      <c r="A38" s="23" t="n">
        <v>34</v>
      </c>
      <c r="B38" s="8">
        <f>'04 变换后数据'!B38</f>
        <v/>
      </c>
      <c r="C38" s="23" t="n">
        <v>34</v>
      </c>
      <c r="D38" s="8">
        <f>'04 变换后数据'!C38</f>
        <v/>
      </c>
      <c r="E38" s="8">
        <f>'04 变换后数据'!F38</f>
        <v/>
      </c>
      <c r="F38" s="8">
        <f>IF(ISNUMBER(D38),SLOPE('04 变换后数据'!$C$5:$C$160,'09b 辅助计算(残差)'!$C$5:$C$160)*C38+INTERCEPT('04 变换后数据'!$C$5:$C$160,'09b 辅助计算(残差)'!$C$5:$C$160),"")</f>
        <v/>
      </c>
      <c r="G38" s="8">
        <f>IF(ISNUMBER(D38),D38-F38,"")</f>
        <v/>
      </c>
      <c r="H38" s="8">
        <f>IF(ISNUMBER(E38),SLOPE('04 变换后数据'!$F$5:$F$160,'09b 辅助计算(残差)'!$C$5:$C$160)*C38+INTERCEPT('04 变换后数据'!$F$5:$F$160,'09b 辅助计算(残差)'!$C$5:$C$160),"")</f>
        <v/>
      </c>
      <c r="I38" s="8">
        <f>IF(ISNUMBER(E38),E38-H38,"")</f>
        <v/>
      </c>
    </row>
    <row r="39">
      <c r="A39" s="23" t="n">
        <v>35</v>
      </c>
      <c r="B39" s="8">
        <f>'04 变换后数据'!B39</f>
        <v/>
      </c>
      <c r="C39" s="23" t="n">
        <v>35</v>
      </c>
      <c r="D39" s="8">
        <f>'04 变换后数据'!C39</f>
        <v/>
      </c>
      <c r="E39" s="8">
        <f>'04 变换后数据'!F39</f>
        <v/>
      </c>
      <c r="F39" s="8">
        <f>IF(ISNUMBER(D39),SLOPE('04 变换后数据'!$C$5:$C$160,'09b 辅助计算(残差)'!$C$5:$C$160)*C39+INTERCEPT('04 变换后数据'!$C$5:$C$160,'09b 辅助计算(残差)'!$C$5:$C$160),"")</f>
        <v/>
      </c>
      <c r="G39" s="8">
        <f>IF(ISNUMBER(D39),D39-F39,"")</f>
        <v/>
      </c>
      <c r="H39" s="8">
        <f>IF(ISNUMBER(E39),SLOPE('04 变换后数据'!$F$5:$F$160,'09b 辅助计算(残差)'!$C$5:$C$160)*C39+INTERCEPT('04 变换后数据'!$F$5:$F$160,'09b 辅助计算(残差)'!$C$5:$C$160),"")</f>
        <v/>
      </c>
      <c r="I39" s="8">
        <f>IF(ISNUMBER(E39),E39-H39,"")</f>
        <v/>
      </c>
    </row>
    <row r="40">
      <c r="A40" s="23" t="n">
        <v>36</v>
      </c>
      <c r="B40" s="8">
        <f>'04 变换后数据'!B40</f>
        <v/>
      </c>
      <c r="C40" s="23" t="n">
        <v>36</v>
      </c>
      <c r="D40" s="8">
        <f>'04 变换后数据'!C40</f>
        <v/>
      </c>
      <c r="E40" s="8">
        <f>'04 变换后数据'!F40</f>
        <v/>
      </c>
      <c r="F40" s="8">
        <f>IF(ISNUMBER(D40),SLOPE('04 变换后数据'!$C$5:$C$160,'09b 辅助计算(残差)'!$C$5:$C$160)*C40+INTERCEPT('04 变换后数据'!$C$5:$C$160,'09b 辅助计算(残差)'!$C$5:$C$160),"")</f>
        <v/>
      </c>
      <c r="G40" s="8">
        <f>IF(ISNUMBER(D40),D40-F40,"")</f>
        <v/>
      </c>
      <c r="H40" s="8">
        <f>IF(ISNUMBER(E40),SLOPE('04 变换后数据'!$F$5:$F$160,'09b 辅助计算(残差)'!$C$5:$C$160)*C40+INTERCEPT('04 变换后数据'!$F$5:$F$160,'09b 辅助计算(残差)'!$C$5:$C$160),"")</f>
        <v/>
      </c>
      <c r="I40" s="8">
        <f>IF(ISNUMBER(E40),E40-H40,"")</f>
        <v/>
      </c>
    </row>
    <row r="41">
      <c r="A41" s="23" t="n">
        <v>37</v>
      </c>
      <c r="B41" s="8">
        <f>'04 变换后数据'!B41</f>
        <v/>
      </c>
      <c r="C41" s="23" t="n">
        <v>37</v>
      </c>
      <c r="D41" s="8">
        <f>'04 变换后数据'!C41</f>
        <v/>
      </c>
      <c r="E41" s="8">
        <f>'04 变换后数据'!F41</f>
        <v/>
      </c>
      <c r="F41" s="8">
        <f>IF(ISNUMBER(D41),SLOPE('04 变换后数据'!$C$5:$C$160,'09b 辅助计算(残差)'!$C$5:$C$160)*C41+INTERCEPT('04 变换后数据'!$C$5:$C$160,'09b 辅助计算(残差)'!$C$5:$C$160),"")</f>
        <v/>
      </c>
      <c r="G41" s="8">
        <f>IF(ISNUMBER(D41),D41-F41,"")</f>
        <v/>
      </c>
      <c r="H41" s="8">
        <f>IF(ISNUMBER(E41),SLOPE('04 变换后数据'!$F$5:$F$160,'09b 辅助计算(残差)'!$C$5:$C$160)*C41+INTERCEPT('04 变换后数据'!$F$5:$F$160,'09b 辅助计算(残差)'!$C$5:$C$160),"")</f>
        <v/>
      </c>
      <c r="I41" s="8">
        <f>IF(ISNUMBER(E41),E41-H41,"")</f>
        <v/>
      </c>
    </row>
    <row r="42">
      <c r="A42" s="23" t="n">
        <v>38</v>
      </c>
      <c r="B42" s="8">
        <f>'04 变换后数据'!B42</f>
        <v/>
      </c>
      <c r="C42" s="23" t="n">
        <v>38</v>
      </c>
      <c r="D42" s="8">
        <f>'04 变换后数据'!C42</f>
        <v/>
      </c>
      <c r="E42" s="8">
        <f>'04 变换后数据'!F42</f>
        <v/>
      </c>
      <c r="F42" s="8">
        <f>IF(ISNUMBER(D42),SLOPE('04 变换后数据'!$C$5:$C$160,'09b 辅助计算(残差)'!$C$5:$C$160)*C42+INTERCEPT('04 变换后数据'!$C$5:$C$160,'09b 辅助计算(残差)'!$C$5:$C$160),"")</f>
        <v/>
      </c>
      <c r="G42" s="8">
        <f>IF(ISNUMBER(D42),D42-F42,"")</f>
        <v/>
      </c>
      <c r="H42" s="8">
        <f>IF(ISNUMBER(E42),SLOPE('04 变换后数据'!$F$5:$F$160,'09b 辅助计算(残差)'!$C$5:$C$160)*C42+INTERCEPT('04 变换后数据'!$F$5:$F$160,'09b 辅助计算(残差)'!$C$5:$C$160),"")</f>
        <v/>
      </c>
      <c r="I42" s="8">
        <f>IF(ISNUMBER(E42),E42-H42,"")</f>
        <v/>
      </c>
    </row>
    <row r="43">
      <c r="A43" s="23" t="n">
        <v>39</v>
      </c>
      <c r="B43" s="8">
        <f>'04 变换后数据'!B43</f>
        <v/>
      </c>
      <c r="C43" s="23" t="n">
        <v>39</v>
      </c>
      <c r="D43" s="8">
        <f>'04 变换后数据'!C43</f>
        <v/>
      </c>
      <c r="E43" s="8">
        <f>'04 变换后数据'!F43</f>
        <v/>
      </c>
      <c r="F43" s="8">
        <f>IF(ISNUMBER(D43),SLOPE('04 变换后数据'!$C$5:$C$160,'09b 辅助计算(残差)'!$C$5:$C$160)*C43+INTERCEPT('04 变换后数据'!$C$5:$C$160,'09b 辅助计算(残差)'!$C$5:$C$160),"")</f>
        <v/>
      </c>
      <c r="G43" s="8">
        <f>IF(ISNUMBER(D43),D43-F43,"")</f>
        <v/>
      </c>
      <c r="H43" s="8">
        <f>IF(ISNUMBER(E43),SLOPE('04 变换后数据'!$F$5:$F$160,'09b 辅助计算(残差)'!$C$5:$C$160)*C43+INTERCEPT('04 变换后数据'!$F$5:$F$160,'09b 辅助计算(残差)'!$C$5:$C$160),"")</f>
        <v/>
      </c>
      <c r="I43" s="8">
        <f>IF(ISNUMBER(E43),E43-H43,"")</f>
        <v/>
      </c>
    </row>
    <row r="44">
      <c r="A44" s="23" t="n">
        <v>40</v>
      </c>
      <c r="B44" s="8">
        <f>'04 变换后数据'!B44</f>
        <v/>
      </c>
      <c r="C44" s="23" t="n">
        <v>40</v>
      </c>
      <c r="D44" s="8">
        <f>'04 变换后数据'!C44</f>
        <v/>
      </c>
      <c r="E44" s="8">
        <f>'04 变换后数据'!F44</f>
        <v/>
      </c>
      <c r="F44" s="8">
        <f>IF(ISNUMBER(D44),SLOPE('04 变换后数据'!$C$5:$C$160,'09b 辅助计算(残差)'!$C$5:$C$160)*C44+INTERCEPT('04 变换后数据'!$C$5:$C$160,'09b 辅助计算(残差)'!$C$5:$C$160),"")</f>
        <v/>
      </c>
      <c r="G44" s="8">
        <f>IF(ISNUMBER(D44),D44-F44,"")</f>
        <v/>
      </c>
      <c r="H44" s="8">
        <f>IF(ISNUMBER(E44),SLOPE('04 变换后数据'!$F$5:$F$160,'09b 辅助计算(残差)'!$C$5:$C$160)*C44+INTERCEPT('04 变换后数据'!$F$5:$F$160,'09b 辅助计算(残差)'!$C$5:$C$160),"")</f>
        <v/>
      </c>
      <c r="I44" s="8">
        <f>IF(ISNUMBER(E44),E44-H44,"")</f>
        <v/>
      </c>
    </row>
    <row r="45">
      <c r="A45" s="23" t="n">
        <v>41</v>
      </c>
      <c r="B45" s="8">
        <f>'04 变换后数据'!B45</f>
        <v/>
      </c>
      <c r="C45" s="23" t="n">
        <v>41</v>
      </c>
      <c r="D45" s="8">
        <f>'04 变换后数据'!C45</f>
        <v/>
      </c>
      <c r="E45" s="8">
        <f>'04 变换后数据'!F45</f>
        <v/>
      </c>
      <c r="F45" s="8">
        <f>IF(ISNUMBER(D45),SLOPE('04 变换后数据'!$C$5:$C$160,'09b 辅助计算(残差)'!$C$5:$C$160)*C45+INTERCEPT('04 变换后数据'!$C$5:$C$160,'09b 辅助计算(残差)'!$C$5:$C$160),"")</f>
        <v/>
      </c>
      <c r="G45" s="8">
        <f>IF(ISNUMBER(D45),D45-F45,"")</f>
        <v/>
      </c>
      <c r="H45" s="8">
        <f>IF(ISNUMBER(E45),SLOPE('04 变换后数据'!$F$5:$F$160,'09b 辅助计算(残差)'!$C$5:$C$160)*C45+INTERCEPT('04 变换后数据'!$F$5:$F$160,'09b 辅助计算(残差)'!$C$5:$C$160),"")</f>
        <v/>
      </c>
      <c r="I45" s="8">
        <f>IF(ISNUMBER(E45),E45-H45,"")</f>
        <v/>
      </c>
    </row>
    <row r="46">
      <c r="A46" s="23" t="n">
        <v>42</v>
      </c>
      <c r="B46" s="8">
        <f>'04 变换后数据'!B46</f>
        <v/>
      </c>
      <c r="C46" s="23" t="n">
        <v>42</v>
      </c>
      <c r="D46" s="8">
        <f>'04 变换后数据'!C46</f>
        <v/>
      </c>
      <c r="E46" s="8">
        <f>'04 变换后数据'!F46</f>
        <v/>
      </c>
      <c r="F46" s="8">
        <f>IF(ISNUMBER(D46),SLOPE('04 变换后数据'!$C$5:$C$160,'09b 辅助计算(残差)'!$C$5:$C$160)*C46+INTERCEPT('04 变换后数据'!$C$5:$C$160,'09b 辅助计算(残差)'!$C$5:$C$160),"")</f>
        <v/>
      </c>
      <c r="G46" s="8">
        <f>IF(ISNUMBER(D46),D46-F46,"")</f>
        <v/>
      </c>
      <c r="H46" s="8">
        <f>IF(ISNUMBER(E46),SLOPE('04 变换后数据'!$F$5:$F$160,'09b 辅助计算(残差)'!$C$5:$C$160)*C46+INTERCEPT('04 变换后数据'!$F$5:$F$160,'09b 辅助计算(残差)'!$C$5:$C$160),"")</f>
        <v/>
      </c>
      <c r="I46" s="8">
        <f>IF(ISNUMBER(E46),E46-H46,"")</f>
        <v/>
      </c>
    </row>
    <row r="47">
      <c r="A47" s="23" t="n">
        <v>43</v>
      </c>
      <c r="B47" s="8">
        <f>'04 变换后数据'!B47</f>
        <v/>
      </c>
      <c r="C47" s="23" t="n">
        <v>43</v>
      </c>
      <c r="D47" s="8">
        <f>'04 变换后数据'!C47</f>
        <v/>
      </c>
      <c r="E47" s="8">
        <f>'04 变换后数据'!F47</f>
        <v/>
      </c>
      <c r="F47" s="8">
        <f>IF(ISNUMBER(D47),SLOPE('04 变换后数据'!$C$5:$C$160,'09b 辅助计算(残差)'!$C$5:$C$160)*C47+INTERCEPT('04 变换后数据'!$C$5:$C$160,'09b 辅助计算(残差)'!$C$5:$C$160),"")</f>
        <v/>
      </c>
      <c r="G47" s="8">
        <f>IF(ISNUMBER(D47),D47-F47,"")</f>
        <v/>
      </c>
      <c r="H47" s="8">
        <f>IF(ISNUMBER(E47),SLOPE('04 变换后数据'!$F$5:$F$160,'09b 辅助计算(残差)'!$C$5:$C$160)*C47+INTERCEPT('04 变换后数据'!$F$5:$F$160,'09b 辅助计算(残差)'!$C$5:$C$160),"")</f>
        <v/>
      </c>
      <c r="I47" s="8">
        <f>IF(ISNUMBER(E47),E47-H47,"")</f>
        <v/>
      </c>
    </row>
    <row r="48">
      <c r="A48" s="23" t="n">
        <v>44</v>
      </c>
      <c r="B48" s="8">
        <f>'04 变换后数据'!B48</f>
        <v/>
      </c>
      <c r="C48" s="23" t="n">
        <v>44</v>
      </c>
      <c r="D48" s="8">
        <f>'04 变换后数据'!C48</f>
        <v/>
      </c>
      <c r="E48" s="8">
        <f>'04 变换后数据'!F48</f>
        <v/>
      </c>
      <c r="F48" s="8">
        <f>IF(ISNUMBER(D48),SLOPE('04 变换后数据'!$C$5:$C$160,'09b 辅助计算(残差)'!$C$5:$C$160)*C48+INTERCEPT('04 变换后数据'!$C$5:$C$160,'09b 辅助计算(残差)'!$C$5:$C$160),"")</f>
        <v/>
      </c>
      <c r="G48" s="8">
        <f>IF(ISNUMBER(D48),D48-F48,"")</f>
        <v/>
      </c>
      <c r="H48" s="8">
        <f>IF(ISNUMBER(E48),SLOPE('04 变换后数据'!$F$5:$F$160,'09b 辅助计算(残差)'!$C$5:$C$160)*C48+INTERCEPT('04 变换后数据'!$F$5:$F$160,'09b 辅助计算(残差)'!$C$5:$C$160),"")</f>
        <v/>
      </c>
      <c r="I48" s="8">
        <f>IF(ISNUMBER(E48),E48-H48,"")</f>
        <v/>
      </c>
    </row>
    <row r="49">
      <c r="A49" s="23" t="n">
        <v>45</v>
      </c>
      <c r="B49" s="8">
        <f>'04 变换后数据'!B49</f>
        <v/>
      </c>
      <c r="C49" s="23" t="n">
        <v>45</v>
      </c>
      <c r="D49" s="8">
        <f>'04 变换后数据'!C49</f>
        <v/>
      </c>
      <c r="E49" s="8">
        <f>'04 变换后数据'!F49</f>
        <v/>
      </c>
      <c r="F49" s="8">
        <f>IF(ISNUMBER(D49),SLOPE('04 变换后数据'!$C$5:$C$160,'09b 辅助计算(残差)'!$C$5:$C$160)*C49+INTERCEPT('04 变换后数据'!$C$5:$C$160,'09b 辅助计算(残差)'!$C$5:$C$160),"")</f>
        <v/>
      </c>
      <c r="G49" s="8">
        <f>IF(ISNUMBER(D49),D49-F49,"")</f>
        <v/>
      </c>
      <c r="H49" s="8">
        <f>IF(ISNUMBER(E49),SLOPE('04 变换后数据'!$F$5:$F$160,'09b 辅助计算(残差)'!$C$5:$C$160)*C49+INTERCEPT('04 变换后数据'!$F$5:$F$160,'09b 辅助计算(残差)'!$C$5:$C$160),"")</f>
        <v/>
      </c>
      <c r="I49" s="8">
        <f>IF(ISNUMBER(E49),E49-H49,"")</f>
        <v/>
      </c>
    </row>
    <row r="50">
      <c r="A50" s="23" t="n">
        <v>46</v>
      </c>
      <c r="B50" s="8">
        <f>'04 变换后数据'!B50</f>
        <v/>
      </c>
      <c r="C50" s="23" t="n">
        <v>46</v>
      </c>
      <c r="D50" s="8">
        <f>'04 变换后数据'!C50</f>
        <v/>
      </c>
      <c r="E50" s="8">
        <f>'04 变换后数据'!F50</f>
        <v/>
      </c>
      <c r="F50" s="8">
        <f>IF(ISNUMBER(D50),SLOPE('04 变换后数据'!$C$5:$C$160,'09b 辅助计算(残差)'!$C$5:$C$160)*C50+INTERCEPT('04 变换后数据'!$C$5:$C$160,'09b 辅助计算(残差)'!$C$5:$C$160),"")</f>
        <v/>
      </c>
      <c r="G50" s="8">
        <f>IF(ISNUMBER(D50),D50-F50,"")</f>
        <v/>
      </c>
      <c r="H50" s="8">
        <f>IF(ISNUMBER(E50),SLOPE('04 变换后数据'!$F$5:$F$160,'09b 辅助计算(残差)'!$C$5:$C$160)*C50+INTERCEPT('04 变换后数据'!$F$5:$F$160,'09b 辅助计算(残差)'!$C$5:$C$160),"")</f>
        <v/>
      </c>
      <c r="I50" s="8">
        <f>IF(ISNUMBER(E50),E50-H50,"")</f>
        <v/>
      </c>
    </row>
    <row r="51">
      <c r="A51" s="23" t="n">
        <v>47</v>
      </c>
      <c r="B51" s="8">
        <f>'04 变换后数据'!B51</f>
        <v/>
      </c>
      <c r="C51" s="23" t="n">
        <v>47</v>
      </c>
      <c r="D51" s="8">
        <f>'04 变换后数据'!C51</f>
        <v/>
      </c>
      <c r="E51" s="8">
        <f>'04 变换后数据'!F51</f>
        <v/>
      </c>
      <c r="F51" s="8">
        <f>IF(ISNUMBER(D51),SLOPE('04 变换后数据'!$C$5:$C$160,'09b 辅助计算(残差)'!$C$5:$C$160)*C51+INTERCEPT('04 变换后数据'!$C$5:$C$160,'09b 辅助计算(残差)'!$C$5:$C$160),"")</f>
        <v/>
      </c>
      <c r="G51" s="8">
        <f>IF(ISNUMBER(D51),D51-F51,"")</f>
        <v/>
      </c>
      <c r="H51" s="8">
        <f>IF(ISNUMBER(E51),SLOPE('04 变换后数据'!$F$5:$F$160,'09b 辅助计算(残差)'!$C$5:$C$160)*C51+INTERCEPT('04 变换后数据'!$F$5:$F$160,'09b 辅助计算(残差)'!$C$5:$C$160),"")</f>
        <v/>
      </c>
      <c r="I51" s="8">
        <f>IF(ISNUMBER(E51),E51-H51,"")</f>
        <v/>
      </c>
    </row>
    <row r="52">
      <c r="A52" s="23" t="n">
        <v>48</v>
      </c>
      <c r="B52" s="8">
        <f>'04 变换后数据'!B52</f>
        <v/>
      </c>
      <c r="C52" s="23" t="n">
        <v>48</v>
      </c>
      <c r="D52" s="8">
        <f>'04 变换后数据'!C52</f>
        <v/>
      </c>
      <c r="E52" s="8">
        <f>'04 变换后数据'!F52</f>
        <v/>
      </c>
      <c r="F52" s="8">
        <f>IF(ISNUMBER(D52),SLOPE('04 变换后数据'!$C$5:$C$160,'09b 辅助计算(残差)'!$C$5:$C$160)*C52+INTERCEPT('04 变换后数据'!$C$5:$C$160,'09b 辅助计算(残差)'!$C$5:$C$160),"")</f>
        <v/>
      </c>
      <c r="G52" s="8">
        <f>IF(ISNUMBER(D52),D52-F52,"")</f>
        <v/>
      </c>
      <c r="H52" s="8">
        <f>IF(ISNUMBER(E52),SLOPE('04 变换后数据'!$F$5:$F$160,'09b 辅助计算(残差)'!$C$5:$C$160)*C52+INTERCEPT('04 变换后数据'!$F$5:$F$160,'09b 辅助计算(残差)'!$C$5:$C$160),"")</f>
        <v/>
      </c>
      <c r="I52" s="8">
        <f>IF(ISNUMBER(E52),E52-H52,"")</f>
        <v/>
      </c>
    </row>
    <row r="53">
      <c r="A53" s="23" t="n">
        <v>49</v>
      </c>
      <c r="B53" s="8">
        <f>'04 变换后数据'!B53</f>
        <v/>
      </c>
      <c r="C53" s="23" t="n">
        <v>49</v>
      </c>
      <c r="D53" s="8">
        <f>'04 变换后数据'!C53</f>
        <v/>
      </c>
      <c r="E53" s="8">
        <f>'04 变换后数据'!F53</f>
        <v/>
      </c>
      <c r="F53" s="8">
        <f>IF(ISNUMBER(D53),SLOPE('04 变换后数据'!$C$5:$C$160,'09b 辅助计算(残差)'!$C$5:$C$160)*C53+INTERCEPT('04 变换后数据'!$C$5:$C$160,'09b 辅助计算(残差)'!$C$5:$C$160),"")</f>
        <v/>
      </c>
      <c r="G53" s="8">
        <f>IF(ISNUMBER(D53),D53-F53,"")</f>
        <v/>
      </c>
      <c r="H53" s="8">
        <f>IF(ISNUMBER(E53),SLOPE('04 变换后数据'!$F$5:$F$160,'09b 辅助计算(残差)'!$C$5:$C$160)*C53+INTERCEPT('04 变换后数据'!$F$5:$F$160,'09b 辅助计算(残差)'!$C$5:$C$160),"")</f>
        <v/>
      </c>
      <c r="I53" s="8">
        <f>IF(ISNUMBER(E53),E53-H53,"")</f>
        <v/>
      </c>
    </row>
    <row r="54">
      <c r="A54" s="23" t="n">
        <v>50</v>
      </c>
      <c r="B54" s="8">
        <f>'04 变换后数据'!B54</f>
        <v/>
      </c>
      <c r="C54" s="23" t="n">
        <v>50</v>
      </c>
      <c r="D54" s="8">
        <f>'04 变换后数据'!C54</f>
        <v/>
      </c>
      <c r="E54" s="8">
        <f>'04 变换后数据'!F54</f>
        <v/>
      </c>
      <c r="F54" s="8">
        <f>IF(ISNUMBER(D54),SLOPE('04 变换后数据'!$C$5:$C$160,'09b 辅助计算(残差)'!$C$5:$C$160)*C54+INTERCEPT('04 变换后数据'!$C$5:$C$160,'09b 辅助计算(残差)'!$C$5:$C$160),"")</f>
        <v/>
      </c>
      <c r="G54" s="8">
        <f>IF(ISNUMBER(D54),D54-F54,"")</f>
        <v/>
      </c>
      <c r="H54" s="8">
        <f>IF(ISNUMBER(E54),SLOPE('04 变换后数据'!$F$5:$F$160,'09b 辅助计算(残差)'!$C$5:$C$160)*C54+INTERCEPT('04 变换后数据'!$F$5:$F$160,'09b 辅助计算(残差)'!$C$5:$C$160),"")</f>
        <v/>
      </c>
      <c r="I54" s="8">
        <f>IF(ISNUMBER(E54),E54-H54,"")</f>
        <v/>
      </c>
    </row>
    <row r="55">
      <c r="A55" s="23" t="n">
        <v>51</v>
      </c>
      <c r="B55" s="8">
        <f>'04 变换后数据'!B55</f>
        <v/>
      </c>
      <c r="C55" s="23" t="n">
        <v>51</v>
      </c>
      <c r="D55" s="8">
        <f>'04 变换后数据'!C55</f>
        <v/>
      </c>
      <c r="E55" s="8">
        <f>'04 变换后数据'!F55</f>
        <v/>
      </c>
      <c r="F55" s="8">
        <f>IF(ISNUMBER(D55),SLOPE('04 变换后数据'!$C$5:$C$160,'09b 辅助计算(残差)'!$C$5:$C$160)*C55+INTERCEPT('04 变换后数据'!$C$5:$C$160,'09b 辅助计算(残差)'!$C$5:$C$160),"")</f>
        <v/>
      </c>
      <c r="G55" s="8">
        <f>IF(ISNUMBER(D55),D55-F55,"")</f>
        <v/>
      </c>
      <c r="H55" s="8">
        <f>IF(ISNUMBER(E55),SLOPE('04 变换后数据'!$F$5:$F$160,'09b 辅助计算(残差)'!$C$5:$C$160)*C55+INTERCEPT('04 变换后数据'!$F$5:$F$160,'09b 辅助计算(残差)'!$C$5:$C$160),"")</f>
        <v/>
      </c>
      <c r="I55" s="8">
        <f>IF(ISNUMBER(E55),E55-H55,"")</f>
        <v/>
      </c>
    </row>
    <row r="56">
      <c r="A56" s="23" t="n">
        <v>52</v>
      </c>
      <c r="B56" s="8">
        <f>'04 变换后数据'!B56</f>
        <v/>
      </c>
      <c r="C56" s="23" t="n">
        <v>52</v>
      </c>
      <c r="D56" s="8">
        <f>'04 变换后数据'!C56</f>
        <v/>
      </c>
      <c r="E56" s="8">
        <f>'04 变换后数据'!F56</f>
        <v/>
      </c>
      <c r="F56" s="8">
        <f>IF(ISNUMBER(D56),SLOPE('04 变换后数据'!$C$5:$C$160,'09b 辅助计算(残差)'!$C$5:$C$160)*C56+INTERCEPT('04 变换后数据'!$C$5:$C$160,'09b 辅助计算(残差)'!$C$5:$C$160),"")</f>
        <v/>
      </c>
      <c r="G56" s="8">
        <f>IF(ISNUMBER(D56),D56-F56,"")</f>
        <v/>
      </c>
      <c r="H56" s="8">
        <f>IF(ISNUMBER(E56),SLOPE('04 变换后数据'!$F$5:$F$160,'09b 辅助计算(残差)'!$C$5:$C$160)*C56+INTERCEPT('04 变换后数据'!$F$5:$F$160,'09b 辅助计算(残差)'!$C$5:$C$160),"")</f>
        <v/>
      </c>
      <c r="I56" s="8">
        <f>IF(ISNUMBER(E56),E56-H56,"")</f>
        <v/>
      </c>
    </row>
    <row r="57">
      <c r="A57" s="23" t="n">
        <v>53</v>
      </c>
      <c r="B57" s="8">
        <f>'04 变换后数据'!B57</f>
        <v/>
      </c>
      <c r="C57" s="23" t="n">
        <v>53</v>
      </c>
      <c r="D57" s="8">
        <f>'04 变换后数据'!C57</f>
        <v/>
      </c>
      <c r="E57" s="8">
        <f>'04 变换后数据'!F57</f>
        <v/>
      </c>
      <c r="F57" s="8">
        <f>IF(ISNUMBER(D57),SLOPE('04 变换后数据'!$C$5:$C$160,'09b 辅助计算(残差)'!$C$5:$C$160)*C57+INTERCEPT('04 变换后数据'!$C$5:$C$160,'09b 辅助计算(残差)'!$C$5:$C$160),"")</f>
        <v/>
      </c>
      <c r="G57" s="8">
        <f>IF(ISNUMBER(D57),D57-F57,"")</f>
        <v/>
      </c>
      <c r="H57" s="8">
        <f>IF(ISNUMBER(E57),SLOPE('04 变换后数据'!$F$5:$F$160,'09b 辅助计算(残差)'!$C$5:$C$160)*C57+INTERCEPT('04 变换后数据'!$F$5:$F$160,'09b 辅助计算(残差)'!$C$5:$C$160),"")</f>
        <v/>
      </c>
      <c r="I57" s="8">
        <f>IF(ISNUMBER(E57),E57-H57,"")</f>
        <v/>
      </c>
    </row>
    <row r="58">
      <c r="A58" s="23" t="n">
        <v>54</v>
      </c>
      <c r="B58" s="8">
        <f>'04 变换后数据'!B58</f>
        <v/>
      </c>
      <c r="C58" s="23" t="n">
        <v>54</v>
      </c>
      <c r="D58" s="8">
        <f>'04 变换后数据'!C58</f>
        <v/>
      </c>
      <c r="E58" s="8">
        <f>'04 变换后数据'!F58</f>
        <v/>
      </c>
      <c r="F58" s="8">
        <f>IF(ISNUMBER(D58),SLOPE('04 变换后数据'!$C$5:$C$160,'09b 辅助计算(残差)'!$C$5:$C$160)*C58+INTERCEPT('04 变换后数据'!$C$5:$C$160,'09b 辅助计算(残差)'!$C$5:$C$160),"")</f>
        <v/>
      </c>
      <c r="G58" s="8">
        <f>IF(ISNUMBER(D58),D58-F58,"")</f>
        <v/>
      </c>
      <c r="H58" s="8">
        <f>IF(ISNUMBER(E58),SLOPE('04 变换后数据'!$F$5:$F$160,'09b 辅助计算(残差)'!$C$5:$C$160)*C58+INTERCEPT('04 变换后数据'!$F$5:$F$160,'09b 辅助计算(残差)'!$C$5:$C$160),"")</f>
        <v/>
      </c>
      <c r="I58" s="8">
        <f>IF(ISNUMBER(E58),E58-H58,"")</f>
        <v/>
      </c>
    </row>
    <row r="59">
      <c r="A59" s="23" t="n">
        <v>55</v>
      </c>
      <c r="B59" s="8">
        <f>'04 变换后数据'!B59</f>
        <v/>
      </c>
      <c r="C59" s="23" t="n">
        <v>55</v>
      </c>
      <c r="D59" s="8">
        <f>'04 变换后数据'!C59</f>
        <v/>
      </c>
      <c r="E59" s="8">
        <f>'04 变换后数据'!F59</f>
        <v/>
      </c>
      <c r="F59" s="8">
        <f>IF(ISNUMBER(D59),SLOPE('04 变换后数据'!$C$5:$C$160,'09b 辅助计算(残差)'!$C$5:$C$160)*C59+INTERCEPT('04 变换后数据'!$C$5:$C$160,'09b 辅助计算(残差)'!$C$5:$C$160),"")</f>
        <v/>
      </c>
      <c r="G59" s="8">
        <f>IF(ISNUMBER(D59),D59-F59,"")</f>
        <v/>
      </c>
      <c r="H59" s="8">
        <f>IF(ISNUMBER(E59),SLOPE('04 变换后数据'!$F$5:$F$160,'09b 辅助计算(残差)'!$C$5:$C$160)*C59+INTERCEPT('04 变换后数据'!$F$5:$F$160,'09b 辅助计算(残差)'!$C$5:$C$160),"")</f>
        <v/>
      </c>
      <c r="I59" s="8">
        <f>IF(ISNUMBER(E59),E59-H59,"")</f>
        <v/>
      </c>
    </row>
    <row r="60">
      <c r="A60" s="23" t="n">
        <v>56</v>
      </c>
      <c r="B60" s="8">
        <f>'04 变换后数据'!B60</f>
        <v/>
      </c>
      <c r="C60" s="23" t="n">
        <v>56</v>
      </c>
      <c r="D60" s="8">
        <f>'04 变换后数据'!C60</f>
        <v/>
      </c>
      <c r="E60" s="8">
        <f>'04 变换后数据'!F60</f>
        <v/>
      </c>
      <c r="F60" s="8">
        <f>IF(ISNUMBER(D60),SLOPE('04 变换后数据'!$C$5:$C$160,'09b 辅助计算(残差)'!$C$5:$C$160)*C60+INTERCEPT('04 变换后数据'!$C$5:$C$160,'09b 辅助计算(残差)'!$C$5:$C$160),"")</f>
        <v/>
      </c>
      <c r="G60" s="8">
        <f>IF(ISNUMBER(D60),D60-F60,"")</f>
        <v/>
      </c>
      <c r="H60" s="8">
        <f>IF(ISNUMBER(E60),SLOPE('04 变换后数据'!$F$5:$F$160,'09b 辅助计算(残差)'!$C$5:$C$160)*C60+INTERCEPT('04 变换后数据'!$F$5:$F$160,'09b 辅助计算(残差)'!$C$5:$C$160),"")</f>
        <v/>
      </c>
      <c r="I60" s="8">
        <f>IF(ISNUMBER(E60),E60-H60,"")</f>
        <v/>
      </c>
    </row>
    <row r="61">
      <c r="A61" s="23" t="n">
        <v>57</v>
      </c>
      <c r="B61" s="8">
        <f>'04 变换后数据'!B61</f>
        <v/>
      </c>
      <c r="C61" s="23" t="n">
        <v>57</v>
      </c>
      <c r="D61" s="8">
        <f>'04 变换后数据'!C61</f>
        <v/>
      </c>
      <c r="E61" s="8">
        <f>'04 变换后数据'!F61</f>
        <v/>
      </c>
      <c r="F61" s="8">
        <f>IF(ISNUMBER(D61),SLOPE('04 变换后数据'!$C$5:$C$160,'09b 辅助计算(残差)'!$C$5:$C$160)*C61+INTERCEPT('04 变换后数据'!$C$5:$C$160,'09b 辅助计算(残差)'!$C$5:$C$160),"")</f>
        <v/>
      </c>
      <c r="G61" s="8">
        <f>IF(ISNUMBER(D61),D61-F61,"")</f>
        <v/>
      </c>
      <c r="H61" s="8">
        <f>IF(ISNUMBER(E61),SLOPE('04 变换后数据'!$F$5:$F$160,'09b 辅助计算(残差)'!$C$5:$C$160)*C61+INTERCEPT('04 变换后数据'!$F$5:$F$160,'09b 辅助计算(残差)'!$C$5:$C$160),"")</f>
        <v/>
      </c>
      <c r="I61" s="8">
        <f>IF(ISNUMBER(E61),E61-H61,"")</f>
        <v/>
      </c>
    </row>
    <row r="62">
      <c r="A62" s="23" t="n">
        <v>58</v>
      </c>
      <c r="B62" s="8">
        <f>'04 变换后数据'!B62</f>
        <v/>
      </c>
      <c r="C62" s="23" t="n">
        <v>58</v>
      </c>
      <c r="D62" s="8">
        <f>'04 变换后数据'!C62</f>
        <v/>
      </c>
      <c r="E62" s="8">
        <f>'04 变换后数据'!F62</f>
        <v/>
      </c>
      <c r="F62" s="8">
        <f>IF(ISNUMBER(D62),SLOPE('04 变换后数据'!$C$5:$C$160,'09b 辅助计算(残差)'!$C$5:$C$160)*C62+INTERCEPT('04 变换后数据'!$C$5:$C$160,'09b 辅助计算(残差)'!$C$5:$C$160),"")</f>
        <v/>
      </c>
      <c r="G62" s="8">
        <f>IF(ISNUMBER(D62),D62-F62,"")</f>
        <v/>
      </c>
      <c r="H62" s="8">
        <f>IF(ISNUMBER(E62),SLOPE('04 变换后数据'!$F$5:$F$160,'09b 辅助计算(残差)'!$C$5:$C$160)*C62+INTERCEPT('04 变换后数据'!$F$5:$F$160,'09b 辅助计算(残差)'!$C$5:$C$160),"")</f>
        <v/>
      </c>
      <c r="I62" s="8">
        <f>IF(ISNUMBER(E62),E62-H62,"")</f>
        <v/>
      </c>
    </row>
    <row r="63">
      <c r="A63" s="23" t="n">
        <v>59</v>
      </c>
      <c r="B63" s="8">
        <f>'04 变换后数据'!B63</f>
        <v/>
      </c>
      <c r="C63" s="23" t="n">
        <v>59</v>
      </c>
      <c r="D63" s="8">
        <f>'04 变换后数据'!C63</f>
        <v/>
      </c>
      <c r="E63" s="8">
        <f>'04 变换后数据'!F63</f>
        <v/>
      </c>
      <c r="F63" s="8">
        <f>IF(ISNUMBER(D63),SLOPE('04 变换后数据'!$C$5:$C$160,'09b 辅助计算(残差)'!$C$5:$C$160)*C63+INTERCEPT('04 变换后数据'!$C$5:$C$160,'09b 辅助计算(残差)'!$C$5:$C$160),"")</f>
        <v/>
      </c>
      <c r="G63" s="8">
        <f>IF(ISNUMBER(D63),D63-F63,"")</f>
        <v/>
      </c>
      <c r="H63" s="8">
        <f>IF(ISNUMBER(E63),SLOPE('04 变换后数据'!$F$5:$F$160,'09b 辅助计算(残差)'!$C$5:$C$160)*C63+INTERCEPT('04 变换后数据'!$F$5:$F$160,'09b 辅助计算(残差)'!$C$5:$C$160),"")</f>
        <v/>
      </c>
      <c r="I63" s="8">
        <f>IF(ISNUMBER(E63),E63-H63,"")</f>
        <v/>
      </c>
    </row>
    <row r="64">
      <c r="A64" s="23" t="n">
        <v>60</v>
      </c>
      <c r="B64" s="8">
        <f>'04 变换后数据'!B64</f>
        <v/>
      </c>
      <c r="C64" s="23" t="n">
        <v>60</v>
      </c>
      <c r="D64" s="8">
        <f>'04 变换后数据'!C64</f>
        <v/>
      </c>
      <c r="E64" s="8">
        <f>'04 变换后数据'!F64</f>
        <v/>
      </c>
      <c r="F64" s="8">
        <f>IF(ISNUMBER(D64),SLOPE('04 变换后数据'!$C$5:$C$160,'09b 辅助计算(残差)'!$C$5:$C$160)*C64+INTERCEPT('04 变换后数据'!$C$5:$C$160,'09b 辅助计算(残差)'!$C$5:$C$160),"")</f>
        <v/>
      </c>
      <c r="G64" s="8">
        <f>IF(ISNUMBER(D64),D64-F64,"")</f>
        <v/>
      </c>
      <c r="H64" s="8">
        <f>IF(ISNUMBER(E64),SLOPE('04 变换后数据'!$F$5:$F$160,'09b 辅助计算(残差)'!$C$5:$C$160)*C64+INTERCEPT('04 变换后数据'!$F$5:$F$160,'09b 辅助计算(残差)'!$C$5:$C$160),"")</f>
        <v/>
      </c>
      <c r="I64" s="8">
        <f>IF(ISNUMBER(E64),E64-H64,"")</f>
        <v/>
      </c>
    </row>
    <row r="65">
      <c r="A65" s="23" t="n">
        <v>61</v>
      </c>
      <c r="B65" s="8">
        <f>'04 变换后数据'!B65</f>
        <v/>
      </c>
      <c r="C65" s="23" t="n">
        <v>61</v>
      </c>
      <c r="D65" s="8">
        <f>'04 变换后数据'!C65</f>
        <v/>
      </c>
      <c r="E65" s="8">
        <f>'04 变换后数据'!F65</f>
        <v/>
      </c>
      <c r="F65" s="8">
        <f>IF(ISNUMBER(D65),SLOPE('04 变换后数据'!$C$5:$C$160,'09b 辅助计算(残差)'!$C$5:$C$160)*C65+INTERCEPT('04 变换后数据'!$C$5:$C$160,'09b 辅助计算(残差)'!$C$5:$C$160),"")</f>
        <v/>
      </c>
      <c r="G65" s="8">
        <f>IF(ISNUMBER(D65),D65-F65,"")</f>
        <v/>
      </c>
      <c r="H65" s="8">
        <f>IF(ISNUMBER(E65),SLOPE('04 变换后数据'!$F$5:$F$160,'09b 辅助计算(残差)'!$C$5:$C$160)*C65+INTERCEPT('04 变换后数据'!$F$5:$F$160,'09b 辅助计算(残差)'!$C$5:$C$160),"")</f>
        <v/>
      </c>
      <c r="I65" s="8">
        <f>IF(ISNUMBER(E65),E65-H65,"")</f>
        <v/>
      </c>
    </row>
    <row r="66">
      <c r="A66" s="23" t="n">
        <v>62</v>
      </c>
      <c r="B66" s="8">
        <f>'04 变换后数据'!B66</f>
        <v/>
      </c>
      <c r="C66" s="23" t="n">
        <v>62</v>
      </c>
      <c r="D66" s="8">
        <f>'04 变换后数据'!C66</f>
        <v/>
      </c>
      <c r="E66" s="8">
        <f>'04 变换后数据'!F66</f>
        <v/>
      </c>
      <c r="F66" s="8">
        <f>IF(ISNUMBER(D66),SLOPE('04 变换后数据'!$C$5:$C$160,'09b 辅助计算(残差)'!$C$5:$C$160)*C66+INTERCEPT('04 变换后数据'!$C$5:$C$160,'09b 辅助计算(残差)'!$C$5:$C$160),"")</f>
        <v/>
      </c>
      <c r="G66" s="8">
        <f>IF(ISNUMBER(D66),D66-F66,"")</f>
        <v/>
      </c>
      <c r="H66" s="8">
        <f>IF(ISNUMBER(E66),SLOPE('04 变换后数据'!$F$5:$F$160,'09b 辅助计算(残差)'!$C$5:$C$160)*C66+INTERCEPT('04 变换后数据'!$F$5:$F$160,'09b 辅助计算(残差)'!$C$5:$C$160),"")</f>
        <v/>
      </c>
      <c r="I66" s="8">
        <f>IF(ISNUMBER(E66),E66-H66,"")</f>
        <v/>
      </c>
    </row>
    <row r="67">
      <c r="A67" s="23" t="n">
        <v>63</v>
      </c>
      <c r="B67" s="8">
        <f>'04 变换后数据'!B67</f>
        <v/>
      </c>
      <c r="C67" s="23" t="n">
        <v>63</v>
      </c>
      <c r="D67" s="8">
        <f>'04 变换后数据'!C67</f>
        <v/>
      </c>
      <c r="E67" s="8">
        <f>'04 变换后数据'!F67</f>
        <v/>
      </c>
      <c r="F67" s="8">
        <f>IF(ISNUMBER(D67),SLOPE('04 变换后数据'!$C$5:$C$160,'09b 辅助计算(残差)'!$C$5:$C$160)*C67+INTERCEPT('04 变换后数据'!$C$5:$C$160,'09b 辅助计算(残差)'!$C$5:$C$160),"")</f>
        <v/>
      </c>
      <c r="G67" s="8">
        <f>IF(ISNUMBER(D67),D67-F67,"")</f>
        <v/>
      </c>
      <c r="H67" s="8">
        <f>IF(ISNUMBER(E67),SLOPE('04 变换后数据'!$F$5:$F$160,'09b 辅助计算(残差)'!$C$5:$C$160)*C67+INTERCEPT('04 变换后数据'!$F$5:$F$160,'09b 辅助计算(残差)'!$C$5:$C$160),"")</f>
        <v/>
      </c>
      <c r="I67" s="8">
        <f>IF(ISNUMBER(E67),E67-H67,"")</f>
        <v/>
      </c>
    </row>
    <row r="68">
      <c r="A68" s="23" t="n">
        <v>64</v>
      </c>
      <c r="B68" s="8">
        <f>'04 变换后数据'!B68</f>
        <v/>
      </c>
      <c r="C68" s="23" t="n">
        <v>64</v>
      </c>
      <c r="D68" s="8">
        <f>'04 变换后数据'!C68</f>
        <v/>
      </c>
      <c r="E68" s="8">
        <f>'04 变换后数据'!F68</f>
        <v/>
      </c>
      <c r="F68" s="8">
        <f>IF(ISNUMBER(D68),SLOPE('04 变换后数据'!$C$5:$C$160,'09b 辅助计算(残差)'!$C$5:$C$160)*C68+INTERCEPT('04 变换后数据'!$C$5:$C$160,'09b 辅助计算(残差)'!$C$5:$C$160),"")</f>
        <v/>
      </c>
      <c r="G68" s="8">
        <f>IF(ISNUMBER(D68),D68-F68,"")</f>
        <v/>
      </c>
      <c r="H68" s="8">
        <f>IF(ISNUMBER(E68),SLOPE('04 变换后数据'!$F$5:$F$160,'09b 辅助计算(残差)'!$C$5:$C$160)*C68+INTERCEPT('04 变换后数据'!$F$5:$F$160,'09b 辅助计算(残差)'!$C$5:$C$160),"")</f>
        <v/>
      </c>
      <c r="I68" s="8">
        <f>IF(ISNUMBER(E68),E68-H68,"")</f>
        <v/>
      </c>
    </row>
    <row r="69">
      <c r="A69" s="23" t="n">
        <v>65</v>
      </c>
      <c r="B69" s="8">
        <f>'04 变换后数据'!B69</f>
        <v/>
      </c>
      <c r="C69" s="23" t="n">
        <v>65</v>
      </c>
      <c r="D69" s="8">
        <f>'04 变换后数据'!C69</f>
        <v/>
      </c>
      <c r="E69" s="8">
        <f>'04 变换后数据'!F69</f>
        <v/>
      </c>
      <c r="F69" s="8">
        <f>IF(ISNUMBER(D69),SLOPE('04 变换后数据'!$C$5:$C$160,'09b 辅助计算(残差)'!$C$5:$C$160)*C69+INTERCEPT('04 变换后数据'!$C$5:$C$160,'09b 辅助计算(残差)'!$C$5:$C$160),"")</f>
        <v/>
      </c>
      <c r="G69" s="8">
        <f>IF(ISNUMBER(D69),D69-F69,"")</f>
        <v/>
      </c>
      <c r="H69" s="8">
        <f>IF(ISNUMBER(E69),SLOPE('04 变换后数据'!$F$5:$F$160,'09b 辅助计算(残差)'!$C$5:$C$160)*C69+INTERCEPT('04 变换后数据'!$F$5:$F$160,'09b 辅助计算(残差)'!$C$5:$C$160),"")</f>
        <v/>
      </c>
      <c r="I69" s="8">
        <f>IF(ISNUMBER(E69),E69-H69,"")</f>
        <v/>
      </c>
    </row>
    <row r="70">
      <c r="A70" s="23" t="n">
        <v>66</v>
      </c>
      <c r="B70" s="8">
        <f>'04 变换后数据'!B70</f>
        <v/>
      </c>
      <c r="C70" s="23" t="n">
        <v>66</v>
      </c>
      <c r="D70" s="8">
        <f>'04 变换后数据'!C70</f>
        <v/>
      </c>
      <c r="E70" s="8">
        <f>'04 变换后数据'!F70</f>
        <v/>
      </c>
      <c r="F70" s="8">
        <f>IF(ISNUMBER(D70),SLOPE('04 变换后数据'!$C$5:$C$160,'09b 辅助计算(残差)'!$C$5:$C$160)*C70+INTERCEPT('04 变换后数据'!$C$5:$C$160,'09b 辅助计算(残差)'!$C$5:$C$160),"")</f>
        <v/>
      </c>
      <c r="G70" s="8">
        <f>IF(ISNUMBER(D70),D70-F70,"")</f>
        <v/>
      </c>
      <c r="H70" s="8">
        <f>IF(ISNUMBER(E70),SLOPE('04 变换后数据'!$F$5:$F$160,'09b 辅助计算(残差)'!$C$5:$C$160)*C70+INTERCEPT('04 变换后数据'!$F$5:$F$160,'09b 辅助计算(残差)'!$C$5:$C$160),"")</f>
        <v/>
      </c>
      <c r="I70" s="8">
        <f>IF(ISNUMBER(E70),E70-H70,"")</f>
        <v/>
      </c>
    </row>
    <row r="71">
      <c r="A71" s="23" t="n">
        <v>67</v>
      </c>
      <c r="B71" s="8">
        <f>'04 变换后数据'!B71</f>
        <v/>
      </c>
      <c r="C71" s="23" t="n">
        <v>67</v>
      </c>
      <c r="D71" s="8">
        <f>'04 变换后数据'!C71</f>
        <v/>
      </c>
      <c r="E71" s="8">
        <f>'04 变换后数据'!F71</f>
        <v/>
      </c>
      <c r="F71" s="8">
        <f>IF(ISNUMBER(D71),SLOPE('04 变换后数据'!$C$5:$C$160,'09b 辅助计算(残差)'!$C$5:$C$160)*C71+INTERCEPT('04 变换后数据'!$C$5:$C$160,'09b 辅助计算(残差)'!$C$5:$C$160),"")</f>
        <v/>
      </c>
      <c r="G71" s="8">
        <f>IF(ISNUMBER(D71),D71-F71,"")</f>
        <v/>
      </c>
      <c r="H71" s="8">
        <f>IF(ISNUMBER(E71),SLOPE('04 变换后数据'!$F$5:$F$160,'09b 辅助计算(残差)'!$C$5:$C$160)*C71+INTERCEPT('04 变换后数据'!$F$5:$F$160,'09b 辅助计算(残差)'!$C$5:$C$160),"")</f>
        <v/>
      </c>
      <c r="I71" s="8">
        <f>IF(ISNUMBER(E71),E71-H71,"")</f>
        <v/>
      </c>
    </row>
    <row r="72">
      <c r="A72" s="23" t="n">
        <v>68</v>
      </c>
      <c r="B72" s="8">
        <f>'04 变换后数据'!B72</f>
        <v/>
      </c>
      <c r="C72" s="23" t="n">
        <v>68</v>
      </c>
      <c r="D72" s="8">
        <f>'04 变换后数据'!C72</f>
        <v/>
      </c>
      <c r="E72" s="8">
        <f>'04 变换后数据'!F72</f>
        <v/>
      </c>
      <c r="F72" s="8">
        <f>IF(ISNUMBER(D72),SLOPE('04 变换后数据'!$C$5:$C$160,'09b 辅助计算(残差)'!$C$5:$C$160)*C72+INTERCEPT('04 变换后数据'!$C$5:$C$160,'09b 辅助计算(残差)'!$C$5:$C$160),"")</f>
        <v/>
      </c>
      <c r="G72" s="8">
        <f>IF(ISNUMBER(D72),D72-F72,"")</f>
        <v/>
      </c>
      <c r="H72" s="8">
        <f>IF(ISNUMBER(E72),SLOPE('04 变换后数据'!$F$5:$F$160,'09b 辅助计算(残差)'!$C$5:$C$160)*C72+INTERCEPT('04 变换后数据'!$F$5:$F$160,'09b 辅助计算(残差)'!$C$5:$C$160),"")</f>
        <v/>
      </c>
      <c r="I72" s="8">
        <f>IF(ISNUMBER(E72),E72-H72,"")</f>
        <v/>
      </c>
    </row>
    <row r="73">
      <c r="A73" s="23" t="n">
        <v>69</v>
      </c>
      <c r="B73" s="8">
        <f>'04 变换后数据'!B73</f>
        <v/>
      </c>
      <c r="C73" s="23" t="n">
        <v>69</v>
      </c>
      <c r="D73" s="8">
        <f>'04 变换后数据'!C73</f>
        <v/>
      </c>
      <c r="E73" s="8">
        <f>'04 变换后数据'!F73</f>
        <v/>
      </c>
      <c r="F73" s="8">
        <f>IF(ISNUMBER(D73),SLOPE('04 变换后数据'!$C$5:$C$160,'09b 辅助计算(残差)'!$C$5:$C$160)*C73+INTERCEPT('04 变换后数据'!$C$5:$C$160,'09b 辅助计算(残差)'!$C$5:$C$160),"")</f>
        <v/>
      </c>
      <c r="G73" s="8">
        <f>IF(ISNUMBER(D73),D73-F73,"")</f>
        <v/>
      </c>
      <c r="H73" s="8">
        <f>IF(ISNUMBER(E73),SLOPE('04 变换后数据'!$F$5:$F$160,'09b 辅助计算(残差)'!$C$5:$C$160)*C73+INTERCEPT('04 变换后数据'!$F$5:$F$160,'09b 辅助计算(残差)'!$C$5:$C$160),"")</f>
        <v/>
      </c>
      <c r="I73" s="8">
        <f>IF(ISNUMBER(E73),E73-H73,"")</f>
        <v/>
      </c>
    </row>
    <row r="74">
      <c r="A74" s="23" t="n">
        <v>70</v>
      </c>
      <c r="B74" s="8">
        <f>'04 变换后数据'!B74</f>
        <v/>
      </c>
      <c r="C74" s="23" t="n">
        <v>70</v>
      </c>
      <c r="D74" s="8">
        <f>'04 变换后数据'!C74</f>
        <v/>
      </c>
      <c r="E74" s="8">
        <f>'04 变换后数据'!F74</f>
        <v/>
      </c>
      <c r="F74" s="8">
        <f>IF(ISNUMBER(D74),SLOPE('04 变换后数据'!$C$5:$C$160,'09b 辅助计算(残差)'!$C$5:$C$160)*C74+INTERCEPT('04 变换后数据'!$C$5:$C$160,'09b 辅助计算(残差)'!$C$5:$C$160),"")</f>
        <v/>
      </c>
      <c r="G74" s="8">
        <f>IF(ISNUMBER(D74),D74-F74,"")</f>
        <v/>
      </c>
      <c r="H74" s="8">
        <f>IF(ISNUMBER(E74),SLOPE('04 变换后数据'!$F$5:$F$160,'09b 辅助计算(残差)'!$C$5:$C$160)*C74+INTERCEPT('04 变换后数据'!$F$5:$F$160,'09b 辅助计算(残差)'!$C$5:$C$160),"")</f>
        <v/>
      </c>
      <c r="I74" s="8">
        <f>IF(ISNUMBER(E74),E74-H74,"")</f>
        <v/>
      </c>
    </row>
    <row r="75">
      <c r="A75" s="23" t="n">
        <v>71</v>
      </c>
      <c r="B75" s="8">
        <f>'04 变换后数据'!B75</f>
        <v/>
      </c>
      <c r="C75" s="23" t="n">
        <v>71</v>
      </c>
      <c r="D75" s="8">
        <f>'04 变换后数据'!C75</f>
        <v/>
      </c>
      <c r="E75" s="8">
        <f>'04 变换后数据'!F75</f>
        <v/>
      </c>
      <c r="F75" s="8">
        <f>IF(ISNUMBER(D75),SLOPE('04 变换后数据'!$C$5:$C$160,'09b 辅助计算(残差)'!$C$5:$C$160)*C75+INTERCEPT('04 变换后数据'!$C$5:$C$160,'09b 辅助计算(残差)'!$C$5:$C$160),"")</f>
        <v/>
      </c>
      <c r="G75" s="8">
        <f>IF(ISNUMBER(D75),D75-F75,"")</f>
        <v/>
      </c>
      <c r="H75" s="8">
        <f>IF(ISNUMBER(E75),SLOPE('04 变换后数据'!$F$5:$F$160,'09b 辅助计算(残差)'!$C$5:$C$160)*C75+INTERCEPT('04 变换后数据'!$F$5:$F$160,'09b 辅助计算(残差)'!$C$5:$C$160),"")</f>
        <v/>
      </c>
      <c r="I75" s="8">
        <f>IF(ISNUMBER(E75),E75-H75,"")</f>
        <v/>
      </c>
    </row>
    <row r="76">
      <c r="A76" s="23" t="n">
        <v>72</v>
      </c>
      <c r="B76" s="8">
        <f>'04 变换后数据'!B76</f>
        <v/>
      </c>
      <c r="C76" s="23" t="n">
        <v>72</v>
      </c>
      <c r="D76" s="8">
        <f>'04 变换后数据'!C76</f>
        <v/>
      </c>
      <c r="E76" s="8">
        <f>'04 变换后数据'!F76</f>
        <v/>
      </c>
      <c r="F76" s="8">
        <f>IF(ISNUMBER(D76),SLOPE('04 变换后数据'!$C$5:$C$160,'09b 辅助计算(残差)'!$C$5:$C$160)*C76+INTERCEPT('04 变换后数据'!$C$5:$C$160,'09b 辅助计算(残差)'!$C$5:$C$160),"")</f>
        <v/>
      </c>
      <c r="G76" s="8">
        <f>IF(ISNUMBER(D76),D76-F76,"")</f>
        <v/>
      </c>
      <c r="H76" s="8">
        <f>IF(ISNUMBER(E76),SLOPE('04 变换后数据'!$F$5:$F$160,'09b 辅助计算(残差)'!$C$5:$C$160)*C76+INTERCEPT('04 变换后数据'!$F$5:$F$160,'09b 辅助计算(残差)'!$C$5:$C$160),"")</f>
        <v/>
      </c>
      <c r="I76" s="8">
        <f>IF(ISNUMBER(E76),E76-H76,"")</f>
        <v/>
      </c>
    </row>
    <row r="77">
      <c r="A77" s="23" t="n">
        <v>73</v>
      </c>
      <c r="B77" s="8">
        <f>'04 变换后数据'!B77</f>
        <v/>
      </c>
      <c r="C77" s="23" t="n">
        <v>73</v>
      </c>
      <c r="D77" s="8">
        <f>'04 变换后数据'!C77</f>
        <v/>
      </c>
      <c r="E77" s="8">
        <f>'04 变换后数据'!F77</f>
        <v/>
      </c>
      <c r="F77" s="8">
        <f>IF(ISNUMBER(D77),SLOPE('04 变换后数据'!$C$5:$C$160,'09b 辅助计算(残差)'!$C$5:$C$160)*C77+INTERCEPT('04 变换后数据'!$C$5:$C$160,'09b 辅助计算(残差)'!$C$5:$C$160),"")</f>
        <v/>
      </c>
      <c r="G77" s="8">
        <f>IF(ISNUMBER(D77),D77-F77,"")</f>
        <v/>
      </c>
      <c r="H77" s="8">
        <f>IF(ISNUMBER(E77),SLOPE('04 变换后数据'!$F$5:$F$160,'09b 辅助计算(残差)'!$C$5:$C$160)*C77+INTERCEPT('04 变换后数据'!$F$5:$F$160,'09b 辅助计算(残差)'!$C$5:$C$160),"")</f>
        <v/>
      </c>
      <c r="I77" s="8">
        <f>IF(ISNUMBER(E77),E77-H77,"")</f>
        <v/>
      </c>
    </row>
    <row r="78">
      <c r="A78" s="23" t="n">
        <v>74</v>
      </c>
      <c r="B78" s="8">
        <f>'04 变换后数据'!B78</f>
        <v/>
      </c>
      <c r="C78" s="23" t="n">
        <v>74</v>
      </c>
      <c r="D78" s="8">
        <f>'04 变换后数据'!C78</f>
        <v/>
      </c>
      <c r="E78" s="8">
        <f>'04 变换后数据'!F78</f>
        <v/>
      </c>
      <c r="F78" s="8">
        <f>IF(ISNUMBER(D78),SLOPE('04 变换后数据'!$C$5:$C$160,'09b 辅助计算(残差)'!$C$5:$C$160)*C78+INTERCEPT('04 变换后数据'!$C$5:$C$160,'09b 辅助计算(残差)'!$C$5:$C$160),"")</f>
        <v/>
      </c>
      <c r="G78" s="8">
        <f>IF(ISNUMBER(D78),D78-F78,"")</f>
        <v/>
      </c>
      <c r="H78" s="8">
        <f>IF(ISNUMBER(E78),SLOPE('04 变换后数据'!$F$5:$F$160,'09b 辅助计算(残差)'!$C$5:$C$160)*C78+INTERCEPT('04 变换后数据'!$F$5:$F$160,'09b 辅助计算(残差)'!$C$5:$C$160),"")</f>
        <v/>
      </c>
      <c r="I78" s="8">
        <f>IF(ISNUMBER(E78),E78-H78,"")</f>
        <v/>
      </c>
    </row>
    <row r="79">
      <c r="A79" s="23" t="n">
        <v>75</v>
      </c>
      <c r="B79" s="8">
        <f>'04 变换后数据'!B79</f>
        <v/>
      </c>
      <c r="C79" s="23" t="n">
        <v>75</v>
      </c>
      <c r="D79" s="8">
        <f>'04 变换后数据'!C79</f>
        <v/>
      </c>
      <c r="E79" s="8">
        <f>'04 变换后数据'!F79</f>
        <v/>
      </c>
      <c r="F79" s="8">
        <f>IF(ISNUMBER(D79),SLOPE('04 变换后数据'!$C$5:$C$160,'09b 辅助计算(残差)'!$C$5:$C$160)*C79+INTERCEPT('04 变换后数据'!$C$5:$C$160,'09b 辅助计算(残差)'!$C$5:$C$160),"")</f>
        <v/>
      </c>
      <c r="G79" s="8">
        <f>IF(ISNUMBER(D79),D79-F79,"")</f>
        <v/>
      </c>
      <c r="H79" s="8">
        <f>IF(ISNUMBER(E79),SLOPE('04 变换后数据'!$F$5:$F$160,'09b 辅助计算(残差)'!$C$5:$C$160)*C79+INTERCEPT('04 变换后数据'!$F$5:$F$160,'09b 辅助计算(残差)'!$C$5:$C$160),"")</f>
        <v/>
      </c>
      <c r="I79" s="8">
        <f>IF(ISNUMBER(E79),E79-H79,"")</f>
        <v/>
      </c>
    </row>
    <row r="80">
      <c r="A80" s="23" t="n">
        <v>76</v>
      </c>
      <c r="B80" s="8">
        <f>'04 变换后数据'!B80</f>
        <v/>
      </c>
      <c r="C80" s="23" t="n">
        <v>76</v>
      </c>
      <c r="D80" s="8">
        <f>'04 变换后数据'!C80</f>
        <v/>
      </c>
      <c r="E80" s="8">
        <f>'04 变换后数据'!F80</f>
        <v/>
      </c>
      <c r="F80" s="8">
        <f>IF(ISNUMBER(D80),SLOPE('04 变换后数据'!$C$5:$C$160,'09b 辅助计算(残差)'!$C$5:$C$160)*C80+INTERCEPT('04 变换后数据'!$C$5:$C$160,'09b 辅助计算(残差)'!$C$5:$C$160),"")</f>
        <v/>
      </c>
      <c r="G80" s="8">
        <f>IF(ISNUMBER(D80),D80-F80,"")</f>
        <v/>
      </c>
      <c r="H80" s="8">
        <f>IF(ISNUMBER(E80),SLOPE('04 变换后数据'!$F$5:$F$160,'09b 辅助计算(残差)'!$C$5:$C$160)*C80+INTERCEPT('04 变换后数据'!$F$5:$F$160,'09b 辅助计算(残差)'!$C$5:$C$160),"")</f>
        <v/>
      </c>
      <c r="I80" s="8">
        <f>IF(ISNUMBER(E80),E80-H80,"")</f>
        <v/>
      </c>
    </row>
    <row r="81">
      <c r="A81" s="23" t="n">
        <v>77</v>
      </c>
      <c r="B81" s="8">
        <f>'04 变换后数据'!B81</f>
        <v/>
      </c>
      <c r="C81" s="23" t="n">
        <v>77</v>
      </c>
      <c r="D81" s="8">
        <f>'04 变换后数据'!C81</f>
        <v/>
      </c>
      <c r="E81" s="8">
        <f>'04 变换后数据'!F81</f>
        <v/>
      </c>
      <c r="F81" s="8">
        <f>IF(ISNUMBER(D81),SLOPE('04 变换后数据'!$C$5:$C$160,'09b 辅助计算(残差)'!$C$5:$C$160)*C81+INTERCEPT('04 变换后数据'!$C$5:$C$160,'09b 辅助计算(残差)'!$C$5:$C$160),"")</f>
        <v/>
      </c>
      <c r="G81" s="8">
        <f>IF(ISNUMBER(D81),D81-F81,"")</f>
        <v/>
      </c>
      <c r="H81" s="8">
        <f>IF(ISNUMBER(E81),SLOPE('04 变换后数据'!$F$5:$F$160,'09b 辅助计算(残差)'!$C$5:$C$160)*C81+INTERCEPT('04 变换后数据'!$F$5:$F$160,'09b 辅助计算(残差)'!$C$5:$C$160),"")</f>
        <v/>
      </c>
      <c r="I81" s="8">
        <f>IF(ISNUMBER(E81),E81-H81,"")</f>
        <v/>
      </c>
    </row>
    <row r="82">
      <c r="A82" s="23" t="n">
        <v>78</v>
      </c>
      <c r="B82" s="8">
        <f>'04 变换后数据'!B82</f>
        <v/>
      </c>
      <c r="C82" s="23" t="n">
        <v>78</v>
      </c>
      <c r="D82" s="8">
        <f>'04 变换后数据'!C82</f>
        <v/>
      </c>
      <c r="E82" s="8">
        <f>'04 变换后数据'!F82</f>
        <v/>
      </c>
      <c r="F82" s="8">
        <f>IF(ISNUMBER(D82),SLOPE('04 变换后数据'!$C$5:$C$160,'09b 辅助计算(残差)'!$C$5:$C$160)*C82+INTERCEPT('04 变换后数据'!$C$5:$C$160,'09b 辅助计算(残差)'!$C$5:$C$160),"")</f>
        <v/>
      </c>
      <c r="G82" s="8">
        <f>IF(ISNUMBER(D82),D82-F82,"")</f>
        <v/>
      </c>
      <c r="H82" s="8">
        <f>IF(ISNUMBER(E82),SLOPE('04 变换后数据'!$F$5:$F$160,'09b 辅助计算(残差)'!$C$5:$C$160)*C82+INTERCEPT('04 变换后数据'!$F$5:$F$160,'09b 辅助计算(残差)'!$C$5:$C$160),"")</f>
        <v/>
      </c>
      <c r="I82" s="8">
        <f>IF(ISNUMBER(E82),E82-H82,"")</f>
        <v/>
      </c>
    </row>
    <row r="83">
      <c r="A83" s="23" t="n">
        <v>79</v>
      </c>
      <c r="B83" s="8">
        <f>'04 变换后数据'!B83</f>
        <v/>
      </c>
      <c r="C83" s="23" t="n">
        <v>79</v>
      </c>
      <c r="D83" s="8">
        <f>'04 变换后数据'!C83</f>
        <v/>
      </c>
      <c r="E83" s="8">
        <f>'04 变换后数据'!F83</f>
        <v/>
      </c>
      <c r="F83" s="8">
        <f>IF(ISNUMBER(D83),SLOPE('04 变换后数据'!$C$5:$C$160,'09b 辅助计算(残差)'!$C$5:$C$160)*C83+INTERCEPT('04 变换后数据'!$C$5:$C$160,'09b 辅助计算(残差)'!$C$5:$C$160),"")</f>
        <v/>
      </c>
      <c r="G83" s="8">
        <f>IF(ISNUMBER(D83),D83-F83,"")</f>
        <v/>
      </c>
      <c r="H83" s="8">
        <f>IF(ISNUMBER(E83),SLOPE('04 变换后数据'!$F$5:$F$160,'09b 辅助计算(残差)'!$C$5:$C$160)*C83+INTERCEPT('04 变换后数据'!$F$5:$F$160,'09b 辅助计算(残差)'!$C$5:$C$160),"")</f>
        <v/>
      </c>
      <c r="I83" s="8">
        <f>IF(ISNUMBER(E83),E83-H83,"")</f>
        <v/>
      </c>
    </row>
    <row r="84">
      <c r="A84" s="23" t="n">
        <v>80</v>
      </c>
      <c r="B84" s="8">
        <f>'04 变换后数据'!B84</f>
        <v/>
      </c>
      <c r="C84" s="23" t="n">
        <v>80</v>
      </c>
      <c r="D84" s="8">
        <f>'04 变换后数据'!C84</f>
        <v/>
      </c>
      <c r="E84" s="8">
        <f>'04 变换后数据'!F84</f>
        <v/>
      </c>
      <c r="F84" s="8">
        <f>IF(ISNUMBER(D84),SLOPE('04 变换后数据'!$C$5:$C$160,'09b 辅助计算(残差)'!$C$5:$C$160)*C84+INTERCEPT('04 变换后数据'!$C$5:$C$160,'09b 辅助计算(残差)'!$C$5:$C$160),"")</f>
        <v/>
      </c>
      <c r="G84" s="8">
        <f>IF(ISNUMBER(D84),D84-F84,"")</f>
        <v/>
      </c>
      <c r="H84" s="8">
        <f>IF(ISNUMBER(E84),SLOPE('04 变换后数据'!$F$5:$F$160,'09b 辅助计算(残差)'!$C$5:$C$160)*C84+INTERCEPT('04 变换后数据'!$F$5:$F$160,'09b 辅助计算(残差)'!$C$5:$C$160),"")</f>
        <v/>
      </c>
      <c r="I84" s="8">
        <f>IF(ISNUMBER(E84),E84-H84,"")</f>
        <v/>
      </c>
    </row>
    <row r="85">
      <c r="A85" s="23" t="n">
        <v>81</v>
      </c>
      <c r="B85" s="8">
        <f>'04 变换后数据'!B85</f>
        <v/>
      </c>
      <c r="C85" s="23" t="n">
        <v>81</v>
      </c>
      <c r="D85" s="8">
        <f>'04 变换后数据'!C85</f>
        <v/>
      </c>
      <c r="E85" s="8">
        <f>'04 变换后数据'!F85</f>
        <v/>
      </c>
      <c r="F85" s="8">
        <f>IF(ISNUMBER(D85),SLOPE('04 变换后数据'!$C$5:$C$160,'09b 辅助计算(残差)'!$C$5:$C$160)*C85+INTERCEPT('04 变换后数据'!$C$5:$C$160,'09b 辅助计算(残差)'!$C$5:$C$160),"")</f>
        <v/>
      </c>
      <c r="G85" s="8">
        <f>IF(ISNUMBER(D85),D85-F85,"")</f>
        <v/>
      </c>
      <c r="H85" s="8">
        <f>IF(ISNUMBER(E85),SLOPE('04 变换后数据'!$F$5:$F$160,'09b 辅助计算(残差)'!$C$5:$C$160)*C85+INTERCEPT('04 变换后数据'!$F$5:$F$160,'09b 辅助计算(残差)'!$C$5:$C$160),"")</f>
        <v/>
      </c>
      <c r="I85" s="8">
        <f>IF(ISNUMBER(E85),E85-H85,"")</f>
        <v/>
      </c>
    </row>
    <row r="86">
      <c r="A86" s="23" t="n">
        <v>82</v>
      </c>
      <c r="B86" s="8">
        <f>'04 变换后数据'!B86</f>
        <v/>
      </c>
      <c r="C86" s="23" t="n">
        <v>82</v>
      </c>
      <c r="D86" s="8">
        <f>'04 变换后数据'!C86</f>
        <v/>
      </c>
      <c r="E86" s="8">
        <f>'04 变换后数据'!F86</f>
        <v/>
      </c>
      <c r="F86" s="8">
        <f>IF(ISNUMBER(D86),SLOPE('04 变换后数据'!$C$5:$C$160,'09b 辅助计算(残差)'!$C$5:$C$160)*C86+INTERCEPT('04 变换后数据'!$C$5:$C$160,'09b 辅助计算(残差)'!$C$5:$C$160),"")</f>
        <v/>
      </c>
      <c r="G86" s="8">
        <f>IF(ISNUMBER(D86),D86-F86,"")</f>
        <v/>
      </c>
      <c r="H86" s="8">
        <f>IF(ISNUMBER(E86),SLOPE('04 变换后数据'!$F$5:$F$160,'09b 辅助计算(残差)'!$C$5:$C$160)*C86+INTERCEPT('04 变换后数据'!$F$5:$F$160,'09b 辅助计算(残差)'!$C$5:$C$160),"")</f>
        <v/>
      </c>
      <c r="I86" s="8">
        <f>IF(ISNUMBER(E86),E86-H86,"")</f>
        <v/>
      </c>
    </row>
    <row r="87">
      <c r="A87" s="23" t="n">
        <v>83</v>
      </c>
      <c r="B87" s="8">
        <f>'04 变换后数据'!B87</f>
        <v/>
      </c>
      <c r="C87" s="23" t="n">
        <v>83</v>
      </c>
      <c r="D87" s="8">
        <f>'04 变换后数据'!C87</f>
        <v/>
      </c>
      <c r="E87" s="8">
        <f>'04 变换后数据'!F87</f>
        <v/>
      </c>
      <c r="F87" s="8">
        <f>IF(ISNUMBER(D87),SLOPE('04 变换后数据'!$C$5:$C$160,'09b 辅助计算(残差)'!$C$5:$C$160)*C87+INTERCEPT('04 变换后数据'!$C$5:$C$160,'09b 辅助计算(残差)'!$C$5:$C$160),"")</f>
        <v/>
      </c>
      <c r="G87" s="8">
        <f>IF(ISNUMBER(D87),D87-F87,"")</f>
        <v/>
      </c>
      <c r="H87" s="8">
        <f>IF(ISNUMBER(E87),SLOPE('04 变换后数据'!$F$5:$F$160,'09b 辅助计算(残差)'!$C$5:$C$160)*C87+INTERCEPT('04 变换后数据'!$F$5:$F$160,'09b 辅助计算(残差)'!$C$5:$C$160),"")</f>
        <v/>
      </c>
      <c r="I87" s="8">
        <f>IF(ISNUMBER(E87),E87-H87,"")</f>
        <v/>
      </c>
    </row>
    <row r="88">
      <c r="A88" s="23" t="n">
        <v>84</v>
      </c>
      <c r="B88" s="8">
        <f>'04 变换后数据'!B88</f>
        <v/>
      </c>
      <c r="C88" s="23" t="n">
        <v>84</v>
      </c>
      <c r="D88" s="8">
        <f>'04 变换后数据'!C88</f>
        <v/>
      </c>
      <c r="E88" s="8">
        <f>'04 变换后数据'!F88</f>
        <v/>
      </c>
      <c r="F88" s="8">
        <f>IF(ISNUMBER(D88),SLOPE('04 变换后数据'!$C$5:$C$160,'09b 辅助计算(残差)'!$C$5:$C$160)*C88+INTERCEPT('04 变换后数据'!$C$5:$C$160,'09b 辅助计算(残差)'!$C$5:$C$160),"")</f>
        <v/>
      </c>
      <c r="G88" s="8">
        <f>IF(ISNUMBER(D88),D88-F88,"")</f>
        <v/>
      </c>
      <c r="H88" s="8">
        <f>IF(ISNUMBER(E88),SLOPE('04 变换后数据'!$F$5:$F$160,'09b 辅助计算(残差)'!$C$5:$C$160)*C88+INTERCEPT('04 变换后数据'!$F$5:$F$160,'09b 辅助计算(残差)'!$C$5:$C$160),"")</f>
        <v/>
      </c>
      <c r="I88" s="8">
        <f>IF(ISNUMBER(E88),E88-H88,"")</f>
        <v/>
      </c>
    </row>
    <row r="89">
      <c r="A89" s="23" t="n">
        <v>85</v>
      </c>
      <c r="B89" s="8">
        <f>'04 变换后数据'!B89</f>
        <v/>
      </c>
      <c r="C89" s="23" t="n">
        <v>85</v>
      </c>
      <c r="D89" s="8">
        <f>'04 变换后数据'!C89</f>
        <v/>
      </c>
      <c r="E89" s="8">
        <f>'04 变换后数据'!F89</f>
        <v/>
      </c>
      <c r="F89" s="8">
        <f>IF(ISNUMBER(D89),SLOPE('04 变换后数据'!$C$5:$C$160,'09b 辅助计算(残差)'!$C$5:$C$160)*C89+INTERCEPT('04 变换后数据'!$C$5:$C$160,'09b 辅助计算(残差)'!$C$5:$C$160),"")</f>
        <v/>
      </c>
      <c r="G89" s="8">
        <f>IF(ISNUMBER(D89),D89-F89,"")</f>
        <v/>
      </c>
      <c r="H89" s="8">
        <f>IF(ISNUMBER(E89),SLOPE('04 变换后数据'!$F$5:$F$160,'09b 辅助计算(残差)'!$C$5:$C$160)*C89+INTERCEPT('04 变换后数据'!$F$5:$F$160,'09b 辅助计算(残差)'!$C$5:$C$160),"")</f>
        <v/>
      </c>
      <c r="I89" s="8">
        <f>IF(ISNUMBER(E89),E89-H89,"")</f>
        <v/>
      </c>
    </row>
    <row r="90">
      <c r="A90" s="23" t="n">
        <v>86</v>
      </c>
      <c r="B90" s="8">
        <f>'04 变换后数据'!B90</f>
        <v/>
      </c>
      <c r="C90" s="23" t="n">
        <v>86</v>
      </c>
      <c r="D90" s="8">
        <f>'04 变换后数据'!C90</f>
        <v/>
      </c>
      <c r="E90" s="8">
        <f>'04 变换后数据'!F90</f>
        <v/>
      </c>
      <c r="F90" s="8">
        <f>IF(ISNUMBER(D90),SLOPE('04 变换后数据'!$C$5:$C$160,'09b 辅助计算(残差)'!$C$5:$C$160)*C90+INTERCEPT('04 变换后数据'!$C$5:$C$160,'09b 辅助计算(残差)'!$C$5:$C$160),"")</f>
        <v/>
      </c>
      <c r="G90" s="8">
        <f>IF(ISNUMBER(D90),D90-F90,"")</f>
        <v/>
      </c>
      <c r="H90" s="8">
        <f>IF(ISNUMBER(E90),SLOPE('04 变换后数据'!$F$5:$F$160,'09b 辅助计算(残差)'!$C$5:$C$160)*C90+INTERCEPT('04 变换后数据'!$F$5:$F$160,'09b 辅助计算(残差)'!$C$5:$C$160),"")</f>
        <v/>
      </c>
      <c r="I90" s="8">
        <f>IF(ISNUMBER(E90),E90-H90,"")</f>
        <v/>
      </c>
    </row>
    <row r="91">
      <c r="A91" s="23" t="n">
        <v>87</v>
      </c>
      <c r="B91" s="8">
        <f>'04 变换后数据'!B91</f>
        <v/>
      </c>
      <c r="C91" s="23" t="n">
        <v>87</v>
      </c>
      <c r="D91" s="8">
        <f>'04 变换后数据'!C91</f>
        <v/>
      </c>
      <c r="E91" s="8">
        <f>'04 变换后数据'!F91</f>
        <v/>
      </c>
      <c r="F91" s="8">
        <f>IF(ISNUMBER(D91),SLOPE('04 变换后数据'!$C$5:$C$160,'09b 辅助计算(残差)'!$C$5:$C$160)*C91+INTERCEPT('04 变换后数据'!$C$5:$C$160,'09b 辅助计算(残差)'!$C$5:$C$160),"")</f>
        <v/>
      </c>
      <c r="G91" s="8">
        <f>IF(ISNUMBER(D91),D91-F91,"")</f>
        <v/>
      </c>
      <c r="H91" s="8">
        <f>IF(ISNUMBER(E91),SLOPE('04 变换后数据'!$F$5:$F$160,'09b 辅助计算(残差)'!$C$5:$C$160)*C91+INTERCEPT('04 变换后数据'!$F$5:$F$160,'09b 辅助计算(残差)'!$C$5:$C$160),"")</f>
        <v/>
      </c>
      <c r="I91" s="8">
        <f>IF(ISNUMBER(E91),E91-H91,"")</f>
        <v/>
      </c>
    </row>
    <row r="92">
      <c r="A92" s="23" t="n">
        <v>88</v>
      </c>
      <c r="B92" s="8">
        <f>'04 变换后数据'!B92</f>
        <v/>
      </c>
      <c r="C92" s="23" t="n">
        <v>88</v>
      </c>
      <c r="D92" s="8">
        <f>'04 变换后数据'!C92</f>
        <v/>
      </c>
      <c r="E92" s="8">
        <f>'04 变换后数据'!F92</f>
        <v/>
      </c>
      <c r="F92" s="8">
        <f>IF(ISNUMBER(D92),SLOPE('04 变换后数据'!$C$5:$C$160,'09b 辅助计算(残差)'!$C$5:$C$160)*C92+INTERCEPT('04 变换后数据'!$C$5:$C$160,'09b 辅助计算(残差)'!$C$5:$C$160),"")</f>
        <v/>
      </c>
      <c r="G92" s="8">
        <f>IF(ISNUMBER(D92),D92-F92,"")</f>
        <v/>
      </c>
      <c r="H92" s="8">
        <f>IF(ISNUMBER(E92),SLOPE('04 变换后数据'!$F$5:$F$160,'09b 辅助计算(残差)'!$C$5:$C$160)*C92+INTERCEPT('04 变换后数据'!$F$5:$F$160,'09b 辅助计算(残差)'!$C$5:$C$160),"")</f>
        <v/>
      </c>
      <c r="I92" s="8">
        <f>IF(ISNUMBER(E92),E92-H92,"")</f>
        <v/>
      </c>
    </row>
    <row r="93">
      <c r="A93" s="23" t="n">
        <v>89</v>
      </c>
      <c r="B93" s="8">
        <f>'04 变换后数据'!B93</f>
        <v/>
      </c>
      <c r="C93" s="23" t="n">
        <v>89</v>
      </c>
      <c r="D93" s="8">
        <f>'04 变换后数据'!C93</f>
        <v/>
      </c>
      <c r="E93" s="8">
        <f>'04 变换后数据'!F93</f>
        <v/>
      </c>
      <c r="F93" s="8">
        <f>IF(ISNUMBER(D93),SLOPE('04 变换后数据'!$C$5:$C$160,'09b 辅助计算(残差)'!$C$5:$C$160)*C93+INTERCEPT('04 变换后数据'!$C$5:$C$160,'09b 辅助计算(残差)'!$C$5:$C$160),"")</f>
        <v/>
      </c>
      <c r="G93" s="8">
        <f>IF(ISNUMBER(D93),D93-F93,"")</f>
        <v/>
      </c>
      <c r="H93" s="8">
        <f>IF(ISNUMBER(E93),SLOPE('04 变换后数据'!$F$5:$F$160,'09b 辅助计算(残差)'!$C$5:$C$160)*C93+INTERCEPT('04 变换后数据'!$F$5:$F$160,'09b 辅助计算(残差)'!$C$5:$C$160),"")</f>
        <v/>
      </c>
      <c r="I93" s="8">
        <f>IF(ISNUMBER(E93),E93-H93,"")</f>
        <v/>
      </c>
    </row>
    <row r="94">
      <c r="A94" s="23" t="n">
        <v>90</v>
      </c>
      <c r="B94" s="8">
        <f>'04 变换后数据'!B94</f>
        <v/>
      </c>
      <c r="C94" s="23" t="n">
        <v>90</v>
      </c>
      <c r="D94" s="8">
        <f>'04 变换后数据'!C94</f>
        <v/>
      </c>
      <c r="E94" s="8">
        <f>'04 变换后数据'!F94</f>
        <v/>
      </c>
      <c r="F94" s="8">
        <f>IF(ISNUMBER(D94),SLOPE('04 变换后数据'!$C$5:$C$160,'09b 辅助计算(残差)'!$C$5:$C$160)*C94+INTERCEPT('04 变换后数据'!$C$5:$C$160,'09b 辅助计算(残差)'!$C$5:$C$160),"")</f>
        <v/>
      </c>
      <c r="G94" s="8">
        <f>IF(ISNUMBER(D94),D94-F94,"")</f>
        <v/>
      </c>
      <c r="H94" s="8">
        <f>IF(ISNUMBER(E94),SLOPE('04 变换后数据'!$F$5:$F$160,'09b 辅助计算(残差)'!$C$5:$C$160)*C94+INTERCEPT('04 变换后数据'!$F$5:$F$160,'09b 辅助计算(残差)'!$C$5:$C$160),"")</f>
        <v/>
      </c>
      <c r="I94" s="8">
        <f>IF(ISNUMBER(E94),E94-H94,"")</f>
        <v/>
      </c>
    </row>
    <row r="95">
      <c r="A95" s="23" t="n">
        <v>91</v>
      </c>
      <c r="B95" s="8">
        <f>'04 变换后数据'!B95</f>
        <v/>
      </c>
      <c r="C95" s="23" t="n">
        <v>91</v>
      </c>
      <c r="D95" s="8">
        <f>'04 变换后数据'!C95</f>
        <v/>
      </c>
      <c r="E95" s="8">
        <f>'04 变换后数据'!F95</f>
        <v/>
      </c>
      <c r="F95" s="8">
        <f>IF(ISNUMBER(D95),SLOPE('04 变换后数据'!$C$5:$C$160,'09b 辅助计算(残差)'!$C$5:$C$160)*C95+INTERCEPT('04 变换后数据'!$C$5:$C$160,'09b 辅助计算(残差)'!$C$5:$C$160),"")</f>
        <v/>
      </c>
      <c r="G95" s="8">
        <f>IF(ISNUMBER(D95),D95-F95,"")</f>
        <v/>
      </c>
      <c r="H95" s="8">
        <f>IF(ISNUMBER(E95),SLOPE('04 变换后数据'!$F$5:$F$160,'09b 辅助计算(残差)'!$C$5:$C$160)*C95+INTERCEPT('04 变换后数据'!$F$5:$F$160,'09b 辅助计算(残差)'!$C$5:$C$160),"")</f>
        <v/>
      </c>
      <c r="I95" s="8">
        <f>IF(ISNUMBER(E95),E95-H95,"")</f>
        <v/>
      </c>
    </row>
    <row r="96">
      <c r="A96" s="23" t="n">
        <v>92</v>
      </c>
      <c r="B96" s="8">
        <f>'04 变换后数据'!B96</f>
        <v/>
      </c>
      <c r="C96" s="23" t="n">
        <v>92</v>
      </c>
      <c r="D96" s="8">
        <f>'04 变换后数据'!C96</f>
        <v/>
      </c>
      <c r="E96" s="8">
        <f>'04 变换后数据'!F96</f>
        <v/>
      </c>
      <c r="F96" s="8">
        <f>IF(ISNUMBER(D96),SLOPE('04 变换后数据'!$C$5:$C$160,'09b 辅助计算(残差)'!$C$5:$C$160)*C96+INTERCEPT('04 变换后数据'!$C$5:$C$160,'09b 辅助计算(残差)'!$C$5:$C$160),"")</f>
        <v/>
      </c>
      <c r="G96" s="8">
        <f>IF(ISNUMBER(D96),D96-F96,"")</f>
        <v/>
      </c>
      <c r="H96" s="8">
        <f>IF(ISNUMBER(E96),SLOPE('04 变换后数据'!$F$5:$F$160,'09b 辅助计算(残差)'!$C$5:$C$160)*C96+INTERCEPT('04 变换后数据'!$F$5:$F$160,'09b 辅助计算(残差)'!$C$5:$C$160),"")</f>
        <v/>
      </c>
      <c r="I96" s="8">
        <f>IF(ISNUMBER(E96),E96-H96,"")</f>
        <v/>
      </c>
    </row>
    <row r="97">
      <c r="A97" s="23" t="n">
        <v>93</v>
      </c>
      <c r="B97" s="8">
        <f>'04 变换后数据'!B97</f>
        <v/>
      </c>
      <c r="C97" s="23" t="n">
        <v>93</v>
      </c>
      <c r="D97" s="8">
        <f>'04 变换后数据'!C97</f>
        <v/>
      </c>
      <c r="E97" s="8">
        <f>'04 变换后数据'!F97</f>
        <v/>
      </c>
      <c r="F97" s="8">
        <f>IF(ISNUMBER(D97),SLOPE('04 变换后数据'!$C$5:$C$160,'09b 辅助计算(残差)'!$C$5:$C$160)*C97+INTERCEPT('04 变换后数据'!$C$5:$C$160,'09b 辅助计算(残差)'!$C$5:$C$160),"")</f>
        <v/>
      </c>
      <c r="G97" s="8">
        <f>IF(ISNUMBER(D97),D97-F97,"")</f>
        <v/>
      </c>
      <c r="H97" s="8">
        <f>IF(ISNUMBER(E97),SLOPE('04 变换后数据'!$F$5:$F$160,'09b 辅助计算(残差)'!$C$5:$C$160)*C97+INTERCEPT('04 变换后数据'!$F$5:$F$160,'09b 辅助计算(残差)'!$C$5:$C$160),"")</f>
        <v/>
      </c>
      <c r="I97" s="8">
        <f>IF(ISNUMBER(E97),E97-H97,"")</f>
        <v/>
      </c>
    </row>
    <row r="98">
      <c r="A98" s="23" t="n">
        <v>94</v>
      </c>
      <c r="B98" s="8">
        <f>'04 变换后数据'!B98</f>
        <v/>
      </c>
      <c r="C98" s="23" t="n">
        <v>94</v>
      </c>
      <c r="D98" s="8">
        <f>'04 变换后数据'!C98</f>
        <v/>
      </c>
      <c r="E98" s="8">
        <f>'04 变换后数据'!F98</f>
        <v/>
      </c>
      <c r="F98" s="8">
        <f>IF(ISNUMBER(D98),SLOPE('04 变换后数据'!$C$5:$C$160,'09b 辅助计算(残差)'!$C$5:$C$160)*C98+INTERCEPT('04 变换后数据'!$C$5:$C$160,'09b 辅助计算(残差)'!$C$5:$C$160),"")</f>
        <v/>
      </c>
      <c r="G98" s="8">
        <f>IF(ISNUMBER(D98),D98-F98,"")</f>
        <v/>
      </c>
      <c r="H98" s="8">
        <f>IF(ISNUMBER(E98),SLOPE('04 变换后数据'!$F$5:$F$160,'09b 辅助计算(残差)'!$C$5:$C$160)*C98+INTERCEPT('04 变换后数据'!$F$5:$F$160,'09b 辅助计算(残差)'!$C$5:$C$160),"")</f>
        <v/>
      </c>
      <c r="I98" s="8">
        <f>IF(ISNUMBER(E98),E98-H98,"")</f>
        <v/>
      </c>
    </row>
    <row r="99">
      <c r="A99" s="23" t="n">
        <v>95</v>
      </c>
      <c r="B99" s="8">
        <f>'04 变换后数据'!B99</f>
        <v/>
      </c>
      <c r="C99" s="23" t="n">
        <v>95</v>
      </c>
      <c r="D99" s="8">
        <f>'04 变换后数据'!C99</f>
        <v/>
      </c>
      <c r="E99" s="8">
        <f>'04 变换后数据'!F99</f>
        <v/>
      </c>
      <c r="F99" s="8">
        <f>IF(ISNUMBER(D99),SLOPE('04 变换后数据'!$C$5:$C$160,'09b 辅助计算(残差)'!$C$5:$C$160)*C99+INTERCEPT('04 变换后数据'!$C$5:$C$160,'09b 辅助计算(残差)'!$C$5:$C$160),"")</f>
        <v/>
      </c>
      <c r="G99" s="8">
        <f>IF(ISNUMBER(D99),D99-F99,"")</f>
        <v/>
      </c>
      <c r="H99" s="8">
        <f>IF(ISNUMBER(E99),SLOPE('04 变换后数据'!$F$5:$F$160,'09b 辅助计算(残差)'!$C$5:$C$160)*C99+INTERCEPT('04 变换后数据'!$F$5:$F$160,'09b 辅助计算(残差)'!$C$5:$C$160),"")</f>
        <v/>
      </c>
      <c r="I99" s="8">
        <f>IF(ISNUMBER(E99),E99-H99,"")</f>
        <v/>
      </c>
    </row>
    <row r="100">
      <c r="A100" s="23" t="n">
        <v>96</v>
      </c>
      <c r="B100" s="8">
        <f>'04 变换后数据'!B100</f>
        <v/>
      </c>
      <c r="C100" s="23" t="n">
        <v>96</v>
      </c>
      <c r="D100" s="8">
        <f>'04 变换后数据'!C100</f>
        <v/>
      </c>
      <c r="E100" s="8">
        <f>'04 变换后数据'!F100</f>
        <v/>
      </c>
      <c r="F100" s="8">
        <f>IF(ISNUMBER(D100),SLOPE('04 变换后数据'!$C$5:$C$160,'09b 辅助计算(残差)'!$C$5:$C$160)*C100+INTERCEPT('04 变换后数据'!$C$5:$C$160,'09b 辅助计算(残差)'!$C$5:$C$160),"")</f>
        <v/>
      </c>
      <c r="G100" s="8">
        <f>IF(ISNUMBER(D100),D100-F100,"")</f>
        <v/>
      </c>
      <c r="H100" s="8">
        <f>IF(ISNUMBER(E100),SLOPE('04 变换后数据'!$F$5:$F$160,'09b 辅助计算(残差)'!$C$5:$C$160)*C100+INTERCEPT('04 变换后数据'!$F$5:$F$160,'09b 辅助计算(残差)'!$C$5:$C$160),"")</f>
        <v/>
      </c>
      <c r="I100" s="8">
        <f>IF(ISNUMBER(E100),E100-H100,"")</f>
        <v/>
      </c>
    </row>
    <row r="101">
      <c r="A101" s="23" t="n">
        <v>97</v>
      </c>
      <c r="B101" s="8">
        <f>'04 变换后数据'!B101</f>
        <v/>
      </c>
      <c r="C101" s="23" t="n">
        <v>97</v>
      </c>
      <c r="D101" s="8">
        <f>'04 变换后数据'!C101</f>
        <v/>
      </c>
      <c r="E101" s="8">
        <f>'04 变换后数据'!F101</f>
        <v/>
      </c>
      <c r="F101" s="8">
        <f>IF(ISNUMBER(D101),SLOPE('04 变换后数据'!$C$5:$C$160,'09b 辅助计算(残差)'!$C$5:$C$160)*C101+INTERCEPT('04 变换后数据'!$C$5:$C$160,'09b 辅助计算(残差)'!$C$5:$C$160),"")</f>
        <v/>
      </c>
      <c r="G101" s="8">
        <f>IF(ISNUMBER(D101),D101-F101,"")</f>
        <v/>
      </c>
      <c r="H101" s="8">
        <f>IF(ISNUMBER(E101),SLOPE('04 变换后数据'!$F$5:$F$160,'09b 辅助计算(残差)'!$C$5:$C$160)*C101+INTERCEPT('04 变换后数据'!$F$5:$F$160,'09b 辅助计算(残差)'!$C$5:$C$160),"")</f>
        <v/>
      </c>
      <c r="I101" s="8">
        <f>IF(ISNUMBER(E101),E101-H101,"")</f>
        <v/>
      </c>
    </row>
    <row r="102">
      <c r="A102" s="23" t="n">
        <v>98</v>
      </c>
      <c r="B102" s="8">
        <f>'04 变换后数据'!B102</f>
        <v/>
      </c>
      <c r="C102" s="23" t="n">
        <v>98</v>
      </c>
      <c r="D102" s="8">
        <f>'04 变换后数据'!C102</f>
        <v/>
      </c>
      <c r="E102" s="8">
        <f>'04 变换后数据'!F102</f>
        <v/>
      </c>
      <c r="F102" s="8">
        <f>IF(ISNUMBER(D102),SLOPE('04 变换后数据'!$C$5:$C$160,'09b 辅助计算(残差)'!$C$5:$C$160)*C102+INTERCEPT('04 变换后数据'!$C$5:$C$160,'09b 辅助计算(残差)'!$C$5:$C$160),"")</f>
        <v/>
      </c>
      <c r="G102" s="8">
        <f>IF(ISNUMBER(D102),D102-F102,"")</f>
        <v/>
      </c>
      <c r="H102" s="8">
        <f>IF(ISNUMBER(E102),SLOPE('04 变换后数据'!$F$5:$F$160,'09b 辅助计算(残差)'!$C$5:$C$160)*C102+INTERCEPT('04 变换后数据'!$F$5:$F$160,'09b 辅助计算(残差)'!$C$5:$C$160),"")</f>
        <v/>
      </c>
      <c r="I102" s="8">
        <f>IF(ISNUMBER(E102),E102-H102,"")</f>
        <v/>
      </c>
    </row>
    <row r="103">
      <c r="A103" s="23" t="n">
        <v>99</v>
      </c>
      <c r="B103" s="8">
        <f>'04 变换后数据'!B103</f>
        <v/>
      </c>
      <c r="C103" s="23" t="n">
        <v>99</v>
      </c>
      <c r="D103" s="8">
        <f>'04 变换后数据'!C103</f>
        <v/>
      </c>
      <c r="E103" s="8">
        <f>'04 变换后数据'!F103</f>
        <v/>
      </c>
      <c r="F103" s="8">
        <f>IF(ISNUMBER(D103),SLOPE('04 变换后数据'!$C$5:$C$160,'09b 辅助计算(残差)'!$C$5:$C$160)*C103+INTERCEPT('04 变换后数据'!$C$5:$C$160,'09b 辅助计算(残差)'!$C$5:$C$160),"")</f>
        <v/>
      </c>
      <c r="G103" s="8">
        <f>IF(ISNUMBER(D103),D103-F103,"")</f>
        <v/>
      </c>
      <c r="H103" s="8">
        <f>IF(ISNUMBER(E103),SLOPE('04 变换后数据'!$F$5:$F$160,'09b 辅助计算(残差)'!$C$5:$C$160)*C103+INTERCEPT('04 变换后数据'!$F$5:$F$160,'09b 辅助计算(残差)'!$C$5:$C$160),"")</f>
        <v/>
      </c>
      <c r="I103" s="8">
        <f>IF(ISNUMBER(E103),E103-H103,"")</f>
        <v/>
      </c>
    </row>
    <row r="104">
      <c r="A104" s="23" t="n">
        <v>100</v>
      </c>
      <c r="B104" s="8">
        <f>'04 变换后数据'!B104</f>
        <v/>
      </c>
      <c r="C104" s="23" t="n">
        <v>100</v>
      </c>
      <c r="D104" s="8">
        <f>'04 变换后数据'!C104</f>
        <v/>
      </c>
      <c r="E104" s="8">
        <f>'04 变换后数据'!F104</f>
        <v/>
      </c>
      <c r="F104" s="8">
        <f>IF(ISNUMBER(D104),SLOPE('04 变换后数据'!$C$5:$C$160,'09b 辅助计算(残差)'!$C$5:$C$160)*C104+INTERCEPT('04 变换后数据'!$C$5:$C$160,'09b 辅助计算(残差)'!$C$5:$C$160),"")</f>
        <v/>
      </c>
      <c r="G104" s="8">
        <f>IF(ISNUMBER(D104),D104-F104,"")</f>
        <v/>
      </c>
      <c r="H104" s="8">
        <f>IF(ISNUMBER(E104),SLOPE('04 变换后数据'!$F$5:$F$160,'09b 辅助计算(残差)'!$C$5:$C$160)*C104+INTERCEPT('04 变换后数据'!$F$5:$F$160,'09b 辅助计算(残差)'!$C$5:$C$160),"")</f>
        <v/>
      </c>
      <c r="I104" s="8">
        <f>IF(ISNUMBER(E104),E104-H104,"")</f>
        <v/>
      </c>
    </row>
    <row r="105">
      <c r="A105" s="23" t="n">
        <v>101</v>
      </c>
      <c r="B105" s="8">
        <f>'04 变换后数据'!B105</f>
        <v/>
      </c>
      <c r="C105" s="23" t="n">
        <v>101</v>
      </c>
      <c r="D105" s="8">
        <f>'04 变换后数据'!C105</f>
        <v/>
      </c>
      <c r="E105" s="8">
        <f>'04 变换后数据'!F105</f>
        <v/>
      </c>
      <c r="F105" s="8">
        <f>IF(ISNUMBER(D105),SLOPE('04 变换后数据'!$C$5:$C$160,'09b 辅助计算(残差)'!$C$5:$C$160)*C105+INTERCEPT('04 变换后数据'!$C$5:$C$160,'09b 辅助计算(残差)'!$C$5:$C$160),"")</f>
        <v/>
      </c>
      <c r="G105" s="8">
        <f>IF(ISNUMBER(D105),D105-F105,"")</f>
        <v/>
      </c>
      <c r="H105" s="8">
        <f>IF(ISNUMBER(E105),SLOPE('04 变换后数据'!$F$5:$F$160,'09b 辅助计算(残差)'!$C$5:$C$160)*C105+INTERCEPT('04 变换后数据'!$F$5:$F$160,'09b 辅助计算(残差)'!$C$5:$C$160),"")</f>
        <v/>
      </c>
      <c r="I105" s="8">
        <f>IF(ISNUMBER(E105),E105-H105,"")</f>
        <v/>
      </c>
    </row>
    <row r="106">
      <c r="A106" s="23" t="n">
        <v>102</v>
      </c>
      <c r="B106" s="8">
        <f>'04 变换后数据'!B106</f>
        <v/>
      </c>
      <c r="C106" s="23" t="n">
        <v>102</v>
      </c>
      <c r="D106" s="8">
        <f>'04 变换后数据'!C106</f>
        <v/>
      </c>
      <c r="E106" s="8">
        <f>'04 变换后数据'!F106</f>
        <v/>
      </c>
      <c r="F106" s="8">
        <f>IF(ISNUMBER(D106),SLOPE('04 变换后数据'!$C$5:$C$160,'09b 辅助计算(残差)'!$C$5:$C$160)*C106+INTERCEPT('04 变换后数据'!$C$5:$C$160,'09b 辅助计算(残差)'!$C$5:$C$160),"")</f>
        <v/>
      </c>
      <c r="G106" s="8">
        <f>IF(ISNUMBER(D106),D106-F106,"")</f>
        <v/>
      </c>
      <c r="H106" s="8">
        <f>IF(ISNUMBER(E106),SLOPE('04 变换后数据'!$F$5:$F$160,'09b 辅助计算(残差)'!$C$5:$C$160)*C106+INTERCEPT('04 变换后数据'!$F$5:$F$160,'09b 辅助计算(残差)'!$C$5:$C$160),"")</f>
        <v/>
      </c>
      <c r="I106" s="8">
        <f>IF(ISNUMBER(E106),E106-H106,"")</f>
        <v/>
      </c>
    </row>
    <row r="107">
      <c r="A107" s="23" t="n">
        <v>103</v>
      </c>
      <c r="B107" s="8">
        <f>'04 变换后数据'!B107</f>
        <v/>
      </c>
      <c r="C107" s="23" t="n">
        <v>103</v>
      </c>
      <c r="D107" s="8">
        <f>'04 变换后数据'!C107</f>
        <v/>
      </c>
      <c r="E107" s="8">
        <f>'04 变换后数据'!F107</f>
        <v/>
      </c>
      <c r="F107" s="8">
        <f>IF(ISNUMBER(D107),SLOPE('04 变换后数据'!$C$5:$C$160,'09b 辅助计算(残差)'!$C$5:$C$160)*C107+INTERCEPT('04 变换后数据'!$C$5:$C$160,'09b 辅助计算(残差)'!$C$5:$C$160),"")</f>
        <v/>
      </c>
      <c r="G107" s="8">
        <f>IF(ISNUMBER(D107),D107-F107,"")</f>
        <v/>
      </c>
      <c r="H107" s="8">
        <f>IF(ISNUMBER(E107),SLOPE('04 变换后数据'!$F$5:$F$160,'09b 辅助计算(残差)'!$C$5:$C$160)*C107+INTERCEPT('04 变换后数据'!$F$5:$F$160,'09b 辅助计算(残差)'!$C$5:$C$160),"")</f>
        <v/>
      </c>
      <c r="I107" s="8">
        <f>IF(ISNUMBER(E107),E107-H107,"")</f>
        <v/>
      </c>
    </row>
    <row r="108">
      <c r="A108" s="23" t="n">
        <v>104</v>
      </c>
      <c r="B108" s="8">
        <f>'04 变换后数据'!B108</f>
        <v/>
      </c>
      <c r="C108" s="23" t="n">
        <v>104</v>
      </c>
      <c r="D108" s="8">
        <f>'04 变换后数据'!C108</f>
        <v/>
      </c>
      <c r="E108" s="8">
        <f>'04 变换后数据'!F108</f>
        <v/>
      </c>
      <c r="F108" s="8">
        <f>IF(ISNUMBER(D108),SLOPE('04 变换后数据'!$C$5:$C$160,'09b 辅助计算(残差)'!$C$5:$C$160)*C108+INTERCEPT('04 变换后数据'!$C$5:$C$160,'09b 辅助计算(残差)'!$C$5:$C$160),"")</f>
        <v/>
      </c>
      <c r="G108" s="8">
        <f>IF(ISNUMBER(D108),D108-F108,"")</f>
        <v/>
      </c>
      <c r="H108" s="8">
        <f>IF(ISNUMBER(E108),SLOPE('04 变换后数据'!$F$5:$F$160,'09b 辅助计算(残差)'!$C$5:$C$160)*C108+INTERCEPT('04 变换后数据'!$F$5:$F$160,'09b 辅助计算(残差)'!$C$5:$C$160),"")</f>
        <v/>
      </c>
      <c r="I108" s="8">
        <f>IF(ISNUMBER(E108),E108-H108,"")</f>
        <v/>
      </c>
    </row>
    <row r="109">
      <c r="A109" s="23" t="n">
        <v>105</v>
      </c>
      <c r="B109" s="8">
        <f>'04 变换后数据'!B109</f>
        <v/>
      </c>
      <c r="C109" s="23" t="n">
        <v>105</v>
      </c>
      <c r="D109" s="8">
        <f>'04 变换后数据'!C109</f>
        <v/>
      </c>
      <c r="E109" s="8">
        <f>'04 变换后数据'!F109</f>
        <v/>
      </c>
      <c r="F109" s="8">
        <f>IF(ISNUMBER(D109),SLOPE('04 变换后数据'!$C$5:$C$160,'09b 辅助计算(残差)'!$C$5:$C$160)*C109+INTERCEPT('04 变换后数据'!$C$5:$C$160,'09b 辅助计算(残差)'!$C$5:$C$160),"")</f>
        <v/>
      </c>
      <c r="G109" s="8">
        <f>IF(ISNUMBER(D109),D109-F109,"")</f>
        <v/>
      </c>
      <c r="H109" s="8">
        <f>IF(ISNUMBER(E109),SLOPE('04 变换后数据'!$F$5:$F$160,'09b 辅助计算(残差)'!$C$5:$C$160)*C109+INTERCEPT('04 变换后数据'!$F$5:$F$160,'09b 辅助计算(残差)'!$C$5:$C$160),"")</f>
        <v/>
      </c>
      <c r="I109" s="8">
        <f>IF(ISNUMBER(E109),E109-H109,"")</f>
        <v/>
      </c>
    </row>
    <row r="110">
      <c r="A110" s="23" t="n">
        <v>106</v>
      </c>
      <c r="B110" s="8">
        <f>'04 变换后数据'!B110</f>
        <v/>
      </c>
      <c r="C110" s="23" t="n">
        <v>106</v>
      </c>
      <c r="D110" s="8">
        <f>'04 变换后数据'!C110</f>
        <v/>
      </c>
      <c r="E110" s="8">
        <f>'04 变换后数据'!F110</f>
        <v/>
      </c>
      <c r="F110" s="8">
        <f>IF(ISNUMBER(D110),SLOPE('04 变换后数据'!$C$5:$C$160,'09b 辅助计算(残差)'!$C$5:$C$160)*C110+INTERCEPT('04 变换后数据'!$C$5:$C$160,'09b 辅助计算(残差)'!$C$5:$C$160),"")</f>
        <v/>
      </c>
      <c r="G110" s="8">
        <f>IF(ISNUMBER(D110),D110-F110,"")</f>
        <v/>
      </c>
      <c r="H110" s="8">
        <f>IF(ISNUMBER(E110),SLOPE('04 变换后数据'!$F$5:$F$160,'09b 辅助计算(残差)'!$C$5:$C$160)*C110+INTERCEPT('04 变换后数据'!$F$5:$F$160,'09b 辅助计算(残差)'!$C$5:$C$160),"")</f>
        <v/>
      </c>
      <c r="I110" s="8">
        <f>IF(ISNUMBER(E110),E110-H110,"")</f>
        <v/>
      </c>
    </row>
    <row r="111">
      <c r="A111" s="23" t="n">
        <v>107</v>
      </c>
      <c r="B111" s="8">
        <f>'04 变换后数据'!B111</f>
        <v/>
      </c>
      <c r="C111" s="23" t="n">
        <v>107</v>
      </c>
      <c r="D111" s="8">
        <f>'04 变换后数据'!C111</f>
        <v/>
      </c>
      <c r="E111" s="8">
        <f>'04 变换后数据'!F111</f>
        <v/>
      </c>
      <c r="F111" s="8">
        <f>IF(ISNUMBER(D111),SLOPE('04 变换后数据'!$C$5:$C$160,'09b 辅助计算(残差)'!$C$5:$C$160)*C111+INTERCEPT('04 变换后数据'!$C$5:$C$160,'09b 辅助计算(残差)'!$C$5:$C$160),"")</f>
        <v/>
      </c>
      <c r="G111" s="8">
        <f>IF(ISNUMBER(D111),D111-F111,"")</f>
        <v/>
      </c>
      <c r="H111" s="8">
        <f>IF(ISNUMBER(E111),SLOPE('04 变换后数据'!$F$5:$F$160,'09b 辅助计算(残差)'!$C$5:$C$160)*C111+INTERCEPT('04 变换后数据'!$F$5:$F$160,'09b 辅助计算(残差)'!$C$5:$C$160),"")</f>
        <v/>
      </c>
      <c r="I111" s="8">
        <f>IF(ISNUMBER(E111),E111-H111,"")</f>
        <v/>
      </c>
    </row>
    <row r="112">
      <c r="A112" s="23" t="n">
        <v>108</v>
      </c>
      <c r="B112" s="8">
        <f>'04 变换后数据'!B112</f>
        <v/>
      </c>
      <c r="C112" s="23" t="n">
        <v>108</v>
      </c>
      <c r="D112" s="8">
        <f>'04 变换后数据'!C112</f>
        <v/>
      </c>
      <c r="E112" s="8">
        <f>'04 变换后数据'!F112</f>
        <v/>
      </c>
      <c r="F112" s="8">
        <f>IF(ISNUMBER(D112),SLOPE('04 变换后数据'!$C$5:$C$160,'09b 辅助计算(残差)'!$C$5:$C$160)*C112+INTERCEPT('04 变换后数据'!$C$5:$C$160,'09b 辅助计算(残差)'!$C$5:$C$160),"")</f>
        <v/>
      </c>
      <c r="G112" s="8">
        <f>IF(ISNUMBER(D112),D112-F112,"")</f>
        <v/>
      </c>
      <c r="H112" s="8">
        <f>IF(ISNUMBER(E112),SLOPE('04 变换后数据'!$F$5:$F$160,'09b 辅助计算(残差)'!$C$5:$C$160)*C112+INTERCEPT('04 变换后数据'!$F$5:$F$160,'09b 辅助计算(残差)'!$C$5:$C$160),"")</f>
        <v/>
      </c>
      <c r="I112" s="8">
        <f>IF(ISNUMBER(E112),E112-H112,"")</f>
        <v/>
      </c>
    </row>
    <row r="113">
      <c r="A113" s="23" t="n">
        <v>109</v>
      </c>
      <c r="B113" s="8">
        <f>'04 变换后数据'!B113</f>
        <v/>
      </c>
      <c r="C113" s="23" t="n">
        <v>109</v>
      </c>
      <c r="D113" s="8">
        <f>'04 变换后数据'!C113</f>
        <v/>
      </c>
      <c r="E113" s="8">
        <f>'04 变换后数据'!F113</f>
        <v/>
      </c>
      <c r="F113" s="8">
        <f>IF(ISNUMBER(D113),SLOPE('04 变换后数据'!$C$5:$C$160,'09b 辅助计算(残差)'!$C$5:$C$160)*C113+INTERCEPT('04 变换后数据'!$C$5:$C$160,'09b 辅助计算(残差)'!$C$5:$C$160),"")</f>
        <v/>
      </c>
      <c r="G113" s="8">
        <f>IF(ISNUMBER(D113),D113-F113,"")</f>
        <v/>
      </c>
      <c r="H113" s="8">
        <f>IF(ISNUMBER(E113),SLOPE('04 变换后数据'!$F$5:$F$160,'09b 辅助计算(残差)'!$C$5:$C$160)*C113+INTERCEPT('04 变换后数据'!$F$5:$F$160,'09b 辅助计算(残差)'!$C$5:$C$160),"")</f>
        <v/>
      </c>
      <c r="I113" s="8">
        <f>IF(ISNUMBER(E113),E113-H113,"")</f>
        <v/>
      </c>
    </row>
    <row r="114">
      <c r="A114" s="23" t="n">
        <v>110</v>
      </c>
      <c r="B114" s="8">
        <f>'04 变换后数据'!B114</f>
        <v/>
      </c>
      <c r="C114" s="23" t="n">
        <v>110</v>
      </c>
      <c r="D114" s="8">
        <f>'04 变换后数据'!C114</f>
        <v/>
      </c>
      <c r="E114" s="8">
        <f>'04 变换后数据'!F114</f>
        <v/>
      </c>
      <c r="F114" s="8">
        <f>IF(ISNUMBER(D114),SLOPE('04 变换后数据'!$C$5:$C$160,'09b 辅助计算(残差)'!$C$5:$C$160)*C114+INTERCEPT('04 变换后数据'!$C$5:$C$160,'09b 辅助计算(残差)'!$C$5:$C$160),"")</f>
        <v/>
      </c>
      <c r="G114" s="8">
        <f>IF(ISNUMBER(D114),D114-F114,"")</f>
        <v/>
      </c>
      <c r="H114" s="8">
        <f>IF(ISNUMBER(E114),SLOPE('04 变换后数据'!$F$5:$F$160,'09b 辅助计算(残差)'!$C$5:$C$160)*C114+INTERCEPT('04 变换后数据'!$F$5:$F$160,'09b 辅助计算(残差)'!$C$5:$C$160),"")</f>
        <v/>
      </c>
      <c r="I114" s="8">
        <f>IF(ISNUMBER(E114),E114-H114,"")</f>
        <v/>
      </c>
    </row>
    <row r="115">
      <c r="A115" s="23" t="n">
        <v>111</v>
      </c>
      <c r="B115" s="8">
        <f>'04 变换后数据'!B115</f>
        <v/>
      </c>
      <c r="C115" s="23" t="n">
        <v>111</v>
      </c>
      <c r="D115" s="8">
        <f>'04 变换后数据'!C115</f>
        <v/>
      </c>
      <c r="E115" s="8">
        <f>'04 变换后数据'!F115</f>
        <v/>
      </c>
      <c r="F115" s="8">
        <f>IF(ISNUMBER(D115),SLOPE('04 变换后数据'!$C$5:$C$160,'09b 辅助计算(残差)'!$C$5:$C$160)*C115+INTERCEPT('04 变换后数据'!$C$5:$C$160,'09b 辅助计算(残差)'!$C$5:$C$160),"")</f>
        <v/>
      </c>
      <c r="G115" s="8">
        <f>IF(ISNUMBER(D115),D115-F115,"")</f>
        <v/>
      </c>
      <c r="H115" s="8">
        <f>IF(ISNUMBER(E115),SLOPE('04 变换后数据'!$F$5:$F$160,'09b 辅助计算(残差)'!$C$5:$C$160)*C115+INTERCEPT('04 变换后数据'!$F$5:$F$160,'09b 辅助计算(残差)'!$C$5:$C$160),"")</f>
        <v/>
      </c>
      <c r="I115" s="8">
        <f>IF(ISNUMBER(E115),E115-H115,"")</f>
        <v/>
      </c>
    </row>
    <row r="116">
      <c r="A116" s="23" t="n">
        <v>112</v>
      </c>
      <c r="B116" s="8">
        <f>'04 变换后数据'!B116</f>
        <v/>
      </c>
      <c r="C116" s="23" t="n">
        <v>112</v>
      </c>
      <c r="D116" s="8">
        <f>'04 变换后数据'!C116</f>
        <v/>
      </c>
      <c r="E116" s="8">
        <f>'04 变换后数据'!F116</f>
        <v/>
      </c>
      <c r="F116" s="8">
        <f>IF(ISNUMBER(D116),SLOPE('04 变换后数据'!$C$5:$C$160,'09b 辅助计算(残差)'!$C$5:$C$160)*C116+INTERCEPT('04 变换后数据'!$C$5:$C$160,'09b 辅助计算(残差)'!$C$5:$C$160),"")</f>
        <v/>
      </c>
      <c r="G116" s="8">
        <f>IF(ISNUMBER(D116),D116-F116,"")</f>
        <v/>
      </c>
      <c r="H116" s="8">
        <f>IF(ISNUMBER(E116),SLOPE('04 变换后数据'!$F$5:$F$160,'09b 辅助计算(残差)'!$C$5:$C$160)*C116+INTERCEPT('04 变换后数据'!$F$5:$F$160,'09b 辅助计算(残差)'!$C$5:$C$160),"")</f>
        <v/>
      </c>
      <c r="I116" s="8">
        <f>IF(ISNUMBER(E116),E116-H116,"")</f>
        <v/>
      </c>
    </row>
    <row r="117">
      <c r="A117" s="23" t="n">
        <v>113</v>
      </c>
      <c r="B117" s="8">
        <f>'04 变换后数据'!B117</f>
        <v/>
      </c>
      <c r="C117" s="23" t="n">
        <v>113</v>
      </c>
      <c r="D117" s="8">
        <f>'04 变换后数据'!C117</f>
        <v/>
      </c>
      <c r="E117" s="8">
        <f>'04 变换后数据'!F117</f>
        <v/>
      </c>
      <c r="F117" s="8">
        <f>IF(ISNUMBER(D117),SLOPE('04 变换后数据'!$C$5:$C$160,'09b 辅助计算(残差)'!$C$5:$C$160)*C117+INTERCEPT('04 变换后数据'!$C$5:$C$160,'09b 辅助计算(残差)'!$C$5:$C$160),"")</f>
        <v/>
      </c>
      <c r="G117" s="8">
        <f>IF(ISNUMBER(D117),D117-F117,"")</f>
        <v/>
      </c>
      <c r="H117" s="8">
        <f>IF(ISNUMBER(E117),SLOPE('04 变换后数据'!$F$5:$F$160,'09b 辅助计算(残差)'!$C$5:$C$160)*C117+INTERCEPT('04 变换后数据'!$F$5:$F$160,'09b 辅助计算(残差)'!$C$5:$C$160),"")</f>
        <v/>
      </c>
      <c r="I117" s="8">
        <f>IF(ISNUMBER(E117),E117-H117,"")</f>
        <v/>
      </c>
    </row>
    <row r="118">
      <c r="A118" s="23" t="n">
        <v>114</v>
      </c>
      <c r="B118" s="8">
        <f>'04 变换后数据'!B118</f>
        <v/>
      </c>
      <c r="C118" s="23" t="n">
        <v>114</v>
      </c>
      <c r="D118" s="8">
        <f>'04 变换后数据'!C118</f>
        <v/>
      </c>
      <c r="E118" s="8">
        <f>'04 变换后数据'!F118</f>
        <v/>
      </c>
      <c r="F118" s="8">
        <f>IF(ISNUMBER(D118),SLOPE('04 变换后数据'!$C$5:$C$160,'09b 辅助计算(残差)'!$C$5:$C$160)*C118+INTERCEPT('04 变换后数据'!$C$5:$C$160,'09b 辅助计算(残差)'!$C$5:$C$160),"")</f>
        <v/>
      </c>
      <c r="G118" s="8">
        <f>IF(ISNUMBER(D118),D118-F118,"")</f>
        <v/>
      </c>
      <c r="H118" s="8">
        <f>IF(ISNUMBER(E118),SLOPE('04 变换后数据'!$F$5:$F$160,'09b 辅助计算(残差)'!$C$5:$C$160)*C118+INTERCEPT('04 变换后数据'!$F$5:$F$160,'09b 辅助计算(残差)'!$C$5:$C$160),"")</f>
        <v/>
      </c>
      <c r="I118" s="8">
        <f>IF(ISNUMBER(E118),E118-H118,"")</f>
        <v/>
      </c>
    </row>
    <row r="119">
      <c r="A119" s="23" t="n">
        <v>115</v>
      </c>
      <c r="B119" s="8">
        <f>'04 变换后数据'!B119</f>
        <v/>
      </c>
      <c r="C119" s="23" t="n">
        <v>115</v>
      </c>
      <c r="D119" s="8">
        <f>'04 变换后数据'!C119</f>
        <v/>
      </c>
      <c r="E119" s="8">
        <f>'04 变换后数据'!F119</f>
        <v/>
      </c>
      <c r="F119" s="8">
        <f>IF(ISNUMBER(D119),SLOPE('04 变换后数据'!$C$5:$C$160,'09b 辅助计算(残差)'!$C$5:$C$160)*C119+INTERCEPT('04 变换后数据'!$C$5:$C$160,'09b 辅助计算(残差)'!$C$5:$C$160),"")</f>
        <v/>
      </c>
      <c r="G119" s="8">
        <f>IF(ISNUMBER(D119),D119-F119,"")</f>
        <v/>
      </c>
      <c r="H119" s="8">
        <f>IF(ISNUMBER(E119),SLOPE('04 变换后数据'!$F$5:$F$160,'09b 辅助计算(残差)'!$C$5:$C$160)*C119+INTERCEPT('04 变换后数据'!$F$5:$F$160,'09b 辅助计算(残差)'!$C$5:$C$160),"")</f>
        <v/>
      </c>
      <c r="I119" s="8">
        <f>IF(ISNUMBER(E119),E119-H119,"")</f>
        <v/>
      </c>
    </row>
    <row r="120">
      <c r="A120" s="23" t="n">
        <v>116</v>
      </c>
      <c r="B120" s="8">
        <f>'04 变换后数据'!B120</f>
        <v/>
      </c>
      <c r="C120" s="23" t="n">
        <v>116</v>
      </c>
      <c r="D120" s="8">
        <f>'04 变换后数据'!C120</f>
        <v/>
      </c>
      <c r="E120" s="8">
        <f>'04 变换后数据'!F120</f>
        <v/>
      </c>
      <c r="F120" s="8">
        <f>IF(ISNUMBER(D120),SLOPE('04 变换后数据'!$C$5:$C$160,'09b 辅助计算(残差)'!$C$5:$C$160)*C120+INTERCEPT('04 变换后数据'!$C$5:$C$160,'09b 辅助计算(残差)'!$C$5:$C$160),"")</f>
        <v/>
      </c>
      <c r="G120" s="8">
        <f>IF(ISNUMBER(D120),D120-F120,"")</f>
        <v/>
      </c>
      <c r="H120" s="8">
        <f>IF(ISNUMBER(E120),SLOPE('04 变换后数据'!$F$5:$F$160,'09b 辅助计算(残差)'!$C$5:$C$160)*C120+INTERCEPT('04 变换后数据'!$F$5:$F$160,'09b 辅助计算(残差)'!$C$5:$C$160),"")</f>
        <v/>
      </c>
      <c r="I120" s="8">
        <f>IF(ISNUMBER(E120),E120-H120,"")</f>
        <v/>
      </c>
    </row>
    <row r="121">
      <c r="A121" s="23" t="n">
        <v>117</v>
      </c>
      <c r="B121" s="8">
        <f>'04 变换后数据'!B121</f>
        <v/>
      </c>
      <c r="C121" s="23" t="n">
        <v>117</v>
      </c>
      <c r="D121" s="8">
        <f>'04 变换后数据'!C121</f>
        <v/>
      </c>
      <c r="E121" s="8">
        <f>'04 变换后数据'!F121</f>
        <v/>
      </c>
      <c r="F121" s="8">
        <f>IF(ISNUMBER(D121),SLOPE('04 变换后数据'!$C$5:$C$160,'09b 辅助计算(残差)'!$C$5:$C$160)*C121+INTERCEPT('04 变换后数据'!$C$5:$C$160,'09b 辅助计算(残差)'!$C$5:$C$160),"")</f>
        <v/>
      </c>
      <c r="G121" s="8">
        <f>IF(ISNUMBER(D121),D121-F121,"")</f>
        <v/>
      </c>
      <c r="H121" s="8">
        <f>IF(ISNUMBER(E121),SLOPE('04 变换后数据'!$F$5:$F$160,'09b 辅助计算(残差)'!$C$5:$C$160)*C121+INTERCEPT('04 变换后数据'!$F$5:$F$160,'09b 辅助计算(残差)'!$C$5:$C$160),"")</f>
        <v/>
      </c>
      <c r="I121" s="8">
        <f>IF(ISNUMBER(E121),E121-H121,"")</f>
        <v/>
      </c>
    </row>
    <row r="122">
      <c r="A122" s="23" t="n">
        <v>118</v>
      </c>
      <c r="B122" s="8">
        <f>'04 变换后数据'!B122</f>
        <v/>
      </c>
      <c r="C122" s="23" t="n">
        <v>118</v>
      </c>
      <c r="D122" s="8">
        <f>'04 变换后数据'!C122</f>
        <v/>
      </c>
      <c r="E122" s="8">
        <f>'04 变换后数据'!F122</f>
        <v/>
      </c>
      <c r="F122" s="8">
        <f>IF(ISNUMBER(D122),SLOPE('04 变换后数据'!$C$5:$C$160,'09b 辅助计算(残差)'!$C$5:$C$160)*C122+INTERCEPT('04 变换后数据'!$C$5:$C$160,'09b 辅助计算(残差)'!$C$5:$C$160),"")</f>
        <v/>
      </c>
      <c r="G122" s="8">
        <f>IF(ISNUMBER(D122),D122-F122,"")</f>
        <v/>
      </c>
      <c r="H122" s="8">
        <f>IF(ISNUMBER(E122),SLOPE('04 变换后数据'!$F$5:$F$160,'09b 辅助计算(残差)'!$C$5:$C$160)*C122+INTERCEPT('04 变换后数据'!$F$5:$F$160,'09b 辅助计算(残差)'!$C$5:$C$160),"")</f>
        <v/>
      </c>
      <c r="I122" s="8">
        <f>IF(ISNUMBER(E122),E122-H122,"")</f>
        <v/>
      </c>
    </row>
    <row r="123">
      <c r="A123" s="23" t="n">
        <v>119</v>
      </c>
      <c r="B123" s="8">
        <f>'04 变换后数据'!B123</f>
        <v/>
      </c>
      <c r="C123" s="23" t="n">
        <v>119</v>
      </c>
      <c r="D123" s="8">
        <f>'04 变换后数据'!C123</f>
        <v/>
      </c>
      <c r="E123" s="8">
        <f>'04 变换后数据'!F123</f>
        <v/>
      </c>
      <c r="F123" s="8">
        <f>IF(ISNUMBER(D123),SLOPE('04 变换后数据'!$C$5:$C$160,'09b 辅助计算(残差)'!$C$5:$C$160)*C123+INTERCEPT('04 变换后数据'!$C$5:$C$160,'09b 辅助计算(残差)'!$C$5:$C$160),"")</f>
        <v/>
      </c>
      <c r="G123" s="8">
        <f>IF(ISNUMBER(D123),D123-F123,"")</f>
        <v/>
      </c>
      <c r="H123" s="8">
        <f>IF(ISNUMBER(E123),SLOPE('04 变换后数据'!$F$5:$F$160,'09b 辅助计算(残差)'!$C$5:$C$160)*C123+INTERCEPT('04 变换后数据'!$F$5:$F$160,'09b 辅助计算(残差)'!$C$5:$C$160),"")</f>
        <v/>
      </c>
      <c r="I123" s="8">
        <f>IF(ISNUMBER(E123),E123-H123,"")</f>
        <v/>
      </c>
    </row>
    <row r="124">
      <c r="A124" s="23" t="n">
        <v>120</v>
      </c>
      <c r="B124" s="8">
        <f>'04 变换后数据'!B124</f>
        <v/>
      </c>
      <c r="C124" s="23" t="n">
        <v>120</v>
      </c>
      <c r="D124" s="8">
        <f>'04 变换后数据'!C124</f>
        <v/>
      </c>
      <c r="E124" s="8">
        <f>'04 变换后数据'!F124</f>
        <v/>
      </c>
      <c r="F124" s="8">
        <f>IF(ISNUMBER(D124),SLOPE('04 变换后数据'!$C$5:$C$160,'09b 辅助计算(残差)'!$C$5:$C$160)*C124+INTERCEPT('04 变换后数据'!$C$5:$C$160,'09b 辅助计算(残差)'!$C$5:$C$160),"")</f>
        <v/>
      </c>
      <c r="G124" s="8">
        <f>IF(ISNUMBER(D124),D124-F124,"")</f>
        <v/>
      </c>
      <c r="H124" s="8">
        <f>IF(ISNUMBER(E124),SLOPE('04 变换后数据'!$F$5:$F$160,'09b 辅助计算(残差)'!$C$5:$C$160)*C124+INTERCEPT('04 变换后数据'!$F$5:$F$160,'09b 辅助计算(残差)'!$C$5:$C$160),"")</f>
        <v/>
      </c>
      <c r="I124" s="8">
        <f>IF(ISNUMBER(E124),E124-H124,"")</f>
        <v/>
      </c>
    </row>
    <row r="125">
      <c r="A125" s="23" t="n">
        <v>121</v>
      </c>
      <c r="B125" s="8">
        <f>'04 变换后数据'!B125</f>
        <v/>
      </c>
      <c r="C125" s="23" t="n">
        <v>121</v>
      </c>
      <c r="D125" s="8">
        <f>'04 变换后数据'!C125</f>
        <v/>
      </c>
      <c r="E125" s="8">
        <f>'04 变换后数据'!F125</f>
        <v/>
      </c>
      <c r="F125" s="8">
        <f>IF(ISNUMBER(D125),SLOPE('04 变换后数据'!$C$5:$C$160,'09b 辅助计算(残差)'!$C$5:$C$160)*C125+INTERCEPT('04 变换后数据'!$C$5:$C$160,'09b 辅助计算(残差)'!$C$5:$C$160),"")</f>
        <v/>
      </c>
      <c r="G125" s="8">
        <f>IF(ISNUMBER(D125),D125-F125,"")</f>
        <v/>
      </c>
      <c r="H125" s="8">
        <f>IF(ISNUMBER(E125),SLOPE('04 变换后数据'!$F$5:$F$160,'09b 辅助计算(残差)'!$C$5:$C$160)*C125+INTERCEPT('04 变换后数据'!$F$5:$F$160,'09b 辅助计算(残差)'!$C$5:$C$160),"")</f>
        <v/>
      </c>
      <c r="I125" s="8">
        <f>IF(ISNUMBER(E125),E125-H125,"")</f>
        <v/>
      </c>
    </row>
    <row r="126">
      <c r="A126" s="23" t="n">
        <v>122</v>
      </c>
      <c r="B126" s="8">
        <f>'04 变换后数据'!B126</f>
        <v/>
      </c>
      <c r="C126" s="23" t="n">
        <v>122</v>
      </c>
      <c r="D126" s="8">
        <f>'04 变换后数据'!C126</f>
        <v/>
      </c>
      <c r="E126" s="8">
        <f>'04 变换后数据'!F126</f>
        <v/>
      </c>
      <c r="F126" s="8">
        <f>IF(ISNUMBER(D126),SLOPE('04 变换后数据'!$C$5:$C$160,'09b 辅助计算(残差)'!$C$5:$C$160)*C126+INTERCEPT('04 变换后数据'!$C$5:$C$160,'09b 辅助计算(残差)'!$C$5:$C$160),"")</f>
        <v/>
      </c>
      <c r="G126" s="8">
        <f>IF(ISNUMBER(D126),D126-F126,"")</f>
        <v/>
      </c>
      <c r="H126" s="8">
        <f>IF(ISNUMBER(E126),SLOPE('04 变换后数据'!$F$5:$F$160,'09b 辅助计算(残差)'!$C$5:$C$160)*C126+INTERCEPT('04 变换后数据'!$F$5:$F$160,'09b 辅助计算(残差)'!$C$5:$C$160),"")</f>
        <v/>
      </c>
      <c r="I126" s="8">
        <f>IF(ISNUMBER(E126),E126-H126,"")</f>
        <v/>
      </c>
    </row>
    <row r="127">
      <c r="A127" s="23" t="n">
        <v>123</v>
      </c>
      <c r="B127" s="8">
        <f>'04 变换后数据'!B127</f>
        <v/>
      </c>
      <c r="C127" s="23" t="n">
        <v>123</v>
      </c>
      <c r="D127" s="8">
        <f>'04 变换后数据'!C127</f>
        <v/>
      </c>
      <c r="E127" s="8">
        <f>'04 变换后数据'!F127</f>
        <v/>
      </c>
      <c r="F127" s="8">
        <f>IF(ISNUMBER(D127),SLOPE('04 变换后数据'!$C$5:$C$160,'09b 辅助计算(残差)'!$C$5:$C$160)*C127+INTERCEPT('04 变换后数据'!$C$5:$C$160,'09b 辅助计算(残差)'!$C$5:$C$160),"")</f>
        <v/>
      </c>
      <c r="G127" s="8">
        <f>IF(ISNUMBER(D127),D127-F127,"")</f>
        <v/>
      </c>
      <c r="H127" s="8">
        <f>IF(ISNUMBER(E127),SLOPE('04 变换后数据'!$F$5:$F$160,'09b 辅助计算(残差)'!$C$5:$C$160)*C127+INTERCEPT('04 变换后数据'!$F$5:$F$160,'09b 辅助计算(残差)'!$C$5:$C$160),"")</f>
        <v/>
      </c>
      <c r="I127" s="8">
        <f>IF(ISNUMBER(E127),E127-H127,"")</f>
        <v/>
      </c>
    </row>
    <row r="128">
      <c r="A128" s="23" t="n">
        <v>124</v>
      </c>
      <c r="B128" s="8">
        <f>'04 变换后数据'!B128</f>
        <v/>
      </c>
      <c r="C128" s="23" t="n">
        <v>124</v>
      </c>
      <c r="D128" s="8">
        <f>'04 变换后数据'!C128</f>
        <v/>
      </c>
      <c r="E128" s="8">
        <f>'04 变换后数据'!F128</f>
        <v/>
      </c>
      <c r="F128" s="8">
        <f>IF(ISNUMBER(D128),SLOPE('04 变换后数据'!$C$5:$C$160,'09b 辅助计算(残差)'!$C$5:$C$160)*C128+INTERCEPT('04 变换后数据'!$C$5:$C$160,'09b 辅助计算(残差)'!$C$5:$C$160),"")</f>
        <v/>
      </c>
      <c r="G128" s="8">
        <f>IF(ISNUMBER(D128),D128-F128,"")</f>
        <v/>
      </c>
      <c r="H128" s="8">
        <f>IF(ISNUMBER(E128),SLOPE('04 变换后数据'!$F$5:$F$160,'09b 辅助计算(残差)'!$C$5:$C$160)*C128+INTERCEPT('04 变换后数据'!$F$5:$F$160,'09b 辅助计算(残差)'!$C$5:$C$160),"")</f>
        <v/>
      </c>
      <c r="I128" s="8">
        <f>IF(ISNUMBER(E128),E128-H128,"")</f>
        <v/>
      </c>
    </row>
    <row r="129">
      <c r="A129" s="23" t="n">
        <v>125</v>
      </c>
      <c r="B129" s="8">
        <f>'04 变换后数据'!B129</f>
        <v/>
      </c>
      <c r="C129" s="23" t="n">
        <v>125</v>
      </c>
      <c r="D129" s="8">
        <f>'04 变换后数据'!C129</f>
        <v/>
      </c>
      <c r="E129" s="8">
        <f>'04 变换后数据'!F129</f>
        <v/>
      </c>
      <c r="F129" s="8">
        <f>IF(ISNUMBER(D129),SLOPE('04 变换后数据'!$C$5:$C$160,'09b 辅助计算(残差)'!$C$5:$C$160)*C129+INTERCEPT('04 变换后数据'!$C$5:$C$160,'09b 辅助计算(残差)'!$C$5:$C$160),"")</f>
        <v/>
      </c>
      <c r="G129" s="8">
        <f>IF(ISNUMBER(D129),D129-F129,"")</f>
        <v/>
      </c>
      <c r="H129" s="8">
        <f>IF(ISNUMBER(E129),SLOPE('04 变换后数据'!$F$5:$F$160,'09b 辅助计算(残差)'!$C$5:$C$160)*C129+INTERCEPT('04 变换后数据'!$F$5:$F$160,'09b 辅助计算(残差)'!$C$5:$C$160),"")</f>
        <v/>
      </c>
      <c r="I129" s="8">
        <f>IF(ISNUMBER(E129),E129-H129,"")</f>
        <v/>
      </c>
    </row>
    <row r="130">
      <c r="A130" s="23" t="n">
        <v>126</v>
      </c>
      <c r="B130" s="8">
        <f>'04 变换后数据'!B130</f>
        <v/>
      </c>
      <c r="C130" s="23" t="n">
        <v>126</v>
      </c>
      <c r="D130" s="8">
        <f>'04 变换后数据'!C130</f>
        <v/>
      </c>
      <c r="E130" s="8">
        <f>'04 变换后数据'!F130</f>
        <v/>
      </c>
      <c r="F130" s="8">
        <f>IF(ISNUMBER(D130),SLOPE('04 变换后数据'!$C$5:$C$160,'09b 辅助计算(残差)'!$C$5:$C$160)*C130+INTERCEPT('04 变换后数据'!$C$5:$C$160,'09b 辅助计算(残差)'!$C$5:$C$160),"")</f>
        <v/>
      </c>
      <c r="G130" s="8">
        <f>IF(ISNUMBER(D130),D130-F130,"")</f>
        <v/>
      </c>
      <c r="H130" s="8">
        <f>IF(ISNUMBER(E130),SLOPE('04 变换后数据'!$F$5:$F$160,'09b 辅助计算(残差)'!$C$5:$C$160)*C130+INTERCEPT('04 变换后数据'!$F$5:$F$160,'09b 辅助计算(残差)'!$C$5:$C$160),"")</f>
        <v/>
      </c>
      <c r="I130" s="8">
        <f>IF(ISNUMBER(E130),E130-H130,"")</f>
        <v/>
      </c>
    </row>
    <row r="131">
      <c r="A131" s="23" t="n">
        <v>127</v>
      </c>
      <c r="B131" s="8">
        <f>'04 变换后数据'!B131</f>
        <v/>
      </c>
      <c r="C131" s="23" t="n">
        <v>127</v>
      </c>
      <c r="D131" s="8">
        <f>'04 变换后数据'!C131</f>
        <v/>
      </c>
      <c r="E131" s="8">
        <f>'04 变换后数据'!F131</f>
        <v/>
      </c>
      <c r="F131" s="8">
        <f>IF(ISNUMBER(D131),SLOPE('04 变换后数据'!$C$5:$C$160,'09b 辅助计算(残差)'!$C$5:$C$160)*C131+INTERCEPT('04 变换后数据'!$C$5:$C$160,'09b 辅助计算(残差)'!$C$5:$C$160),"")</f>
        <v/>
      </c>
      <c r="G131" s="8">
        <f>IF(ISNUMBER(D131),D131-F131,"")</f>
        <v/>
      </c>
      <c r="H131" s="8">
        <f>IF(ISNUMBER(E131),SLOPE('04 变换后数据'!$F$5:$F$160,'09b 辅助计算(残差)'!$C$5:$C$160)*C131+INTERCEPT('04 变换后数据'!$F$5:$F$160,'09b 辅助计算(残差)'!$C$5:$C$160),"")</f>
        <v/>
      </c>
      <c r="I131" s="8">
        <f>IF(ISNUMBER(E131),E131-H131,"")</f>
        <v/>
      </c>
    </row>
    <row r="132">
      <c r="A132" s="23" t="n">
        <v>128</v>
      </c>
      <c r="B132" s="8">
        <f>'04 变换后数据'!B132</f>
        <v/>
      </c>
      <c r="C132" s="23" t="n">
        <v>128</v>
      </c>
      <c r="D132" s="8">
        <f>'04 变换后数据'!C132</f>
        <v/>
      </c>
      <c r="E132" s="8">
        <f>'04 变换后数据'!F132</f>
        <v/>
      </c>
      <c r="F132" s="8">
        <f>IF(ISNUMBER(D132),SLOPE('04 变换后数据'!$C$5:$C$160,'09b 辅助计算(残差)'!$C$5:$C$160)*C132+INTERCEPT('04 变换后数据'!$C$5:$C$160,'09b 辅助计算(残差)'!$C$5:$C$160),"")</f>
        <v/>
      </c>
      <c r="G132" s="8">
        <f>IF(ISNUMBER(D132),D132-F132,"")</f>
        <v/>
      </c>
      <c r="H132" s="8">
        <f>IF(ISNUMBER(E132),SLOPE('04 变换后数据'!$F$5:$F$160,'09b 辅助计算(残差)'!$C$5:$C$160)*C132+INTERCEPT('04 变换后数据'!$F$5:$F$160,'09b 辅助计算(残差)'!$C$5:$C$160),"")</f>
        <v/>
      </c>
      <c r="I132" s="8">
        <f>IF(ISNUMBER(E132),E132-H132,"")</f>
        <v/>
      </c>
    </row>
    <row r="133">
      <c r="A133" s="23" t="n">
        <v>129</v>
      </c>
      <c r="B133" s="8">
        <f>'04 变换后数据'!B133</f>
        <v/>
      </c>
      <c r="C133" s="23" t="n">
        <v>129</v>
      </c>
      <c r="D133" s="8">
        <f>'04 变换后数据'!C133</f>
        <v/>
      </c>
      <c r="E133" s="8">
        <f>'04 变换后数据'!F133</f>
        <v/>
      </c>
      <c r="F133" s="8">
        <f>IF(ISNUMBER(D133),SLOPE('04 变换后数据'!$C$5:$C$160,'09b 辅助计算(残差)'!$C$5:$C$160)*C133+INTERCEPT('04 变换后数据'!$C$5:$C$160,'09b 辅助计算(残差)'!$C$5:$C$160),"")</f>
        <v/>
      </c>
      <c r="G133" s="8">
        <f>IF(ISNUMBER(D133),D133-F133,"")</f>
        <v/>
      </c>
      <c r="H133" s="8">
        <f>IF(ISNUMBER(E133),SLOPE('04 变换后数据'!$F$5:$F$160,'09b 辅助计算(残差)'!$C$5:$C$160)*C133+INTERCEPT('04 变换后数据'!$F$5:$F$160,'09b 辅助计算(残差)'!$C$5:$C$160),"")</f>
        <v/>
      </c>
      <c r="I133" s="8">
        <f>IF(ISNUMBER(E133),E133-H133,"")</f>
        <v/>
      </c>
    </row>
    <row r="134">
      <c r="A134" s="23" t="n">
        <v>130</v>
      </c>
      <c r="B134" s="8">
        <f>'04 变换后数据'!B134</f>
        <v/>
      </c>
      <c r="C134" s="23" t="n">
        <v>130</v>
      </c>
      <c r="D134" s="8">
        <f>'04 变换后数据'!C134</f>
        <v/>
      </c>
      <c r="E134" s="8">
        <f>'04 变换后数据'!F134</f>
        <v/>
      </c>
      <c r="F134" s="8">
        <f>IF(ISNUMBER(D134),SLOPE('04 变换后数据'!$C$5:$C$160,'09b 辅助计算(残差)'!$C$5:$C$160)*C134+INTERCEPT('04 变换后数据'!$C$5:$C$160,'09b 辅助计算(残差)'!$C$5:$C$160),"")</f>
        <v/>
      </c>
      <c r="G134" s="8">
        <f>IF(ISNUMBER(D134),D134-F134,"")</f>
        <v/>
      </c>
      <c r="H134" s="8">
        <f>IF(ISNUMBER(E134),SLOPE('04 变换后数据'!$F$5:$F$160,'09b 辅助计算(残差)'!$C$5:$C$160)*C134+INTERCEPT('04 变换后数据'!$F$5:$F$160,'09b 辅助计算(残差)'!$C$5:$C$160),"")</f>
        <v/>
      </c>
      <c r="I134" s="8">
        <f>IF(ISNUMBER(E134),E134-H134,"")</f>
        <v/>
      </c>
    </row>
    <row r="135">
      <c r="A135" s="23" t="n">
        <v>131</v>
      </c>
      <c r="B135" s="8">
        <f>'04 变换后数据'!B135</f>
        <v/>
      </c>
      <c r="C135" s="23" t="n">
        <v>131</v>
      </c>
      <c r="D135" s="8">
        <f>'04 变换后数据'!C135</f>
        <v/>
      </c>
      <c r="E135" s="8">
        <f>'04 变换后数据'!F135</f>
        <v/>
      </c>
      <c r="F135" s="8">
        <f>IF(ISNUMBER(D135),SLOPE('04 变换后数据'!$C$5:$C$160,'09b 辅助计算(残差)'!$C$5:$C$160)*C135+INTERCEPT('04 变换后数据'!$C$5:$C$160,'09b 辅助计算(残差)'!$C$5:$C$160),"")</f>
        <v/>
      </c>
      <c r="G135" s="8">
        <f>IF(ISNUMBER(D135),D135-F135,"")</f>
        <v/>
      </c>
      <c r="H135" s="8">
        <f>IF(ISNUMBER(E135),SLOPE('04 变换后数据'!$F$5:$F$160,'09b 辅助计算(残差)'!$C$5:$C$160)*C135+INTERCEPT('04 变换后数据'!$F$5:$F$160,'09b 辅助计算(残差)'!$C$5:$C$160),"")</f>
        <v/>
      </c>
      <c r="I135" s="8">
        <f>IF(ISNUMBER(E135),E135-H135,"")</f>
        <v/>
      </c>
    </row>
    <row r="136">
      <c r="A136" s="23" t="n">
        <v>132</v>
      </c>
      <c r="B136" s="8">
        <f>'04 变换后数据'!B136</f>
        <v/>
      </c>
      <c r="C136" s="23" t="n">
        <v>132</v>
      </c>
      <c r="D136" s="8">
        <f>'04 变换后数据'!C136</f>
        <v/>
      </c>
      <c r="E136" s="8">
        <f>'04 变换后数据'!F136</f>
        <v/>
      </c>
      <c r="F136" s="8">
        <f>IF(ISNUMBER(D136),SLOPE('04 变换后数据'!$C$5:$C$160,'09b 辅助计算(残差)'!$C$5:$C$160)*C136+INTERCEPT('04 变换后数据'!$C$5:$C$160,'09b 辅助计算(残差)'!$C$5:$C$160),"")</f>
        <v/>
      </c>
      <c r="G136" s="8">
        <f>IF(ISNUMBER(D136),D136-F136,"")</f>
        <v/>
      </c>
      <c r="H136" s="8">
        <f>IF(ISNUMBER(E136),SLOPE('04 变换后数据'!$F$5:$F$160,'09b 辅助计算(残差)'!$C$5:$C$160)*C136+INTERCEPT('04 变换后数据'!$F$5:$F$160,'09b 辅助计算(残差)'!$C$5:$C$160),"")</f>
        <v/>
      </c>
      <c r="I136" s="8">
        <f>IF(ISNUMBER(E136),E136-H136,"")</f>
        <v/>
      </c>
    </row>
    <row r="137">
      <c r="A137" s="23" t="n">
        <v>133</v>
      </c>
      <c r="B137" s="8">
        <f>'04 变换后数据'!B137</f>
        <v/>
      </c>
      <c r="C137" s="23" t="n">
        <v>133</v>
      </c>
      <c r="D137" s="8">
        <f>'04 变换后数据'!C137</f>
        <v/>
      </c>
      <c r="E137" s="8">
        <f>'04 变换后数据'!F137</f>
        <v/>
      </c>
      <c r="F137" s="8">
        <f>IF(ISNUMBER(D137),SLOPE('04 变换后数据'!$C$5:$C$160,'09b 辅助计算(残差)'!$C$5:$C$160)*C137+INTERCEPT('04 变换后数据'!$C$5:$C$160,'09b 辅助计算(残差)'!$C$5:$C$160),"")</f>
        <v/>
      </c>
      <c r="G137" s="8">
        <f>IF(ISNUMBER(D137),D137-F137,"")</f>
        <v/>
      </c>
      <c r="H137" s="8">
        <f>IF(ISNUMBER(E137),SLOPE('04 变换后数据'!$F$5:$F$160,'09b 辅助计算(残差)'!$C$5:$C$160)*C137+INTERCEPT('04 变换后数据'!$F$5:$F$160,'09b 辅助计算(残差)'!$C$5:$C$160),"")</f>
        <v/>
      </c>
      <c r="I137" s="8">
        <f>IF(ISNUMBER(E137),E137-H137,"")</f>
        <v/>
      </c>
    </row>
    <row r="138">
      <c r="A138" s="23" t="n">
        <v>134</v>
      </c>
      <c r="B138" s="8">
        <f>'04 变换后数据'!B138</f>
        <v/>
      </c>
      <c r="C138" s="23" t="n">
        <v>134</v>
      </c>
      <c r="D138" s="8">
        <f>'04 变换后数据'!C138</f>
        <v/>
      </c>
      <c r="E138" s="8">
        <f>'04 变换后数据'!F138</f>
        <v/>
      </c>
      <c r="F138" s="8">
        <f>IF(ISNUMBER(D138),SLOPE('04 变换后数据'!$C$5:$C$160,'09b 辅助计算(残差)'!$C$5:$C$160)*C138+INTERCEPT('04 变换后数据'!$C$5:$C$160,'09b 辅助计算(残差)'!$C$5:$C$160),"")</f>
        <v/>
      </c>
      <c r="G138" s="8">
        <f>IF(ISNUMBER(D138),D138-F138,"")</f>
        <v/>
      </c>
      <c r="H138" s="8">
        <f>IF(ISNUMBER(E138),SLOPE('04 变换后数据'!$F$5:$F$160,'09b 辅助计算(残差)'!$C$5:$C$160)*C138+INTERCEPT('04 变换后数据'!$F$5:$F$160,'09b 辅助计算(残差)'!$C$5:$C$160),"")</f>
        <v/>
      </c>
      <c r="I138" s="8">
        <f>IF(ISNUMBER(E138),E138-H138,"")</f>
        <v/>
      </c>
    </row>
    <row r="139">
      <c r="A139" s="23" t="n">
        <v>135</v>
      </c>
      <c r="B139" s="8">
        <f>'04 变换后数据'!B139</f>
        <v/>
      </c>
      <c r="C139" s="23" t="n">
        <v>135</v>
      </c>
      <c r="D139" s="8">
        <f>'04 变换后数据'!C139</f>
        <v/>
      </c>
      <c r="E139" s="8">
        <f>'04 变换后数据'!F139</f>
        <v/>
      </c>
      <c r="F139" s="8">
        <f>IF(ISNUMBER(D139),SLOPE('04 变换后数据'!$C$5:$C$160,'09b 辅助计算(残差)'!$C$5:$C$160)*C139+INTERCEPT('04 变换后数据'!$C$5:$C$160,'09b 辅助计算(残差)'!$C$5:$C$160),"")</f>
        <v/>
      </c>
      <c r="G139" s="8">
        <f>IF(ISNUMBER(D139),D139-F139,"")</f>
        <v/>
      </c>
      <c r="H139" s="8">
        <f>IF(ISNUMBER(E139),SLOPE('04 变换后数据'!$F$5:$F$160,'09b 辅助计算(残差)'!$C$5:$C$160)*C139+INTERCEPT('04 变换后数据'!$F$5:$F$160,'09b 辅助计算(残差)'!$C$5:$C$160),"")</f>
        <v/>
      </c>
      <c r="I139" s="8">
        <f>IF(ISNUMBER(E139),E139-H139,"")</f>
        <v/>
      </c>
    </row>
    <row r="140">
      <c r="A140" s="23" t="n">
        <v>136</v>
      </c>
      <c r="B140" s="8">
        <f>'04 变换后数据'!B140</f>
        <v/>
      </c>
      <c r="C140" s="23" t="n">
        <v>136</v>
      </c>
      <c r="D140" s="8">
        <f>'04 变换后数据'!C140</f>
        <v/>
      </c>
      <c r="E140" s="8">
        <f>'04 变换后数据'!F140</f>
        <v/>
      </c>
      <c r="F140" s="8">
        <f>IF(ISNUMBER(D140),SLOPE('04 变换后数据'!$C$5:$C$160,'09b 辅助计算(残差)'!$C$5:$C$160)*C140+INTERCEPT('04 变换后数据'!$C$5:$C$160,'09b 辅助计算(残差)'!$C$5:$C$160),"")</f>
        <v/>
      </c>
      <c r="G140" s="8">
        <f>IF(ISNUMBER(D140),D140-F140,"")</f>
        <v/>
      </c>
      <c r="H140" s="8">
        <f>IF(ISNUMBER(E140),SLOPE('04 变换后数据'!$F$5:$F$160,'09b 辅助计算(残差)'!$C$5:$C$160)*C140+INTERCEPT('04 变换后数据'!$F$5:$F$160,'09b 辅助计算(残差)'!$C$5:$C$160),"")</f>
        <v/>
      </c>
      <c r="I140" s="8">
        <f>IF(ISNUMBER(E140),E140-H140,"")</f>
        <v/>
      </c>
    </row>
    <row r="141">
      <c r="A141" s="23" t="n">
        <v>137</v>
      </c>
      <c r="B141" s="8">
        <f>'04 变换后数据'!B141</f>
        <v/>
      </c>
      <c r="C141" s="23" t="n">
        <v>137</v>
      </c>
      <c r="D141" s="8">
        <f>'04 变换后数据'!C141</f>
        <v/>
      </c>
      <c r="E141" s="8">
        <f>'04 变换后数据'!F141</f>
        <v/>
      </c>
      <c r="F141" s="8">
        <f>IF(ISNUMBER(D141),SLOPE('04 变换后数据'!$C$5:$C$160,'09b 辅助计算(残差)'!$C$5:$C$160)*C141+INTERCEPT('04 变换后数据'!$C$5:$C$160,'09b 辅助计算(残差)'!$C$5:$C$160),"")</f>
        <v/>
      </c>
      <c r="G141" s="8">
        <f>IF(ISNUMBER(D141),D141-F141,"")</f>
        <v/>
      </c>
      <c r="H141" s="8">
        <f>IF(ISNUMBER(E141),SLOPE('04 变换后数据'!$F$5:$F$160,'09b 辅助计算(残差)'!$C$5:$C$160)*C141+INTERCEPT('04 变换后数据'!$F$5:$F$160,'09b 辅助计算(残差)'!$C$5:$C$160),"")</f>
        <v/>
      </c>
      <c r="I141" s="8">
        <f>IF(ISNUMBER(E141),E141-H141,"")</f>
        <v/>
      </c>
    </row>
    <row r="142">
      <c r="A142" s="23" t="n">
        <v>138</v>
      </c>
      <c r="B142" s="8">
        <f>'04 变换后数据'!B142</f>
        <v/>
      </c>
      <c r="C142" s="23" t="n">
        <v>138</v>
      </c>
      <c r="D142" s="8">
        <f>'04 变换后数据'!C142</f>
        <v/>
      </c>
      <c r="E142" s="8">
        <f>'04 变换后数据'!F142</f>
        <v/>
      </c>
      <c r="F142" s="8">
        <f>IF(ISNUMBER(D142),SLOPE('04 变换后数据'!$C$5:$C$160,'09b 辅助计算(残差)'!$C$5:$C$160)*C142+INTERCEPT('04 变换后数据'!$C$5:$C$160,'09b 辅助计算(残差)'!$C$5:$C$160),"")</f>
        <v/>
      </c>
      <c r="G142" s="8">
        <f>IF(ISNUMBER(D142),D142-F142,"")</f>
        <v/>
      </c>
      <c r="H142" s="8">
        <f>IF(ISNUMBER(E142),SLOPE('04 变换后数据'!$F$5:$F$160,'09b 辅助计算(残差)'!$C$5:$C$160)*C142+INTERCEPT('04 变换后数据'!$F$5:$F$160,'09b 辅助计算(残差)'!$C$5:$C$160),"")</f>
        <v/>
      </c>
      <c r="I142" s="8">
        <f>IF(ISNUMBER(E142),E142-H142,"")</f>
        <v/>
      </c>
    </row>
    <row r="143">
      <c r="A143" s="23" t="n">
        <v>139</v>
      </c>
      <c r="B143" s="8">
        <f>'04 变换后数据'!B143</f>
        <v/>
      </c>
      <c r="C143" s="23" t="n">
        <v>139</v>
      </c>
      <c r="D143" s="8">
        <f>'04 变换后数据'!C143</f>
        <v/>
      </c>
      <c r="E143" s="8">
        <f>'04 变换后数据'!F143</f>
        <v/>
      </c>
      <c r="F143" s="8">
        <f>IF(ISNUMBER(D143),SLOPE('04 变换后数据'!$C$5:$C$160,'09b 辅助计算(残差)'!$C$5:$C$160)*C143+INTERCEPT('04 变换后数据'!$C$5:$C$160,'09b 辅助计算(残差)'!$C$5:$C$160),"")</f>
        <v/>
      </c>
      <c r="G143" s="8">
        <f>IF(ISNUMBER(D143),D143-F143,"")</f>
        <v/>
      </c>
      <c r="H143" s="8">
        <f>IF(ISNUMBER(E143),SLOPE('04 变换后数据'!$F$5:$F$160,'09b 辅助计算(残差)'!$C$5:$C$160)*C143+INTERCEPT('04 变换后数据'!$F$5:$F$160,'09b 辅助计算(残差)'!$C$5:$C$160),"")</f>
        <v/>
      </c>
      <c r="I143" s="8">
        <f>IF(ISNUMBER(E143),E143-H143,"")</f>
        <v/>
      </c>
    </row>
    <row r="144">
      <c r="A144" s="23" t="n">
        <v>140</v>
      </c>
      <c r="B144" s="8">
        <f>'04 变换后数据'!B144</f>
        <v/>
      </c>
      <c r="C144" s="23" t="n">
        <v>140</v>
      </c>
      <c r="D144" s="8">
        <f>'04 变换后数据'!C144</f>
        <v/>
      </c>
      <c r="E144" s="8">
        <f>'04 变换后数据'!F144</f>
        <v/>
      </c>
      <c r="F144" s="8">
        <f>IF(ISNUMBER(D144),SLOPE('04 变换后数据'!$C$5:$C$160,'09b 辅助计算(残差)'!$C$5:$C$160)*C144+INTERCEPT('04 变换后数据'!$C$5:$C$160,'09b 辅助计算(残差)'!$C$5:$C$160),"")</f>
        <v/>
      </c>
      <c r="G144" s="8">
        <f>IF(ISNUMBER(D144),D144-F144,"")</f>
        <v/>
      </c>
      <c r="H144" s="8">
        <f>IF(ISNUMBER(E144),SLOPE('04 变换后数据'!$F$5:$F$160,'09b 辅助计算(残差)'!$C$5:$C$160)*C144+INTERCEPT('04 变换后数据'!$F$5:$F$160,'09b 辅助计算(残差)'!$C$5:$C$160),"")</f>
        <v/>
      </c>
      <c r="I144" s="8">
        <f>IF(ISNUMBER(E144),E144-H144,"")</f>
        <v/>
      </c>
    </row>
    <row r="145">
      <c r="A145" s="23" t="n">
        <v>141</v>
      </c>
      <c r="B145" s="8">
        <f>'04 变换后数据'!B145</f>
        <v/>
      </c>
      <c r="C145" s="23" t="n">
        <v>141</v>
      </c>
      <c r="D145" s="8">
        <f>'04 变换后数据'!C145</f>
        <v/>
      </c>
      <c r="E145" s="8">
        <f>'04 变换后数据'!F145</f>
        <v/>
      </c>
      <c r="F145" s="8">
        <f>IF(ISNUMBER(D145),SLOPE('04 变换后数据'!$C$5:$C$160,'09b 辅助计算(残差)'!$C$5:$C$160)*C145+INTERCEPT('04 变换后数据'!$C$5:$C$160,'09b 辅助计算(残差)'!$C$5:$C$160),"")</f>
        <v/>
      </c>
      <c r="G145" s="8">
        <f>IF(ISNUMBER(D145),D145-F145,"")</f>
        <v/>
      </c>
      <c r="H145" s="8">
        <f>IF(ISNUMBER(E145),SLOPE('04 变换后数据'!$F$5:$F$160,'09b 辅助计算(残差)'!$C$5:$C$160)*C145+INTERCEPT('04 变换后数据'!$F$5:$F$160,'09b 辅助计算(残差)'!$C$5:$C$160),"")</f>
        <v/>
      </c>
      <c r="I145" s="8">
        <f>IF(ISNUMBER(E145),E145-H145,"")</f>
        <v/>
      </c>
    </row>
    <row r="146">
      <c r="A146" s="23" t="n">
        <v>142</v>
      </c>
      <c r="B146" s="8">
        <f>'04 变换后数据'!B146</f>
        <v/>
      </c>
      <c r="C146" s="23" t="n">
        <v>142</v>
      </c>
      <c r="D146" s="8">
        <f>'04 变换后数据'!C146</f>
        <v/>
      </c>
      <c r="E146" s="8">
        <f>'04 变换后数据'!F146</f>
        <v/>
      </c>
      <c r="F146" s="8">
        <f>IF(ISNUMBER(D146),SLOPE('04 变换后数据'!$C$5:$C$160,'09b 辅助计算(残差)'!$C$5:$C$160)*C146+INTERCEPT('04 变换后数据'!$C$5:$C$160,'09b 辅助计算(残差)'!$C$5:$C$160),"")</f>
        <v/>
      </c>
      <c r="G146" s="8">
        <f>IF(ISNUMBER(D146),D146-F146,"")</f>
        <v/>
      </c>
      <c r="H146" s="8">
        <f>IF(ISNUMBER(E146),SLOPE('04 变换后数据'!$F$5:$F$160,'09b 辅助计算(残差)'!$C$5:$C$160)*C146+INTERCEPT('04 变换后数据'!$F$5:$F$160,'09b 辅助计算(残差)'!$C$5:$C$160),"")</f>
        <v/>
      </c>
      <c r="I146" s="8">
        <f>IF(ISNUMBER(E146),E146-H146,"")</f>
        <v/>
      </c>
    </row>
    <row r="147">
      <c r="A147" s="23" t="n">
        <v>143</v>
      </c>
      <c r="B147" s="8">
        <f>'04 变换后数据'!B147</f>
        <v/>
      </c>
      <c r="C147" s="23" t="n">
        <v>143</v>
      </c>
      <c r="D147" s="8">
        <f>'04 变换后数据'!C147</f>
        <v/>
      </c>
      <c r="E147" s="8">
        <f>'04 变换后数据'!F147</f>
        <v/>
      </c>
      <c r="F147" s="8">
        <f>IF(ISNUMBER(D147),SLOPE('04 变换后数据'!$C$5:$C$160,'09b 辅助计算(残差)'!$C$5:$C$160)*C147+INTERCEPT('04 变换后数据'!$C$5:$C$160,'09b 辅助计算(残差)'!$C$5:$C$160),"")</f>
        <v/>
      </c>
      <c r="G147" s="8">
        <f>IF(ISNUMBER(D147),D147-F147,"")</f>
        <v/>
      </c>
      <c r="H147" s="8">
        <f>IF(ISNUMBER(E147),SLOPE('04 变换后数据'!$F$5:$F$160,'09b 辅助计算(残差)'!$C$5:$C$160)*C147+INTERCEPT('04 变换后数据'!$F$5:$F$160,'09b 辅助计算(残差)'!$C$5:$C$160),"")</f>
        <v/>
      </c>
      <c r="I147" s="8">
        <f>IF(ISNUMBER(E147),E147-H147,"")</f>
        <v/>
      </c>
    </row>
    <row r="148">
      <c r="A148" s="23" t="n">
        <v>144</v>
      </c>
      <c r="B148" s="8">
        <f>'04 变换后数据'!B148</f>
        <v/>
      </c>
      <c r="C148" s="23" t="n">
        <v>144</v>
      </c>
      <c r="D148" s="8">
        <f>'04 变换后数据'!C148</f>
        <v/>
      </c>
      <c r="E148" s="8">
        <f>'04 变换后数据'!F148</f>
        <v/>
      </c>
      <c r="F148" s="8">
        <f>IF(ISNUMBER(D148),SLOPE('04 变换后数据'!$C$5:$C$160,'09b 辅助计算(残差)'!$C$5:$C$160)*C148+INTERCEPT('04 变换后数据'!$C$5:$C$160,'09b 辅助计算(残差)'!$C$5:$C$160),"")</f>
        <v/>
      </c>
      <c r="G148" s="8">
        <f>IF(ISNUMBER(D148),D148-F148,"")</f>
        <v/>
      </c>
      <c r="H148" s="8">
        <f>IF(ISNUMBER(E148),SLOPE('04 变换后数据'!$F$5:$F$160,'09b 辅助计算(残差)'!$C$5:$C$160)*C148+INTERCEPT('04 变换后数据'!$F$5:$F$160,'09b 辅助计算(残差)'!$C$5:$C$160),"")</f>
        <v/>
      </c>
      <c r="I148" s="8">
        <f>IF(ISNUMBER(E148),E148-H148,"")</f>
        <v/>
      </c>
    </row>
    <row r="149">
      <c r="A149" s="23" t="n">
        <v>145</v>
      </c>
      <c r="B149" s="8">
        <f>'04 变换后数据'!B149</f>
        <v/>
      </c>
      <c r="C149" s="23" t="n">
        <v>145</v>
      </c>
      <c r="D149" s="8">
        <f>'04 变换后数据'!C149</f>
        <v/>
      </c>
      <c r="E149" s="8">
        <f>'04 变换后数据'!F149</f>
        <v/>
      </c>
      <c r="F149" s="8">
        <f>IF(ISNUMBER(D149),SLOPE('04 变换后数据'!$C$5:$C$160,'09b 辅助计算(残差)'!$C$5:$C$160)*C149+INTERCEPT('04 变换后数据'!$C$5:$C$160,'09b 辅助计算(残差)'!$C$5:$C$160),"")</f>
        <v/>
      </c>
      <c r="G149" s="8">
        <f>IF(ISNUMBER(D149),D149-F149,"")</f>
        <v/>
      </c>
      <c r="H149" s="8">
        <f>IF(ISNUMBER(E149),SLOPE('04 变换后数据'!$F$5:$F$160,'09b 辅助计算(残差)'!$C$5:$C$160)*C149+INTERCEPT('04 变换后数据'!$F$5:$F$160,'09b 辅助计算(残差)'!$C$5:$C$160),"")</f>
        <v/>
      </c>
      <c r="I149" s="8">
        <f>IF(ISNUMBER(E149),E149-H149,"")</f>
        <v/>
      </c>
    </row>
    <row r="150">
      <c r="A150" s="23" t="n">
        <v>146</v>
      </c>
      <c r="B150" s="8">
        <f>'04 变换后数据'!B150</f>
        <v/>
      </c>
      <c r="C150" s="23" t="n">
        <v>146</v>
      </c>
      <c r="D150" s="8">
        <f>'04 变换后数据'!C150</f>
        <v/>
      </c>
      <c r="E150" s="8">
        <f>'04 变换后数据'!F150</f>
        <v/>
      </c>
      <c r="F150" s="8">
        <f>IF(ISNUMBER(D150),SLOPE('04 变换后数据'!$C$5:$C$160,'09b 辅助计算(残差)'!$C$5:$C$160)*C150+INTERCEPT('04 变换后数据'!$C$5:$C$160,'09b 辅助计算(残差)'!$C$5:$C$160),"")</f>
        <v/>
      </c>
      <c r="G150" s="8">
        <f>IF(ISNUMBER(D150),D150-F150,"")</f>
        <v/>
      </c>
      <c r="H150" s="8">
        <f>IF(ISNUMBER(E150),SLOPE('04 变换后数据'!$F$5:$F$160,'09b 辅助计算(残差)'!$C$5:$C$160)*C150+INTERCEPT('04 变换后数据'!$F$5:$F$160,'09b 辅助计算(残差)'!$C$5:$C$160),"")</f>
        <v/>
      </c>
      <c r="I150" s="8">
        <f>IF(ISNUMBER(E150),E150-H150,"")</f>
        <v/>
      </c>
    </row>
    <row r="151">
      <c r="A151" s="23" t="n">
        <v>147</v>
      </c>
      <c r="B151" s="8">
        <f>'04 变换后数据'!B151</f>
        <v/>
      </c>
      <c r="C151" s="23" t="n">
        <v>147</v>
      </c>
      <c r="D151" s="8">
        <f>'04 变换后数据'!C151</f>
        <v/>
      </c>
      <c r="E151" s="8">
        <f>'04 变换后数据'!F151</f>
        <v/>
      </c>
      <c r="F151" s="8">
        <f>IF(ISNUMBER(D151),SLOPE('04 变换后数据'!$C$5:$C$160,'09b 辅助计算(残差)'!$C$5:$C$160)*C151+INTERCEPT('04 变换后数据'!$C$5:$C$160,'09b 辅助计算(残差)'!$C$5:$C$160),"")</f>
        <v/>
      </c>
      <c r="G151" s="8">
        <f>IF(ISNUMBER(D151),D151-F151,"")</f>
        <v/>
      </c>
      <c r="H151" s="8">
        <f>IF(ISNUMBER(E151),SLOPE('04 变换后数据'!$F$5:$F$160,'09b 辅助计算(残差)'!$C$5:$C$160)*C151+INTERCEPT('04 变换后数据'!$F$5:$F$160,'09b 辅助计算(残差)'!$C$5:$C$160),"")</f>
        <v/>
      </c>
      <c r="I151" s="8">
        <f>IF(ISNUMBER(E151),E151-H151,"")</f>
        <v/>
      </c>
    </row>
    <row r="152">
      <c r="A152" s="23" t="n">
        <v>148</v>
      </c>
      <c r="B152" s="8">
        <f>'04 变换后数据'!B152</f>
        <v/>
      </c>
      <c r="C152" s="23" t="n">
        <v>148</v>
      </c>
      <c r="D152" s="8">
        <f>'04 变换后数据'!C152</f>
        <v/>
      </c>
      <c r="E152" s="8">
        <f>'04 变换后数据'!F152</f>
        <v/>
      </c>
      <c r="F152" s="8">
        <f>IF(ISNUMBER(D152),SLOPE('04 变换后数据'!$C$5:$C$160,'09b 辅助计算(残差)'!$C$5:$C$160)*C152+INTERCEPT('04 变换后数据'!$C$5:$C$160,'09b 辅助计算(残差)'!$C$5:$C$160),"")</f>
        <v/>
      </c>
      <c r="G152" s="8">
        <f>IF(ISNUMBER(D152),D152-F152,"")</f>
        <v/>
      </c>
      <c r="H152" s="8">
        <f>IF(ISNUMBER(E152),SLOPE('04 变换后数据'!$F$5:$F$160,'09b 辅助计算(残差)'!$C$5:$C$160)*C152+INTERCEPT('04 变换后数据'!$F$5:$F$160,'09b 辅助计算(残差)'!$C$5:$C$160),"")</f>
        <v/>
      </c>
      <c r="I152" s="8">
        <f>IF(ISNUMBER(E152),E152-H152,"")</f>
        <v/>
      </c>
    </row>
    <row r="153">
      <c r="A153" s="23" t="n">
        <v>149</v>
      </c>
      <c r="B153" s="8">
        <f>'04 变换后数据'!B153</f>
        <v/>
      </c>
      <c r="C153" s="23" t="n">
        <v>149</v>
      </c>
      <c r="D153" s="8">
        <f>'04 变换后数据'!C153</f>
        <v/>
      </c>
      <c r="E153" s="8">
        <f>'04 变换后数据'!F153</f>
        <v/>
      </c>
      <c r="F153" s="8">
        <f>IF(ISNUMBER(D153),SLOPE('04 变换后数据'!$C$5:$C$160,'09b 辅助计算(残差)'!$C$5:$C$160)*C153+INTERCEPT('04 变换后数据'!$C$5:$C$160,'09b 辅助计算(残差)'!$C$5:$C$160),"")</f>
        <v/>
      </c>
      <c r="G153" s="8">
        <f>IF(ISNUMBER(D153),D153-F153,"")</f>
        <v/>
      </c>
      <c r="H153" s="8">
        <f>IF(ISNUMBER(E153),SLOPE('04 变换后数据'!$F$5:$F$160,'09b 辅助计算(残差)'!$C$5:$C$160)*C153+INTERCEPT('04 变换后数据'!$F$5:$F$160,'09b 辅助计算(残差)'!$C$5:$C$160),"")</f>
        <v/>
      </c>
      <c r="I153" s="8">
        <f>IF(ISNUMBER(E153),E153-H153,"")</f>
        <v/>
      </c>
    </row>
    <row r="154">
      <c r="A154" s="23" t="n">
        <v>150</v>
      </c>
      <c r="B154" s="8">
        <f>'04 变换后数据'!B154</f>
        <v/>
      </c>
      <c r="C154" s="23" t="n">
        <v>150</v>
      </c>
      <c r="D154" s="8">
        <f>'04 变换后数据'!C154</f>
        <v/>
      </c>
      <c r="E154" s="8">
        <f>'04 变换后数据'!F154</f>
        <v/>
      </c>
      <c r="F154" s="8">
        <f>IF(ISNUMBER(D154),SLOPE('04 变换后数据'!$C$5:$C$160,'09b 辅助计算(残差)'!$C$5:$C$160)*C154+INTERCEPT('04 变换后数据'!$C$5:$C$160,'09b 辅助计算(残差)'!$C$5:$C$160),"")</f>
        <v/>
      </c>
      <c r="G154" s="8">
        <f>IF(ISNUMBER(D154),D154-F154,"")</f>
        <v/>
      </c>
      <c r="H154" s="8">
        <f>IF(ISNUMBER(E154),SLOPE('04 变换后数据'!$F$5:$F$160,'09b 辅助计算(残差)'!$C$5:$C$160)*C154+INTERCEPT('04 变换后数据'!$F$5:$F$160,'09b 辅助计算(残差)'!$C$5:$C$160),"")</f>
        <v/>
      </c>
      <c r="I154" s="8">
        <f>IF(ISNUMBER(E154),E154-H154,"")</f>
        <v/>
      </c>
    </row>
    <row r="155">
      <c r="A155" s="23" t="n">
        <v>151</v>
      </c>
      <c r="B155" s="8">
        <f>'04 变换后数据'!B155</f>
        <v/>
      </c>
      <c r="C155" s="23" t="n">
        <v>151</v>
      </c>
      <c r="D155" s="8">
        <f>'04 变换后数据'!C155</f>
        <v/>
      </c>
      <c r="E155" s="8">
        <f>'04 变换后数据'!F155</f>
        <v/>
      </c>
      <c r="F155" s="8">
        <f>IF(ISNUMBER(D155),SLOPE('04 变换后数据'!$C$5:$C$160,'09b 辅助计算(残差)'!$C$5:$C$160)*C155+INTERCEPT('04 变换后数据'!$C$5:$C$160,'09b 辅助计算(残差)'!$C$5:$C$160),"")</f>
        <v/>
      </c>
      <c r="G155" s="8">
        <f>IF(ISNUMBER(D155),D155-F155,"")</f>
        <v/>
      </c>
      <c r="H155" s="8">
        <f>IF(ISNUMBER(E155),SLOPE('04 变换后数据'!$F$5:$F$160,'09b 辅助计算(残差)'!$C$5:$C$160)*C155+INTERCEPT('04 变换后数据'!$F$5:$F$160,'09b 辅助计算(残差)'!$C$5:$C$160),"")</f>
        <v/>
      </c>
      <c r="I155" s="8">
        <f>IF(ISNUMBER(E155),E155-H155,"")</f>
        <v/>
      </c>
    </row>
    <row r="156">
      <c r="A156" s="23" t="n">
        <v>152</v>
      </c>
      <c r="B156" s="8">
        <f>'04 变换后数据'!B156</f>
        <v/>
      </c>
      <c r="C156" s="23" t="n">
        <v>152</v>
      </c>
      <c r="D156" s="8">
        <f>'04 变换后数据'!C156</f>
        <v/>
      </c>
      <c r="E156" s="8">
        <f>'04 变换后数据'!F156</f>
        <v/>
      </c>
      <c r="F156" s="8">
        <f>IF(ISNUMBER(D156),SLOPE('04 变换后数据'!$C$5:$C$160,'09b 辅助计算(残差)'!$C$5:$C$160)*C156+INTERCEPT('04 变换后数据'!$C$5:$C$160,'09b 辅助计算(残差)'!$C$5:$C$160),"")</f>
        <v/>
      </c>
      <c r="G156" s="8">
        <f>IF(ISNUMBER(D156),D156-F156,"")</f>
        <v/>
      </c>
      <c r="H156" s="8">
        <f>IF(ISNUMBER(E156),SLOPE('04 变换后数据'!$F$5:$F$160,'09b 辅助计算(残差)'!$C$5:$C$160)*C156+INTERCEPT('04 变换后数据'!$F$5:$F$160,'09b 辅助计算(残差)'!$C$5:$C$160),"")</f>
        <v/>
      </c>
      <c r="I156" s="8">
        <f>IF(ISNUMBER(E156),E156-H156,"")</f>
        <v/>
      </c>
    </row>
    <row r="157">
      <c r="A157" s="23" t="n">
        <v>153</v>
      </c>
      <c r="B157" s="8">
        <f>'04 变换后数据'!B157</f>
        <v/>
      </c>
      <c r="C157" s="23" t="n">
        <v>153</v>
      </c>
      <c r="D157" s="8">
        <f>'04 变换后数据'!C157</f>
        <v/>
      </c>
      <c r="E157" s="8">
        <f>'04 变换后数据'!F157</f>
        <v/>
      </c>
      <c r="F157" s="8">
        <f>IF(ISNUMBER(D157),SLOPE('04 变换后数据'!$C$5:$C$160,'09b 辅助计算(残差)'!$C$5:$C$160)*C157+INTERCEPT('04 变换后数据'!$C$5:$C$160,'09b 辅助计算(残差)'!$C$5:$C$160),"")</f>
        <v/>
      </c>
      <c r="G157" s="8">
        <f>IF(ISNUMBER(D157),D157-F157,"")</f>
        <v/>
      </c>
      <c r="H157" s="8">
        <f>IF(ISNUMBER(E157),SLOPE('04 变换后数据'!$F$5:$F$160,'09b 辅助计算(残差)'!$C$5:$C$160)*C157+INTERCEPT('04 变换后数据'!$F$5:$F$160,'09b 辅助计算(残差)'!$C$5:$C$160),"")</f>
        <v/>
      </c>
      <c r="I157" s="8">
        <f>IF(ISNUMBER(E157),E157-H157,"")</f>
        <v/>
      </c>
    </row>
    <row r="158">
      <c r="A158" s="23" t="n">
        <v>154</v>
      </c>
      <c r="B158" s="8">
        <f>'04 变换后数据'!B158</f>
        <v/>
      </c>
      <c r="C158" s="23" t="n">
        <v>154</v>
      </c>
      <c r="D158" s="8">
        <f>'04 变换后数据'!C158</f>
        <v/>
      </c>
      <c r="E158" s="8">
        <f>'04 变换后数据'!F158</f>
        <v/>
      </c>
      <c r="F158" s="8">
        <f>IF(ISNUMBER(D158),SLOPE('04 变换后数据'!$C$5:$C$160,'09b 辅助计算(残差)'!$C$5:$C$160)*C158+INTERCEPT('04 变换后数据'!$C$5:$C$160,'09b 辅助计算(残差)'!$C$5:$C$160),"")</f>
        <v/>
      </c>
      <c r="G158" s="8">
        <f>IF(ISNUMBER(D158),D158-F158,"")</f>
        <v/>
      </c>
      <c r="H158" s="8">
        <f>IF(ISNUMBER(E158),SLOPE('04 变换后数据'!$F$5:$F$160,'09b 辅助计算(残差)'!$C$5:$C$160)*C158+INTERCEPT('04 变换后数据'!$F$5:$F$160,'09b 辅助计算(残差)'!$C$5:$C$160),"")</f>
        <v/>
      </c>
      <c r="I158" s="8">
        <f>IF(ISNUMBER(E158),E158-H158,"")</f>
        <v/>
      </c>
    </row>
    <row r="159">
      <c r="A159" s="23" t="n">
        <v>155</v>
      </c>
      <c r="B159" s="8">
        <f>'04 变换后数据'!B159</f>
        <v/>
      </c>
      <c r="C159" s="23" t="n">
        <v>155</v>
      </c>
      <c r="D159" s="8">
        <f>'04 变换后数据'!C159</f>
        <v/>
      </c>
      <c r="E159" s="8">
        <f>'04 变换后数据'!F159</f>
        <v/>
      </c>
      <c r="F159" s="8">
        <f>IF(ISNUMBER(D159),SLOPE('04 变换后数据'!$C$5:$C$160,'09b 辅助计算(残差)'!$C$5:$C$160)*C159+INTERCEPT('04 变换后数据'!$C$5:$C$160,'09b 辅助计算(残差)'!$C$5:$C$160),"")</f>
        <v/>
      </c>
      <c r="G159" s="8">
        <f>IF(ISNUMBER(D159),D159-F159,"")</f>
        <v/>
      </c>
      <c r="H159" s="8">
        <f>IF(ISNUMBER(E159),SLOPE('04 变换后数据'!$F$5:$F$160,'09b 辅助计算(残差)'!$C$5:$C$160)*C159+INTERCEPT('04 变换后数据'!$F$5:$F$160,'09b 辅助计算(残差)'!$C$5:$C$160),"")</f>
        <v/>
      </c>
      <c r="I159" s="8">
        <f>IF(ISNUMBER(E159),E159-H159,"")</f>
        <v/>
      </c>
    </row>
    <row r="160">
      <c r="A160" s="23" t="n">
        <v>156</v>
      </c>
      <c r="B160" s="8">
        <f>'04 变换后数据'!B160</f>
        <v/>
      </c>
      <c r="C160" s="23" t="n">
        <v>156</v>
      </c>
      <c r="D160" s="8">
        <f>'04 变换后数据'!C160</f>
        <v/>
      </c>
      <c r="E160" s="8">
        <f>'04 变换后数据'!F160</f>
        <v/>
      </c>
      <c r="F160" s="8">
        <f>IF(ISNUMBER(D160),SLOPE('04 变换后数据'!$C$5:$C$160,'09b 辅助计算(残差)'!$C$5:$C$160)*C160+INTERCEPT('04 变换后数据'!$C$5:$C$160,'09b 辅助计算(残差)'!$C$5:$C$160),"")</f>
        <v/>
      </c>
      <c r="G160" s="8">
        <f>IF(ISNUMBER(D160),D160-F160,"")</f>
        <v/>
      </c>
      <c r="H160" s="8">
        <f>IF(ISNUMBER(E160),SLOPE('04 变换后数据'!$F$5:$F$160,'09b 辅助计算(残差)'!$C$5:$C$160)*C160+INTERCEPT('04 变换后数据'!$F$5:$F$160,'09b 辅助计算(残差)'!$C$5:$C$160),"")</f>
        <v/>
      </c>
      <c r="I160" s="8">
        <f>IF(ISNUMBER(E160),E160-H160,"")</f>
        <v/>
      </c>
    </row>
    <row r="162">
      <c r="B162" s="10" t="inlineStr">
        <is>
          <t>去趋势后相关 r =</t>
        </is>
      </c>
      <c r="D162" s="39">
        <f>IFERROR(CORREL(G5:G160,I5:I160),"")</f>
        <v/>
      </c>
    </row>
    <row r="163">
      <c r="B163" s="10" t="inlineStr">
        <is>
          <t>R²（库存 vs 时间）=</t>
        </is>
      </c>
      <c r="D163" s="39">
        <f>IFERROR(RSQ('04 变换后数据'!$C$5:$C$160,'09b 辅助计算(残差)'!$C$5:$C$160),"")</f>
        <v/>
      </c>
    </row>
    <row r="164">
      <c r="B164" s="10" t="inlineStr">
        <is>
          <t>R²（价格 vs 时间）=</t>
        </is>
      </c>
      <c r="D164" s="39">
        <f>IFERROR(RSQ('04 变换后数据'!$F$5:$F$160,'09b 辅助计算(残差)'!$C$5:$C$160),"")</f>
        <v/>
      </c>
    </row>
    <row r="165">
      <c r="B165" s="10" t="inlineStr">
        <is>
          <t>库存时间趋势斜率 =</t>
        </is>
      </c>
      <c r="D165" s="39">
        <f>IFERROR(SLOPE('04 变换后数据'!$C$5:$C$160,'09b 辅助计算(残差)'!$C$5:$C$160),"")</f>
        <v/>
      </c>
    </row>
    <row r="166">
      <c r="B166" s="10" t="inlineStr">
        <is>
          <t>价格时间趋势斜率 =</t>
        </is>
      </c>
      <c r="D166" s="39">
        <f>IFERROR(SLOPE('04 变换后数据'!$F$5:$F$160,'09b 辅助计算(残差)'!$C$5:$C$160),"")</f>
        <v/>
      </c>
    </row>
  </sheetData>
  <mergeCells count="2">
    <mergeCell ref="A1:I1"/>
    <mergeCell ref="A2:I2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15"/>
  <sheetViews>
    <sheetView showGridLines="0" workbookViewId="0">
      <selection activeCell="A1" sqref="A1"/>
    </sheetView>
  </sheetViews>
  <sheetFormatPr baseColWidth="8" defaultRowHeight="15"/>
  <cols>
    <col width="10" customWidth="1" min="1" max="1"/>
    <col width="18" customWidth="1" min="2" max="2"/>
    <col width="12" customWidth="1" min="3" max="3"/>
    <col width="8" customWidth="1" min="4" max="4"/>
  </cols>
  <sheetData>
    <row r="1" ht="26" customHeight="1">
      <c r="A1" s="1" t="inlineStr">
        <is>
          <t>滞后相关（lag = -4 ~ +4 期，主口径）</t>
        </is>
      </c>
    </row>
    <row r="2" ht="34" customHeight="1">
      <c r="A2" s="2" t="inlineStr">
        <is>
          <t>lag&gt;0：库存领先价格（库存[t] 对 价格[t+lag]）。峰值在 lag&gt;0 只能说明先后顺序与数据吻合，不能证明因果。数值由 analyze.py 预计算写入。</t>
        </is>
      </c>
    </row>
    <row r="4" ht="24" customHeight="1">
      <c r="A4" s="7" t="inlineStr">
        <is>
          <t>lag（期）</t>
        </is>
      </c>
      <c r="B4" s="7" t="inlineStr">
        <is>
          <t>含义</t>
        </is>
      </c>
      <c r="C4" s="7" t="inlineStr">
        <is>
          <t>Pearson r</t>
        </is>
      </c>
      <c r="D4" s="7" t="inlineStr">
        <is>
          <t>N</t>
        </is>
      </c>
    </row>
    <row r="5">
      <c r="A5" s="8" t="n">
        <v>-4</v>
      </c>
      <c r="B5" s="8" t="inlineStr">
        <is>
          <t>价格领先库存</t>
        </is>
      </c>
      <c r="C5" s="26" t="n">
        <v>0.1253</v>
      </c>
      <c r="D5" s="8" t="n">
        <v>151</v>
      </c>
    </row>
    <row r="6">
      <c r="A6" s="8" t="n">
        <v>-3</v>
      </c>
      <c r="B6" s="8" t="inlineStr">
        <is>
          <t>价格领先库存</t>
        </is>
      </c>
      <c r="C6" s="26" t="n">
        <v>-0.019</v>
      </c>
      <c r="D6" s="8" t="n">
        <v>152</v>
      </c>
    </row>
    <row r="7">
      <c r="A7" s="8" t="n">
        <v>-2</v>
      </c>
      <c r="B7" s="8" t="inlineStr">
        <is>
          <t>价格领先库存</t>
        </is>
      </c>
      <c r="C7" s="26" t="n">
        <v>-0.0538</v>
      </c>
      <c r="D7" s="8" t="n">
        <v>153</v>
      </c>
    </row>
    <row r="8">
      <c r="A8" s="8" t="n">
        <v>-1</v>
      </c>
      <c r="B8" s="8" t="inlineStr">
        <is>
          <t>价格领先库存</t>
        </is>
      </c>
      <c r="C8" s="26" t="n">
        <v>-0.2545</v>
      </c>
      <c r="D8" s="8" t="n">
        <v>154</v>
      </c>
    </row>
    <row r="9">
      <c r="A9" s="8" t="n">
        <v>0</v>
      </c>
      <c r="B9" s="8" t="inlineStr">
        <is>
          <t>同期</t>
        </is>
      </c>
      <c r="C9" s="26" t="n">
        <v>-0.6011</v>
      </c>
      <c r="D9" s="8" t="n">
        <v>155</v>
      </c>
    </row>
    <row r="10">
      <c r="A10" s="8" t="n">
        <v>1</v>
      </c>
      <c r="B10" s="8" t="inlineStr">
        <is>
          <t>库存领先价格</t>
        </is>
      </c>
      <c r="C10" s="26" t="n">
        <v>-0.1918</v>
      </c>
      <c r="D10" s="8" t="n">
        <v>154</v>
      </c>
    </row>
    <row r="11">
      <c r="A11" s="8" t="n">
        <v>2</v>
      </c>
      <c r="B11" s="8" t="inlineStr">
        <is>
          <t>库存领先价格</t>
        </is>
      </c>
      <c r="C11" s="26" t="n">
        <v>0.0095</v>
      </c>
      <c r="D11" s="8" t="n">
        <v>153</v>
      </c>
    </row>
    <row r="12">
      <c r="A12" s="8" t="n">
        <v>3</v>
      </c>
      <c r="B12" s="8" t="inlineStr">
        <is>
          <t>库存领先价格</t>
        </is>
      </c>
      <c r="C12" s="26" t="n">
        <v>0.008</v>
      </c>
      <c r="D12" s="8" t="n">
        <v>152</v>
      </c>
    </row>
    <row r="13">
      <c r="A13" s="8" t="n">
        <v>4</v>
      </c>
      <c r="B13" s="8" t="inlineStr">
        <is>
          <t>库存领先价格</t>
        </is>
      </c>
      <c r="C13" s="26" t="n">
        <v>0.0262</v>
      </c>
      <c r="D13" s="8" t="n">
        <v>151</v>
      </c>
    </row>
    <row r="15">
      <c r="B15" t="inlineStr">
        <is>
          <t>替换数据后请重跑：python scripts/analyze.py ... 以更新本表。</t>
        </is>
      </c>
    </row>
  </sheetData>
  <mergeCells count="2">
    <mergeCell ref="A1:D1"/>
    <mergeCell ref="A2:D2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E13"/>
  <sheetViews>
    <sheetView showGridLines="0"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0" customWidth="1" min="3" max="3"/>
    <col width="30" customWidth="1" min="4" max="4"/>
    <col width="76" customWidth="1" min="5" max="5"/>
  </cols>
  <sheetData>
    <row r="1" ht="26" customHeight="1">
      <c r="A1" s="1" t="inlineStr">
        <is>
          <t>行业事件与口径提示（用于解释“相关性为何变化”）</t>
        </is>
      </c>
    </row>
    <row r="2" ht="34" customHeight="1">
      <c r="A2" s="2" t="inlineStr">
        <is>
          <t>只记录可公开核对的事件与口径风险；不写因果断言、不写交易建议。事件与价格/库存的关系需单独验证。</t>
        </is>
      </c>
    </row>
    <row r="4" ht="24" customHeight="1">
      <c r="A4" s="7" t="inlineStr">
        <is>
          <t>起始</t>
        </is>
      </c>
      <c r="B4" s="7" t="inlineStr">
        <is>
          <t>结束</t>
        </is>
      </c>
      <c r="C4" s="7" t="inlineStr">
        <is>
          <t>类型</t>
        </is>
      </c>
      <c r="D4" s="7" t="inlineStr">
        <is>
          <t>事件</t>
        </is>
      </c>
      <c r="E4" s="7" t="inlineStr">
        <is>
          <t>说明</t>
        </is>
      </c>
    </row>
    <row r="5" ht="30" customHeight="1">
      <c r="A5" s="8" t="inlineStr">
        <is>
          <t>2024-01-01</t>
        </is>
      </c>
      <c r="B5" s="8" t="inlineStr">
        <is>
          <t>2024-02-29</t>
        </is>
      </c>
      <c r="C5" s="8" t="inlineStr">
        <is>
          <t>季节性</t>
        </is>
      </c>
      <c r="D5" s="9" t="inlineStr">
        <is>
          <t>春节前后累库窗口</t>
        </is>
      </c>
      <c r="E5" s="9" t="inlineStr">
        <is>
          <t>国产与进口到港集中在节前，下游停工，港口库存通常季节性抬升；此阶段库存与价格的相关性往往被季节性主导。</t>
        </is>
      </c>
    </row>
    <row r="6" ht="30" customHeight="1">
      <c r="A6" s="8" t="inlineStr">
        <is>
          <t>2024-03-15</t>
        </is>
      </c>
      <c r="B6" s="8" t="inlineStr">
        <is>
          <t>2024-05-31</t>
        </is>
      </c>
      <c r="C6" s="8" t="inlineStr">
        <is>
          <t>供给</t>
        </is>
      </c>
      <c r="D6" s="9" t="inlineStr">
        <is>
          <t>春季装置检修与进口到港节奏</t>
        </is>
      </c>
      <c r="E6" s="9" t="inlineStr">
        <is>
          <t>内地装置春季检修、进口船期后移，港口去库与到港断档并存，价格对库存的敏感度上升。</t>
        </is>
      </c>
    </row>
    <row r="7" ht="30" customHeight="1">
      <c r="A7" s="8" t="inlineStr">
        <is>
          <t>2024-06-01</t>
        </is>
      </c>
      <c r="B7" s="8" t="inlineStr">
        <is>
          <t>2024-08-31</t>
        </is>
      </c>
      <c r="C7" s="8" t="inlineStr">
        <is>
          <t>需求</t>
        </is>
      </c>
      <c r="D7" s="9" t="inlineStr">
        <is>
          <t>传统需求淡季（甲醛/板材、MTO 利润承压）</t>
        </is>
      </c>
      <c r="E7" s="9" t="inlineStr">
        <is>
          <t>淡季下游提货走弱，库存变动更多由到港驱动而非需求驱动，需分开看“到港冲击”和“需求变化”。</t>
        </is>
      </c>
    </row>
    <row r="8" ht="30" customHeight="1">
      <c r="A8" s="8" t="inlineStr">
        <is>
          <t>2024-09-01</t>
        </is>
      </c>
      <c r="B8" s="8" t="inlineStr">
        <is>
          <t>2024-10-31</t>
        </is>
      </c>
      <c r="C8" s="8" t="inlineStr">
        <is>
          <t>成本</t>
        </is>
      </c>
      <c r="D8" s="9" t="inlineStr">
        <is>
          <t>冬季前能源成本与运费抬升预期</t>
        </is>
      </c>
      <c r="E8" s="9" t="inlineStr">
        <is>
          <t>煤价/运费预期上行时，成本项对价格的解释力上升，会稀释库存与现货价的相关强度。</t>
        </is>
      </c>
    </row>
    <row r="9" ht="30" customHeight="1">
      <c r="A9" s="8" t="inlineStr">
        <is>
          <t>2024-11-01</t>
        </is>
      </c>
      <c r="B9" s="8" t="inlineStr">
        <is>
          <t>2025-03-31</t>
        </is>
      </c>
      <c r="C9" s="8" t="inlineStr">
        <is>
          <t>季节性</t>
        </is>
      </c>
      <c r="D9" s="9" t="inlineStr">
        <is>
          <t>冬季天然气限气与进口节奏切换</t>
        </is>
      </c>
      <c r="E9" s="9" t="inlineStr">
        <is>
          <t>气头装置降负荷、进口长约执行节奏变化，库存与价格的关系容易出现阶段性失效。</t>
        </is>
      </c>
    </row>
    <row r="10" ht="30" customHeight="1">
      <c r="A10" s="8" t="inlineStr">
        <is>
          <t>2025-04-01</t>
        </is>
      </c>
      <c r="B10" s="8" t="inlineStr">
        <is>
          <t>2025-08-31</t>
        </is>
      </c>
      <c r="C10" s="8" t="inlineStr">
        <is>
          <t>供给</t>
        </is>
      </c>
      <c r="D10" s="9" t="inlineStr">
        <is>
          <t>新增产能投放与进口到港回升</t>
        </is>
      </c>
      <c r="E10" s="9" t="inlineStr">
        <is>
          <t>供给端增量使库存中枢抬升，价格对库存水平的弹性可能改变，需要按阶段重算相关系数。</t>
        </is>
      </c>
    </row>
    <row r="11" ht="30" customHeight="1">
      <c r="A11" s="8" t="inlineStr">
        <is>
          <t>2025-09-01</t>
        </is>
      </c>
      <c r="B11" s="8" t="inlineStr">
        <is>
          <t>2026-01-31</t>
        </is>
      </c>
      <c r="C11" s="8" t="inlineStr">
        <is>
          <t>需求</t>
        </is>
      </c>
      <c r="D11" s="9" t="inlineStr">
        <is>
          <t>下游利润压缩、需求转弱阶段</t>
        </is>
      </c>
      <c r="E11" s="9" t="inlineStr">
        <is>
          <t>需求走弱时，价格由“成本+预期”主导的成分上升，库存与价格的相关性常出现弱化/脱钩。</t>
        </is>
      </c>
    </row>
    <row r="12" ht="30" customHeight="1">
      <c r="A12" s="8" t="inlineStr">
        <is>
          <t>2026-02-01</t>
        </is>
      </c>
      <c r="B12" s="8" t="inlineStr">
        <is>
          <t>2026-03-31</t>
        </is>
      </c>
      <c r="C12" s="8" t="inlineStr">
        <is>
          <t>季节性</t>
        </is>
      </c>
      <c r="D12" s="9" t="inlineStr">
        <is>
          <t>春节后复工节奏与船期错配</t>
        </is>
      </c>
      <c r="E12" s="9" t="inlineStr">
        <is>
          <t>复工慢于往年时，库存堆积但价格不跌，二者短期脱钩。</t>
        </is>
      </c>
    </row>
    <row r="13" ht="30" customHeight="1">
      <c r="A13" s="8" t="inlineStr">
        <is>
          <t>2026-04-01</t>
        </is>
      </c>
      <c r="B13" s="8" t="inlineStr">
        <is>
          <t>2026-09-30</t>
        </is>
      </c>
      <c r="C13" s="8" t="inlineStr">
        <is>
          <t>统计口径</t>
        </is>
      </c>
      <c r="D13" s="9" t="inlineStr">
        <is>
          <t>港口样本口径与统计周期提示</t>
        </is>
      </c>
      <c r="E13" s="9" t="inlineStr">
        <is>
          <t>港口样本库存为企业/第三方机构抽样口径，调查日、发布时点（通常周三下午）与价格报价时点（当日午评）不一致时，需按同一时点对齐。</t>
        </is>
      </c>
    </row>
  </sheetData>
  <mergeCells count="2">
    <mergeCell ref="A2:E2"/>
    <mergeCell ref="A1:E1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16"/>
  <sheetViews>
    <sheetView showGridLines="0" workbookViewId="0">
      <selection activeCell="A1" sqref="A1"/>
    </sheetView>
  </sheetViews>
  <sheetFormatPr baseColWidth="8" defaultRowHeight="15"/>
  <cols>
    <col width="20" customWidth="1" min="1" max="1"/>
    <col width="46" customWidth="1" min="2" max="2"/>
    <col width="40" customWidth="1" min="3" max="3"/>
    <col width="32" customWidth="1" min="4" max="4"/>
  </cols>
  <sheetData>
    <row r="1" ht="26" customHeight="1">
      <c r="A1" s="1" t="inlineStr">
        <is>
          <t>公式说明（统计口径与 Excel 实现）</t>
        </is>
      </c>
    </row>
    <row r="2" ht="34" customHeight="1">
      <c r="A2" s="2" t="inlineStr">
        <is>
          <t>每条都能在工作簿内找到对应单元格复核；Excel 无法原生实现的量注明由哪个脚本输出。</t>
        </is>
      </c>
    </row>
    <row r="4" ht="24" customHeight="1">
      <c r="A4" s="7" t="inlineStr">
        <is>
          <t>统计量</t>
        </is>
      </c>
      <c r="B4" s="7" t="inlineStr">
        <is>
          <t>定义/公式</t>
        </is>
      </c>
      <c r="C4" s="7" t="inlineStr">
        <is>
          <t>Excel 写法</t>
        </is>
      </c>
      <c r="D4" s="7" t="inlineStr">
        <is>
          <t>注意事项</t>
        </is>
      </c>
    </row>
    <row r="5">
      <c r="A5" s="9" t="inlineStr">
        <is>
          <t>Pearson r</t>
        </is>
      </c>
      <c r="B5" s="9" t="inlineStr">
        <is>
          <t>r = Σ(x-x̄)(y-ȳ) / √(Σ(x-x̄)²·Σ(y-ȳ)²)</t>
        </is>
      </c>
      <c r="C5" s="9" t="inlineStr">
        <is>
          <t>CORREL(区域X, 区域Y)</t>
        </is>
      </c>
      <c r="D5" s="9" t="inlineStr">
        <is>
          <t>只度量线性关系；对离群点敏感</t>
        </is>
      </c>
    </row>
    <row r="6">
      <c r="A6" s="9" t="inlineStr">
        <is>
          <t>Spearman ρ</t>
        </is>
      </c>
      <c r="B6" s="9" t="inlineStr">
        <is>
          <t>两列取平均秩后求 Pearson</t>
        </is>
      </c>
      <c r="C6" s="9" t="inlineStr">
        <is>
          <t>CORREL(RANK.AVG 秩列) 或 matrix 脚本输出</t>
        </is>
      </c>
      <c r="D6" s="9" t="inlineStr">
        <is>
          <t>抗离群，可捕捉单调非线性</t>
        </is>
      </c>
    </row>
    <row r="7">
      <c r="A7" s="9" t="inlineStr">
        <is>
          <t>R²</t>
        </is>
      </c>
      <c r="B7" s="9" t="inlineStr">
        <is>
          <t>r²，解释的方差比例</t>
        </is>
      </c>
      <c r="C7" s="9" t="inlineStr">
        <is>
          <t>RSQ(y, x) 或 r²</t>
        </is>
      </c>
      <c r="D7" s="9" t="inlineStr">
        <is>
          <t>不是因果强度</t>
        </is>
      </c>
    </row>
    <row r="8">
      <c r="A8" s="9" t="inlineStr">
        <is>
          <t>t 统计量</t>
        </is>
      </c>
      <c r="B8" s="9" t="inlineStr">
        <is>
          <t>t = r·√((N-2)/(1-r²))</t>
        </is>
      </c>
      <c r="C8" s="9" t="inlineStr">
        <is>
          <t>r*SQRT((N-2)/(1-r^2))</t>
        </is>
      </c>
      <c r="D8" s="9" t="inlineStr">
        <is>
          <t>N 必须是有效配对数</t>
        </is>
      </c>
    </row>
    <row r="9">
      <c r="A9" s="9" t="inlineStr">
        <is>
          <t>p 值</t>
        </is>
      </c>
      <c r="B9" s="9" t="inlineStr">
        <is>
          <t>双侧，自由度 N-2</t>
        </is>
      </c>
      <c r="C9" s="9" t="inlineStr">
        <is>
          <t>T.DIST.2T(ABS(t), N-2)</t>
        </is>
      </c>
      <c r="D9" s="9" t="inlineStr">
        <is>
          <t>p 小 ≠ 相关强</t>
        </is>
      </c>
    </row>
    <row r="10">
      <c r="A10" s="9" t="inlineStr">
        <is>
          <t>95% 置信区间</t>
        </is>
      </c>
      <c r="B10" s="9" t="inlineStr">
        <is>
          <t>Fisher-z：z=atanh(r)，SE=1/√(N-3)，tanh 回推</t>
        </is>
      </c>
      <c r="C10" s="9" t="inlineStr">
        <is>
          <t>TANH(ATANH(r)±1.96/SQRT(N-3))</t>
        </is>
      </c>
      <c r="D10" s="9" t="inlineStr">
        <is>
          <t>N 小时区间会极宽</t>
        </is>
      </c>
    </row>
    <row r="11">
      <c r="A11" s="9" t="inlineStr">
        <is>
          <t>HAC 标准误</t>
        </is>
      </c>
      <c r="B11" s="9" t="inlineStr">
        <is>
          <t>Newey-West 长期方差</t>
        </is>
      </c>
      <c r="C11" s="9" t="inlineStr">
        <is>
          <t>scripts/analyze.py 输出</t>
        </is>
      </c>
      <c r="D11" s="9" t="inlineStr">
        <is>
          <t>Excel 无原生实现</t>
        </is>
      </c>
    </row>
    <row r="12">
      <c r="A12" s="9" t="inlineStr">
        <is>
          <t>有效样本量 N_eff</t>
        </is>
      </c>
      <c r="B12" s="9" t="inlineStr">
        <is>
          <t>n(1-ρxρy)/(1+ρxρy)</t>
        </is>
      </c>
      <c r="C12" s="9" t="inlineStr">
        <is>
          <t>scripts/analyze.py 输出</t>
        </is>
      </c>
      <c r="D12" s="9" t="inlineStr">
        <is>
          <t>修正自相关造成的显著性夸大</t>
        </is>
      </c>
    </row>
    <row r="13">
      <c r="A13" s="9" t="inlineStr">
        <is>
          <t>去趋势相关</t>
        </is>
      </c>
      <c r="B13" s="9" t="inlineStr">
        <is>
          <t>对时间回归取残差后求 r</t>
        </is>
      </c>
      <c r="C13" s="9" t="inlineStr">
        <is>
          <t>'09b 辅助计算(残差)'!D$行号</t>
        </is>
      </c>
      <c r="D13" s="9" t="inlineStr">
        <is>
          <t>检验共同趋势造成的伪相关</t>
        </is>
      </c>
    </row>
    <row r="14">
      <c r="A14" s="9" t="inlineStr">
        <is>
          <t>偏相关</t>
        </is>
      </c>
      <c r="B14" s="9" t="inlineStr">
        <is>
          <t>对控制变量回归取残差后求 r</t>
        </is>
      </c>
      <c r="C14" s="9" t="inlineStr">
        <is>
          <t>CORREL(残差X, 残差Y)</t>
        </is>
      </c>
      <c r="D14" s="9" t="inlineStr">
        <is>
          <t>控制变量需与两者都相关才有意义</t>
        </is>
      </c>
    </row>
    <row r="15">
      <c r="A15" s="9" t="inlineStr">
        <is>
          <t>滚动相关</t>
        </is>
      </c>
      <c r="B15" s="9" t="inlineStr">
        <is>
          <t>窗口内 CORREL，末端对齐日期</t>
        </is>
      </c>
      <c r="C15" s="9" t="inlineStr">
        <is>
          <t>CORREL(OFFSET(...))</t>
        </is>
      </c>
      <c r="D15" s="9" t="inlineStr">
        <is>
          <t>有效配对不足时留空</t>
        </is>
      </c>
    </row>
    <row r="16">
      <c r="A16" s="9" t="inlineStr">
        <is>
          <t>一阶差分/环比</t>
        </is>
      </c>
      <c r="B16" s="9" t="inlineStr">
        <is>
          <t>Δx = x_t − x_{t−1}；(x_t−x_{t−1})/|x_{t−1}|</t>
        </is>
      </c>
      <c r="C16" s="9" t="inlineStr">
        <is>
          <t>'04 变换后数据'</t>
        </is>
      </c>
      <c r="D16" s="9" t="inlineStr">
        <is>
          <t>首期必为空</t>
        </is>
      </c>
    </row>
  </sheetData>
  <mergeCells count="2">
    <mergeCell ref="A1:D1"/>
    <mergeCell ref="A2:D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2026-10-20T05:31:20Z</dcterms:created>
  <dcterms:modified xmlns:dcterms="http://purl.org/dc/terms/" xmlns:xsi="http://www.w3.org/2001/XMLSchema-instance" xsi:type="dcterms:W3CDTF">2026-10-20T05:31:21Z</dcterms:modified>
</cp:coreProperties>
</file>
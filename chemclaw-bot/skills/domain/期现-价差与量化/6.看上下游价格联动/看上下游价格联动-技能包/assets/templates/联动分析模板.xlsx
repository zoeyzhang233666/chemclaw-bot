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参数" sheetId="2" state="visible" r:id="rId2"/>
    <sheet xmlns:r="http://schemas.openxmlformats.org/officeDocument/2006/relationships" name="02_原始数据" sheetId="3" state="visible" r:id="rId3"/>
    <sheet xmlns:r="http://schemas.openxmlformats.org/officeDocument/2006/relationships" name="03_单耗台账" sheetId="4" state="visible" r:id="rId4"/>
    <sheet xmlns:r="http://schemas.openxmlformats.org/officeDocument/2006/relationships" name="04_价差" sheetId="5" state="visible" r:id="rId5"/>
    <sheet xmlns:r="http://schemas.openxmlformats.org/officeDocument/2006/relationships" name="05_单耗敏感性" sheetId="6" state="visible" r:id="rId6"/>
    <sheet xmlns:r="http://schemas.openxmlformats.org/officeDocument/2006/relationships" name="06_相关性" sheetId="7" state="visible" r:id="rId7"/>
    <sheet xmlns:r="http://schemas.openxmlformats.org/officeDocument/2006/relationships" name="07_滚动相关" sheetId="8" state="visible" r:id="rId8"/>
    <sheet xmlns:r="http://schemas.openxmlformats.org/officeDocument/2006/relationships" name="08_阶段" sheetId="9" state="visible" r:id="rId9"/>
  </sheets>
  <definedNames>
    <definedName name="Lambda">'01_参数'!$C$5</definedName>
    <definedName name="OtherCost">'01_参数'!$C$6</definedName>
    <definedName name="WinB">'01_参数'!$C$7</definedName>
    <definedName name="WinC">'01_参数'!$C$8</definedName>
    <definedName name="Alpha">'01_参数'!$C$9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"/>
    <numFmt numFmtId="166" formatCode="0.0%"/>
    <numFmt numFmtId="167" formatCode="0.000"/>
  </numFmts>
  <fonts count="13">
    <font>
      <name val="Calibri"/>
      <family val="2"/>
      <color theme="1"/>
      <sz val="11"/>
      <scheme val="minor"/>
    </font>
    <font>
      <name val="微软雅黑"/>
      <b val="1"/>
      <sz val="15"/>
    </font>
    <font>
      <name val="微软雅黑"/>
      <color rgb="FF6B7280"/>
      <sz val="10"/>
    </font>
    <font>
      <name val="微软雅黑"/>
      <b val="1"/>
      <sz val="10.5"/>
    </font>
    <font>
      <name val="微软雅黑"/>
      <sz val="10.5"/>
    </font>
    <font>
      <name val="微软雅黑"/>
      <b val="1"/>
      <color rgb="FFB45309"/>
      <sz val="10.5"/>
    </font>
    <font>
      <name val="微软雅黑"/>
      <b val="1"/>
      <color rgb="FFFFFFFF"/>
      <sz val="10.5"/>
    </font>
    <font>
      <name val="微软雅黑"/>
      <b val="1"/>
      <color rgb="FF92400E"/>
      <sz val="10.5"/>
    </font>
    <font>
      <name val="微软雅黑"/>
      <color rgb="FF9CA3AF"/>
      <sz val="10"/>
    </font>
    <font>
      <name val="微软雅黑"/>
      <color rgb="FF0B5FFF"/>
      <sz val="10.5"/>
    </font>
    <font>
      <name val="微软雅黑"/>
      <color rgb="FF9CA3AF"/>
      <sz val="8.5"/>
    </font>
    <font>
      <name val="微软雅黑"/>
      <color rgb="FF9CA3AF"/>
      <sz val="9"/>
    </font>
    <font>
      <name val="微软雅黑"/>
      <color rgb="FF1F2937"/>
      <sz val="10.5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3" borderId="1" pivotButton="0" quotePrefix="0" xfId="0"/>
    <xf numFmtId="4" fontId="4" fillId="0" borderId="1" pivotButton="0" quotePrefix="0" xfId="0"/>
    <xf numFmtId="0" fontId="8" fillId="0" borderId="1" pivotButton="0" quotePrefix="0" xfId="0"/>
    <xf numFmtId="4" fontId="9" fillId="0" borderId="1" pivotButton="0" quotePrefix="0" xfId="0"/>
    <xf numFmtId="164" fontId="9" fillId="0" borderId="1" pivotButton="0" quotePrefix="0" xfId="0"/>
    <xf numFmtId="0" fontId="9" fillId="0" borderId="1" pivotButton="0" quotePrefix="0" xfId="0"/>
    <xf numFmtId="10" fontId="9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1" pivotButton="0" quotePrefix="0" xfId="0"/>
    <xf numFmtId="166" fontId="9" fillId="0" borderId="1" pivotButton="0" quotePrefix="0" xfId="0"/>
    <xf numFmtId="0" fontId="4" fillId="0" borderId="0" pivotButton="0" quotePrefix="0" xfId="0"/>
    <xf numFmtId="4" fontId="9" fillId="0" borderId="0" pivotButton="0" quotePrefix="0" xfId="0"/>
    <xf numFmtId="0" fontId="11" fillId="0" borderId="0" pivotButton="0" quotePrefix="0" xfId="0"/>
    <xf numFmtId="167" fontId="0" fillId="0" borderId="1" pivotButton="0" quotePrefix="0" xfId="0"/>
    <xf numFmtId="4" fontId="0" fillId="0" borderId="1" pivotButton="0" quotePrefix="0" xfId="0"/>
    <xf numFmtId="4" fontId="10" fillId="0" borderId="0" pivotButton="0" quotePrefix="0" xfId="0"/>
    <xf numFmtId="0" fontId="12" fillId="0" borderId="1" pivotButton="0" quotePrefix="0" xfId="0"/>
    <xf numFmtId="11" fontId="9" fillId="0" borderId="1" pivotButton="0" quotePrefix="0" xfId="0"/>
    <xf numFmtId="167" fontId="9" fillId="0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00" customWidth="1" min="3" max="3"/>
  </cols>
  <sheetData>
    <row r="1">
      <c r="A1" s="1" t="inlineStr">
        <is>
          <t>上下游价格联动分析模板</t>
        </is>
      </c>
    </row>
    <row r="2">
      <c r="A2" s="2" t="inlineStr">
        <is>
          <t>换品种时：改「01_参数」→ 粘贴价格到「02_原始数据」→ 下拉公式 → 看「04_价差」与「06_相关性」</t>
        </is>
      </c>
    </row>
    <row r="4" ht="34" customHeight="1">
      <c r="B4" s="3" t="inlineStr">
        <is>
          <t>1. 核实产业关系</t>
        </is>
      </c>
      <c r="C4" s="4" t="inlineStr">
        <is>
          <t>先在 references/02-工艺与单耗台账.md 里找到上游是不是下游唯一主要原料；不是唯一，就不要用本模板算价差。</t>
        </is>
      </c>
    </row>
    <row r="5" ht="34" customHeight="1">
      <c r="B5" s="3" t="inlineStr">
        <is>
          <t>2. 填参数</t>
        </is>
      </c>
      <c r="C5" s="4" t="inlineStr">
        <is>
          <t>「01_参数」填单耗 λ、其他成本；λ 必须有出处。</t>
        </is>
      </c>
    </row>
    <row r="6" ht="34" customHeight="1">
      <c r="B6" s="3" t="inlineStr">
        <is>
          <t>3. 粘数据</t>
        </is>
      </c>
      <c r="C6" s="4" t="inlineStr">
        <is>
          <t>「02_原始数据」A5 起粘贴 日期/上游价/下游价；行数变化后把公式列下拉到新行数。</t>
        </is>
      </c>
    </row>
    <row r="7" ht="34" customHeight="1">
      <c r="B7" s="3" t="inlineStr">
        <is>
          <t>4. 看结果</t>
        </is>
      </c>
      <c r="C7" s="4" t="inlineStr">
        <is>
          <t>「04_价差」看分位与滚动均值；「06_相关性」看水平 vs 收益率；「08_阶段」改起止日期即自动重算。</t>
        </is>
      </c>
    </row>
    <row r="8" ht="34" customHeight="1">
      <c r="B8" s="3" t="inlineStr">
        <is>
          <t>5. 写报告</t>
        </is>
      </c>
      <c r="C8" s="4" t="inlineStr">
        <is>
          <t>按 references/07-报告模板.md 的九节结构写；每个数字都要能回到本工作簿。</t>
        </is>
      </c>
    </row>
    <row r="10">
      <c r="B10" s="5" t="inlineStr">
        <is>
          <t>注意：本模板中的数字来自示例数据，不是真实行情。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2" customWidth="1" min="4" max="4"/>
    <col width="56" customWidth="1" min="5" max="5"/>
  </cols>
  <sheetData>
    <row r="1">
      <c r="A1" s="1" t="inlineStr">
        <is>
          <t>参数（改这里，全表重算）</t>
        </is>
      </c>
    </row>
    <row r="2">
      <c r="A2" s="2" t="inlineStr">
        <is>
          <t>黄色单元格是参数，已被命名为 Lambda / OtherCost 等，公式直接引用。</t>
        </is>
      </c>
    </row>
    <row r="4">
      <c r="A4" s="6" t="inlineStr">
        <is>
          <t>参数</t>
        </is>
      </c>
      <c r="B4" s="6" t="inlineStr">
        <is>
          <t>名称</t>
        </is>
      </c>
      <c r="C4" s="6" t="inlineStr">
        <is>
          <t>取值</t>
        </is>
      </c>
      <c r="D4" s="6" t="inlineStr">
        <is>
          <t>单位</t>
        </is>
      </c>
      <c r="E4" s="6" t="inlineStr">
        <is>
          <t>来源/说明</t>
        </is>
      </c>
    </row>
    <row r="5">
      <c r="A5" s="7" t="inlineStr">
        <is>
          <t>单耗系数 λ</t>
        </is>
      </c>
      <c r="B5" s="7" t="inlineStr">
        <is>
          <t>Lambda</t>
        </is>
      </c>
      <c r="C5" s="8" t="n">
        <v>0.655</v>
      </c>
      <c r="D5" s="7" t="inlineStr">
        <is>
          <t>t/t</t>
        </is>
      </c>
      <c r="E5" s="7" t="inlineStr">
        <is>
          <t>必须来自单耗台账（示例：PX→PTA 0.655）</t>
        </is>
      </c>
    </row>
    <row r="6">
      <c r="A6" s="7" t="inlineStr">
        <is>
          <t>其他成本</t>
        </is>
      </c>
      <c r="B6" s="7" t="inlineStr">
        <is>
          <t>OtherCost</t>
        </is>
      </c>
      <c r="C6" s="8" t="n">
        <v>0</v>
      </c>
      <c r="D6" s="7" t="inlineStr">
        <is>
          <t>元/吨</t>
        </is>
      </c>
      <c r="E6" s="7" t="inlineStr">
        <is>
          <t>醋酸+动力+折旧简化项；0 = 收入型加工费</t>
        </is>
      </c>
    </row>
    <row r="7">
      <c r="A7" s="7" t="inlineStr">
        <is>
          <t>滚动窗口</t>
        </is>
      </c>
      <c r="B7" s="7" t="inlineStr">
        <is>
          <t>WinB</t>
        </is>
      </c>
      <c r="C7" s="8" t="n">
        <v>20</v>
      </c>
      <c r="D7" s="7" t="inlineStr">
        <is>
          <t>观测</t>
        </is>
      </c>
      <c r="E7" s="7" t="inlineStr">
        <is>
          <t>滚动均值/标准差窗口</t>
        </is>
      </c>
    </row>
    <row r="8">
      <c r="A8" s="7" t="inlineStr">
        <is>
          <t>滚动窗口2</t>
        </is>
      </c>
      <c r="B8" s="7" t="inlineStr">
        <is>
          <t>WinC</t>
        </is>
      </c>
      <c r="C8" s="8" t="n">
        <v>60</v>
      </c>
      <c r="D8" s="7" t="inlineStr">
        <is>
          <t>观测</t>
        </is>
      </c>
      <c r="E8" s="7" t="inlineStr">
        <is>
          <t>第二档窗口</t>
        </is>
      </c>
    </row>
    <row r="9">
      <c r="A9" s="7" t="inlineStr">
        <is>
          <t>显著水平</t>
        </is>
      </c>
      <c r="B9" s="7" t="inlineStr">
        <is>
          <t>Alpha</t>
        </is>
      </c>
      <c r="C9" s="8" t="n">
        <v>0.05</v>
      </c>
      <c r="D9" s="7" t="inlineStr">
        <is>
          <t>—</t>
        </is>
      </c>
      <c r="E9" s="7" t="inlineStr">
        <is>
          <t>双尾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原始价格数据（示例行，请替换）</t>
        </is>
      </c>
    </row>
    <row r="2">
      <c r="A2" s="2" t="inlineStr">
        <is>
          <t>E~H 列为公式；替换 A~C 后把 E~H 下拉到底。</t>
        </is>
      </c>
    </row>
    <row r="4">
      <c r="A4" s="6" t="inlineStr">
        <is>
          <t>日期</t>
        </is>
      </c>
      <c r="B4" s="6" t="inlineStr">
        <is>
          <t>上游价格</t>
        </is>
      </c>
      <c r="C4" s="6" t="inlineStr">
        <is>
          <t>下游价格</t>
        </is>
      </c>
      <c r="D4" s="6" t="inlineStr">
        <is>
          <t>摘要</t>
        </is>
      </c>
      <c r="E4" s="6" t="inlineStr">
        <is>
          <t>价差</t>
        </is>
      </c>
      <c r="F4" s="6" t="inlineStr">
        <is>
          <t>价比</t>
        </is>
      </c>
      <c r="G4" s="6" t="inlineStr">
        <is>
          <t>上游收益率</t>
        </is>
      </c>
      <c r="H4" s="6" t="inlineStr">
        <is>
          <t>下游收益率</t>
        </is>
      </c>
    </row>
    <row r="5">
      <c r="A5" s="7" t="inlineStr">
        <is>
          <t>2025-01-02</t>
        </is>
      </c>
      <c r="B5" s="9" t="n">
        <v>7000</v>
      </c>
      <c r="C5" s="9" t="n">
        <v>5000</v>
      </c>
      <c r="D5" s="10" t="inlineStr">
        <is>
          <t>示例数据</t>
        </is>
      </c>
      <c r="E5" s="11">
        <f>C5-Lambda*B5-OtherCost</f>
        <v/>
      </c>
      <c r="F5" s="12">
        <f>C5/B5</f>
        <v/>
      </c>
      <c r="G5" s="13" t="n"/>
      <c r="H5" s="13" t="n"/>
    </row>
    <row r="6">
      <c r="A6" s="7" t="inlineStr">
        <is>
          <t>2025-01-03</t>
        </is>
      </c>
      <c r="B6" s="9" t="n">
        <v>7020</v>
      </c>
      <c r="C6" s="9" t="n">
        <v>5010</v>
      </c>
      <c r="D6" s="10" t="inlineStr">
        <is>
          <t>示例数据</t>
        </is>
      </c>
      <c r="E6" s="11">
        <f>C6-Lambda*B6-OtherCost</f>
        <v/>
      </c>
      <c r="F6" s="12">
        <f>C6/B6</f>
        <v/>
      </c>
      <c r="G6" s="14">
        <f>B6/B5-1</f>
        <v/>
      </c>
      <c r="H6" s="14">
        <f>C6/C5-1</f>
        <v/>
      </c>
    </row>
    <row r="7">
      <c r="A7" s="7" t="inlineStr">
        <is>
          <t>2025-01-06</t>
        </is>
      </c>
      <c r="B7" s="9" t="n">
        <v>6990</v>
      </c>
      <c r="C7" s="9" t="n">
        <v>4990</v>
      </c>
      <c r="D7" s="10" t="inlineStr">
        <is>
          <t>示例数据</t>
        </is>
      </c>
      <c r="E7" s="11">
        <f>C7-Lambda*B7-OtherCost</f>
        <v/>
      </c>
      <c r="F7" s="12">
        <f>C7/B7</f>
        <v/>
      </c>
      <c r="G7" s="14">
        <f>B7/B6-1</f>
        <v/>
      </c>
      <c r="H7" s="14">
        <f>C7/C6-1</f>
        <v/>
      </c>
    </row>
    <row r="8">
      <c r="A8" s="7" t="inlineStr">
        <is>
          <t>2025-01-07</t>
        </is>
      </c>
      <c r="B8" s="9" t="n">
        <v>7050</v>
      </c>
      <c r="C8" s="9" t="n">
        <v>5030</v>
      </c>
      <c r="D8" s="10" t="inlineStr">
        <is>
          <t>示例数据</t>
        </is>
      </c>
      <c r="E8" s="11">
        <f>C8-Lambda*B8-OtherCost</f>
        <v/>
      </c>
      <c r="F8" s="12">
        <f>C8/B8</f>
        <v/>
      </c>
      <c r="G8" s="14">
        <f>B8/B7-1</f>
        <v/>
      </c>
      <c r="H8" s="14">
        <f>C8/C7-1</f>
        <v/>
      </c>
    </row>
    <row r="9">
      <c r="A9" s="7" t="inlineStr">
        <is>
          <t>2025-01-08</t>
        </is>
      </c>
      <c r="B9" s="9" t="n">
        <v>7100</v>
      </c>
      <c r="C9" s="9" t="n">
        <v>5050</v>
      </c>
      <c r="D9" s="10" t="inlineStr">
        <is>
          <t>示例数据</t>
        </is>
      </c>
      <c r="E9" s="11">
        <f>C9-Lambda*B9-OtherCost</f>
        <v/>
      </c>
      <c r="F9" s="12">
        <f>C9/B9</f>
        <v/>
      </c>
      <c r="G9" s="14">
        <f>B9/B8-1</f>
        <v/>
      </c>
      <c r="H9" s="14">
        <f>C9/C8-1</f>
        <v/>
      </c>
    </row>
    <row r="10">
      <c r="A10" s="7" t="inlineStr">
        <is>
          <t>2025-01-09</t>
        </is>
      </c>
      <c r="B10" s="9" t="n">
        <v>7080</v>
      </c>
      <c r="C10" s="9" t="n">
        <v>5060</v>
      </c>
      <c r="D10" s="10" t="inlineStr">
        <is>
          <t>示例数据</t>
        </is>
      </c>
      <c r="E10" s="11">
        <f>C10-Lambda*B10-OtherCost</f>
        <v/>
      </c>
      <c r="F10" s="12">
        <f>C10/B10</f>
        <v/>
      </c>
      <c r="G10" s="14">
        <f>B10/B9-1</f>
        <v/>
      </c>
      <c r="H10" s="14">
        <f>C10/C9-1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0" customWidth="1" min="4" max="4"/>
    <col width="30" customWidth="1" min="5" max="5"/>
  </cols>
  <sheetData>
    <row r="1">
      <c r="A1" s="1" t="inlineStr">
        <is>
          <t>单耗台账（必须逐条有出处）</t>
        </is>
      </c>
    </row>
    <row r="2">
      <c r="A2" s="2" t="inlineStr">
        <is>
          <t>无出处的行请删除；不要保留估算值。</t>
        </is>
      </c>
    </row>
    <row r="4">
      <c r="A4" s="6" t="inlineStr">
        <is>
          <t>来源/装置</t>
        </is>
      </c>
      <c r="B4" s="6" t="inlineStr">
        <is>
          <t>主料单耗 t/t</t>
        </is>
      </c>
      <c r="C4" s="6" t="inlineStr">
        <is>
          <t>辅料单耗 t/t</t>
        </is>
      </c>
      <c r="D4" s="6" t="inlineStr">
        <is>
          <t>出处</t>
        </is>
      </c>
      <c r="E4" s="6" t="inlineStr">
        <is>
          <t>备注</t>
        </is>
      </c>
    </row>
    <row r="5">
      <c r="A5" s="7" t="inlineStr">
        <is>
          <t>行业通用值</t>
        </is>
      </c>
      <c r="B5" s="7" t="n">
        <v>0.655</v>
      </c>
      <c r="C5" s="7" t="n">
        <v>0.032</v>
      </c>
      <c r="D5" s="7" t="inlineStr">
        <is>
          <t>（填写你的文献来源）</t>
        </is>
      </c>
      <c r="E5" s="7" t="inlineStr">
        <is>
          <t>示例</t>
        </is>
      </c>
    </row>
    <row r="6">
      <c r="A6" s="7" t="inlineStr">
        <is>
          <t>装置 A</t>
        </is>
      </c>
      <c r="B6" s="7" t="n">
        <v>0.657</v>
      </c>
      <c r="C6" s="7" t="n">
        <v>0.036</v>
      </c>
      <c r="D6" s="7" t="inlineStr">
        <is>
          <t>（填写）</t>
        </is>
      </c>
      <c r="E6" s="7" t="inlineStr"/>
    </row>
    <row r="7">
      <c r="A7" s="7" t="inlineStr">
        <is>
          <t>装置 B</t>
        </is>
      </c>
      <c r="B7" s="7" t="n">
        <v>0.649</v>
      </c>
      <c r="C7" s="7" t="n">
        <v>0.029</v>
      </c>
      <c r="D7" s="7" t="inlineStr">
        <is>
          <t>（填写）</t>
        </is>
      </c>
      <c r="E7" s="7" t="inlineStr"/>
    </row>
    <row r="9">
      <c r="A9" s="15" t="inlineStr">
        <is>
          <t>均值</t>
        </is>
      </c>
      <c r="B9" s="16">
        <f>AVERAGE(B5:B7)</f>
        <v/>
      </c>
    </row>
    <row r="10">
      <c r="A10" s="15" t="inlineStr">
        <is>
          <t>极差</t>
        </is>
      </c>
      <c r="B10" s="16">
        <f>MAX(B5:B7)-MIN(B5:B7)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6" customWidth="1" min="3" max="3"/>
    <col width="13" customWidth="1" min="4" max="4"/>
    <col width="14" customWidth="1" min="5" max="5"/>
    <col width="13" customWidth="1" min="6" max="6"/>
  </cols>
  <sheetData>
    <row r="1">
      <c r="A1" s="1" t="inlineStr">
        <is>
          <t>加工价差与分位</t>
        </is>
      </c>
    </row>
    <row r="2">
      <c r="A2" s="2" t="inlineStr">
        <is>
          <t>公式引用 02_原始数据；替换数据后下拉。</t>
        </is>
      </c>
    </row>
    <row r="4">
      <c r="A4" s="6" t="inlineStr">
        <is>
          <t>日期</t>
        </is>
      </c>
      <c r="B4" s="6" t="inlineStr">
        <is>
          <t>上游</t>
        </is>
      </c>
      <c r="C4" s="6" t="inlineStr">
        <is>
          <t>下游</t>
        </is>
      </c>
      <c r="D4" s="6" t="inlineStr">
        <is>
          <t>价差</t>
        </is>
      </c>
      <c r="E4" s="6" t="inlineStr">
        <is>
          <t>历史分位</t>
        </is>
      </c>
      <c r="F4" s="6" t="inlineStr">
        <is>
          <t>滚动均值</t>
        </is>
      </c>
    </row>
    <row r="5">
      <c r="A5" s="17">
        <f>'02_原始数据'!A5</f>
        <v/>
      </c>
      <c r="B5" s="11">
        <f>'02_原始数据'!B5</f>
        <v/>
      </c>
      <c r="C5" s="11">
        <f>'02_原始数据'!C5</f>
        <v/>
      </c>
      <c r="D5" s="11">
        <f>'02_原始数据'!E5</f>
        <v/>
      </c>
      <c r="E5" s="18">
        <f>_xlfn.PERCENTRANK.INC('02_原始数据'!$E$5:$E$10,'02_原始数据'!E5)</f>
        <v/>
      </c>
      <c r="F5" s="11">
        <f>IF(COUNT('02_原始数据'!$E$5:$E5)&gt;=2,AVERAGE('02_原始数据'!$E$5:$E5),"")</f>
        <v/>
      </c>
    </row>
    <row r="6">
      <c r="A6" s="17">
        <f>'02_原始数据'!A6</f>
        <v/>
      </c>
      <c r="B6" s="11">
        <f>'02_原始数据'!B6</f>
        <v/>
      </c>
      <c r="C6" s="11">
        <f>'02_原始数据'!C6</f>
        <v/>
      </c>
      <c r="D6" s="11">
        <f>'02_原始数据'!E6</f>
        <v/>
      </c>
      <c r="E6" s="18">
        <f>_xlfn.PERCENTRANK.INC('02_原始数据'!$E$5:$E$10,'02_原始数据'!E6)</f>
        <v/>
      </c>
      <c r="F6" s="11">
        <f>IF(COUNT('02_原始数据'!$E$5:$E6)&gt;=2,AVERAGE('02_原始数据'!$E$5:$E6),"")</f>
        <v/>
      </c>
    </row>
    <row r="7">
      <c r="A7" s="17">
        <f>'02_原始数据'!A7</f>
        <v/>
      </c>
      <c r="B7" s="11">
        <f>'02_原始数据'!B7</f>
        <v/>
      </c>
      <c r="C7" s="11">
        <f>'02_原始数据'!C7</f>
        <v/>
      </c>
      <c r="D7" s="11">
        <f>'02_原始数据'!E7</f>
        <v/>
      </c>
      <c r="E7" s="18">
        <f>_xlfn.PERCENTRANK.INC('02_原始数据'!$E$5:$E$10,'02_原始数据'!E7)</f>
        <v/>
      </c>
      <c r="F7" s="11">
        <f>IF(COUNT('02_原始数据'!$E$5:$E7)&gt;=2,AVERAGE('02_原始数据'!$E$5:$E7),"")</f>
        <v/>
      </c>
    </row>
    <row r="8">
      <c r="A8" s="17">
        <f>'02_原始数据'!A8</f>
        <v/>
      </c>
      <c r="B8" s="11">
        <f>'02_原始数据'!B8</f>
        <v/>
      </c>
      <c r="C8" s="11">
        <f>'02_原始数据'!C8</f>
        <v/>
      </c>
      <c r="D8" s="11">
        <f>'02_原始数据'!E8</f>
        <v/>
      </c>
      <c r="E8" s="18">
        <f>_xlfn.PERCENTRANK.INC('02_原始数据'!$E$5:$E$10,'02_原始数据'!E8)</f>
        <v/>
      </c>
      <c r="F8" s="11">
        <f>IF(COUNT('02_原始数据'!$E$5:$E8)&gt;=2,AVERAGE('02_原始数据'!$E$5:$E8),"")</f>
        <v/>
      </c>
    </row>
    <row r="9">
      <c r="A9" s="17">
        <f>'02_原始数据'!A9</f>
        <v/>
      </c>
      <c r="B9" s="11">
        <f>'02_原始数据'!B9</f>
        <v/>
      </c>
      <c r="C9" s="11">
        <f>'02_原始数据'!C9</f>
        <v/>
      </c>
      <c r="D9" s="11">
        <f>'02_原始数据'!E9</f>
        <v/>
      </c>
      <c r="E9" s="18">
        <f>_xlfn.PERCENTRANK.INC('02_原始数据'!$E$5:$E$10,'02_原始数据'!E9)</f>
        <v/>
      </c>
      <c r="F9" s="11">
        <f>IF(COUNT('02_原始数据'!$E$5:$E9)&gt;=2,AVERAGE('02_原始数据'!$E$5:$E9),"")</f>
        <v/>
      </c>
    </row>
    <row r="10">
      <c r="A10" s="17">
        <f>'02_原始数据'!A10</f>
        <v/>
      </c>
      <c r="B10" s="11">
        <f>'02_原始数据'!B10</f>
        <v/>
      </c>
      <c r="C10" s="11">
        <f>'02_原始数据'!C10</f>
        <v/>
      </c>
      <c r="D10" s="11">
        <f>'02_原始数据'!E10</f>
        <v/>
      </c>
      <c r="E10" s="18">
        <f>_xlfn.PERCENTRANK.INC('02_原始数据'!$E$5:$E$10,'02_原始数据'!E10)</f>
        <v/>
      </c>
      <c r="F10" s="11">
        <f>IF(COUNT('02_原始数据'!$E$5:$E10)&gt;=2,AVERAGE('02_原始数据'!$E$5:$E10),"")</f>
        <v/>
      </c>
    </row>
    <row r="13">
      <c r="A13" s="6" t="inlineStr">
        <is>
          <t>统计量</t>
        </is>
      </c>
      <c r="B13" s="6" t="inlineStr">
        <is>
          <t>数值</t>
        </is>
      </c>
      <c r="C13" s="6" t="inlineStr">
        <is>
          <t>说明</t>
        </is>
      </c>
    </row>
    <row r="14">
      <c r="A14" s="19" t="inlineStr">
        <is>
          <t>P10</t>
        </is>
      </c>
      <c r="B14" s="20">
        <f>_xlfn.PERCENTILE.INC('02_原始数据'!$E$5:$E$10,0.1)</f>
        <v/>
      </c>
      <c r="C14" s="2" t="inlineStr">
        <is>
          <t>历史 10% 分位</t>
        </is>
      </c>
    </row>
    <row r="15">
      <c r="A15" s="19" t="inlineStr">
        <is>
          <t>P50</t>
        </is>
      </c>
      <c r="B15" s="20">
        <f>_xlfn.PERCENTILE.INC('02_原始数据'!$E$5:$E$10,0.5)</f>
        <v/>
      </c>
      <c r="C15" s="2" t="inlineStr">
        <is>
          <t>中位（抗极端值）</t>
        </is>
      </c>
    </row>
    <row r="16">
      <c r="A16" s="19" t="inlineStr">
        <is>
          <t>P90</t>
        </is>
      </c>
      <c r="B16" s="20">
        <f>_xlfn.PERCENTILE.INC('02_原始数据'!$E$5:$E$10,0.9)</f>
        <v/>
      </c>
      <c r="C16" s="2" t="inlineStr">
        <is>
          <t>历史 90% 分位</t>
        </is>
      </c>
    </row>
    <row r="17">
      <c r="A17" s="19" t="inlineStr">
        <is>
          <t>均值</t>
        </is>
      </c>
      <c r="B17" s="20">
        <f>AVERAGE('02_原始数据'!$E$5:$E$10)</f>
        <v/>
      </c>
      <c r="C17" s="2" t="inlineStr">
        <is>
          <t>算术均值</t>
        </is>
      </c>
    </row>
    <row r="18">
      <c r="A18" s="19" t="inlineStr">
        <is>
          <t>标准差</t>
        </is>
      </c>
      <c r="B18" s="20">
        <f>STDEV('02_原始数据'!$E$5:$E$10)</f>
        <v/>
      </c>
      <c r="C18" s="2" t="inlineStr">
        <is>
          <t>样本标准差</t>
        </is>
      </c>
    </row>
    <row r="19">
      <c r="A19" s="19" t="inlineStr">
        <is>
          <t>当前值</t>
        </is>
      </c>
      <c r="B19" s="20">
        <f>'02_原始数据'!E10</f>
        <v/>
      </c>
      <c r="C19" s="2" t="inlineStr">
        <is>
          <t>最后一个观测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单耗敏感性（λ 不确定时价差怎么变）</t>
        </is>
      </c>
    </row>
    <row r="2">
      <c r="A2" s="2" t="inlineStr">
        <is>
          <t>价差 = 下游 − λ×上游 − 其他成本；每行一个 λ。</t>
        </is>
      </c>
    </row>
    <row r="3">
      <c r="F3" s="21" t="inlineStr">
        <is>
          <t>辅助：各 λ 下的价差序列</t>
        </is>
      </c>
    </row>
    <row r="4">
      <c r="A4" s="6" t="inlineStr">
        <is>
          <t>λ</t>
        </is>
      </c>
      <c r="B4" s="6" t="inlineStr">
        <is>
          <t>价差均值</t>
        </is>
      </c>
      <c r="C4" s="6" t="inlineStr">
        <is>
          <t>价差中位</t>
        </is>
      </c>
      <c r="D4" s="6" t="inlineStr">
        <is>
          <t>标准差</t>
        </is>
      </c>
    </row>
    <row r="5">
      <c r="A5" s="22" t="n">
        <v>0.6</v>
      </c>
      <c r="B5" s="23">
        <f>AVERAGE($F$5:$F$10)</f>
        <v/>
      </c>
      <c r="C5" s="23">
        <f>MEDIAN($F$5:$F$10)</f>
        <v/>
      </c>
      <c r="D5" s="23">
        <f>STDEV($F$5:$F$10)</f>
        <v/>
      </c>
      <c r="F5" s="24">
        <f>'02_原始数据'!C5-0.6*'02_原始数据'!B5-OtherCost</f>
        <v/>
      </c>
      <c r="G5" s="24">
        <f>'02_原始数据'!C5-0.605*'02_原始数据'!B5-OtherCost</f>
        <v/>
      </c>
      <c r="H5" s="24">
        <f>'02_原始数据'!C5-0.61*'02_原始数据'!B5-OtherCost</f>
        <v/>
      </c>
      <c r="I5" s="24">
        <f>'02_原始数据'!C5-0.615*'02_原始数据'!B5-OtherCost</f>
        <v/>
      </c>
      <c r="J5" s="24">
        <f>'02_原始数据'!C5-0.62*'02_原始数据'!B5-OtherCost</f>
        <v/>
      </c>
      <c r="K5" s="24">
        <f>'02_原始数据'!C5-0.625*'02_原始数据'!B5-OtherCost</f>
        <v/>
      </c>
      <c r="L5" s="24">
        <f>'02_原始数据'!C5-0.63*'02_原始数据'!B5-OtherCost</f>
        <v/>
      </c>
      <c r="M5" s="24">
        <f>'02_原始数据'!C5-0.635*'02_原始数据'!B5-OtherCost</f>
        <v/>
      </c>
      <c r="N5" s="24">
        <f>'02_原始数据'!C5-0.64*'02_原始数据'!B5-OtherCost</f>
        <v/>
      </c>
    </row>
    <row r="6">
      <c r="A6" s="22" t="n">
        <v>0.605</v>
      </c>
      <c r="B6" s="23">
        <f>AVERAGE($G$5:$G$10)</f>
        <v/>
      </c>
      <c r="C6" s="23">
        <f>MEDIAN($G$5:$G$10)</f>
        <v/>
      </c>
      <c r="D6" s="23">
        <f>STDEV($G$5:$G$10)</f>
        <v/>
      </c>
      <c r="F6" s="24">
        <f>'02_原始数据'!C6-0.6*'02_原始数据'!B6-OtherCost</f>
        <v/>
      </c>
      <c r="G6" s="24">
        <f>'02_原始数据'!C6-0.605*'02_原始数据'!B6-OtherCost</f>
        <v/>
      </c>
      <c r="H6" s="24">
        <f>'02_原始数据'!C6-0.61*'02_原始数据'!B6-OtherCost</f>
        <v/>
      </c>
      <c r="I6" s="24">
        <f>'02_原始数据'!C6-0.615*'02_原始数据'!B6-OtherCost</f>
        <v/>
      </c>
      <c r="J6" s="24">
        <f>'02_原始数据'!C6-0.62*'02_原始数据'!B6-OtherCost</f>
        <v/>
      </c>
      <c r="K6" s="24">
        <f>'02_原始数据'!C6-0.625*'02_原始数据'!B6-OtherCost</f>
        <v/>
      </c>
      <c r="L6" s="24">
        <f>'02_原始数据'!C6-0.63*'02_原始数据'!B6-OtherCost</f>
        <v/>
      </c>
      <c r="M6" s="24">
        <f>'02_原始数据'!C6-0.635*'02_原始数据'!B6-OtherCost</f>
        <v/>
      </c>
      <c r="N6" s="24">
        <f>'02_原始数据'!C6-0.64*'02_原始数据'!B6-OtherCost</f>
        <v/>
      </c>
    </row>
    <row r="7">
      <c r="A7" s="22" t="n">
        <v>0.61</v>
      </c>
      <c r="B7" s="23">
        <f>AVERAGE($H$5:$H$10)</f>
        <v/>
      </c>
      <c r="C7" s="23">
        <f>MEDIAN($H$5:$H$10)</f>
        <v/>
      </c>
      <c r="D7" s="23">
        <f>STDEV($H$5:$H$10)</f>
        <v/>
      </c>
      <c r="F7" s="24">
        <f>'02_原始数据'!C7-0.6*'02_原始数据'!B7-OtherCost</f>
        <v/>
      </c>
      <c r="G7" s="24">
        <f>'02_原始数据'!C7-0.605*'02_原始数据'!B7-OtherCost</f>
        <v/>
      </c>
      <c r="H7" s="24">
        <f>'02_原始数据'!C7-0.61*'02_原始数据'!B7-OtherCost</f>
        <v/>
      </c>
      <c r="I7" s="24">
        <f>'02_原始数据'!C7-0.615*'02_原始数据'!B7-OtherCost</f>
        <v/>
      </c>
      <c r="J7" s="24">
        <f>'02_原始数据'!C7-0.62*'02_原始数据'!B7-OtherCost</f>
        <v/>
      </c>
      <c r="K7" s="24">
        <f>'02_原始数据'!C7-0.625*'02_原始数据'!B7-OtherCost</f>
        <v/>
      </c>
      <c r="L7" s="24">
        <f>'02_原始数据'!C7-0.63*'02_原始数据'!B7-OtherCost</f>
        <v/>
      </c>
      <c r="M7" s="24">
        <f>'02_原始数据'!C7-0.635*'02_原始数据'!B7-OtherCost</f>
        <v/>
      </c>
      <c r="N7" s="24">
        <f>'02_原始数据'!C7-0.64*'02_原始数据'!B7-OtherCost</f>
        <v/>
      </c>
    </row>
    <row r="8">
      <c r="A8" s="22" t="n">
        <v>0.615</v>
      </c>
      <c r="B8" s="23">
        <f>AVERAGE($I$5:$I$10)</f>
        <v/>
      </c>
      <c r="C8" s="23">
        <f>MEDIAN($I$5:$I$10)</f>
        <v/>
      </c>
      <c r="D8" s="23">
        <f>STDEV($I$5:$I$10)</f>
        <v/>
      </c>
      <c r="F8" s="24">
        <f>'02_原始数据'!C8-0.6*'02_原始数据'!B8-OtherCost</f>
        <v/>
      </c>
      <c r="G8" s="24">
        <f>'02_原始数据'!C8-0.605*'02_原始数据'!B8-OtherCost</f>
        <v/>
      </c>
      <c r="H8" s="24">
        <f>'02_原始数据'!C8-0.61*'02_原始数据'!B8-OtherCost</f>
        <v/>
      </c>
      <c r="I8" s="24">
        <f>'02_原始数据'!C8-0.615*'02_原始数据'!B8-OtherCost</f>
        <v/>
      </c>
      <c r="J8" s="24">
        <f>'02_原始数据'!C8-0.62*'02_原始数据'!B8-OtherCost</f>
        <v/>
      </c>
      <c r="K8" s="24">
        <f>'02_原始数据'!C8-0.625*'02_原始数据'!B8-OtherCost</f>
        <v/>
      </c>
      <c r="L8" s="24">
        <f>'02_原始数据'!C8-0.63*'02_原始数据'!B8-OtherCost</f>
        <v/>
      </c>
      <c r="M8" s="24">
        <f>'02_原始数据'!C8-0.635*'02_原始数据'!B8-OtherCost</f>
        <v/>
      </c>
      <c r="N8" s="24">
        <f>'02_原始数据'!C8-0.64*'02_原始数据'!B8-OtherCost</f>
        <v/>
      </c>
    </row>
    <row r="9">
      <c r="A9" s="22" t="n">
        <v>0.62</v>
      </c>
      <c r="B9" s="23">
        <f>AVERAGE($J$5:$J$10)</f>
        <v/>
      </c>
      <c r="C9" s="23">
        <f>MEDIAN($J$5:$J$10)</f>
        <v/>
      </c>
      <c r="D9" s="23">
        <f>STDEV($J$5:$J$10)</f>
        <v/>
      </c>
      <c r="F9" s="24">
        <f>'02_原始数据'!C9-0.6*'02_原始数据'!B9-OtherCost</f>
        <v/>
      </c>
      <c r="G9" s="24">
        <f>'02_原始数据'!C9-0.605*'02_原始数据'!B9-OtherCost</f>
        <v/>
      </c>
      <c r="H9" s="24">
        <f>'02_原始数据'!C9-0.61*'02_原始数据'!B9-OtherCost</f>
        <v/>
      </c>
      <c r="I9" s="24">
        <f>'02_原始数据'!C9-0.615*'02_原始数据'!B9-OtherCost</f>
        <v/>
      </c>
      <c r="J9" s="24">
        <f>'02_原始数据'!C9-0.62*'02_原始数据'!B9-OtherCost</f>
        <v/>
      </c>
      <c r="K9" s="24">
        <f>'02_原始数据'!C9-0.625*'02_原始数据'!B9-OtherCost</f>
        <v/>
      </c>
      <c r="L9" s="24">
        <f>'02_原始数据'!C9-0.63*'02_原始数据'!B9-OtherCost</f>
        <v/>
      </c>
      <c r="M9" s="24">
        <f>'02_原始数据'!C9-0.635*'02_原始数据'!B9-OtherCost</f>
        <v/>
      </c>
      <c r="N9" s="24">
        <f>'02_原始数据'!C9-0.64*'02_原始数据'!B9-OtherCost</f>
        <v/>
      </c>
    </row>
    <row r="10">
      <c r="A10" s="22" t="n">
        <v>0.625</v>
      </c>
      <c r="B10" s="23">
        <f>AVERAGE($K$5:$K$10)</f>
        <v/>
      </c>
      <c r="C10" s="23">
        <f>MEDIAN($K$5:$K$10)</f>
        <v/>
      </c>
      <c r="D10" s="23">
        <f>STDEV($K$5:$K$10)</f>
        <v/>
      </c>
      <c r="F10" s="24">
        <f>'02_原始数据'!C10-0.6*'02_原始数据'!B10-OtherCost</f>
        <v/>
      </c>
      <c r="G10" s="24">
        <f>'02_原始数据'!C10-0.605*'02_原始数据'!B10-OtherCost</f>
        <v/>
      </c>
      <c r="H10" s="24">
        <f>'02_原始数据'!C10-0.61*'02_原始数据'!B10-OtherCost</f>
        <v/>
      </c>
      <c r="I10" s="24">
        <f>'02_原始数据'!C10-0.615*'02_原始数据'!B10-OtherCost</f>
        <v/>
      </c>
      <c r="J10" s="24">
        <f>'02_原始数据'!C10-0.62*'02_原始数据'!B10-OtherCost</f>
        <v/>
      </c>
      <c r="K10" s="24">
        <f>'02_原始数据'!C10-0.625*'02_原始数据'!B10-OtherCost</f>
        <v/>
      </c>
      <c r="L10" s="24">
        <f>'02_原始数据'!C10-0.63*'02_原始数据'!B10-OtherCost</f>
        <v/>
      </c>
      <c r="M10" s="24">
        <f>'02_原始数据'!C10-0.635*'02_原始数据'!B10-OtherCost</f>
        <v/>
      </c>
      <c r="N10" s="24">
        <f>'02_原始数据'!C10-0.64*'02_原始数据'!B10-OtherCost</f>
        <v/>
      </c>
    </row>
    <row r="11">
      <c r="A11" s="22" t="n">
        <v>0.63</v>
      </c>
      <c r="B11" s="23">
        <f>AVERAGE($L$5:$L$10)</f>
        <v/>
      </c>
      <c r="C11" s="23">
        <f>MEDIAN($L$5:$L$10)</f>
        <v/>
      </c>
      <c r="D11" s="23">
        <f>STDEV($L$5:$L$10)</f>
        <v/>
      </c>
    </row>
    <row r="12">
      <c r="A12" s="22" t="n">
        <v>0.635</v>
      </c>
      <c r="B12" s="23">
        <f>AVERAGE($M$5:$M$10)</f>
        <v/>
      </c>
      <c r="C12" s="23">
        <f>MEDIAN($M$5:$M$10)</f>
        <v/>
      </c>
      <c r="D12" s="23">
        <f>STDEV($M$5:$M$10)</f>
        <v/>
      </c>
    </row>
    <row r="13">
      <c r="A13" s="22" t="n">
        <v>0.64</v>
      </c>
      <c r="B13" s="23">
        <f>AVERAGE($N$5:$N$10)</f>
        <v/>
      </c>
      <c r="C13" s="23">
        <f>MEDIAN($N$5:$N$10)</f>
        <v/>
      </c>
      <c r="D13" s="23">
        <f>STDEV($N$5:$N$10)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8" customWidth="1" min="4" max="4"/>
    <col width="12" customWidth="1" min="5" max="5"/>
    <col width="14" customWidth="1" min="6" max="6"/>
    <col width="22" customWidth="1" min="7" max="7"/>
  </cols>
  <sheetData>
    <row r="1">
      <c r="A1" s="1" t="inlineStr">
        <is>
          <t>水平相关 vs 收益率相关</t>
        </is>
      </c>
    </row>
    <row r="2">
      <c r="A2" s="2" t="inlineStr">
        <is>
          <t>两个数不能互相替代：水平含共同趋势，收益率才反映逐期传导。</t>
        </is>
      </c>
    </row>
    <row r="4">
      <c r="A4" s="6" t="inlineStr">
        <is>
          <t>口径</t>
        </is>
      </c>
      <c r="B4" s="6" t="inlineStr">
        <is>
          <t>Pearson r</t>
        </is>
      </c>
      <c r="C4" s="6" t="inlineStr">
        <is>
          <t>R²</t>
        </is>
      </c>
      <c r="D4" s="6" t="inlineStr">
        <is>
          <t>N</t>
        </is>
      </c>
      <c r="E4" s="6" t="inlineStr">
        <is>
          <t>t</t>
        </is>
      </c>
      <c r="F4" s="6" t="inlineStr">
        <is>
          <t>p（双尾）</t>
        </is>
      </c>
      <c r="G4" s="6" t="inlineStr">
        <is>
          <t>95%CI</t>
        </is>
      </c>
    </row>
    <row r="5">
      <c r="A5" s="25" t="inlineStr">
        <is>
          <t>价格水平</t>
        </is>
      </c>
      <c r="B5" s="12">
        <f>CORREL('02_原始数据'!$B$5:$B$10,'02_原始数据'!$C$5:$C$10)</f>
        <v/>
      </c>
      <c r="C5" s="12">
        <f>RSQ('02_原始数据'!$C$5:$C$10,'02_原始数据'!$B$5:$B$10)</f>
        <v/>
      </c>
      <c r="D5" s="13">
        <f>COUNT('02_原始数据'!$B$5:$B$10)</f>
        <v/>
      </c>
      <c r="E5" s="13">
        <f>B5*SQRT((D5-2)/(1-B5^2))</f>
        <v/>
      </c>
      <c r="F5" s="26">
        <f>IF(D5&gt;2,_xlfn.T.DIST.2T(ABS(E5),D5-2),"NA")</f>
        <v/>
      </c>
      <c r="G5" s="13">
        <f>TEXT(TANH(ATANH(B5)-_xlfn.NORM.S.INV(1-Alpha/2)/SQRT(D5-3)),"0.000")&amp;" ~ "&amp;TEXT(TANH(ATANH(B5)+_xlfn.NORM.S.INV(1-Alpha/2)/SQRT(D5-3)),"0.000")</f>
        <v/>
      </c>
    </row>
    <row r="6">
      <c r="A6" s="25" t="inlineStr">
        <is>
          <t>日收益率</t>
        </is>
      </c>
      <c r="B6" s="12">
        <f>CORREL('02_原始数据'!$G$6:$G$10,'02_原始数据'!$H$6:$H$10)</f>
        <v/>
      </c>
      <c r="C6" s="12">
        <f>RSQ('02_原始数据'!$H$6:$H$10,'02_原始数据'!$G$6:$G$10)</f>
        <v/>
      </c>
      <c r="D6" s="13">
        <f>COUNT('02_原始数据'!$G$6:$G$10)</f>
        <v/>
      </c>
      <c r="E6" s="13">
        <f>B6*SQRT((D6-2)/(1-B6^2))</f>
        <v/>
      </c>
      <c r="F6" s="26">
        <f>IF(D6&gt;2,_xlfn.T.DIST.2T(ABS(E6),D6-2),"NA")</f>
        <v/>
      </c>
      <c r="G6" s="13">
        <f>TEXT(TANH(ATANH(B6)-_xlfn.NORM.S.INV(1-Alpha/2)/SQRT(D6-3)),"0.000")&amp;" ~ "&amp;TEXT(TANH(ATANH(B6)+_xlfn.NORM.S.INV(1-Alpha/2)/SQRT(D6-3)),"0.000")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滚动相关（窗口内样本不足 80% 留空）</t>
        </is>
      </c>
    </row>
    <row r="2">
      <c r="A2" s="2" t="inlineStr">
        <is>
          <t>窗口由「01_参数」的 WinB 控制。</t>
        </is>
      </c>
    </row>
    <row r="4">
      <c r="A4" s="6" t="inlineStr">
        <is>
          <t>日期</t>
        </is>
      </c>
      <c r="B4" s="6" t="inlineStr">
        <is>
          <t>滚动 r（水平）</t>
        </is>
      </c>
      <c r="C4" s="6" t="inlineStr">
        <is>
          <t>有效样本</t>
        </is>
      </c>
    </row>
    <row r="5">
      <c r="A5" s="17">
        <f>'02_原始数据'!A5</f>
        <v/>
      </c>
      <c r="B5" s="27">
        <f>IF(COUNT('02_原始数据'!B5:B5)&gt;=2,IFERROR(CORREL('02_原始数据'!B5:B5,'02_原始数据'!C5:C5),""),"")</f>
        <v/>
      </c>
      <c r="C5" s="28">
        <f>COUNT('02_原始数据'!B5:B5)</f>
        <v/>
      </c>
    </row>
    <row r="6">
      <c r="A6" s="17">
        <f>'02_原始数据'!A6</f>
        <v/>
      </c>
      <c r="B6" s="27">
        <f>IF(COUNT('02_原始数据'!B5:B6)&gt;=2,IFERROR(CORREL('02_原始数据'!B5:B6,'02_原始数据'!C5:C6),""),"")</f>
        <v/>
      </c>
      <c r="C6" s="28">
        <f>COUNT('02_原始数据'!B5:B6)</f>
        <v/>
      </c>
    </row>
    <row r="7">
      <c r="A7" s="17">
        <f>'02_原始数据'!A7</f>
        <v/>
      </c>
      <c r="B7" s="27">
        <f>IF(COUNT('02_原始数据'!B5:B7)&gt;=2,IFERROR(CORREL('02_原始数据'!B5:B7,'02_原始数据'!C5:C7),""),"")</f>
        <v/>
      </c>
      <c r="C7" s="28">
        <f>COUNT('02_原始数据'!B5:B7)</f>
        <v/>
      </c>
    </row>
    <row r="8">
      <c r="A8" s="17">
        <f>'02_原始数据'!A8</f>
        <v/>
      </c>
      <c r="B8" s="27">
        <f>IF(COUNT('02_原始数据'!B5:B8)&gt;=2,IFERROR(CORREL('02_原始数据'!B5:B8,'02_原始数据'!C5:C8),""),"")</f>
        <v/>
      </c>
      <c r="C8" s="28">
        <f>COUNT('02_原始数据'!B5:B8)</f>
        <v/>
      </c>
    </row>
    <row r="9">
      <c r="A9" s="17">
        <f>'02_原始数据'!A9</f>
        <v/>
      </c>
      <c r="B9" s="27">
        <f>IF(COUNT('02_原始数据'!B5:B9)&gt;=2,IFERROR(CORREL('02_原始数据'!B5:B9,'02_原始数据'!C5:C9),""),"")</f>
        <v/>
      </c>
      <c r="C9" s="28">
        <f>COUNT('02_原始数据'!B5:B9)</f>
        <v/>
      </c>
    </row>
    <row r="10">
      <c r="A10" s="17">
        <f>'02_原始数据'!A10</f>
        <v/>
      </c>
      <c r="B10" s="27">
        <f>IF(COUNT('02_原始数据'!B6:B10)&gt;=2,IFERROR(CORREL('02_原始数据'!B6:B10,'02_原始数据'!C6:C10),""),"")</f>
        <v/>
      </c>
      <c r="C10" s="28">
        <f>COUNT('02_原始数据'!B6:B10)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阶段统计（改起止日期自动重算）</t>
        </is>
      </c>
    </row>
    <row r="2">
      <c r="A2" s="2" t="inlineStr">
        <is>
          <t>阶段必须按产业事件预先定义，不要按结果反复切。</t>
        </is>
      </c>
    </row>
    <row r="4">
      <c r="A4" s="6" t="inlineStr">
        <is>
          <t>阶段</t>
        </is>
      </c>
      <c r="B4" s="6" t="inlineStr">
        <is>
          <t>起</t>
        </is>
      </c>
      <c r="C4" s="6" t="inlineStr">
        <is>
          <t>止</t>
        </is>
      </c>
      <c r="D4" s="6" t="inlineStr">
        <is>
          <t>N</t>
        </is>
      </c>
      <c r="E4" s="6" t="inlineStr">
        <is>
          <t>上游涨跌</t>
        </is>
      </c>
      <c r="F4" s="6" t="inlineStr">
        <is>
          <t>下游涨跌</t>
        </is>
      </c>
    </row>
    <row r="5">
      <c r="A5" s="28" t="inlineStr">
        <is>
          <t>S1</t>
        </is>
      </c>
      <c r="B5" s="28" t="inlineStr">
        <is>
          <t>2025-01-01</t>
        </is>
      </c>
      <c r="C5" s="28" t="inlineStr">
        <is>
          <t>2025-03-31</t>
        </is>
      </c>
      <c r="D5" s="28">
        <f>COUNTIFS('02_原始数据'!$A$5:$A$10,"&gt;="&amp;B5,'02_原始数据'!$A$5:$A$10,"&lt;="&amp;C5)</f>
        <v/>
      </c>
      <c r="E5" s="29">
        <f>IFERROR(AVERAGEIFS('02_原始数据'!$G$6:$G$10,'02_原始数据'!$A$6:$A$10,"&gt;="&amp;B5,'02_原始数据'!$A$6:$A$10,"&lt;="&amp;C5),"")</f>
        <v/>
      </c>
      <c r="F5" s="29">
        <f>IFERROR(AVERAGEIFS('02_原始数据'!$H$6:$H$10,'02_原始数据'!$A$6:$A$10,"&gt;="&amp;B5,'02_原始数据'!$A$6:$A$10,"&lt;="&amp;C5),"")</f>
        <v/>
      </c>
    </row>
    <row r="6">
      <c r="A6" s="28" t="inlineStr">
        <is>
          <t>S2</t>
        </is>
      </c>
      <c r="B6" s="28" t="inlineStr">
        <is>
          <t>2025-04-01</t>
        </is>
      </c>
      <c r="C6" s="28" t="inlineStr">
        <is>
          <t>2025-06-30</t>
        </is>
      </c>
      <c r="D6" s="28">
        <f>COUNTIFS('02_原始数据'!$A$5:$A$10,"&gt;="&amp;B6,'02_原始数据'!$A$5:$A$10,"&lt;="&amp;C6)</f>
        <v/>
      </c>
      <c r="E6" s="29">
        <f>IFERROR(AVERAGEIFS('02_原始数据'!$G$6:$G$10,'02_原始数据'!$A$6:$A$10,"&gt;="&amp;B6,'02_原始数据'!$A$6:$A$10,"&lt;="&amp;C6),"")</f>
        <v/>
      </c>
      <c r="F6" s="29">
        <f>IFERROR(AVERAGEIFS('02_原始数据'!$H$6:$H$10,'02_原始数据'!$A$6:$A$10,"&gt;="&amp;B6,'02_原始数据'!$A$6:$A$10,"&lt;="&amp;C6),"")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2026-10-20T11:17:26Z</dcterms:created>
  <dcterms:modified xmlns:dcterms="http://purl.org/dc/terms/" xmlns:xsi="http://www.w3.org/2001/XMLSchema-instance" xsi:type="dcterms:W3CDTF">2026-10-20T11:17:26Z</dcterms:modified>
</cp:coreProperties>
</file>